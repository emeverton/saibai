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ço" sheetId="1" r:id="rId5"/>
    <sheet state="visible" name="Abril" sheetId="2" r:id="rId6"/>
    <sheet state="visible" name="Maio" sheetId="3" r:id="rId7"/>
    <sheet state="visible" name="Junho" sheetId="4" r:id="rId8"/>
  </sheets>
  <definedNames/>
  <calcPr/>
</workbook>
</file>

<file path=xl/sharedStrings.xml><?xml version="1.0" encoding="utf-8"?>
<sst xmlns="http://schemas.openxmlformats.org/spreadsheetml/2006/main" count="132" uniqueCount="28">
  <si>
    <t>Saibai</t>
  </si>
  <si>
    <t>Disponível</t>
  </si>
  <si>
    <t>Previsão</t>
  </si>
  <si>
    <t xml:space="preserve">Plano de midia </t>
  </si>
  <si>
    <r>
      <rPr>
        <rFont val="Work Sans"/>
        <b/>
        <color rgb="FF6C018B"/>
      </rPr>
      <t>Duração</t>
    </r>
    <r>
      <rPr>
        <rFont val="Work Sans"/>
        <b val="0"/>
        <color rgb="FF6C018B"/>
      </rPr>
      <t xml:space="preserve"> (dias)</t>
    </r>
  </si>
  <si>
    <t>Canal</t>
  </si>
  <si>
    <t>Fase</t>
  </si>
  <si>
    <t>Objetivo</t>
  </si>
  <si>
    <t>Divisão</t>
  </si>
  <si>
    <t>Verba Total</t>
  </si>
  <si>
    <t>Verba/dia</t>
  </si>
  <si>
    <t>Campanhas</t>
  </si>
  <si>
    <t>[V4][CAP Grupo VIP | Captação</t>
  </si>
  <si>
    <t>Topo</t>
  </si>
  <si>
    <t>Meta</t>
  </si>
  <si>
    <t>Leads</t>
  </si>
  <si>
    <t xml:space="preserve">[V4] [ENGA] Distribuição conteudo </t>
  </si>
  <si>
    <t>[V4] [PMAX] Remarketing</t>
  </si>
  <si>
    <t>Google</t>
  </si>
  <si>
    <t>[V4] [SEARCH] Pesquisa | Intenção</t>
  </si>
  <si>
    <t>Fundo</t>
  </si>
  <si>
    <t xml:space="preserve">[V4] [YOUTUBE] Distribuição conteudo </t>
  </si>
  <si>
    <t>Leadstaker (Ferramenta Formulário)</t>
  </si>
  <si>
    <t>Leadstaker</t>
  </si>
  <si>
    <r>
      <rPr>
        <rFont val="Work Sans"/>
        <b/>
        <color rgb="FF6C018B"/>
      </rPr>
      <t>Duração</t>
    </r>
    <r>
      <rPr>
        <rFont val="Work Sans"/>
        <b val="0"/>
        <color rgb="FF6C018B"/>
      </rPr>
      <t xml:space="preserve"> (dias)</t>
    </r>
  </si>
  <si>
    <t>[V4] [CAP Grupo VIP | Captação</t>
  </si>
  <si>
    <r>
      <rPr>
        <rFont val="Work Sans"/>
        <b/>
        <color rgb="FF6C018B"/>
      </rPr>
      <t>Duração</t>
    </r>
    <r>
      <rPr>
        <rFont val="Work Sans"/>
        <b val="0"/>
        <color rgb="FF6C018B"/>
      </rPr>
      <t xml:space="preserve"> (dias)</t>
    </r>
  </si>
  <si>
    <r>
      <rPr>
        <rFont val="Work Sans"/>
        <b/>
        <color rgb="FF6C018B"/>
      </rPr>
      <t>Duração</t>
    </r>
    <r>
      <rPr>
        <rFont val="Work Sans"/>
        <b val="0"/>
        <color rgb="FF6C018B"/>
      </rPr>
      <t xml:space="preserve"> (dias)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</si>
</sst>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[$R$ -416]#,##0.00"/>
    <numFmt numFmtId="166" formatCode="_([$R$ -416]* #,##0.00_);_([$R$ -416]* \(#,##0.00\);_([$R$ -416]* &quot;-&quot;??_);_(@_)"/>
  </numFmts>
  <fonts count="14">
    <font>
      <sz val="10.0"/>
      <color rgb="FF000000"/>
      <name val="Arial"/>
      <scheme val="minor"/>
    </font>
    <font>
      <b/>
      <sz val="12.0"/>
      <color rgb="FFFFFFFF"/>
      <name val="Work Sans"/>
    </font>
    <font/>
    <font>
      <b/>
      <sz val="14.0"/>
      <color rgb="FFFFFFFF"/>
      <name val="Work Sans"/>
    </font>
    <font>
      <color rgb="FFFFFFFF"/>
      <name val="Work Sans"/>
    </font>
    <font>
      <b/>
      <color rgb="FF6C018B"/>
      <name val="Work Sans"/>
    </font>
    <font>
      <b/>
      <sz val="12.0"/>
      <color rgb="FF000000"/>
      <name val="Work Sans"/>
    </font>
    <font>
      <b/>
      <sz val="11.0"/>
      <color rgb="FF000000"/>
      <name val="Work Sans"/>
    </font>
    <font>
      <b/>
      <color rgb="FF000000"/>
      <name val="Work Sans"/>
    </font>
    <font>
      <sz val="11.0"/>
      <color theme="1"/>
      <name val="Calibri"/>
    </font>
    <font>
      <color rgb="FF666666"/>
      <name val="Work Sans"/>
    </font>
    <font>
      <sz val="11.0"/>
      <color theme="1"/>
      <name val="Work Sans"/>
    </font>
    <font>
      <sz val="11.0"/>
      <color rgb="FF666666"/>
      <name val="Work Sans"/>
    </font>
    <font>
      <sz val="11.0"/>
      <color rgb="FF000000"/>
      <name val="Work Sans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CDCCCC"/>
        <bgColor rgb="FFCDCCCC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164" xfId="0" applyAlignment="1" applyBorder="1" applyFont="1" applyNumberFormat="1">
      <alignment horizontal="center"/>
    </xf>
    <xf borderId="1" fillId="3" fontId="3" numFmtId="0" xfId="0" applyAlignment="1" applyBorder="1" applyFill="1" applyFont="1">
      <alignment horizontal="center" readingOrder="0" shrinkToFit="0" wrapText="1"/>
    </xf>
    <xf borderId="4" fillId="3" fontId="3" numFmtId="165" xfId="0" applyAlignment="1" applyBorder="1" applyFont="1" applyNumberFormat="1">
      <alignment horizontal="center" readingOrder="0"/>
    </xf>
    <xf borderId="4" fillId="3" fontId="4" numFmtId="165" xfId="0" applyAlignment="1" applyBorder="1" applyFont="1" applyNumberFormat="1">
      <alignment horizontal="center"/>
    </xf>
    <xf borderId="4" fillId="4" fontId="5" numFmtId="0" xfId="0" applyAlignment="1" applyBorder="1" applyFill="1" applyFont="1">
      <alignment horizontal="center" vertical="bottom"/>
    </xf>
    <xf borderId="4" fillId="4" fontId="6" numFmtId="0" xfId="0" applyAlignment="1" applyBorder="1" applyFont="1">
      <alignment horizontal="center" shrinkToFit="0" vertical="bottom" wrapText="1"/>
    </xf>
    <xf borderId="4" fillId="4" fontId="7" numFmtId="10" xfId="0" applyAlignment="1" applyBorder="1" applyFont="1" applyNumberFormat="1">
      <alignment horizontal="center" vertical="bottom"/>
    </xf>
    <xf borderId="4" fillId="4" fontId="6" numFmtId="10" xfId="0" applyAlignment="1" applyBorder="1" applyFont="1" applyNumberFormat="1">
      <alignment horizontal="center" vertical="bottom"/>
    </xf>
    <xf borderId="4" fillId="4" fontId="6" numFmtId="164" xfId="0" applyAlignment="1" applyBorder="1" applyFont="1" applyNumberFormat="1">
      <alignment horizontal="center" vertical="bottom"/>
    </xf>
    <xf borderId="4" fillId="5" fontId="8" numFmtId="0" xfId="0" applyAlignment="1" applyBorder="1" applyFill="1" applyFont="1">
      <alignment horizontal="center" readingOrder="0"/>
    </xf>
    <xf borderId="4" fillId="6" fontId="8" numFmtId="0" xfId="0" applyBorder="1" applyFill="1" applyFont="1"/>
    <xf borderId="4" fillId="6" fontId="9" numFmtId="10" xfId="0" applyBorder="1" applyFont="1" applyNumberFormat="1"/>
    <xf borderId="4" fillId="6" fontId="8" numFmtId="10" xfId="0" applyAlignment="1" applyBorder="1" applyFont="1" applyNumberFormat="1">
      <alignment horizontal="right"/>
    </xf>
    <xf borderId="4" fillId="5" fontId="8" numFmtId="166" xfId="0" applyAlignment="1" applyBorder="1" applyFont="1" applyNumberFormat="1">
      <alignment horizontal="center"/>
    </xf>
    <xf borderId="4" fillId="5" fontId="8" numFmtId="166" xfId="0" applyAlignment="1" applyBorder="1" applyFont="1" applyNumberFormat="1">
      <alignment horizontal="right"/>
    </xf>
    <xf borderId="4" fillId="4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4" fillId="4" fontId="12" numFmtId="9" xfId="0" applyAlignment="1" applyBorder="1" applyFont="1" applyNumberFormat="1">
      <alignment horizontal="right" readingOrder="0" shrinkToFit="0" wrapText="1"/>
    </xf>
    <xf borderId="4" fillId="5" fontId="13" numFmtId="166" xfId="0" applyAlignment="1" applyBorder="1" applyFont="1" applyNumberFormat="1">
      <alignment horizontal="center"/>
    </xf>
    <xf borderId="4" fillId="4" fontId="12" numFmtId="10" xfId="0" applyAlignment="1" applyBorder="1" applyFont="1" applyNumberFormat="1">
      <alignment horizontal="right" readingOrder="0" shrinkToFit="0" wrapText="1"/>
    </xf>
    <xf borderId="4" fillId="5" fontId="13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7.13"/>
    <col customWidth="1" min="4" max="4" width="21.38"/>
    <col customWidth="1" min="5" max="5" width="29.63"/>
    <col customWidth="1" min="6" max="6" width="12.25"/>
    <col customWidth="1" min="7" max="7" width="19.25"/>
    <col customWidth="1" min="8" max="8" width="32.63"/>
  </cols>
  <sheetData>
    <row r="1" ht="30.75" customHeight="1">
      <c r="A1" s="1" t="s">
        <v>0</v>
      </c>
      <c r="B1" s="2"/>
      <c r="C1" s="2"/>
      <c r="D1" s="2"/>
      <c r="E1" s="2"/>
      <c r="F1" s="3"/>
      <c r="G1" s="4" t="s">
        <v>1</v>
      </c>
      <c r="H1" s="4" t="s">
        <v>2</v>
      </c>
    </row>
    <row r="2">
      <c r="A2" s="5" t="s">
        <v>3</v>
      </c>
      <c r="B2" s="2"/>
      <c r="C2" s="2"/>
      <c r="D2" s="2"/>
      <c r="E2" s="2"/>
      <c r="F2" s="3"/>
      <c r="G2" s="6">
        <v>3000.0</v>
      </c>
      <c r="H2" s="7">
        <f>H4*A4</f>
        <v>3000</v>
      </c>
    </row>
    <row r="3">
      <c r="A3" s="8" t="s">
        <v>4</v>
      </c>
      <c r="B3" s="9" t="s">
        <v>5</v>
      </c>
      <c r="C3" s="10" t="s">
        <v>6</v>
      </c>
      <c r="D3" s="10" t="s">
        <v>5</v>
      </c>
      <c r="E3" s="10" t="s">
        <v>7</v>
      </c>
      <c r="F3" s="11" t="s">
        <v>8</v>
      </c>
      <c r="G3" s="12" t="s">
        <v>9</v>
      </c>
      <c r="H3" s="12" t="s">
        <v>10</v>
      </c>
    </row>
    <row r="4">
      <c r="A4" s="13">
        <v>31.0</v>
      </c>
      <c r="B4" s="14" t="s">
        <v>11</v>
      </c>
      <c r="C4" s="15"/>
      <c r="D4" s="15"/>
      <c r="E4" s="15"/>
      <c r="F4" s="16">
        <f t="shared" ref="F4:G4" si="1">SUM(F5:F10)</f>
        <v>1</v>
      </c>
      <c r="G4" s="17">
        <f t="shared" si="1"/>
        <v>3000</v>
      </c>
      <c r="H4" s="18">
        <f t="shared" ref="H4:H10" si="2">G4/A4</f>
        <v>96.77419355</v>
      </c>
    </row>
    <row r="5">
      <c r="A5" s="13">
        <v>15.0</v>
      </c>
      <c r="B5" s="19" t="s">
        <v>12</v>
      </c>
      <c r="C5" s="20" t="s">
        <v>13</v>
      </c>
      <c r="D5" s="20" t="s">
        <v>14</v>
      </c>
      <c r="E5" s="20" t="s">
        <v>15</v>
      </c>
      <c r="F5" s="21">
        <v>0.15</v>
      </c>
      <c r="G5" s="22">
        <f>G2*F5</f>
        <v>450</v>
      </c>
      <c r="H5" s="22">
        <f t="shared" si="2"/>
        <v>30</v>
      </c>
    </row>
    <row r="6">
      <c r="A6" s="13">
        <v>20.0</v>
      </c>
      <c r="B6" s="19" t="s">
        <v>16</v>
      </c>
      <c r="C6" s="20" t="s">
        <v>13</v>
      </c>
      <c r="D6" s="20" t="s">
        <v>14</v>
      </c>
      <c r="E6" s="20" t="s">
        <v>15</v>
      </c>
      <c r="F6" s="23">
        <v>0.3</v>
      </c>
      <c r="G6" s="22">
        <f>G2*F6</f>
        <v>900</v>
      </c>
      <c r="H6" s="22">
        <f t="shared" si="2"/>
        <v>45</v>
      </c>
    </row>
    <row r="7">
      <c r="A7" s="13">
        <v>15.0</v>
      </c>
      <c r="B7" s="19" t="s">
        <v>17</v>
      </c>
      <c r="C7" s="20" t="s">
        <v>13</v>
      </c>
      <c r="D7" s="20" t="s">
        <v>18</v>
      </c>
      <c r="E7" s="20" t="s">
        <v>15</v>
      </c>
      <c r="F7" s="23">
        <v>0.15</v>
      </c>
      <c r="G7" s="22">
        <f>G2*F7</f>
        <v>450</v>
      </c>
      <c r="H7" s="22">
        <f t="shared" si="2"/>
        <v>30</v>
      </c>
    </row>
    <row r="8">
      <c r="A8" s="13">
        <v>15.0</v>
      </c>
      <c r="B8" s="19" t="s">
        <v>19</v>
      </c>
      <c r="C8" s="20" t="s">
        <v>20</v>
      </c>
      <c r="D8" s="20" t="s">
        <v>18</v>
      </c>
      <c r="E8" s="20" t="s">
        <v>15</v>
      </c>
      <c r="F8" s="23">
        <v>0.2333</v>
      </c>
      <c r="G8" s="22">
        <f>G2*F8</f>
        <v>699.9</v>
      </c>
      <c r="H8" s="22">
        <f t="shared" si="2"/>
        <v>46.66</v>
      </c>
    </row>
    <row r="9">
      <c r="A9" s="13">
        <v>20.0</v>
      </c>
      <c r="B9" s="19" t="s">
        <v>21</v>
      </c>
      <c r="C9" s="20" t="s">
        <v>13</v>
      </c>
      <c r="D9" s="20" t="s">
        <v>18</v>
      </c>
      <c r="E9" s="20" t="s">
        <v>15</v>
      </c>
      <c r="F9" s="23">
        <v>0.1</v>
      </c>
      <c r="G9" s="22">
        <f>G2*F9</f>
        <v>300</v>
      </c>
      <c r="H9" s="22">
        <f t="shared" si="2"/>
        <v>15</v>
      </c>
    </row>
    <row r="10">
      <c r="A10" s="13">
        <v>20.0</v>
      </c>
      <c r="B10" s="19" t="s">
        <v>22</v>
      </c>
      <c r="C10" s="20" t="s">
        <v>13</v>
      </c>
      <c r="D10" s="20" t="s">
        <v>23</v>
      </c>
      <c r="E10" s="20" t="s">
        <v>15</v>
      </c>
      <c r="F10" s="23">
        <v>0.0667</v>
      </c>
      <c r="G10" s="22">
        <f>G2*F10</f>
        <v>200.1</v>
      </c>
      <c r="H10" s="22">
        <f t="shared" si="2"/>
        <v>10.005</v>
      </c>
    </row>
  </sheetData>
  <mergeCells count="2">
    <mergeCell ref="A1:F1"/>
    <mergeCell ref="A2:F2"/>
  </mergeCells>
  <dataValidations>
    <dataValidation type="list" allowBlank="1" showErrorMessage="1" sqref="D5:D10">
      <formula1>"Google,Meta,Linkedin,Bing,Mercado Livre,Pinterest,Leadstaker"</formula1>
    </dataValidation>
    <dataValidation type="list" allowBlank="1" showErrorMessage="1" sqref="C5:C10">
      <formula1>"Topo,Meio,Fundo,Ferramenta"</formula1>
    </dataValidation>
    <dataValidation type="list" allowBlank="1" showErrorMessage="1" sqref="E5:E10">
      <formula1>"Reconhecimento,Tráfego,Engajamento,Leads,Vendas,Visita a Loja"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7.13"/>
    <col customWidth="1" min="4" max="4" width="21.38"/>
    <col customWidth="1" min="5" max="5" width="29.63"/>
    <col customWidth="1" min="6" max="6" width="12.25"/>
    <col customWidth="1" min="7" max="7" width="19.25"/>
    <col customWidth="1" min="8" max="8" width="32.63"/>
  </cols>
  <sheetData>
    <row r="1" ht="30.75" customHeight="1">
      <c r="A1" s="1" t="s">
        <v>0</v>
      </c>
      <c r="B1" s="2"/>
      <c r="C1" s="2"/>
      <c r="D1" s="2"/>
      <c r="E1" s="2"/>
      <c r="F1" s="3"/>
      <c r="G1" s="4" t="s">
        <v>1</v>
      </c>
      <c r="H1" s="4" t="s">
        <v>2</v>
      </c>
    </row>
    <row r="2">
      <c r="A2" s="5" t="s">
        <v>3</v>
      </c>
      <c r="B2" s="2"/>
      <c r="C2" s="2"/>
      <c r="D2" s="2"/>
      <c r="E2" s="2"/>
      <c r="F2" s="3"/>
      <c r="G2" s="6">
        <v>3000.0</v>
      </c>
      <c r="H2" s="7">
        <f>H4*A4</f>
        <v>3000</v>
      </c>
    </row>
    <row r="3">
      <c r="A3" s="8" t="s">
        <v>24</v>
      </c>
      <c r="B3" s="9" t="s">
        <v>5</v>
      </c>
      <c r="C3" s="10" t="s">
        <v>6</v>
      </c>
      <c r="D3" s="10" t="s">
        <v>5</v>
      </c>
      <c r="E3" s="10" t="s">
        <v>7</v>
      </c>
      <c r="F3" s="11" t="s">
        <v>8</v>
      </c>
      <c r="G3" s="12" t="s">
        <v>9</v>
      </c>
      <c r="H3" s="12" t="s">
        <v>10</v>
      </c>
    </row>
    <row r="4">
      <c r="A4" s="13">
        <v>31.0</v>
      </c>
      <c r="B4" s="14" t="s">
        <v>11</v>
      </c>
      <c r="C4" s="15"/>
      <c r="D4" s="15"/>
      <c r="E4" s="15"/>
      <c r="F4" s="16">
        <f t="shared" ref="F4:G4" si="1">SUM(F5:F10)</f>
        <v>1</v>
      </c>
      <c r="G4" s="17">
        <f t="shared" si="1"/>
        <v>3000</v>
      </c>
      <c r="H4" s="18">
        <f t="shared" ref="H4:H10" si="2">G4/A4</f>
        <v>96.77419355</v>
      </c>
    </row>
    <row r="5">
      <c r="A5" s="13">
        <v>15.0</v>
      </c>
      <c r="B5" s="19" t="s">
        <v>25</v>
      </c>
      <c r="C5" s="20" t="s">
        <v>13</v>
      </c>
      <c r="D5" s="20" t="s">
        <v>14</v>
      </c>
      <c r="E5" s="20" t="s">
        <v>15</v>
      </c>
      <c r="F5" s="21">
        <v>0.3</v>
      </c>
      <c r="G5" s="22">
        <f>G2*F5</f>
        <v>900</v>
      </c>
      <c r="H5" s="22">
        <f t="shared" si="2"/>
        <v>60</v>
      </c>
    </row>
    <row r="6">
      <c r="A6" s="13">
        <v>20.0</v>
      </c>
      <c r="B6" s="19" t="s">
        <v>16</v>
      </c>
      <c r="C6" s="20" t="s">
        <v>13</v>
      </c>
      <c r="D6" s="20" t="s">
        <v>14</v>
      </c>
      <c r="E6" s="20" t="s">
        <v>15</v>
      </c>
      <c r="F6" s="23">
        <v>0.15</v>
      </c>
      <c r="G6" s="22">
        <f>G2*F6</f>
        <v>450</v>
      </c>
      <c r="H6" s="22">
        <f t="shared" si="2"/>
        <v>22.5</v>
      </c>
    </row>
    <row r="7">
      <c r="A7" s="13">
        <v>15.0</v>
      </c>
      <c r="B7" s="19" t="s">
        <v>17</v>
      </c>
      <c r="C7" s="20" t="s">
        <v>13</v>
      </c>
      <c r="D7" s="20" t="s">
        <v>18</v>
      </c>
      <c r="E7" s="20" t="s">
        <v>15</v>
      </c>
      <c r="F7" s="23">
        <v>0.15</v>
      </c>
      <c r="G7" s="22">
        <f>G2*F7</f>
        <v>450</v>
      </c>
      <c r="H7" s="22">
        <f t="shared" si="2"/>
        <v>30</v>
      </c>
    </row>
    <row r="8">
      <c r="A8" s="13">
        <v>15.0</v>
      </c>
      <c r="B8" s="19" t="s">
        <v>19</v>
      </c>
      <c r="C8" s="20" t="s">
        <v>20</v>
      </c>
      <c r="D8" s="20" t="s">
        <v>18</v>
      </c>
      <c r="E8" s="20" t="s">
        <v>15</v>
      </c>
      <c r="F8" s="23">
        <v>0.2333</v>
      </c>
      <c r="G8" s="22">
        <f>G2*F8</f>
        <v>699.9</v>
      </c>
      <c r="H8" s="22">
        <f t="shared" si="2"/>
        <v>46.66</v>
      </c>
    </row>
    <row r="9">
      <c r="A9" s="13">
        <v>20.0</v>
      </c>
      <c r="B9" s="19" t="s">
        <v>21</v>
      </c>
      <c r="C9" s="20" t="s">
        <v>13</v>
      </c>
      <c r="D9" s="20" t="s">
        <v>18</v>
      </c>
      <c r="E9" s="20" t="s">
        <v>15</v>
      </c>
      <c r="F9" s="23">
        <v>0.1</v>
      </c>
      <c r="G9" s="22">
        <f>G2*F9</f>
        <v>300</v>
      </c>
      <c r="H9" s="22">
        <f t="shared" si="2"/>
        <v>15</v>
      </c>
    </row>
    <row r="10">
      <c r="A10" s="13">
        <v>20.0</v>
      </c>
      <c r="B10" s="19" t="s">
        <v>22</v>
      </c>
      <c r="C10" s="20" t="s">
        <v>13</v>
      </c>
      <c r="D10" s="20" t="s">
        <v>23</v>
      </c>
      <c r="E10" s="20" t="s">
        <v>15</v>
      </c>
      <c r="F10" s="23">
        <v>0.0667</v>
      </c>
      <c r="G10" s="22">
        <f>G2*F10</f>
        <v>200.1</v>
      </c>
      <c r="H10" s="22">
        <f t="shared" si="2"/>
        <v>10.005</v>
      </c>
    </row>
  </sheetData>
  <mergeCells count="2">
    <mergeCell ref="A1:F1"/>
    <mergeCell ref="A2:F2"/>
  </mergeCells>
  <dataValidations>
    <dataValidation type="list" allowBlank="1" showErrorMessage="1" sqref="D5:D10">
      <formula1>"Google,Meta,Linkedin,Bing,Mercado Livre,Pinterest,Leadstaker"</formula1>
    </dataValidation>
    <dataValidation type="list" allowBlank="1" showErrorMessage="1" sqref="C5:C10">
      <formula1>"Topo,Meio,Fundo,Ferramenta"</formula1>
    </dataValidation>
    <dataValidation type="list" allowBlank="1" showErrorMessage="1" sqref="E5:E10">
      <formula1>"Reconhecimento,Tráfego,Engajamento,Leads,Vendas,Visita a Loja"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7.13"/>
    <col customWidth="1" min="4" max="4" width="21.38"/>
    <col customWidth="1" min="5" max="5" width="29.63"/>
    <col customWidth="1" min="6" max="6" width="12.25"/>
    <col customWidth="1" min="7" max="7" width="19.25"/>
    <col customWidth="1" min="8" max="8" width="32.63"/>
  </cols>
  <sheetData>
    <row r="1" ht="30.75" customHeight="1">
      <c r="A1" s="1" t="s">
        <v>0</v>
      </c>
      <c r="B1" s="2"/>
      <c r="C1" s="2"/>
      <c r="D1" s="2"/>
      <c r="E1" s="2"/>
      <c r="F1" s="3"/>
      <c r="G1" s="4" t="s">
        <v>1</v>
      </c>
      <c r="H1" s="4" t="s">
        <v>2</v>
      </c>
    </row>
    <row r="2">
      <c r="A2" s="5" t="s">
        <v>3</v>
      </c>
      <c r="B2" s="2"/>
      <c r="C2" s="2"/>
      <c r="D2" s="2"/>
      <c r="E2" s="2"/>
      <c r="F2" s="3"/>
      <c r="G2" s="6">
        <v>900.0</v>
      </c>
      <c r="H2" s="7">
        <f>H4*A4</f>
        <v>1877</v>
      </c>
    </row>
    <row r="3">
      <c r="A3" s="8" t="s">
        <v>26</v>
      </c>
      <c r="B3" s="9" t="s">
        <v>5</v>
      </c>
      <c r="C3" s="10" t="s">
        <v>6</v>
      </c>
      <c r="D3" s="10" t="s">
        <v>5</v>
      </c>
      <c r="E3" s="10" t="s">
        <v>7</v>
      </c>
      <c r="F3" s="11" t="s">
        <v>8</v>
      </c>
      <c r="G3" s="12" t="s">
        <v>9</v>
      </c>
      <c r="H3" s="12" t="s">
        <v>10</v>
      </c>
    </row>
    <row r="4">
      <c r="A4" s="13">
        <v>31.0</v>
      </c>
      <c r="B4" s="14" t="s">
        <v>11</v>
      </c>
      <c r="C4" s="15"/>
      <c r="D4" s="15"/>
      <c r="E4" s="15"/>
      <c r="F4" s="16">
        <f t="shared" ref="F4:G4" si="1">SUM(F5:F8)</f>
        <v>1</v>
      </c>
      <c r="G4" s="17">
        <f t="shared" si="1"/>
        <v>1877</v>
      </c>
      <c r="H4" s="18">
        <f t="shared" ref="H4:H8" si="2">G4/A4</f>
        <v>60.5483871</v>
      </c>
    </row>
    <row r="5">
      <c r="A5" s="13">
        <v>15.0</v>
      </c>
      <c r="B5" s="19" t="s">
        <v>25</v>
      </c>
      <c r="C5" s="20" t="s">
        <v>13</v>
      </c>
      <c r="D5" s="20" t="s">
        <v>14</v>
      </c>
      <c r="E5" s="20" t="s">
        <v>15</v>
      </c>
      <c r="F5" s="21">
        <v>0.3</v>
      </c>
      <c r="G5" s="22">
        <f>G2*F5</f>
        <v>270</v>
      </c>
      <c r="H5" s="22">
        <f t="shared" si="2"/>
        <v>18</v>
      </c>
    </row>
    <row r="6">
      <c r="A6" s="13">
        <v>20.0</v>
      </c>
      <c r="B6" s="19" t="s">
        <v>16</v>
      </c>
      <c r="C6" s="20" t="s">
        <v>13</v>
      </c>
      <c r="D6" s="20" t="s">
        <v>14</v>
      </c>
      <c r="E6" s="20" t="s">
        <v>15</v>
      </c>
      <c r="F6" s="23">
        <v>0.3</v>
      </c>
      <c r="G6" s="24">
        <v>900.0</v>
      </c>
      <c r="H6" s="22">
        <f t="shared" si="2"/>
        <v>45</v>
      </c>
    </row>
    <row r="7">
      <c r="A7" s="13">
        <v>15.0</v>
      </c>
      <c r="B7" s="19" t="s">
        <v>19</v>
      </c>
      <c r="C7" s="20" t="s">
        <v>20</v>
      </c>
      <c r="D7" s="20" t="s">
        <v>18</v>
      </c>
      <c r="E7" s="20" t="s">
        <v>15</v>
      </c>
      <c r="F7" s="23">
        <v>0.23</v>
      </c>
      <c r="G7" s="22">
        <f>G2*F7</f>
        <v>207</v>
      </c>
      <c r="H7" s="22">
        <f t="shared" si="2"/>
        <v>13.8</v>
      </c>
    </row>
    <row r="8">
      <c r="A8" s="13">
        <v>20.0</v>
      </c>
      <c r="B8" s="19" t="s">
        <v>21</v>
      </c>
      <c r="C8" s="20" t="s">
        <v>13</v>
      </c>
      <c r="D8" s="20" t="s">
        <v>18</v>
      </c>
      <c r="E8" s="20" t="s">
        <v>15</v>
      </c>
      <c r="F8" s="23">
        <v>0.17</v>
      </c>
      <c r="G8" s="24">
        <v>500.0</v>
      </c>
      <c r="H8" s="22">
        <f t="shared" si="2"/>
        <v>25</v>
      </c>
    </row>
  </sheetData>
  <mergeCells count="2">
    <mergeCell ref="A1:F1"/>
    <mergeCell ref="A2:F2"/>
  </mergeCells>
  <dataValidations>
    <dataValidation type="list" allowBlank="1" showErrorMessage="1" sqref="D5:D8">
      <formula1>"Google,Meta,Linkedin,Bing,Mercado Livre,Pinterest,Leadstaker"</formula1>
    </dataValidation>
    <dataValidation type="list" allowBlank="1" showErrorMessage="1" sqref="C5:C8">
      <formula1>"Topo,Meio,Fundo,Ferramenta"</formula1>
    </dataValidation>
    <dataValidation type="list" allowBlank="1" showErrorMessage="1" sqref="E5:E8">
      <formula1>"Reconhecimento,Tráfego,Engajamento,Leads,Vendas,Visita a Loja"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7.13"/>
    <col customWidth="1" min="4" max="4" width="21.38"/>
    <col customWidth="1" min="5" max="5" width="29.63"/>
    <col customWidth="1" min="6" max="6" width="12.25"/>
    <col customWidth="1" min="7" max="7" width="19.25"/>
    <col customWidth="1" min="8" max="8" width="32.63"/>
  </cols>
  <sheetData>
    <row r="1" ht="30.75" customHeight="1">
      <c r="A1" s="1" t="s">
        <v>0</v>
      </c>
      <c r="B1" s="2"/>
      <c r="C1" s="2"/>
      <c r="D1" s="2"/>
      <c r="E1" s="2"/>
      <c r="F1" s="3"/>
      <c r="G1" s="4" t="s">
        <v>1</v>
      </c>
      <c r="H1" s="4" t="s">
        <v>2</v>
      </c>
    </row>
    <row r="2">
      <c r="A2" s="5" t="s">
        <v>3</v>
      </c>
      <c r="B2" s="2"/>
      <c r="C2" s="2"/>
      <c r="D2" s="2"/>
      <c r="E2" s="2"/>
      <c r="F2" s="3"/>
      <c r="G2" s="6">
        <v>5000.0</v>
      </c>
      <c r="H2" s="7">
        <f>H4*A4</f>
        <v>4050</v>
      </c>
    </row>
    <row r="3">
      <c r="A3" s="8" t="s">
        <v>27</v>
      </c>
      <c r="B3" s="9" t="s">
        <v>5</v>
      </c>
      <c r="C3" s="10" t="s">
        <v>6</v>
      </c>
      <c r="D3" s="10" t="s">
        <v>5</v>
      </c>
      <c r="E3" s="10" t="s">
        <v>7</v>
      </c>
      <c r="F3" s="11" t="s">
        <v>8</v>
      </c>
      <c r="G3" s="12" t="s">
        <v>9</v>
      </c>
      <c r="H3" s="12" t="s">
        <v>10</v>
      </c>
    </row>
    <row r="4">
      <c r="A4" s="13">
        <v>31.0</v>
      </c>
      <c r="B4" s="14" t="s">
        <v>11</v>
      </c>
      <c r="C4" s="15"/>
      <c r="D4" s="15"/>
      <c r="E4" s="15"/>
      <c r="F4" s="16">
        <f t="shared" ref="F4:G4" si="1">SUM(F5:F8)</f>
        <v>1</v>
      </c>
      <c r="G4" s="17">
        <f t="shared" si="1"/>
        <v>4050</v>
      </c>
      <c r="H4" s="18">
        <f t="shared" ref="H4:H8" si="2">G4/A4</f>
        <v>130.6451613</v>
      </c>
    </row>
    <row r="5">
      <c r="A5" s="13">
        <v>15.0</v>
      </c>
      <c r="B5" s="19" t="s">
        <v>25</v>
      </c>
      <c r="C5" s="20" t="s">
        <v>13</v>
      </c>
      <c r="D5" s="20" t="s">
        <v>14</v>
      </c>
      <c r="E5" s="20" t="s">
        <v>15</v>
      </c>
      <c r="F5" s="21">
        <v>0.3</v>
      </c>
      <c r="G5" s="22">
        <f>G2*F5</f>
        <v>1500</v>
      </c>
      <c r="H5" s="22">
        <f t="shared" si="2"/>
        <v>100</v>
      </c>
    </row>
    <row r="6">
      <c r="A6" s="13">
        <v>20.0</v>
      </c>
      <c r="B6" s="19" t="s">
        <v>16</v>
      </c>
      <c r="C6" s="20" t="s">
        <v>13</v>
      </c>
      <c r="D6" s="20" t="s">
        <v>14</v>
      </c>
      <c r="E6" s="20" t="s">
        <v>15</v>
      </c>
      <c r="F6" s="23">
        <v>0.3</v>
      </c>
      <c r="G6" s="24">
        <v>900.0</v>
      </c>
      <c r="H6" s="22">
        <f t="shared" si="2"/>
        <v>45</v>
      </c>
    </row>
    <row r="7">
      <c r="A7" s="13">
        <v>15.0</v>
      </c>
      <c r="B7" s="19" t="s">
        <v>19</v>
      </c>
      <c r="C7" s="20" t="s">
        <v>20</v>
      </c>
      <c r="D7" s="20" t="s">
        <v>18</v>
      </c>
      <c r="E7" s="20" t="s">
        <v>15</v>
      </c>
      <c r="F7" s="23">
        <v>0.23</v>
      </c>
      <c r="G7" s="22">
        <f>G2*F7</f>
        <v>1150</v>
      </c>
      <c r="H7" s="22">
        <f t="shared" si="2"/>
        <v>76.66666667</v>
      </c>
    </row>
    <row r="8">
      <c r="A8" s="13">
        <v>20.0</v>
      </c>
      <c r="B8" s="19" t="s">
        <v>21</v>
      </c>
      <c r="C8" s="20" t="s">
        <v>13</v>
      </c>
      <c r="D8" s="20" t="s">
        <v>18</v>
      </c>
      <c r="E8" s="20" t="s">
        <v>15</v>
      </c>
      <c r="F8" s="23">
        <v>0.17</v>
      </c>
      <c r="G8" s="24">
        <v>500.0</v>
      </c>
      <c r="H8" s="22">
        <f t="shared" si="2"/>
        <v>25</v>
      </c>
    </row>
  </sheetData>
  <mergeCells count="2">
    <mergeCell ref="A1:F1"/>
    <mergeCell ref="A2:F2"/>
  </mergeCells>
  <dataValidations>
    <dataValidation type="list" allowBlank="1" showErrorMessage="1" sqref="D5:D8">
      <formula1>"Google,Meta,Linkedin,Bing,Mercado Livre,Pinterest,Leadstaker"</formula1>
    </dataValidation>
    <dataValidation type="list" allowBlank="1" showErrorMessage="1" sqref="C5:C8">
      <formula1>"Topo,Meio,Fundo,Ferramenta"</formula1>
    </dataValidation>
    <dataValidation type="list" allowBlank="1" showErrorMessage="1" sqref="E5:E8">
      <formula1>"Reconhecimento,Tráfego,Engajamento,Leads,Vendas,Visita a Loja"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