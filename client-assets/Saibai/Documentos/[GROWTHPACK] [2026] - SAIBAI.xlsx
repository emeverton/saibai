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5"/>
    <sheet state="visible" name="Leads" sheetId="2" r:id="rId6"/>
    <sheet state="visible" name="Leads no grupo Saibai" sheetId="3" r:id="rId7"/>
    <sheet state="visible" name="1. Sprint Growth" sheetId="4" r:id="rId8"/>
    <sheet state="visible" name="2. Relatório Consolidado Semana" sheetId="5" r:id="rId9"/>
    <sheet state="visible" name="2.1 Relatório Diário" sheetId="6" r:id="rId10"/>
    <sheet state="visible" name="3. Comparativo YoY" sheetId="7" r:id="rId11"/>
    <sheet state="visible" name="4. Projeção  Cenários" sheetId="8" r:id="rId12"/>
    <sheet state="visible" name="4.1 Meta x Realizado" sheetId="9" r:id="rId13"/>
    <sheet state="visible" name="ImportaçãoGoogleAds - Adveronix" sheetId="10" r:id="rId14"/>
    <sheet state="visible" name="ImportaçãoMeta - Adveronix" sheetId="11" r:id="rId15"/>
  </sheets>
  <definedNames>
    <definedName hidden="1" localSheetId="5" name="_xlnm._FilterDatabase">'2.1 Relatório Diário'!$A$1:$AJ$1</definedName>
  </definedNames>
  <calcPr/>
</workbook>
</file>

<file path=xl/sharedStrings.xml><?xml version="1.0" encoding="utf-8"?>
<sst xmlns="http://schemas.openxmlformats.org/spreadsheetml/2006/main" count="2430" uniqueCount="1730">
  <si>
    <t>Orientações:</t>
  </si>
  <si>
    <t>Semana</t>
  </si>
  <si>
    <t>De</t>
  </si>
  <si>
    <t>Até</t>
  </si>
  <si>
    <t>segunda-feira</t>
  </si>
  <si>
    <t>terça-feira</t>
  </si>
  <si>
    <t>Janeiro</t>
  </si>
  <si>
    <t>quarta-feira</t>
  </si>
  <si>
    <t>Fevereiro</t>
  </si>
  <si>
    <t>quinta-feira</t>
  </si>
  <si>
    <t>Março</t>
  </si>
  <si>
    <t>sexta-feira</t>
  </si>
  <si>
    <t>Abril</t>
  </si>
  <si>
    <t>sábado</t>
  </si>
  <si>
    <t>Maio</t>
  </si>
  <si>
    <t>domingo</t>
  </si>
  <si>
    <t>Junho</t>
  </si>
  <si>
    <t>Julho</t>
  </si>
  <si>
    <t>Agosto</t>
  </si>
  <si>
    <t>Setembro</t>
  </si>
  <si>
    <t>Outubro</t>
  </si>
  <si>
    <t>Novembro</t>
  </si>
  <si>
    <t>Dezembro</t>
  </si>
  <si>
    <t>Data</t>
  </si>
  <si>
    <t>Nome</t>
  </si>
  <si>
    <t>Telefone</t>
  </si>
  <si>
    <t>email</t>
  </si>
  <si>
    <t xml:space="preserve">URL </t>
  </si>
  <si>
    <t>utm_source</t>
  </si>
  <si>
    <t>utm_medium</t>
  </si>
  <si>
    <t>utm_term</t>
  </si>
  <si>
    <t>utm_content</t>
  </si>
  <si>
    <t>utm_campaign</t>
  </si>
  <si>
    <t>formato data</t>
  </si>
  <si>
    <t>Data Correta</t>
  </si>
  <si>
    <t xml:space="preserve">Telefone 8 Digitos </t>
  </si>
  <si>
    <t>Está no grupo?</t>
  </si>
  <si>
    <t>2026-04-07T14:04:53.554Z</t>
  </si>
  <si>
    <t>William Barbosa</t>
  </si>
  <si>
    <t>williamandre742@gmail.com</t>
  </si>
  <si>
    <t>https://lp.saibai.com.br/?utm_source=MetaAds&amp;utm_medium=ADV+-+%5BIG%5D+%5BFB%5D+%5B30%2B%5D+%5BPIEDADE+-+40KM%5D+V%C3%81RIOS&amp;utm_campaign=07.04.2026+%5BV4%5D+%5BWB%5D+%5BLEADS-GRUPO-WHATS%5D+02&amp;utm_content=07.04+%5BIMG%5D+%5BAD04%5D+Pedidos+abertos&amp;utm_term=Instagram_Stories&amp;utm_id=120248254459350155&amp;fbclid=PAZXh0bgNhZW0BMABhZGlkAas1g0M2JftzcnRjBmFwcF9pZA81NjcwNjczNDMzNTI0MjcAAae-Pi9C5ulqTw1avKSlCfTlAiaFlEjDorhtO4cBmGvSCiUKaU-KCcm7ipMffA_aem_qVPH0fA8b5aEFs-o7UHCZA&amp;campaign_id=120248254459350155&amp;ad_id=120248254459370155</t>
  </si>
  <si>
    <t>2026-04-10T06:01:53.154Z</t>
  </si>
  <si>
    <t>lenilze pereiradaldon</t>
  </si>
  <si>
    <t>pereiradaldon@hotmail.com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</si>
  <si>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fOj7tzcnRjBmFwcF9pZA81NjcwNjczNDMzNTI0MjcAAafhAJfazzKXYAWRJ1dJ-3Yx8wr-kjkNLqLkYIgbyMCz1Rf1plENwmmd43T_YA_aem_KZY9Eo1RU3GvOgoqY-w8hw&amp;campaign_id=120247452154580155&amp;ad_id=120247452938090155</t>
  </si>
  <si>
    <t>2026-04-10T06:02:30.692Z</t>
  </si>
  <si>
    <t>2026-04-10T07:47:42.252Z</t>
  </si>
  <si>
    <t>ODILON BUENO</t>
  </si>
  <si>
    <t>odilon.bueno@autoescolaabc.com.br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</si>
  <si>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xMjQwMjQ1NzQyODc0MTQAAaeEbScr7uc5Bw7yQlSg97yg1D1SgKabzfOnG166KAsAcqQyKH8mzWdxuDGDaA_aem_DqH-FubtkiHGvX0LGSaFzw&amp;campaign_id=120247452154580155&amp;ad_id=120247452938090155</t>
  </si>
  <si>
    <t>2026-04-10T08:05:20.787Z</t>
  </si>
  <si>
    <t>andrea pedreira</t>
  </si>
  <si>
    <t>andreapedreira15@gmail.com</t>
  </si>
  <si>
    <t>2026-04-10T08:15:22.674Z</t>
  </si>
  <si>
    <t>Bruno Rocha</t>
  </si>
  <si>
    <t>brunokr77@hotmail.com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</si>
  <si>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81NjcwNjczNDMzNTI0MjcAAafkHLECCqoGBZ18nJzv-QLbVeYATsNjV39JHPvcC8QjSrG8C4kR93mDt3Yv7w_aem_uFBmSIdVrdndo335G3WZYg&amp;campaign_id=120247452154580155&amp;ad_id=120247452938090155</t>
  </si>
  <si>
    <t>2026-04-10T09:23:53.934Z</t>
  </si>
  <si>
    <t>olga cipriani</t>
  </si>
  <si>
    <t>olga.ciprianis1@gmail.com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</si>
  <si>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fOj7tzcnRjBmFwcF9pZA81NjcwNjczNDMzNTI0MjcAAafyRYo2_90IpooxKqGA8j9F7ok0lGg4kYeY5dFCdA92b9PibOmsDkGjC-ap0A_aem_uKOuzVKmqVAxU81O_pOA4w&amp;campaign_id=120247452154580155&amp;ad_id=120247452938090155</t>
  </si>
  <si>
    <t>2026-04-10T10:33:01.775Z</t>
  </si>
  <si>
    <t>Luciane Campos</t>
  </si>
  <si>
    <t>lucamposmoraes79@gmail.com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</si>
  <si>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fOj7tzcnRjBmFwcF9pZA8xMjQwMjQ1NzQyODc0MTQAAafi41HK2ZIMpCodLrKzNuhsjsToZTCTU5UhLxL0mH24dy3pVPGEDwosjG7NdA_aem_lg2YQ_WXpZaScY1I4fUjVg&amp;campaign_id=120247452154580155&amp;ad_id=120247452938090155</t>
  </si>
  <si>
    <t>2026-04-10T11:58:07.924Z</t>
  </si>
  <si>
    <t>Mônica Maia</t>
  </si>
  <si>
    <t>mo_adv@hotmail.com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</si>
  <si>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xMjQwMjQ1NzQyODc0MTQAAad7D3Tpmc6ccGNpA-McIPCMZd0f9qVYEXWoYdN1W4ZFVotKQqsWKVDNYNCYpQ_aem_f_csxX1Gm0Or_AybL4W4YQ&amp;campaign_id=120247452154580155&amp;ad_id=120247452938090155</t>
  </si>
  <si>
    <t>2026-04-10T12:02:03.351Z</t>
  </si>
  <si>
    <t>Jose Francisco Gabriotti</t>
  </si>
  <si>
    <t>josefranciscogabriotti@gmail.com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</si>
  <si>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W7ZytzcnRjBmFwcF9pZA81NjcwNjczNDMzNTI0MjcAAafxyRYJv5YVi6CifZTmm9PDHuPEq1eWVJVRDRYd_BrqVy2ZKPmtaL_Dv5NSEA_aem_6CgVnOQ6Cl01jRgfKwTMPg&amp;campaign_id=120247452154580155&amp;ad_id=120247452938090155</t>
  </si>
  <si>
    <t>2026-04-10T12:07:26.957Z</t>
  </si>
  <si>
    <t>Eliana Banhete</t>
  </si>
  <si>
    <t>lica1755@gmail.com</t>
  </si>
  <si>
    <t>2026-04-10T15:53:47.927Z</t>
  </si>
  <si>
    <t>Clara Espim</t>
  </si>
  <si>
    <t>claraespimag@gmail.com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</si>
  <si>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xMjQwMjQ1NzQyODc0MTQAAaf9HoTAkjFD5tL3oGfq3V2vAUSfWXAjWQtyelDOo5n9yRZWKbckaeEdc-D0QA_aem_5ljKjwEKKrb7uhuKqWsOAA&amp;campaign_id=120247452154580155&amp;ad_id=120247452938090155</t>
  </si>
  <si>
    <t>2026-04-10T16:57:01.367Z</t>
  </si>
  <si>
    <t>Zenaide</t>
  </si>
  <si>
    <t>zenaidealmeida_cruz@hotmail.com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</si>
  <si>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6g8AzhzvHcJQK1SOp1uFCRSyvd3MHHBZ8f9IGnRmrxu4mx_8AqQ6_KgP6BNQ_aem_k1pDRVarn87y__oJ77WQJg&amp;campaign_id=120247452154580155&amp;ad_id=120247452938090155&amp;utm_id=120247452154580155</t>
  </si>
  <si>
    <t>2026-04-11T07:24:44.570Z</t>
  </si>
  <si>
    <t>Vivian Santos</t>
  </si>
  <si>
    <t>vifirmino@gmail.com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</si>
  <si>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7oOS-K5DK8biC4NSQcjww51xnw6L40H33qaUuDsve2ZTcbINbSQWzhv2fb0w_aem_KtoMuAMvfgLLnhsIHNpLgw&amp;campaign_id=120247452154580155&amp;ad_id=120247452938090155&amp;utm_id=120247452154580155</t>
  </si>
  <si>
    <t>2026-04-11T09:27:25.914Z</t>
  </si>
  <si>
    <t>Liliane Townsend</t>
  </si>
  <si>
    <t>lilianetownsend@hotmail.com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</si>
  <si>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Reels&amp;utm_id=120247452154580155&amp;fbclid=PAZXh0bgNhZW0BMABhZGlkAas0bAfOj7tzcnRjBmFwcF9pZA81NjcwNjczNDMzNTI0MjcAAaely2c8bf5Z1R_xzdtshf9I8Pq7qlA2qC2r8-21ATM-5N_cyYY8dpWvnlwK_A_aem_o7S8fWG0vDPWXqUokMjr4w&amp;campaign_id=120247452154580155&amp;ad_id=120247452938090155</t>
  </si>
  <si>
    <t>2026-04-11T09:39:23.742Z</t>
  </si>
  <si>
    <t>Charles Propheta</t>
  </si>
  <si>
    <t>lifepraca@gmail.com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</si>
  <si>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5fMltPma27TiBvPk6GOBmzcvTbpVrbgAyqNnJOPolpeNUYS08HvvZYGf02Ng_aem_ANy7GA0S2VMWVJgxFfb-Mg&amp;campaign_id=120247452154580155&amp;ad_id=120247452938090155&amp;utm_id=120247452154580155</t>
  </si>
  <si>
    <t>2026-04-11T09:46:38.100Z</t>
  </si>
  <si>
    <t>Maira Gatto</t>
  </si>
  <si>
    <t>maira.gatto@hotmail.com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</si>
  <si>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5Jqo986l2Sci96yOA4olFRL2HBhKuV40DXg7FUazU3UTpbOVoVyCSjXwRfGA_aem_B667vrz-6KHgh2qBxOzaYg&amp;campaign_id=120247452154580155&amp;ad_id=120247452938090155&amp;utm_id=120247452154580155</t>
  </si>
  <si>
    <t>2026-04-11T10:16:55.353Z</t>
  </si>
  <si>
    <t>Gilberto Cardoso</t>
  </si>
  <si>
    <t>gilbertocardosovie@yahoo.com.br</t>
  </si>
  <si>
    <t>2026-04-11T10:53:19.291Z</t>
  </si>
  <si>
    <t>Solange da</t>
  </si>
  <si>
    <t>sc_marcolini@hotmail.com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</si>
  <si>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Reels&amp;fbclid=IwZXh0bgNhZW0BMABhZGlkAas0bAW7ZytzcnRjBmFwcF9pZAwzNTA2ODU1MzE3MjgAAR7EuNGZkOXTRnrvcdFCcgaWIYD3wGDG7rRAAY71NSXZ2Pl_gqg3REC83fAwpA_aem_pnNhTBJcvTiYaZe86OJQgA&amp;campaign_id=120247452154580155&amp;ad_id=120247452938090155&amp;utm_id=120247452154580155</t>
  </si>
  <si>
    <t>2026-04-11T13:22:18.922Z</t>
  </si>
  <si>
    <t>Alessandra Augusto Costa</t>
  </si>
  <si>
    <t>aaugustocosta@prof.educacao.sp.gov.br</t>
  </si>
  <si>
    <t>2026-04-11T14:20:39.848Z</t>
  </si>
  <si>
    <t>Aparecida</t>
  </si>
  <si>
    <t>cidazanela@hotmail.com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</si>
  <si>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4CvRkqhDILzZPGlshiEbcAOWFjQj5UjRNL9-ML4APpZkL2U8r77NRAz2H0RQ_aem_sbI6x_6Q467Ds4gt-qqvXQ&amp;campaign_id=120247452154580155&amp;ad_id=120247452938090155&amp;utm_id=120247452154580155</t>
  </si>
  <si>
    <t>2026-04-11T14:43:42.537Z</t>
  </si>
  <si>
    <t>edmaradeoliveira44@gmail.com</t>
  </si>
  <si>
    <t>edmaradeoliveira44@gmail.co.com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</si>
  <si>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W7ZytzcnRjBmFwcF9pZA81NjcwNjczNDMzNTI0MjcAAaf2PMnI02jF2DvJxBzra9hp8TYq2K4AR3kKRePi_cY_5YRyduph0lZXi5-i9A_aem_YZ9lMCmM6-MXXAoRyV5nbw&amp;campaign_id=120247452154580155&amp;ad_id=120247452938090155</t>
  </si>
  <si>
    <t>2026-04-11T16:10:54.439Z</t>
  </si>
  <si>
    <t>Lenice Santos</t>
  </si>
  <si>
    <t>lenice.ap.santos@gmail.com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</si>
  <si>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fOj7tzcnRjBmFwcF9pZAwzNTA2ODU1MzE3MjgAAR4o0x0VZm88HbTlzU_bZzH_d-IXUDKHJV8aNjcrYdEI1jZl0xS7IFYIdOjuTA_aem_GdnH90_FI7_irV8br8itIA&amp;campaign_id=120247452154580155&amp;ad_id=120247452938090155&amp;utm_id=120247452154580155</t>
  </si>
  <si>
    <t>2026-04-11T19:35:01.479Z</t>
  </si>
  <si>
    <t>Maisa Torres</t>
  </si>
  <si>
    <t>maisapxo@yahoo.com.br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</si>
  <si>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a_lii3tzcnRjBmFwcF9pZA81NjcwNjczNDMzNTI0MjcAAae-K-ywuFXkHPpcn5lIWZjVpFnHSAliaUgsyVFu7MPBd7NtGWxucH_zdNs26g_aem_V8pnN_tD-7Sd8qyolMoDew&amp;campaign_id=120247452154580155&amp;ad_id=120247452938090155</t>
  </si>
  <si>
    <t>2026-04-11T20:58:48.045Z</t>
  </si>
  <si>
    <t>Suely A foschi tomazoli</t>
  </si>
  <si>
    <t>sufoschi@hotmail.com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</si>
  <si>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81NjcwNjczNDMzNTI0MjcAAadAxH3LT6FELi8bDGwd1vAmuhZ0tpf_dxifFPpTLpahm2EHVGei94hN4-wA8Q_aem_umlTAOYv8wHa8qH-QrvxkA&amp;campaign_id=120247452154580155&amp;ad_id=120247452938090155</t>
  </si>
  <si>
    <t>2026-04-12T03:09:06.634Z</t>
  </si>
  <si>
    <t>Kelly Hollen</t>
  </si>
  <si>
    <t>damaris.hollen@gmail.com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</si>
  <si>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7w8SeqRb8h8EvmPYCA7gNfTn1K-lKEeGUPkD0_ZBStGWUp2RrqZ_T6RaEz9g_aem_nCmRvMh7BrM-_rsWkPmvmQ&amp;campaign_id=120247452154580155&amp;ad_id=120247452938090155&amp;utm_id=120247452154580155</t>
  </si>
  <si>
    <t>2026-04-12T03:39:29.364Z</t>
  </si>
  <si>
    <t>Girlane Sousa</t>
  </si>
  <si>
    <t>girlanesouza2014@gmail.com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</si>
  <si>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6v67-LuhXYM-RpYXTVFX4MMcZjvWW79d5VE5p-VmkBuPiWFbuD2AyYE1E9Xg_aem_fkRBUDx8LS4EAP6T7hYglA&amp;campaign_id=120247452154580155&amp;ad_id=120247452938090155&amp;utm_id=120247452154580155</t>
  </si>
  <si>
    <t>2026-04-12T03:39:56.328Z</t>
  </si>
  <si>
    <t>2026-04-12T04:14:08.925Z</t>
  </si>
  <si>
    <t>Celso Fiszbeyn</t>
  </si>
  <si>
    <t>fiszbeyn@terra.com.br</t>
  </si>
  <si>
    <t>https://lp.saibai.com.br/?utm_source=MetaAds&amp;utm_medium=ADV+-+%5BIG%5D+%5BFB%5D+%5B30%2B%5D+%5BPIEDADE+-+40KM%5D+V%C3%81RIOS&amp;utm_campaign=07.04.2026+%5BV4%5D+%5BWB%5D+%5BLEADS-GRUPO-WHATS%5D+01&amp;utm_content=07.04+%5BIMG%5D+%5BAD01%5D+A+safra+come%C3%A7ou&amp;utm_term=Facebook_Mobile_Feed&amp;fbclid=IwZXh0bgNhZW0BMABhZGlkAas0a_chJvtzcnRjBmFwcF9pZAwzNTA2ODU1MzE3MjgAAR6EcW4KwQkvPDQw168P-NKhi-OG7DUh-hlnToKUGL7g57mEjwtnHqCR0cApzg_aem_m1GgtNyhBt04gOoDEn8ZDA&amp;campaign_id=120247452154580155&amp;ad_id=120247452154590155&amp;utm_id=120247452154580155</t>
  </si>
  <si>
    <t>2026-04-12T04:14:23.331Z</t>
  </si>
  <si>
    <t>2026-04-12T12:10:42.857Z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</si>
  <si>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6WOLrOPXnfYiyksmTBGYNaDAKqJ5-QSTjW0-BaeKjAR4hQeICzVlJ7CYBtgA_aem_rVGvF9I4taAyMROApCsCow&amp;campaign_id=120247452154580155&amp;ad_id=120247452938090155&amp;utm_id=120247452154580155</t>
  </si>
  <si>
    <t>2026-04-12T12:20:14.074Z</t>
  </si>
  <si>
    <t>Renata Funchal</t>
  </si>
  <si>
    <t>renatapires.adv@gmail.com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</si>
  <si>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xMjQwMjQ1NzQyODc0MTQAAado_HsUkVrToCTLgI5OWkFw_iE_k_-sbGAhzbRxE4kfpyZMIDNUC2LWe2vJsw_aem_wzs0o74Ym8t2vWSwLvHUng&amp;campaign_id=120247452154580155&amp;ad_id=120247452938090155</t>
  </si>
  <si>
    <t>2026-04-12T13:50:51.153Z</t>
  </si>
  <si>
    <t>Ana Luiza</t>
  </si>
  <si>
    <t>analuizacardamoni@hotmail.com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</si>
  <si>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fOj7tzcnRjBmFwcF9pZA81NjcwNjczNDMzNTI0MjcAAafeSKCjtmXj7sCjkaiE7HDHw04V12xI5oBJYYIrwQhIcvbNa7gkXkbWq4UANQ_aem_gpWdIfrNCAUgoQPoK2grVQ&amp;campaign_id=120247452154580155&amp;ad_id=120247452938090155</t>
  </si>
  <si>
    <t>2026-04-12T14:17:44.325Z</t>
  </si>
  <si>
    <t>Marizilda</t>
  </si>
  <si>
    <t>marireis127@gmail.com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</si>
  <si>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o2NjI4NTY4Mzc5AAEe9jK7CE_zajp1t-JFujpoG6LgAc8gfbKqAswpiGyT9KCIJ6gWLpNfPKkUvG8_aem_YT2FfFdmNthace4_CZf8Jw&amp;campaign_id=120247452154580155&amp;ad_id=120247452938090155&amp;utm_id=120247452154580155</t>
  </si>
  <si>
    <t>2026-04-12T14:26:32.692Z</t>
  </si>
  <si>
    <t>REGINA FARABOLINI</t>
  </si>
  <si>
    <t>reginafarabolinipala@gmail.com</t>
  </si>
  <si>
    <t>2026-04-12T15:36:56.057Z</t>
  </si>
  <si>
    <t>Raquel Godinho</t>
  </si>
  <si>
    <t>quelgodinho@gmail.com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</si>
  <si>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81NjcwNjczNDMzNTI0MjcAAadp7gnYVGORL_tuQ_8n1nAAApwHuI-rh3sbQYYie1ktHqEyFxr5027YxMllXw_aem_QqPH-6EFmulWlz_hogOPSg&amp;campaign_id=120247452154580155&amp;ad_id=120247452938090155</t>
  </si>
  <si>
    <t>2026-04-12T16:22:38.288Z</t>
  </si>
  <si>
    <t>Gilberto Lima</t>
  </si>
  <si>
    <t>gibajlima1000@gmail.com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</si>
  <si>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Reels&amp;fbclid=IwZXh0bgNhZW0BMABhZGlkAas0bAW7ZytzcnRjBmFwcF9pZAwzNTA2ODU1MzE3MjgAAR4YddERmVsRRNORRCPz8ke7GStFy4DVeNPUXpM9Ajm-0-phaNjOk5yy4m0Fcg_aem_-u2RCuZge2fUZBa611trSA&amp;campaign_id=120247452154580155&amp;ad_id=120247452938090155&amp;utm_id=120247452154580155</t>
  </si>
  <si>
    <t>2026-04-12T16:28:07.518Z</t>
  </si>
  <si>
    <t>Maria Dalva</t>
  </si>
  <si>
    <t>mariadalvasilvanod@gmail.com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</si>
  <si>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7-OlI7WMw6oSGOmbzHIVFy6KZc3cpPC3b37cwOx63Ocg6NIYhTQzdWVAE42A_aem_R66TJY_Gu-VxZGmf_phaNg&amp;campaign_id=120247452154580155&amp;ad_id=120247452938090155&amp;utm_id=120247452154580155</t>
  </si>
  <si>
    <t>2026-04-12T18:03:02.863Z</t>
  </si>
  <si>
    <t>Nilo</t>
  </si>
  <si>
    <t>nilojaime.nilo@hotmail.com</t>
  </si>
  <si>
    <t>2026-04-12T18:46:05.297Z</t>
  </si>
  <si>
    <t>Antonio Neto</t>
  </si>
  <si>
    <t>antoniolyrioneto@gmail.com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</si>
  <si>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7j7TXVSeRzQCmgL-HNIf6fprMYwOhdIiDeqYL9_F6EFmrN1TvrgMa1hb870A_aem_t9l55dUHn_-k6SgD8RIj-A&amp;campaign_id=120247452154580155&amp;ad_id=120247452938090155&amp;utm_id=120247452154580155</t>
  </si>
  <si>
    <t>2026-04-12T20:42:52.606Z</t>
  </si>
  <si>
    <t>Leda Tagliaferro</t>
  </si>
  <si>
    <t>tagliaferro.leda30@gmail.com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</si>
  <si>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fOj7tzcnRjBmFwcF9pZAwzNTA2ODU1MzE3MjgAAR7Rd5SefmRmIHeFcpvyELGs9awHvgYywscRUaxRp083cgILbQohDmZQcjjYTQ_aem_h16RRQfLBLUyXXXgeNpvqw&amp;campaign_id=120247452154580155&amp;ad_id=120247452938090155&amp;utm_id=120247452154580155</t>
  </si>
  <si>
    <t>2026-04-12T20:48:52.105Z</t>
  </si>
  <si>
    <t>Maria Scuracchio</t>
  </si>
  <si>
    <t>rescuracchio@uol.com.br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</si>
  <si>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Reels&amp;fbclid=IwZXh0bgNhZW0BMABhZGlkAas0bAW7ZytzcnRjBmFwcF9pZAo2NjI4NTY4Mzc5AAEeM91l-LHCK4n_BRmHiRvxVrXdpLVudRySp3jSyCqmmlznRx7FYYeuV4ZY0zY_aem_jPr04v7taRk16y5Js5xiNg&amp;campaign_id=120247452154580155&amp;ad_id=120247452938090155&amp;utm_id=120247452154580155</t>
  </si>
  <si>
    <t>2026-04-12T21:02:58.488Z</t>
  </si>
  <si>
    <t>Juliana</t>
  </si>
  <si>
    <t>mc4475634@gmail.com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</si>
  <si>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4Kup1aatJk-57G4z8VZVUsJFnFk477rHEL0PZrehaXIb5OUSWHwKFbPFBdbw_aem_FucqPlHHul2yYz80ajOmPQ&amp;campaign_id=120247452154580155&amp;ad_id=120247452938090155&amp;utm_id=120247452154580155</t>
  </si>
  <si>
    <t>2026-04-12T21:06:58.906Z</t>
  </si>
  <si>
    <t>Pedro Gali</t>
  </si>
  <si>
    <t>pedrogali01@hotmail.com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</si>
  <si>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W7ZytzcnRjBmFwcF9pZA81NjcwNjczNDMzNTI0MjcAAad1DnLBUxIVRi-y6CPJIxZfAmFPEM3Jv8ghuCy75_ocUY11fYUOePDwf0JMNg_aem_MwjS4-BWpo3ZdyEz6QQE-Q&amp;campaign_id=120247452154580155&amp;ad_id=120247452938090155</t>
  </si>
  <si>
    <t>2026-04-12T21:30:11.978Z</t>
  </si>
  <si>
    <t>Luciana Camargo</t>
  </si>
  <si>
    <t>llandulpho@hotmail.com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</si>
  <si>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Reels&amp;utm_id=120247452154580155&amp;fbclid=PAZXh0bgNhZW0BMABhZGlkAas0bAfOj7tzcnRjBmFwcF9pZA81NjcwNjczNDMzNTI0MjcAAafusM8OGl8tCc4cP44fL3_Hd5pOskbHl2MF8Z5WPH6726_HbmpqYJV5oZESTg_aem_LFt7CEVQR7gvpRpR5HnTvw&amp;campaign_id=120247452154580155&amp;ad_id=120247452938090155</t>
  </si>
  <si>
    <t>2026-04-12T21:44:51.181Z</t>
  </si>
  <si>
    <t>Camila</t>
  </si>
  <si>
    <t>loja.adoleta@yahoo.com.br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</si>
  <si>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o2NjI4NTY4Mzc5AAEeVWSADMFPlOn6c4Fym4xaOWUx4dBNWPH5Jbn36z0l0eTTTYeaTyga-Tn9Hx8_aem_25sKqRp8muui3joscMmISg&amp;campaign_id=120247452154580155&amp;ad_id=120247452938090155&amp;utm_id=120247452154580155</t>
  </si>
  <si>
    <t>2026-04-12T22:25:22.005Z</t>
  </si>
  <si>
    <t>Antônia Maria Rodrigues</t>
  </si>
  <si>
    <t>toninhaleite12@gmail.com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</si>
  <si>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fOj7tzcnRjBmFwcF9pZAo2NjI4NTY4Mzc5AAEeOAltH3x8o5K0HJRl4AsF5PjaoKUZ7MLgypQlEMM60h5NyZBxNVowCHUOEkw_aem_dleLWiOyWFRW7dQxU7T9bQ&amp;campaign_id=120247452154580155&amp;ad_id=120247452938090155&amp;utm_id=120247452154580155</t>
  </si>
  <si>
    <t>2026-04-12T23:24:47.514Z</t>
  </si>
  <si>
    <t>Carlos Costa</t>
  </si>
  <si>
    <t>costasara2012@gmail.com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</si>
  <si>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fOj7tzcnRjBmFwcF9pZAwzNTA2ODU1MzE3MjgAAR6f4bBcAdayEksxARLoxgu7ZCmhkWGp-G3FTIZl2-TJeTGFarRIHTX3G8GfAQ_aem_5cmN3J-Arn1T5VTyt3oMVw&amp;campaign_id=120247452154580155&amp;ad_id=120247452938090155&amp;utm_id=120247452154580155</t>
  </si>
  <si>
    <t>2026-04-13T01:12:28.362Z</t>
  </si>
  <si>
    <t>Marcia Croccia</t>
  </si>
  <si>
    <t>marciacroccia@gmail.com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</si>
  <si>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fOj7tzcnRjBmFwcF9pZA81NjcwNjczNDMzNTI0MjcAAaeDKx8ianBdfbgN3bviJFG3Ge66jee2cOL3hPy_z54EoNYnQxvLEFD0f1YzwQ_aem_tYKWwtiFeRNe_gXHGGal5g&amp;campaign_id=120247452154580155&amp;ad_id=120247452938090155</t>
  </si>
  <si>
    <t>2026-04-13T06:11:53.711Z</t>
  </si>
  <si>
    <t>https://lp.saibai.com.br/?utm_source=MetaAds&amp;utm_medium=ADV+-+%5BIG%5D+%5BFB%5D+%5B30%2B%5D+%5BPIEDADE+-+40KM%5D+V%C3%81RIOS&amp;utm_campaign=07.04.2026+%5BV4%5D+%5BWB%5D+%5BLEADS-GRUPO-WHATS%5D+01&amp;utm_content=07.04+%5BIMG%5D+%5BAD01%5D+A+safra+come%C3%A7ou&amp;utm_term=Facebook_Mobile_Feed&amp;fbclid=IwZXh0bgNhZW0BMABhZGlkAas0a_chJvtzcnRjBmFwcF9pZAwzNTA2ODU1MzE3MjgAAR4hHVEou0lg63dwm-4Lg7D2KiycFUKhhW7Dn7fhTCE0Tb5RigYJP787YAKAcg_aem_HbBu4Se0oSmxwQ7cuqRibA&amp;campaign_id=120247452154580155&amp;ad_id=120247452154590155&amp;utm_id=120247452154580155</t>
  </si>
  <si>
    <t>2026-04-13T09:40:45.773Z</t>
  </si>
  <si>
    <t>Márcia Toyoda</t>
  </si>
  <si>
    <t>marciatoyoda5@gmail.com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</si>
  <si>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81NjcwNjczNDMzNTI0MjcAAacwO8J97U7cU9mk7zwoFFD0gyp4veL9C8LIAx6OE96bsTegkNBEtkYuqKw5Jw_aem_9o28ChwMB9uqwI6sv_YzBg&amp;campaign_id=120247452154580155&amp;ad_id=120247452938090155</t>
  </si>
  <si>
    <t>2026-04-13T10:34:51.949Z</t>
  </si>
  <si>
    <t>Lilian</t>
  </si>
  <si>
    <t>likatoyokawa@gmail.com</t>
  </si>
  <si>
    <t>https://lp.saibai.com.br/?utm_source=MetaAds&amp;utm_medium=ADV+-+%5BIG%5D+%5BFB%5D+%5B30%2B%5D+%5BPIEDADE+-+40KM%5D+V%C3%81RIOS&amp;utm_campaign=07.04.2026+%5BV4%5D+%5BWB%5D+%5BLEADS-GRUPO-WHATS%5D+01&amp;utm_content=07.04+%5BIMG%5D+%5BAD01%5D+A+safra+come%C3%A7ou&amp;utm_term=Instagram_Stories&amp;utm_id=120247452154580155&amp;fbclid=PAZXh0bgNhZW0BMABhZGlkAas0a_chJvtzcnRjBmFwcF9pZA81NjcwNjczNDMzNTI0MjcAAae2rBIaSNdCwQDAdyykNlbz550iIN12GNeZJlQ9ABfVZ592MPcG_LsnsoTsEg_aem__ypSRh2tzy_BkfWwpmqWqw&amp;campaign_id=120247452154580155&amp;ad_id=120247452154590155</t>
  </si>
  <si>
    <t>2026-04-13T13:26:08.320Z</t>
  </si>
  <si>
    <t>Jane Scarpa</t>
  </si>
  <si>
    <t>jane_scarpa@hotmail.com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</si>
  <si>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fOj7tzcnRjBmFwcF9pZAo2NjI4NTY4Mzc5AAEePI0L28IEBFobUPYjjKBqFiUXPij0W1Nudmg_wiXeH6LfMlicqV3sR9sAPZ0_aem_c56HwmHO7gpr96ZOghZx3A&amp;campaign_id=120247452154580155&amp;ad_id=120247452938090155&amp;utm_id=120247452154580155</t>
  </si>
  <si>
    <t>2026-04-13T16:03:53.379Z</t>
  </si>
  <si>
    <t>Ana Paula</t>
  </si>
  <si>
    <t>paulateich@icloud.com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</si>
  <si>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o2NjI4NTY4Mzc5AAEe_Hiac9Mlo4bjmbifeG5sysMBn8TAoTZx3KZfjc0p13NmxyzwnYY5NxqQVzw_aem_ysr9Insn4d2lo-0imWUuAQ&amp;campaign_id=120247452154580155&amp;ad_id=120247452938090155&amp;utm_id=120247452154580155</t>
  </si>
  <si>
    <t>2026-04-13T16:33:25.954Z</t>
  </si>
  <si>
    <t>Geny jabra malke stigliani</t>
  </si>
  <si>
    <t>gemalke@gmail.com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</si>
  <si>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719o09HNfA9Mh94YVyghG7Nu870FlEkzKuWrj_7rGZk8lYGzPANRLpkDWAXA_aem_nGWl5qwp3kRgR-jub1wzew&amp;campaign_id=120247452154580155&amp;ad_id=120247452938090155&amp;utm_id=120247452154580155</t>
  </si>
  <si>
    <t>2026-04-13T17:55:21.685Z</t>
  </si>
  <si>
    <t>Maria Suracchio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</si>
  <si>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W7ZytzcnRjBmFwcF9pZA8xMjQwMjQ1NzQyODc0MTQAAafTjFGdkF_OzJjMrS_oLmLgOJSaFyPseWs_l2R7HNZJOrO4TNFLUMlZ_XwwBQ_aem_d2uQTqih9gmiIz08BxlQBA&amp;campaign_id=120247452154580155&amp;ad_id=120247452938090155</t>
  </si>
  <si>
    <t>2026-04-13T17:58:22.537Z</t>
  </si>
  <si>
    <t>Angela Maria Biazotto de Paula</t>
  </si>
  <si>
    <t>angelabiazotto@gmail.com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</si>
  <si>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76C-mhHNrO4bCs5Mu6Ek-Pqtx_Ff9aKIWR6rIfUngxrVS_Qi6EtnsVfNrtNA_aem_BXz2nXf21c2IfAxkmmoDyg&amp;campaign_id=120247452154580155&amp;ad_id=120247452938090155&amp;utm_id=120247452154580155</t>
  </si>
  <si>
    <t>2026-04-13T18:03:16.627Z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</si>
  <si>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fOj7tzcnRjBmFwcF9pZAo2NjI4NTY4Mzc5AAEewbj_O5LTKXyh38wzpxT7K2EsRhsfxjY0AaRO73aS-ywlZxNbFRsezUyQNuU_aem_wfRirr_jwAfTvnNgi9rewA&amp;campaign_id=120247452154580155&amp;ad_id=120247452938090155&amp;utm_id=120247452154580155</t>
  </si>
  <si>
    <t>2026-04-13T21:49:32.223Z</t>
  </si>
  <si>
    <t>CLEMENTINA SIVIERO</t>
  </si>
  <si>
    <t>tina@supercromo.com.br</t>
  </si>
  <si>
    <t>https://lp.saibai.com.br/?utm_source=MetaAds&amp;utm_medium=%7B%7Badset.name%7D%7D&amp;utm_campaign=%7B%7Bcampaign.name%7D%7D&amp;utm_content=%7B%7Bad.name%7D%7D&amp;utm_term=%7B%7Bplacement%7D%7D</t>
  </si>
  <si>
    <t>2026-04-13T22:45:17.907Z</t>
  </si>
  <si>
    <t>Laura Lima</t>
  </si>
  <si>
    <t>lauralima5094@gmail.com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</si>
  <si>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Reels&amp;fbclid=IwZXh0bgNhZW0BMABhZGlkAas0bAW7ZytzcnRjBmFwcF9pZAo2NjI4NTY4Mzc5AAEeXWApn53DGPWAZUXZ7PInXIO8NvwN8ghnB-lpg7KjhbDCcEw9S8iVB6WOl68_aem_melm75ihQlVu4C46UVVzgw&amp;campaign_id=120247452154580155&amp;ad_id=120247452938090155&amp;utm_id=120247452154580155</t>
  </si>
  <si>
    <t>2026-04-14T00:44:47.256Z</t>
  </si>
  <si>
    <t>Arianna S.</t>
  </si>
  <si>
    <t>ariannasassaroli@gmail.com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</si>
  <si>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W7ZytzcnRjBmFwcF9pZA8xMjQwMjQ1NzQyODc0MTQAAadwq1OGwfFlArwQdq8u5QBB1yGFQ22GDMk61MJ9Qz42jmYePZi7tgpsxRKsTw_aem_0a5XqFCOmKe651v3yV0tsA&amp;campaign_id=120247452154580155&amp;ad_id=120247452938090155</t>
  </si>
  <si>
    <t>2026-04-14T01:20:53.491Z</t>
  </si>
  <si>
    <t>Jeane Marie</t>
  </si>
  <si>
    <t>jmpeter@uol.com.br</t>
  </si>
  <si>
    <t>https://lp.saibai.com.br/?utm_source=MetaAds&amp;utm_medium=ADV+-+%5BIG%5D+%5BFB%5D+%5B30%2B%5D+%5BPIEDADE+-+40KM%5D+V%C3%81RIOS&amp;utm_campaign=07.04.2026+%5BV4%5D+%5BWB%5D+%5BLEADS-GRUPO-WHATS%5D+01&amp;utm_content=07.04+%5BIMG%5D+%5BAD01%5D+A+safra+come%C3%A7ou&amp;utm_term=Instagram_Feed&amp;utm_id=120247452154580155&amp;fbclid=PAZXh0bgNhZW0BMABhZGlkAas0a_chJvtzcnRjBmFwcF9pZA81NjcwNjczNDMzNTI0MjcAAaejFV20wgIV9EOqARug0sbVNGgLrYzf88TZtesUPZe5iAJgqfJ7TMfISbuJlA_aem_AKV61uG53jXpm90dRiKndg&amp;campaign_id=120247452154580155&amp;ad_id=120247452154590155</t>
  </si>
  <si>
    <t>2026-04-14T07:16:40.264Z</t>
  </si>
  <si>
    <t>Vivian firmino</t>
  </si>
  <si>
    <t>https://lp.saibai.com.br/?utm_source=MetaAds&amp;utm_medium=ADV+-+%5BIG%5D+%5BFB%5D+%5B30%2B%5D+%5BPIEDADE+-+40KM%5D+V%C3%81RIOS&amp;utm_campaign=07.04.2026+%5BV4%5D+%5BWB%5D+%5BLEADS-GRUPO-WHATS%5D+01&amp;utm_content=07.04+%5BIMG%5D+%5BAD01%5D+A+safra+come%C3%A7ou&amp;utm_term=Instagram_Feed&amp;utm_id=120247452154580155&amp;fbclid=PAZXh0bgNhZW0BMABhZGlkAas0a_chJvtzcnRjBmFwcF9pZA81NjcwNjczNDMzNTI0MjcAAac4qHYEvhRrTvYOm4mGDkdpQtYnH4x7UZWXDgBoZHT2x8DH4OySE-nV3VwiuQ_aem_PtYsFw1aU2ZOHfYd0PpCVA&amp;campaign_id=120247452154580155&amp;ad_id=120247452154590155</t>
  </si>
  <si>
    <t>2026-04-14T10:09:57.295Z</t>
  </si>
  <si>
    <t>Caroline Huada</t>
  </si>
  <si>
    <t>carol.huada@uol.com.br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</si>
  <si>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o2NjI4NTY4Mzc5AAEerQJNGaBJ23JQimVZRbE3GlpLIlMPPAHGgb6jVUrVhtOt5ymhJjJGnpVTQlQ_aem_wrcpE4iZ3Ii9Dfe5hc6olg&amp;campaign_id=120247452154580155&amp;ad_id=120247452938090155&amp;utm_id=120247452154580155</t>
  </si>
  <si>
    <t>2026-04-14T11:01:28.917Z</t>
  </si>
  <si>
    <t>Miriam Capelin</t>
  </si>
  <si>
    <t>miriam.capelin@gmail.com</t>
  </si>
  <si>
    <t>https://lp.saibai.com.br/?utm_source=MetaAds&amp;utm_medium=ADV+-+%5BIG%5D+%5BFB%5D+%5B30%2B%5D+%5BPIEDADE+-+40KM%5D+V%C3%81RIOS&amp;utm_campaign=07.04.2026+%5BV4%5D+%5BWB%5D+%5BLEADS-GRUPO-WHATS%5D+01&amp;utm_content=07.04+%5BIMG%5D+%5BAD01%5D+A+safra+come%C3%A7ou&amp;utm_term=Facebook_Mobile_Feed&amp;fbclid=IwZXh0bgNhZW0BMABhZGlkAas0a_chJvtzcnRjBmFwcF9pZAwzNTA2ODU1MzE3MjgAAR4u1jOOOTrZom4SWN0mGr2llfBbfkZ1epcQ3X_gdyrtfwhpquvKx264XH93sA_aem_O5nqCdaRDsb1AMqhlHRUcA&amp;campaign_id=120247452154580155&amp;ad_id=120247452154590155&amp;utm_id=120247452154580155</t>
  </si>
  <si>
    <t>2026-04-14T13:03:39.873Z</t>
  </si>
  <si>
    <t>JOSE NIVALDO WALTER</t>
  </si>
  <si>
    <t>jowalter1967@gmail.com</t>
  </si>
  <si>
    <t>https://lp.saibai.com.br/?utm_source=google-ads&amp;utm_medium=branding-terms&amp;utm_campaign=venda-direta&amp;utm_term=saibai&amp;utm_content=786538028159&amp;gad_source=1&amp;gad_campaignid=23319194144&amp;gbraid=0AAAAArClr9HvST-AAT2q2FVedMNVp0cW7&amp;gclid=Cj0KCQjwy_fOBhC6ARIsAHKFB7-eTOgvuaDzCme5t4_KANOxAXasL-u4hOgfjLY57DG-eq6nXKWeRXEaAuXvEALw_wcB</t>
  </si>
  <si>
    <t>2026-04-14T14:34:10.508Z</t>
  </si>
  <si>
    <t>José Rubens Ambrosio</t>
  </si>
  <si>
    <t>jr.ambrosio51@terra.com.br</t>
  </si>
  <si>
    <t>2026-04-14T16:06:30.201Z</t>
  </si>
  <si>
    <t>Mara Mikami</t>
  </si>
  <si>
    <t>maramikami@yahoo.com.br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</si>
  <si>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fOj7tzcnRjBmFwcF9pZA81NjcwNjczNDMzNTI0MjcAAaf0wmcdHYgPRGHy8lZaiV-EJdLrIIkSv56drEVhekIfAC3YGaNAzInhtYGtBQ_aem_DLsmoAgXedfkNRdS1HPGfg&amp;campaign_id=120247452154580155&amp;ad_id=120247452938090155</t>
  </si>
  <si>
    <t>2026-04-14T16:37:53.895Z</t>
  </si>
  <si>
    <t>Marina Hess</t>
  </si>
  <si>
    <t>marina@hugohess.com.br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</si>
  <si>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o2NjI4NTY4Mzc5AAEewHyAxJK4lz5CquXJWPVOibe4ZQiMiq4WgD6vTqhqzJc5dcffjUiAtJC8V3o_aem_nKbdQrcM-dc3ySx3i08AhQ&amp;campaign_id=120247452154580155&amp;ad_id=120247452938090155&amp;utm_id=120247452154580155</t>
  </si>
  <si>
    <t>2026-04-14T18:20:46.246Z</t>
  </si>
  <si>
    <t>Jandaia Nunes</t>
  </si>
  <si>
    <t>jandaiamartinsnunes@gmail.com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</si>
  <si>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W7ZytzcnRjBmFwcF9pZA8xMjQwMjQ1NzQyODc0MTQAAafnwzYTTRzJ1rO6r3Je1BQQxLaPCqMhyoBYjJ6KUhXTGsRCuYWrTgsrbJJOtg_aem_DGZgdM3R0u7igh1TaRXL9A&amp;campaign_id=120247452154580155&amp;ad_id=120247452938090155</t>
  </si>
  <si>
    <t>2026-04-14T20:46:24.731Z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</si>
  <si>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81NjcwNjczNDMzNTI0MjcAAacwFz6Y0xDip9ywb1DobT-HIr8TTOtkLB4wh4KLRzaiV0bKWMoWO5hcUlju_A_aem_QTtv4D7Qs1nTfhLjVbDt-g&amp;campaign_id=120247452154580155&amp;ad_id=120247452938090155</t>
  </si>
  <si>
    <t>2026-04-14T21:23:59.338Z</t>
  </si>
  <si>
    <t>Ednea Matiuci</t>
  </si>
  <si>
    <t>ednea.iacono@terra.com.br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</si>
  <si>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fOj7tzcnRjBmFwcF9pZA81NjcwNjczNDMzNTI0MjcAAafgofO-gOElnf6EG9-HTbB-88BJzDhUG8afcCpCTZAfVz878Cdl9oKFew-_3Q_aem_CP6-y1xzTRniRge5aIs4OA&amp;campaign_id=120247452154580155&amp;ad_id=120247452938090155</t>
  </si>
  <si>
    <t>2026-04-14T21:54:29.116Z</t>
  </si>
  <si>
    <t>Vera Aparecida</t>
  </si>
  <si>
    <t>veraggonzalez@gmail.com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</si>
  <si>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fOj7tzcnRjBmFwcF9pZAwzNTA2ODU1MzE3MjgAAR55cjfGr0QRByccS94IpGJk689izEU6Yaxb-s3nUy-gRp7nEHwZN9d7sdxBYg_aem_kTc55bjAhIaltCaAZWfmmg&amp;campaign_id=120247452154580155&amp;ad_id=120247452938090155&amp;utm_id=120247452154580155</t>
  </si>
  <si>
    <t>2026-04-14T23:59:09.522Z</t>
  </si>
  <si>
    <t>Douglas Pereira</t>
  </si>
  <si>
    <t>douglas_2304@hotmail.com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</si>
  <si>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W7ZytzcnRjBmFwcF9pZA81NjcwNjczNDMzNTI0MjcAAacYEfUQ8yrgI5i2AdpEIiZJJTy7ixWHZMMxMZ2hBlaUg_EX_xo7KGHPD--iOA_aem_ac6IWjUJWVN4nxMrqNXuMA&amp;campaign_id=120247452154580155&amp;ad_id=120247452938090155</t>
  </si>
  <si>
    <t>2026-04-15T01:34:45.638Z</t>
  </si>
  <si>
    <t>Lucilene Schleetz</t>
  </si>
  <si>
    <t>lschleetz@hotmail.com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</si>
  <si>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o2NjI4NTY4Mzc5AAEeyCr_7Fy4HPsUjad5nVN3IZvkX0iFDb--fntI2zeSHuSneN6Q7l4KPcM4Ed0_aem_EehaTSCd3kY_8rZ3CN5PGw&amp;campaign_id=120247452154580155&amp;ad_id=120247452938090155&amp;utm_id=120247452154580155</t>
  </si>
  <si>
    <t>2026-04-15T01:46:29.038Z</t>
  </si>
  <si>
    <t>Marisol Masedo</t>
  </si>
  <si>
    <t>marisol.masedo13@gmail.com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</si>
  <si>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81NjcwNjczNDMzNTI0MjcAAadMv9p9gh3dewyfMy3V81zcWJqDbkRmrIc4n9UNgehO3PqEs7mrLdsgoZnpXw_aem_HyECITGkIk5dPdULEMC68g&amp;campaign_id=120247452154580155&amp;ad_id=120247452938090155</t>
  </si>
  <si>
    <t>2026-04-15T02:36:02.604Z</t>
  </si>
  <si>
    <t>Cintia Souza Massucatto</t>
  </si>
  <si>
    <t>cintiasouzamassucatto@gmail.com</t>
  </si>
  <si>
    <t>https://lp.saibai.com.br/?utm_source=MetaAds&amp;utm_medium=ADV+-+%5BIG%5D+%5BFB%5D+%5B30%2B%5D+%5BPIEDADE+-+40KM%5D+V%C3%81RIOS&amp;utm_campaign=07.04.2026+%5BV4%5D+%5BWB%5D+%5BLEADS-GRUPO-WHATS%5D+01&amp;utm_content=07.04+%5BIMG%5D+%5BAD01%5D+A+safra+come%C3%A7ou&amp;utm_term=Instagram_Feed&amp;utm_id=120247452154580155&amp;fbclid=PAZXh0bgNhZW0BMABhZGlkAas0a_chJvtzcnRjBmFwcF9pZA81NjcwNjczNDMzNTI0MjcAAad7h9cmEyMPPcKDt4bMofwuhNETFoIci_-U5p_5GCZZOCDvuWtpY1MJk__Stg_aem_ACtlyqU0Ds6QV7TpXlPv_Q&amp;campaign_id=120247452154580155&amp;ad_id=120247452154590155</t>
  </si>
  <si>
    <t>2026-04-15T03:57:19.247Z</t>
  </si>
  <si>
    <t>Vera Sorrentino</t>
  </si>
  <si>
    <t>verasorrentino@yahoo.com.br</t>
  </si>
  <si>
    <t>https://lp.saibai.com.br/?utm_source=MetaAds&amp;utm_medium=ADV+-+%5BIG%5D+%5BFB%5D+%5B30%2B%5D+%5BPIEDADE+-+40KM%5D+V%C3%81RIOS&amp;utm_campaign=07.04.2026+%5BV4%5D+%5BWB%5D+%5BLEADS-GRUPO-WHATS%5D+01&amp;utm_content=07.04+%5BIMG%5D+%5BAD01%5D+A+safra+come%C3%A7ou&amp;utm_term=Instagram_Feed&amp;utm_id=120247452154580155&amp;fbclid=PAZXh0bgNhZW0BMABhZGlkAas0a_chJvtzcnRjBmFwcF9pZA8xMjQwMjQ1NzQyODc0MTQAAadkwZfgLBTf27aueBE-Q3dSkUyYqjjBU_0_FEV1uE1QsQYIxjvUEJ_f8UknNw_aem_fBr295wtdPb0KlV9xXcjMQ&amp;campaign_id=120247452154580155&amp;ad_id=120247452154590155</t>
  </si>
  <si>
    <t>2026-04-15T09:19:11.653Z</t>
  </si>
  <si>
    <t>Eduardo Mariucci</t>
  </si>
  <si>
    <t>dumariucci@gmail.com</t>
  </si>
  <si>
    <t>https://lp.saibai.com.br/?utm_source=MetaAds&amp;utm_medium=ADV+-+%5BIG%5D+%5BFB%5D+%5B30%2B%5D+%5BPIEDADE+-+40KM%5D+V%C3%81RIOS&amp;utm_campaign=07.04.2026+%5BV4%5D+%5BWB%5D+%5BLEADS-GRUPO-WHATS%5D+01&amp;utm_content=07.04+%5BIMG%5D+%5BAD01%5D+A+safra+come%C3%A7ou&amp;utm_term=Instagram_Reels&amp;utm_id=120247452154580155&amp;fbclid=PAZXh0bgNhZW0BMABhZGlkAas0a_chJvtzcnRjBmFwcF9pZA81NjcwNjczNDMzNTI0MjcAAacwvg1L2mHdSlpDRiNa_eT3N3g1z3feccGVxqqSqmLKsWJNE4KBADkmjNHTaw_aem_2mqxEC6gZsasyNI1zlecqA&amp;campaign_id=120247452154580155&amp;ad_id=120247452154590155</t>
  </si>
  <si>
    <t>2026-04-15T09:38:54.361Z</t>
  </si>
  <si>
    <t>Mariangela Botelho</t>
  </si>
  <si>
    <t>marianforte@gmail.com</t>
  </si>
  <si>
    <t>https://lp.saibai.com.br/?utm_source=MetaAds&amp;utm_medium=ADV+-+%5BIG%5D+%5BFB%5D+%5B30%2B%5D+%5BPIEDADE+-+40KM%5D+V%C3%81RIOS&amp;utm_campaign=07.04.2026+%5BV4%5D+%5BWB%5D+%5BLEADS-GRUPO-WHATS%5D+01&amp;utm_content=07.04+%5BIMG%5D+%5BAD01%5D+A+safra+come%C3%A7ou&amp;utm_term=Instagram_Stories&amp;utm_id=120247452154580155&amp;fbclid=PAZXh0bgNhZW0BMABhZGlkAas0a_chJvtzcnRjBmFwcF9pZA81NjcwNjczNDMzNTI0MjcAAaeZTbBtI_OZFij3b6bMqRAGfcOXq57RHCQ0X84AbvJjsH6iJm-kBKsZPSZ7YA_aem_8IRldGXI_ZjmFS1k0pSyLg&amp;campaign_id=120247452154580155&amp;ad_id=120247452154590155</t>
  </si>
  <si>
    <t>2026-04-15T09:58:32.294Z</t>
  </si>
  <si>
    <t>Valdir Calió Rolino</t>
  </si>
  <si>
    <t>valdirrolino@gmail.com</t>
  </si>
  <si>
    <t>https://lp.saibai.com.br/?utm_source=MetaAds&amp;utm_medium=ADV+-+%5BIG%5D+%5BFB%5D+%5B30%2B%5D+%5BPIEDADE+-+40KM%5D+V%C3%81RIOS&amp;utm_campaign=07.04.2026+%5BV4%5D+%5BWB%5D+%5BLEADS-GRUPO-WHATS%5D+01&amp;utm_content=07.04+%5BIMG%5D+%5BAD01%5D+A+safra+come%C3%A7ou&amp;utm_term=Instagram_Reels&amp;utm_id=120247452154580155&amp;fbclid=PAZXh0bgNhZW0BMABhZGlkAas0a_chJvtzcnRjBmFwcF9pZA81NjcwNjczNDMzNTI0MjcAAacbr7KsffG4OHO2l5m7wFRif-LUSHbM5mg_T4wS0PMabj4CedkVLQ-i1NUpPw_aem_yzwjfrurTfLgWCn-YsQOsw&amp;campaign_id=120247452154580155&amp;ad_id=120247452154590155</t>
  </si>
  <si>
    <t>2026-04-15T10:41:26.206Z</t>
  </si>
  <si>
    <t>Leny Ruocco Ruocco</t>
  </si>
  <si>
    <t>lenyruocco@hotmail.com</t>
  </si>
  <si>
    <t>https://lp.saibai.com.br/?utm_source=MetaAds&amp;utm_medium=ADV+-+%5BIG%5D+%5BFB%5D+%5B30%2B%5D+%5BPIEDADE+-+40KM%5D+V%C3%81RIOS&amp;utm_campaign=07.04.2026+%5BV4%5D+%5BWB%5D+%5BLEADS-GRUPO-WHATS%5D+01&amp;utm_content=07.04+%5BIMG%5D+%5BAD01%5D+A+safra+come%C3%A7ou&amp;utm_term=Facebook_Stories&amp;fbclid=IwZXh0bgNhZW0BMABhZGlkAas0a_chJvtzcnRjBmFwcF9pZAo2NjI4NTY4Mzc5AAEeRkl772lZ3QbAI8VhHR4Yv8e99IMtHsPvfZVapiW_Vjsjv57SPLANDpCx530_aem_O-vwG9kHcY7D3zOBCtgf_A&amp;campaign_id=120247452154580155&amp;ad_id=120247452154590155&amp;utm_id=120247452154580155</t>
  </si>
  <si>
    <t>2026-04-15T11:16:40.972Z</t>
  </si>
  <si>
    <t>Rosemeire Mazitelli</t>
  </si>
  <si>
    <t>rosemazitelli1956@gmail.com</t>
  </si>
  <si>
    <t>https://lp.saibai.com.br/?utm_source=MetaAds&amp;utm_medium=ADV+-+%5BIG%5D+%5BFB%5D+%5B30%2B%5D+%5BPIEDADE+-+40KM%5D+V%C3%81RIOS&amp;utm_campaign=07.04.2026+%5BV4%5D+%5BWB%5D+%5BLEADS-GRUPO-WHATS%5D+01&amp;utm_content=07.04+%5BIMG%5D+%5BAD01%5D+A+safra+come%C3%A7ou&amp;utm_term=Instagram_Feed&amp;utm_id=120247452154580155&amp;fbclid=PAZXh0bgNhZW0BMABhZGlkAas0a_chJvtzcnRjBmFwcF9pZA8xMjQwMjQ1NzQyODc0MTQAAadPzH6ltltSWldvAoin0S6Rc6acxjN2nsrxSyUHfKSQoE71GJriOj2GzED5xw_aem_IcP1Ibzh8BDpyWAtvYR0CA&amp;campaign_id=120247452154580155&amp;ad_id=120247452154590155</t>
  </si>
  <si>
    <t>2026-04-15T11:43:29.527Z</t>
  </si>
  <si>
    <t>Paula Mason Mason</t>
  </si>
  <si>
    <t>paulacristiney@gmail.com</t>
  </si>
  <si>
    <t>https://lp.saibai.com.br/?utm_source=MetaAds&amp;utm_medium=ADV+-+%5BIG%5D+%5BFB%5D+%5B30%2B%5D+%5BPIEDADE+-+40KM%5D+V%C3%81RIOS&amp;utm_campaign=07.04.2026+%5BV4%5D+%5BWB%5D+%5BLEADS-GRUPO-WHATS%5D+01&amp;utm_content=07.04+%5BIMG%5D+%5BAD01%5D+A+safra+come%C3%A7ou&amp;utm_term=Instagram_Feed&amp;utm_id=120247452154580155&amp;fbclid=PAZXh0bgNhZW0BMABhZGlkAas0a_chJvtzcnRjBmFwcF9pZA8xMjQwMjQ1NzQyODc0MTQAAacETyTRKNyJBz6meccYZ2ZlgmYPH1USnsFerEM8QWvDkfXvQTuuBzB6FI_ZnA_aem_kzjzUSzwegZlk7Uq0_RdSQ&amp;campaign_id=120247452154580155&amp;ad_id=120247452154590155</t>
  </si>
  <si>
    <t>2026-04-15T15:15:30.779Z</t>
  </si>
  <si>
    <t>Magali Zampieri</t>
  </si>
  <si>
    <t>mzampieri@pucsp.br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</si>
  <si>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a_lii3tzcnRjBmFwcF9pZA81NjcwNjczNDMzNTI0MjcAAadfiusuYMKofOgpz9KrPGQs2I-dczM2o_t6fAqbYu44Rss7i1Gy_ssD-eBpoA_aem_8FNCdPn_RrwlzmXtJzlm-Q&amp;campaign_id=120247452154580155&amp;ad_id=120247452938090155</t>
  </si>
  <si>
    <t>2026-04-15T15:18:25.489Z</t>
  </si>
  <si>
    <t>2026-04-15T22:39:16.593Z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</si>
  <si>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81NjcwNjczNDMzNTI0MjcAAaenu_avnSZbwr-CO2z5uY1TJEXGvIkHOeBGKGe4tLq0uP7Dm6cupeC__BnqEA_aem_TCEQ99JmQr6ZKbkyDITarA&amp;campaign_id=120247452154580155&amp;ad_id=120247452938090155</t>
  </si>
  <si>
    <t>2026-04-15T22:41:31.631Z</t>
  </si>
  <si>
    <t>Máira Cristina</t>
  </si>
  <si>
    <t>mc_lua@yahoo.com.br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</si>
  <si>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81NjcwNjczNDMzNTI0MjcAAac-Qqpp4K1JiSQbIiHvkXKlMkg3fEfU7g0YyAqmmf1quN1Ei2Wf9rtkRWukhg_aem_QIrAAgJetpVQQzVf4pgWcQ&amp;campaign_id=120247452154580155&amp;ad_id=120247452938090155</t>
  </si>
  <si>
    <t>2026-04-16T00:11:03.530Z</t>
  </si>
  <si>
    <t>Elizabeth Campos Pecchiae</t>
  </si>
  <si>
    <t>bpecchiae@hotmail.com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</si>
  <si>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Reels&amp;utm_id=120247452154580155&amp;fbclid=PAZXh0bgNhZW0BMABhZGlkAas0bAW7ZytzcnRjBmFwcF9pZA8xMjQwMjQ1NzQyODc0MTQAAacAdPYFn3jnrtBOZZpzTJGFhA3WJAGZ_PMriiE0b7Zpx7If4ZeM4nr1CUxWBA_aem_p2Kq_Hl3AqoU4IRpb7N60Q&amp;campaign_id=120247452154580155&amp;ad_id=120247452938090155</t>
  </si>
  <si>
    <t>2026-04-16T02:45:18.261Z</t>
  </si>
  <si>
    <t>Neuza Maria Ribeiro tuzino</t>
  </si>
  <si>
    <t>neuzatuzino@gmail.com</t>
  </si>
  <si>
    <t>https://lp.saibai.com.br/?utm_source=MetaAds&amp;utm_medium=ADV+-+%5BIG%5D+%5BFB%5D+%5B30%2B%5D+%5BPIEDADE+-+40KM%5D+V%C3%81RIOS&amp;utm_campaign=07.04.2026+%5BV4%5D+%5BWB%5D+%5BLEADS-GRUPO-WHATS%5D+01&amp;utm_content=07.04+%5BIMG%5D+%5BAD01%5D+A+safra+come%C3%A7ou&amp;utm_term=Facebook_Mobile_Reels&amp;fbclid=IwZXh0bgNhZW0BMABhZGlkAas0a_chJvtzcnRjBmFwcF9pZAwzNTA2ODU1MzE3MjgAAR6rzUMO2xRv5Y2ezBg5K1xzpEsdhQKlcCZCE6xApv4T-Ew_dY36-NyVncGnfg_aem_Nk0sg2VsDv6It-V_2WEkSQ&amp;campaign_id=120247452154580155&amp;ad_id=120247452154590155&amp;utm_id=120247452154580155</t>
  </si>
  <si>
    <t>2026-04-16T03:32:42.477Z</t>
  </si>
  <si>
    <t>Luciana Geraldes</t>
  </si>
  <si>
    <t>geraldesluciana@gmail.com</t>
  </si>
  <si>
    <t>https://lp.saibai.com.br/?utm_source=MetaAds&amp;utm_medium=ADV+-+%5BIG%5D+%5BFB%5D+%5B30%2B%5D+%5BPIEDADE+-+40KM%5D+V%C3%81RIOS&amp;utm_campaign=07.04.2026+%5BV4%5D+%5BWB%5D+%5BLEADS-GRUPO-WHATS%5D+01&amp;utm_content=07.04+%5BIMG%5D+%5BAD01%5D+A+safra+come%C3%A7ou&amp;utm_term=Instagram_Feed&amp;utm_id=120247452154580155&amp;fbclid=PAZXh0bgNhZW0BMABhZGlkAas0a_chJvtzcnRjBmFwcF9pZA81NjcwNjczNDMzNTI0MjcAAaestcpQj5FxfSZbKFJaFdusX1Omcc2zzXHOiSbhElXNwy-jZOAsoLvN4VKOtA_aem_bjs32XhKshPlES1ru45pWA&amp;campaign_id=120247452154580155&amp;ad_id=120247452154590155</t>
  </si>
  <si>
    <t>2026-04-16T06:18:38.589Z</t>
  </si>
  <si>
    <t>Gilma fabiano Fabiano</t>
  </si>
  <si>
    <t>gilma.corretora@gmail.com</t>
  </si>
  <si>
    <t>https://lp.saibai.com.br/?utm_source=MetaAds&amp;utm_medium=ADV+-+%5BIG%5D+%5BFB%5D+%5B30%2B%5D+%5BPIEDADE+-+40KM%5D+V%C3%81RIOS&amp;utm_campaign=07.04.2026+%5BV4%5D+%5BWB%5D+%5BLEADS-GRUPO-WHATS%5D+01&amp;utm_content=07.04+%5BIMG%5D+%5BAD01%5D+A+safra+come%C3%A7ou&amp;utm_term=Facebook_Mobile_Reels&amp;fbclid=IwZXh0bgNhZW0BMABhZGlkAas0a_chJvtzcnRjBmFwcF9pZAwzNTA2ODU1MzE3MjgAAR41CfyEzV6t0FSydi34NnyIE1cT5duuf2DHuwJEgciSz3527xee804NEvSmGA_aem_-6mhVgLgXAsK7ZiCkiJsSQ&amp;campaign_id=120247452154580155&amp;ad_id=120247452154590155&amp;utm_id=120247452154580155</t>
  </si>
  <si>
    <t>2026-04-16T06:39:24.018Z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</si>
  <si>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Reels&amp;fbclid=IwZXh0bgNhZW0BMABhZGlkAas0bAW7ZytzcnRjBmFwcF9pZAwzNTA2ODU1MzE3MjgAAR6Qx0-Lwtbb_jayhZZOgRA9eJsyr6GdTXjhaU7xQIxxYPUd8j7Gk8BustDeZg_aem_-T2os2Yny1WSZbDsPt35mw&amp;campaign_id=120247452154580155&amp;ad_id=120247452938090155&amp;utm_id=120247452154580155</t>
  </si>
  <si>
    <t>2026-04-16T10:05:28.578Z</t>
  </si>
  <si>
    <t>Sandra Marilda</t>
  </si>
  <si>
    <t>sandra.nascimento@ymail.com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</si>
  <si>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Reels&amp;fbclid=IwZXh0bgNhZW0BMABhZGlkAas0bAW7ZytzcnRjBmFwcF9pZAwzNTA2ODU1MzE3MjgAAR7Y1qMagdntkYxn1qccooYa7Avr5o2mS0gO8cSc09o5fuv1_3D7G21FHum4qg_aem_7ungyuvQPmk9DSEyTns9hg&amp;campaign_id=120247452154580155&amp;ad_id=120247452938090155&amp;utm_id=120247452154580155</t>
  </si>
  <si>
    <t>2026-04-16T10:27:50.995Z</t>
  </si>
  <si>
    <t>Stella</t>
  </si>
  <si>
    <t>s.stelasantos@hotmail.com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</si>
  <si>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Reels&amp;fbclid=IwZXh0bgNhZW0BMABhZGlkAas0bAW7ZytzcnRjBmFwcF9pZAwzNTA2ODU1MzE3MjgAAR4pXK_wpl_wZmGzjIw1CcgFabKIoq99_jBORlyBYm33WRpFkPZoy-wIsCkmYg_aem_agdXasLjJZ2CACGp3Y-0JQ&amp;campaign_id=120247452154580155&amp;ad_id=120247452938090155&amp;utm_id=120247452154580155</t>
  </si>
  <si>
    <t>2026-04-16T11:09:34.534Z</t>
  </si>
  <si>
    <t>Eliane mi</t>
  </si>
  <si>
    <t>changmi1004@gmail.com</t>
  </si>
  <si>
    <t>https://lp.saibai.com.br/?utm_source=MetaAds&amp;utm_medium=ADV+-+%5BIG%5D+%5BFB%5D+%5B30%2B%5D+%5BPIEDADE+-+40KM%5D+V%C3%81RIOS&amp;utm_campaign=07.04.2026+%5BV4%5D+%5BWB%5D+%5BLEADS-GRUPO-WHATS%5D+01&amp;utm_content=07.04+%5BIMG%5D+%5BAD01%5D+A+safra+come%C3%A7ou&amp;utm_term=Instagram_Feed&amp;utm_id=120247452154580155&amp;fbclid=PAZXh0bgNhZW0BMABhZGlkAas0a_chJvtzcnRjBmFwcF9pZA8xMjQwMjQ1NzQyODc0MTQAAacxflx8UTX0yURjF5suut4ZPyHFrd9JfiojdcZcAkPjaN0ZH2jJNUcvaxky6A_aem_5YrGyrdeglwS28MvyqswdQ&amp;campaign_id=120247452154580155&amp;ad_id=120247452154590155</t>
  </si>
  <si>
    <t>2026-04-16T13:37:23.837Z</t>
  </si>
  <si>
    <t>Débora Alves</t>
  </si>
  <si>
    <t>deboraalvesrocha91@hotmail.com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</si>
  <si>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81NjcwNjczNDMzNTI0MjcAAaeN7WFLBRVudwOreyz19iL2fAIlSvZrZskZMi6te5aSyle9KIv7hnpRcNepWQ_aem_IAHL2XCDr53yRQClOXOXFg&amp;campaign_id=120247452154580155&amp;ad_id=120247452938090155</t>
  </si>
  <si>
    <t>2026-04-16T18:05:33.883Z</t>
  </si>
  <si>
    <t>Rita Cássia Vieira de Oliveira</t>
  </si>
  <si>
    <t>rivol1504@gmail.com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</si>
  <si>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Stories&amp;fbclid=IwZXh0bgNhZW0BMABhZGlkAas0bAW7ZytzcnRjBmFwcF9pZAo2NjI4NTY4Mzc5AAEewHCBCHDQnnVlB4LyT1brSOwMECLxDLxiqr2_Va44T5uXnDMI9c228DC0gKM_aem_3KCZW6zR3T62J3POWfLR4Q&amp;campaign_id=120247452154580155&amp;ad_id=120247452938090155&amp;utm_id=120247452154580155</t>
  </si>
  <si>
    <t>2026-04-16T22:36:18.455Z</t>
  </si>
  <si>
    <t>Patricia Amparo Lauria</t>
  </si>
  <si>
    <t>patylauria@gmail.com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</si>
  <si>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7IPJ4XcKocLSZ5uX6fjcP_9GUN6d8zeoO9BkPiPknEUMBT26QH65dwuZoqyw_aem_4YtSSaKCDPosCg_gkAew2w&amp;campaign_id=120247452154580155&amp;ad_id=120247452938090155&amp;utm_id=120247452154580155</t>
  </si>
  <si>
    <t>2026-04-16T23:09:35.020Z</t>
  </si>
  <si>
    <t>Geovana Kumamoto</t>
  </si>
  <si>
    <t>gekumamoto@gmail.com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</si>
  <si>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xMjQwMjQ1NzQyODc0MTQAAaeo0S1mxPk6NV1h283nMbW-l69o5X_LcukDJj5rT8uwEzrnqNXefPt80LYiiA_aem_BrDpjbnpNUoMZRK3d-qLhg&amp;campaign_id=120247452154580155&amp;ad_id=120247452938090155</t>
  </si>
  <si>
    <t>2026-04-16T23:23:52.600Z</t>
  </si>
  <si>
    <t>2026-04-16T23:51:22.540Z</t>
  </si>
  <si>
    <t>Elaine</t>
  </si>
  <si>
    <t>elaineror@gmail.com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</si>
  <si>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o2NjI4NTY4Mzc5AAEeVYNlnV4btZfr5mTEdg10mrn1BPGD8JVEFqb5pb7XrerFXsXZLJ8KZXDt6TM_aem_459305V5O83yGFGGw0SGIg&amp;campaign_id=120247452154580155&amp;ad_id=120247452938090155&amp;utm_id=120247452154580155</t>
  </si>
  <si>
    <t>2026-04-17T01:29:18.988Z</t>
  </si>
  <si>
    <t>MARLI DIONISIO</t>
  </si>
  <si>
    <t>marlibustos@hotmail.com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</si>
  <si>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81NjcwNjczNDMzNTI0MjcAAaeC5qYaLpwUoKbBRdnek_AJSJs8x3iw5tFWQbRzhn92IHshnQLxXNfegr2faA_aem_jylxounmRTBbRrG_uFkSAA&amp;campaign_id=120247452154580155&amp;ad_id=120247452938090155</t>
  </si>
  <si>
    <t>2026-04-17T01:32:44.017Z</t>
  </si>
  <si>
    <t>Rafael de Oliveira Marino</t>
  </si>
  <si>
    <t>cestaspmg@gmail.com</t>
  </si>
  <si>
    <t>2026-04-17T01:54:16.449Z</t>
  </si>
  <si>
    <t>Edson Sassaki</t>
  </si>
  <si>
    <t>edsonsasaki66@gmail.com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</si>
  <si>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41hX-QdDJ1saGyeJQx2RLanAIyj1i1D7cTg8PaSFTyQX3Q8-w08LUSvvCf-A_aem_2sJkedUlWHfurfpgjEkveQ&amp;campaign_id=120247452154580155&amp;ad_id=120247452938090155&amp;utm_id=120247452154580155</t>
  </si>
  <si>
    <t>2026-04-17T02:21:07.034Z</t>
  </si>
  <si>
    <t>Alípio Baptista Xavier de Oliveira</t>
  </si>
  <si>
    <t>alipioxavier@hotmail.com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</si>
  <si>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xMjQwMjQ1NzQyODc0MTQAAadtA11zGj1sWunlWRfPdrGnOvgo2YNG4ivWdH-EER_iVl4mbkpOE63aX6rb0A_aem_hGRUPEgh9iyYIta3lCQFVw&amp;campaign_id=120247452154580155&amp;ad_id=120247452938090155</t>
  </si>
  <si>
    <t>2026-04-17T12:25:02.598Z</t>
  </si>
  <si>
    <t>Diva Pani</t>
  </si>
  <si>
    <t>divapani1959@gmail.com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</si>
  <si>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W7ZytzcnRjBmFwcF9pZA81NjcwNjczNDMzNTI0MjcAAafAoR0o2bHs7o0PY_tog9vxh7Gu3ZhkXPPGgw2lx5IvkkyQ4xThmDMiVWJvlA_aem_3Iz0ZQWNmu6idXXCwnUjRw&amp;campaign_id=120247452154580155&amp;ad_id=120247452938090155</t>
  </si>
  <si>
    <t>2026-04-17T12:45:01.400Z</t>
  </si>
  <si>
    <t>maria renata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</si>
  <si>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W7ZytzcnRjBmFwcF9pZA8xMjQwMjQ1NzQyODc0MTQAAac7rUjRb5ztaWaTTQUQYtmFURxHAoO81J6G6eVc9a_-86Sp9tMiB-FItDwQ-g_aem_yDCjc4czsjOfp0c0CunduQ&amp;campaign_id=120247452154580155&amp;ad_id=120247452938090155</t>
  </si>
  <si>
    <t>2026-04-17T12:52:51.665Z</t>
  </si>
  <si>
    <t>Rosana G Zanetti</t>
  </si>
  <si>
    <t>rosanagzanetti@hotmail.com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</si>
  <si>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xMjQwMjQ1NzQyODc0MTQAAafsWhf1l4yXBw11zn7SwYREnCS9629ih5zuyKVlkid2oi3LvnpNsb555nPqxg_aem_fJIBAlcTsPEJ2S2hEU4ezA&amp;campaign_id=120247452154580155&amp;ad_id=120247452938090155</t>
  </si>
  <si>
    <t>2026-04-17T13:35:19.379Z</t>
  </si>
  <si>
    <t>Ana Maria</t>
  </si>
  <si>
    <t>ana.tarabay@hotmail.com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</si>
  <si>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6zKPFsbMsGOSUeJJ0WvdZO-ZXOh9fru3lEgM_4sC-jUBI7cuLl-f0R8DTz8Q_aem_dCm6A4U2TdFS4TObfOEDMA&amp;campaign_id=120247452154580155&amp;ad_id=120247452938090155&amp;utm_id=120247452154580155</t>
  </si>
  <si>
    <t>2026-04-17T20:21:49.652Z</t>
  </si>
  <si>
    <t>Francisco  Eduardo Grillo</t>
  </si>
  <si>
    <t>grillo.francisco23@gmail.com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</si>
  <si>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7kQK6bZUHJdszxljfGLwpJZ_wKL5hxzjNkYttUe2FeMcsz_y5XiKrT90MqUA_aem_3i9OGmspuWGROs3WcRKn3A&amp;campaign_id=120247452154580155&amp;ad_id=120247452938090155&amp;utm_id=120247452154580155</t>
  </si>
  <si>
    <t>2026-04-17T21:01:51.350Z</t>
  </si>
  <si>
    <t>Francine Cristina Domingues</t>
  </si>
  <si>
    <t>franagathami@gmail.com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</si>
  <si>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W7ZytzcnRjBmFwcF9pZA81NjcwNjczNDMzNTI0MjcAAafQCsP6fQ3OkUJB4ePXzBNgZsAe2AiukW_gc614q0ou8BPwUPM2KmeXLGrHiA_aem_aJ4m1WjyHso23nnRF-5wwg&amp;campaign_id=120247452154580155&amp;ad_id=120247452938090155</t>
  </si>
  <si>
    <t>2026-04-17T21:36:53.231Z</t>
  </si>
  <si>
    <t>Vera Helena Roso</t>
  </si>
  <si>
    <t>vhroso@gmail.com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</si>
  <si>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xMjQwMjQ1NzQyODc0MTQAAaeF9cxNpYqBk1L0pGN25TfZyIGG42uYc6vSpV6q8QWBeEgw3JrNBMlKpK9WGg_aem_-T25bpATEjRdTVprpLbhvQ&amp;campaign_id=120247452154580155&amp;ad_id=120247452938090155</t>
  </si>
  <si>
    <t>2026-04-17T23:52:02.203Z</t>
  </si>
  <si>
    <t>Denise cardoso</t>
  </si>
  <si>
    <t>denisegardinali@gmail.com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</si>
  <si>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W7ZytzcnRjBmFwcF9pZA8xMjQwMjQ1NzQyODc0MTQAAafJOn_h4Wwfn4vl052QiphsE5Yr4kUocVoO9dteNg15n4PPkDwqhbHcWpcz5g_aem_R-kjgEuYAo8JAsKiGwsl2Q&amp;campaign_id=120247452154580155&amp;ad_id=120247452938090155</t>
  </si>
  <si>
    <t>2026-04-18T00:14:39.300Z</t>
  </si>
  <si>
    <t>Andrea Diniz</t>
  </si>
  <si>
    <t>andreadiniz@hotmail.com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</si>
  <si>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a_lii3tzcnRjBmFwcF9pZA8xMjQwMjQ1NzQyODc0MTQAAadEA3TU-pHvm7QpGThvEuzBU23zgzXr5dhUA_mN-7DphbITOhwtumh6vjRuQQ_aem_CfjFLiqKvhn7rtMSu3MWEA&amp;campaign_id=120247452154580155&amp;ad_id=120247452938090155</t>
  </si>
  <si>
    <t>2026-04-18T01:13:06.403Z</t>
  </si>
  <si>
    <t>Fabiana Marinheiro</t>
  </si>
  <si>
    <t>fabimarinheiro@hotmail.com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</si>
  <si>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xMjQwMjQ1NzQyODc0MTQAAafYNUfwhm5BDTudxK1hPMSdq7wz77xzW_XTDjNLZnDOETxYfASz6DF5nWsbdQ_aem_LfUyctHr2R6oaxLE59sIVw&amp;campaign_id=120247452154580155&amp;ad_id=120247452938090155</t>
  </si>
  <si>
    <t>2026-04-18T01:35:11.793Z</t>
  </si>
  <si>
    <t>Debora Maria Abreu de Lara</t>
  </si>
  <si>
    <t>dmalara1962@gmail.com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</si>
  <si>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xMjQwMjQ1NzQyODc0MTQAAadCqutO4kqtTnkhX-cvQJVpuL6jwmbrtv0gxN7T33tde2PlbCYxXpUte1jIqg_aem_KINf3bDtN0pZ7Z_uL1I0oA&amp;campaign_id=120247452154580155&amp;ad_id=120247452938090155</t>
  </si>
  <si>
    <t>2026-04-18T01:42:11.741Z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</si>
  <si>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81NjcwNjczNDMzNTI0MjcAAacyjAls5a-4Kf96iLbAolKkQP_zWkxbivNqIH1ddGjqGiFcFTNx8zeuTQaXiw_aem_DElLNAe3mlG7rR3X2Q7kqQ&amp;campaign_id=120247452154580155&amp;ad_id=120247452938090155</t>
  </si>
  <si>
    <t>2026-04-18T10:29:11.825Z</t>
  </si>
  <si>
    <t>Claudia Regina</t>
  </si>
  <si>
    <t>barbararmp@hotmail.com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</si>
  <si>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fOj7tzcnRjBmFwcF9pZAwzNTA2ODU1MzE3MjgAAR5PGRoBzPYpEQkm4HPBq4k5HPoDypf20SreH5J1oCJkwFYTr51QpmWvRCGOgQ_aem_eLuOu9iWL4BAg7bNLz6LEQ&amp;campaign_id=120247452154580155&amp;ad_id=120247452938090155&amp;utm_id=120247452154580155</t>
  </si>
  <si>
    <t>2026-04-18T11:06:02.330Z</t>
  </si>
  <si>
    <t>Silvana Moraes Furquim</t>
  </si>
  <si>
    <t>sillvanamoraes96@gmail.com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</si>
  <si>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xMjQwMjQ1NzQyODc0MTQAAafhfechxaSBU2SR9h9qLxSfxgn0x7wSGJX0TuBtWnWwKqWF-Ofcy2VreQVA7A_aem_EJebjzvIqMSjv9UGfQ9QEw&amp;campaign_id=120247452154580155&amp;ad_id=120247452938090155</t>
  </si>
  <si>
    <t>2026-04-18T11:45:57.501Z</t>
  </si>
  <si>
    <t>Maria de fatima macedo</t>
  </si>
  <si>
    <t>mariadefatimamacedouchida@gmail.com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</si>
  <si>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Stories&amp;fbclid=IwZXh0bgNhZW0BMABhZGlkAas0bAW7ZytzcnRjBmFwcF9pZAwzNTA2ODU1MzE3MjgAAR55B9qMUwHIXZG9NA0a7kqcMhK4eN4SAE7iReF8D1_-UVyJKEtGDqlHxY8aaA_aem_Q4mIxSLKrVhBcKiiWMrcgw&amp;campaign_id=120247452154580155&amp;ad_id=120247452938090155&amp;utm_id=120247452154580155</t>
  </si>
  <si>
    <t>2026-04-18T11:46:30.350Z</t>
  </si>
  <si>
    <t>2026-04-18T13:19:16.683Z</t>
  </si>
  <si>
    <t>Gabriel espinosa nery</t>
  </si>
  <si>
    <t>gneryvet@gmail.com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</si>
  <si>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81NjcwNjczNDMzNTI0MjcAAafWmo0H1cAITsV33D1BpV7IdrH2dL6IyX8-fcQWWk4y94_x1wwaKsfnuzqqkw_aem_wz4S0oLlusAD3YxvkQHN8g&amp;campaign_id=120247452154580155&amp;ad_id=120247452938090155</t>
  </si>
  <si>
    <t>2026-04-18T16:03:37.152Z</t>
  </si>
  <si>
    <t>Maria Ribeiro da Cruz</t>
  </si>
  <si>
    <t>zezemcruz@hotmail.com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</si>
  <si>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xMjQwMjQ1NzQyODc0MTQAAaeb5xAx2-15vA4Qjpb8_yWCnsju-lp-ttXLAIXEYPJd0gtwMoQhd_Np3CxHHQ_aem_BgsOGemFk54JFGH_Ur1Fqg&amp;campaign_id=120247452154580155&amp;ad_id=120247452938090155</t>
  </si>
  <si>
    <t>2026-04-18T19:07:36.424Z</t>
  </si>
  <si>
    <t>Maria Aparecida Comunale Silva</t>
  </si>
  <si>
    <t>comunalesilva@gmail.com</t>
  </si>
  <si>
    <t>https://lp.saibai.com.br/?utm_source=google-ads&amp;utm_medium=branding-terms&amp;utm_campaign=venda-direta&amp;utm_term=saibai%20saladas&amp;utm_content=786538028159&amp;gad_source=1&amp;gad_campaignid=23319194144&amp;gbraid=0AAAAArClr9FUY0gM4oNsmfkDw7Jktd7mI&amp;gclid=CjwKCAjw14zPBhAuEiwAP3-Eb0BPjmUJrdTvWxCx42MIdXhyOkYCAiUOOwZXY8mqbpIZOM9fEdV_cxoCwwkQAvD_BwE</t>
  </si>
  <si>
    <t>2026-04-18T19:17:20.096Z</t>
  </si>
  <si>
    <t>Cristina</t>
  </si>
  <si>
    <t>cris.mendes176@gmail.com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</si>
  <si>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fOj7tzcnRjBmFwcF9pZAwzNTA2ODU1MzE3MjgAAR4bjF2_FN4IqLSfAmx0cq3KKwl5kJaq54SyGMpDb0n9IH9L9A6tXR_WT9rwDg_aem_kU6hlEULUQQg7uy89za5AQ&amp;campaign_id=120247452154580155&amp;ad_id=120247452938090155&amp;utm_id=120247452154580155</t>
  </si>
  <si>
    <t>2026-04-18T19:17:51.028Z</t>
  </si>
  <si>
    <t>Fátima</t>
  </si>
  <si>
    <t>acprestesbarros@ibest.com.br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</si>
  <si>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fOj7tzcnRjBmFwcF9pZA8xMjQwMjQ1NzQyODc0MTQAAacsWVogidXYgfNh532GDrg5GIf7dl715R6m0_ZfPup2Q0vpmY--FIEC5NhM6w_aem_AmKVkANkQs9jtJRdiUPmrA&amp;campaign_id=120247452154580155&amp;ad_id=120247452938090155</t>
  </si>
  <si>
    <t>2026-04-18T20:06:30.628Z</t>
  </si>
  <si>
    <t>Sirr</t>
  </si>
  <si>
    <t>sergio@vidroreal.com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</si>
  <si>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Reels&amp;utm_id=120247452154580155&amp;fbclid=PAZXh0bgNhZW0BMABhZGlkAas0bAW7ZytzcnRjBmFwcF9pZA8xMjQwMjQ1NzQyODc0MTQAAadZY6n3q4llySqgxieKiikQqyq6tnQ1MCFt4e8W2HAuqlDO88Smo_kI4UE4aA_aem_1h6B3nt6dgJwBGYuX9zlqA&amp;campaign_id=120247452154580155&amp;ad_id=120247452938090155</t>
  </si>
  <si>
    <t>2026-04-18T20:53:57.090Z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</si>
  <si>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W7ZytzcnRjBmFwcF9pZA8xMjQwMjQ1NzQyODc0MTQAAadShy3BRZwob-inHqqBacisRfFiuCy3s4HbvOq6yHWJOCOd0WRGo0FHJ_5HgQ_aem_mulfi9XiB6zTJ-fMB2MAaA&amp;campaign_id=120247452154580155&amp;ad_id=120247452938090155</t>
  </si>
  <si>
    <t>2026-04-18T20:58:40.681Z</t>
  </si>
  <si>
    <t>José Carlos Souza</t>
  </si>
  <si>
    <t>jc77souza@gmail.com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</si>
  <si>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o2NjI4NTY4Mzc5AAEekzSBOZCEpFy7587SGIW6kVxw0LbT_GwbqP8kggX5Yb815bH-sCZ76C4oBSA_aem_ur_STl812qos3aCWq7eqhA&amp;campaign_id=120247452154580155&amp;ad_id=120247452938090155&amp;utm_id=120247452154580155</t>
  </si>
  <si>
    <t>2026-04-18T21:01:23.928Z</t>
  </si>
  <si>
    <t>Leda Maria</t>
  </si>
  <si>
    <t>ledammalvone@gmail.com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</si>
  <si>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fOj7tzcnRjBmFwcF9pZAwzNTA2ODU1MzE3MjgAAR7RQFHjEVIbG87A7KsifGNC_rHsBHJMo5Eau0Z03MopcFCOvXdHdwz1LXgemQ_aem_OctvqxuzRjooHmxtVSRJcw&amp;campaign_id=120247452154580155&amp;ad_id=120247452938090155&amp;utm_id=120247452154580155</t>
  </si>
  <si>
    <t>2026-04-18T22:08:42.976Z</t>
  </si>
  <si>
    <t>Magna Lacerda</t>
  </si>
  <si>
    <t>magnaluciabarbosalacerda@gmail.com</t>
  </si>
  <si>
    <t>2026-04-19T00:35:50.779Z</t>
  </si>
  <si>
    <t>Vilmar Neubuer</t>
  </si>
  <si>
    <t>vilmarneubuer@gmail.com</t>
  </si>
  <si>
    <t>2026-04-19T11:11:05.381Z</t>
  </si>
  <si>
    <t>Talis Facioli</t>
  </si>
  <si>
    <t>talisfacioli3@gmail.com</t>
  </si>
  <si>
    <t>2026-04-19T11:48:05.919Z</t>
  </si>
  <si>
    <t>Vera Porto</t>
  </si>
  <si>
    <t>vera.hdhair@gmail.com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</si>
  <si>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xMjQwMjQ1NzQyODc0MTQAAafL-6ZzOZDYBvQStmtc6ISozha6w1VMpy5618lucs-_WjtDx3GQS4Qu_UqS6Q_aem_oP8u8ytaffcYUaLi2K9iJA&amp;campaign_id=120247452154580155&amp;ad_id=120247452938090155</t>
  </si>
  <si>
    <t>2026-04-19T15:56:21.905Z</t>
  </si>
  <si>
    <t>Andrea</t>
  </si>
  <si>
    <t>dedazsig@gmail.com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</si>
  <si>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Stories&amp;fbclid=IwZXh0bgNhZW0BMABhZGlkAas0bAW7ZytzcnRjBmFwcF9pZAwzNTA2ODU1MzE3MjgAAR7J27POsBLzISwWbipA1_Z_FEVgwB70PNkU3KbI1ROIvpGYjBJwrVx-IXn2VQ_aem_SypiuLcTwONTbf14Ahs-4g&amp;campaign_id=120247452154580155&amp;ad_id=120247452938090155&amp;utm_id=120247452154580155</t>
  </si>
  <si>
    <t>2026-04-19T18:22:06.383Z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</si>
  <si>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Reels&amp;utm_id=120247452154580155&amp;fbclid=PAZXh0bgNhZW0BMABhZGlkAas0a_lii3tzcnRjBmFwcF9pZA81NjcwNjczNDMzNTI0MjcAAafXNxBUWf8R8Afssuwprtp-7koq4vVBhpvQuHPKUuxYSuFtLmgbNWWJEJRLPw_aem_WztQe9rlgrSrazUNkL4wiQ&amp;campaign_id=120247452154580155&amp;ad_id=120247452938090155</t>
  </si>
  <si>
    <t>2026-04-19T18:30:51.080Z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</si>
  <si>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a_lii3tzcnRjBmFwcF9pZA81NjcwNjczNDMzNTI0MjcAAaflH0abaK9mP8POszdJjRpStvJSUw2Ne7GqaTcXx7ftBKlevkGxvtEV5e-gvA_aem_1pkDBrhxk9ntlQYKE2_bHg&amp;campaign_id=120247452154580155&amp;ad_id=120247452938090155</t>
  </si>
  <si>
    <t>2026-04-19T18:31:47.199Z</t>
  </si>
  <si>
    <t>2026-04-19T18:55:14.094Z</t>
  </si>
  <si>
    <t>Natália Carvalho</t>
  </si>
  <si>
    <t>na.girly@gmail.com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</si>
  <si>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W7ZytzcnRjBmFwcF9pZA8xMjQwMjQ1NzQyODc0MTQAAaffeP39fDv1j6pXvqcPeAsWlw82KckepEzNinZwYcdiaW86jrwX189UUA_4hg_aem_h4sELZYU92NBpsSGmRrycw&amp;campaign_id=120247452154580155&amp;ad_id=120247452938090155</t>
  </si>
  <si>
    <t>2026-04-19T23:03:58.514Z</t>
  </si>
  <si>
    <t>Karen Christine</t>
  </si>
  <si>
    <t>karenchristineneves@gmail.com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</si>
  <si>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a_lii3tzcnRjBmFwcF9pZA81NjcwNjczNDMzNTI0MjcAAaefpJMImHsxLY1AvqAT5tfmnm3RIUpy1eG0VbwJQn2kaGyxSg7s5U_aXgcLTg_aem_MXjNY1YvldrguqYMwEl9UA&amp;campaign_id=120247452154580155&amp;ad_id=120247452938090155</t>
  </si>
  <si>
    <t>2026-04-19T23:05:11.034Z</t>
  </si>
  <si>
    <t>Maria de Lourdes Rivetti</t>
  </si>
  <si>
    <t>lourdes_rivetti@hotmail.com</t>
  </si>
  <si>
    <t>2026-04-20T00:35:53.252Z</t>
  </si>
  <si>
    <t>Viviane</t>
  </si>
  <si>
    <t>vfbortolini@yahoo.com.br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</si>
  <si>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o2NjI4NTY4Mzc5AAEetsmKX0uzYQwzViT90efDvM1YKmDnNSpjrxdADfy0bWwjDXwcJ4U8jjrxRiw_aem_t_LoFD3zg8MWIqpMv_1Jnw&amp;campaign_id=120247452154580155&amp;ad_id=120247452938090155&amp;utm_id=120247452154580155</t>
  </si>
  <si>
    <t>2026-04-20T11:26:03.976Z</t>
  </si>
  <si>
    <t>Ledouard Forsyer</t>
  </si>
  <si>
    <t>forsterneto@hotmail.com</t>
  </si>
  <si>
    <t>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Stories&amp;fbclid=IwZXh0bgNhZW0BMABhZGlkAas0bAW7ZytzcnRjBmFwcF9pZAo2NjI4NTY4Mzc5AAEefHV8e5wYO1fNj7M9QncDph-9ZzjkYhbaQMFLGzMXpzh3c8Kj7ZPDIo6GR8w_aem_uSSHhM3xZnEkX6sg0hmQeA&amp;campaign_id=120247452154580155&amp;ad_id=120247452938090155&amp;utm_id=120247452154580155</t>
  </si>
  <si>
    <t>2026-04-20T14:22:54.595Z</t>
  </si>
  <si>
    <t>Antonio Ruis morales</t>
  </si>
  <si>
    <t>armservicos@hotmail.com</t>
  </si>
  <si>
    <t>https://lp.saibai.com.br/?utm_source=google-ads&amp;utm_medium=branding-terms&amp;utm_campaign=venda-direta&amp;utm_term=saibai&amp;utm_content=786538028159&amp;gad_source=1&amp;gad_campaignid=23319194144&amp;gbraid=0AAAAArClr9HF1F2LaL7Qxc5Cn-Or67bZQ&amp;gclid=CjwKCAjwnZfPBhAGEiwAzg-VzIpXKWMBfGCfFk9gl3zkfdOh_DvFBq6LBPQ1b987RSWk4cWyFdWk3BoChSIQAvD_BwE</t>
  </si>
  <si>
    <t>2026-04-21T00:28:06.417Z</t>
  </si>
  <si>
    <t>María Tereza</t>
  </si>
  <si>
    <t>tecachar@hotmail.com</t>
  </si>
  <si>
    <t>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Facebook_Mobile_Feed&amp;fbclid=IwZXh0bgNhZW0BMABhZGlkAas0a_clbLtzcnRjBmFwcF9pZAwzNTA2ODU1MzE3MjgAAR5I-jzxwkCxvyGhZmHXFKSTvChyu9Iojky2bp1ZQ_YFI3t0N_bJBdc8jXA5Vg_aem_gdw5rns2rXQtRXU4PG1O2A&amp;campaign_id=120247452154580155&amp;ad_id=120247452701970155&amp;utm_id=120247452154580155</t>
  </si>
  <si>
    <t>2026-04-21T00:38:12.866Z</t>
  </si>
  <si>
    <t>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Instagram_Reels&amp;utm_id=120247452154580155&amp;fbclid=PAZXh0bgNhZW0BMABhZGlkAas0a_clbLtzcnRjBmFwcF9pZA8xMjQwMjQ1NzQyODc0MTQAAadjKKCsXu2pF_wBkKKl9AgSq0wuGaKFwOMaqBCIa4Im0M7Q5MdVF-vKkyvFEw_aem_X3DzJ_TdDzJ9tQVm45K04w&amp;campaign_id=120247452154580155&amp;ad_id=120247452701970155</t>
  </si>
  <si>
    <t>2026-04-21T00:43:25.025Z</t>
  </si>
  <si>
    <t>Virginia Costa Velloza</t>
  </si>
  <si>
    <t>vellozavirginia@gmail.com</t>
  </si>
  <si>
    <t>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Instagram_Stories&amp;utm_id=120247452154580155&amp;fbclid=PAZXh0bgNhZW0BMABhZGlkAas0a_clbLtzcnRjBmFwcF9pZA81NjcwNjczNDMzNTI0MjcAAadSI5UFThWZFB_bJ3wZVyN5RxpFD7y8Vo9n1XPZhjysKSFEB_swJUAdKkhtxw_aem_zBwtc_XJPX7dEno3VUQCHg&amp;campaign_id=120247452154580155&amp;ad_id=120247452701970155</t>
  </si>
  <si>
    <t>2026-04-21T01:05:03.091Z</t>
  </si>
  <si>
    <t>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Facebook_Stories&amp;fbclid=IwZXh0bgNhZW0BMABhZGlkAas0a_clbLtzcnRjBmFwcF9pZAo2NjI4NTY4Mzc5AAEekMs6yGE28fOGcRlxkxs53MOBANBWWe-w8oHoPNfNHyvC5ZAOtduDg52jBGw_aem_OnYSVTAx5XGf48HdnbbJGQ&amp;campaign_id=120247452154580155&amp;ad_id=120247452701970155&amp;utm_id=120247452154580155</t>
  </si>
  <si>
    <t>2026-04-21T01:05:16.857Z</t>
  </si>
  <si>
    <t>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Facebook_Mobile_Feed&amp;fbclid=IwZXh0bgNhZW0BMABhZGlkAas0a_clbLtzcnRjBmFwcF9pZAwzNTA2ODU1MzE3MjgAAR7YOoQG4z5IU9J1G83yLxMS3795YaTiKdyZhV0GaEqO1wp_6OHlMoBZdcvwew_aem_fMbGPvSH_dz7rApFDkt2nA&amp;campaign_id=120247452154580155&amp;ad_id=120247452701970155&amp;utm_id=120247452154580155</t>
  </si>
  <si>
    <t>2026-04-21T01:10:55.312Z</t>
  </si>
  <si>
    <t>Maria Renata Scuracchio</t>
  </si>
  <si>
    <t>rrscuracchio@uol.com.br</t>
  </si>
  <si>
    <t>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an&amp;utm_id=120247452154580155&amp;fbclid=IwY2xjawRTrZBleHRuA2FlbQEwAGFkaWQBqzRr9yVsu3NydGMGYXBwX2lkDzI0NTc5MDgxODk1NTg2OAABHkoDxJQ1TnJjTS9WWladaEKl1RAxs0YhnJ-7g8BwSRrWGYuFx7ucwV5KCTj4_aem_vjdWPXiVPohHSkn2PwHoQg&amp;campaign_id=120247452154580155&amp;ad_id=120247452701970155</t>
  </si>
  <si>
    <t>2026-04-21T10:53:37.431Z</t>
  </si>
  <si>
    <t>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Instagram_Feed&amp;utm_id=120247452154580155&amp;fbclid=PAZXh0bgNhZW0BMABhZGlkAas0a_clbLtzcnRjBmFwcF9pZA8xMjQwMjQ1NzQyODc0MTQAAadfwL7jb8edMmeVuTWHpOLHHZcMHRfAusSa6gS7-Ex6HfLCnogPZv6kow0BvQ_aem_dSYd1uH-BXrJNj9K2Dtxbw&amp;campaign_id=120247452154580155&amp;ad_id=120247452701970155</t>
  </si>
  <si>
    <t>2026-04-21T21:34:23.341Z</t>
  </si>
  <si>
    <t>Ana</t>
  </si>
  <si>
    <t>anasouza.finan@hotmail.com</t>
  </si>
  <si>
    <t>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Facebook_Mobile_Reels&amp;fbclid=IwZXh0bgNhZW0BMABhZGlkAas0a_clbLtzcnRjBmFwcF9pZAo2NjI4NTY4Mzc5AAEegMeCiOV9edEu4kHqHxXaw_BwiNf9p3-MCcT6VoiptTV3MMxCcnmmtNWNSRo_aem_GXDqnTgAmnAHA9LfnaMh-A&amp;campaign_id=120247452154580155&amp;ad_id=120247452701970155&amp;utm_id=120247452154580155</t>
  </si>
  <si>
    <t>2026-04-21T22:56:42.772Z</t>
  </si>
  <si>
    <t>Cleusa Inácio de O. Carmassi</t>
  </si>
  <si>
    <t>laudocarmassi@gmail.com</t>
  </si>
  <si>
    <t>https://lp.saibai.com.br/?utm_source=MetaAds&amp;utm_medium=ADV+-+%5BIG%5D+%5BFB%5D+%5B30%2B%5D+%5BPIEDADE+-+40KM%5D+V%C3%81RIOS&amp;utm_campaign=07.04.2026+%5BV4%5D+%5BWB%5D+%5BLEADS-GRUPO-WHATS%5D+01&amp;utm_content=07.04+%5BIMG%5D+%5BAD03%5D+Mais+de+50+anos&amp;utm_term=Facebook_Stories&amp;fbclid=IwZXh0bgNhZW0BMABhZGlkAas0a_c_XVtzcnRjBmFwcF9pZAwzNTA2ODU1MzE3MjgAAR7GYA8cM30ZRc76ccYbsL29oglcdwVEKlWzKaOaPWQpIL22my1e6fci-rFlFw_aem_LZleN5jYiei2CLLjWdXvgg&amp;campaign_id=120247452154580155&amp;ad_id=120247452872830155&amp;utm_id=120247452154580155</t>
  </si>
  <si>
    <t>2026-04-21T23:15:34.215Z</t>
  </si>
  <si>
    <t>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Instagram_Feed&amp;utm_id=120247452154580155&amp;fbclid=PAZXh0bgNhZW0BMABhZGlkAas0a_clbLtzcnRjBmFwcF9pZA81NjcwNjczNDMzNTI0MjcAAaeJjnirEZ58CPqeNmcRC2F-U8TQca0J3kaXYICwZtpRAERsh-VvGU5N7gkYKw_aem_XHuWmoPJk9Hci3NRW9zLtQ&amp;campaign_id=120247452154580155&amp;ad_id=120247452701970155</t>
  </si>
  <si>
    <t>2026-04-22T01:14:49.271Z</t>
  </si>
  <si>
    <t>Cibelle dias de Camargo</t>
  </si>
  <si>
    <t>cibelledias23@gmail.com</t>
  </si>
  <si>
    <t>https://lp.saibai.com.br/?utm_source=MetaAds&amp;utm_medium=ADV+-+%5BIG%5D+%5BFB%5D+%5B30%2B%5D+%5BPIEDADE+-+40KM%5D+V%C3%81RIOS&amp;utm_campaign=07.04.2026+%5BV4%5D+%5BWB%5D+%5BLEADS-GRUPO-WHATS%5D+02&amp;utm_content=07.04+%5BIMG%5D+%5BAD04%5D+Pedidos+abertos&amp;utm_term=Instagram_Feed&amp;utm_id=120248254459350155&amp;fbclid=PAZXh0bgNhZW0BMABhZGlkAas1JoRDkXtzcnRjBmFwcF9pZA8xMjQwMjQ1NzQyODc0MTQAAafqY-l1HYnSCKaHqdz8zzoswrTs4rbyeUN3JUiOtWJljMuzPy9PLAxARBjaxA_aem_kl-gnzNvplQLa2H6c-oWGA&amp;campaign_id=120248254459350155&amp;ad_id=120248254459370155</t>
  </si>
  <si>
    <t>2026-04-22T12:24:28.941Z</t>
  </si>
  <si>
    <t>teste</t>
  </si>
  <si>
    <t>gg@gmail.com</t>
  </si>
  <si>
    <t>2026-04-22T14:58:25.101Z</t>
  </si>
  <si>
    <t>Acacio Santos</t>
  </si>
  <si>
    <t>clinvetmm@gmail.com</t>
  </si>
  <si>
    <t>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Facebook_Mobile_Feed&amp;fbclid=IwZXh0bgNhZW0BMABhZGlkAas0a_clbLtzcnRjBmFwcF9pZAwzNTA2ODU1MzE3MjgAAR51CZocHmrvy7gtW0-K1xXrL30mHbnVo9nq1CGMZgcwBTbezZFazAyJtNpo7A_aem_1ArFy02axaEf79RfQrWDlg&amp;campaign_id=120247452154580155&amp;ad_id=120247452701970155&amp;utm_id=120247452154580155</t>
  </si>
  <si>
    <t>2026-04-22T16:47:18.279Z</t>
  </si>
  <si>
    <t>Daher Celidonio</t>
  </si>
  <si>
    <t>daherlee@hotmail.com</t>
  </si>
  <si>
    <t>https://lp.saibai.com.br/?utm_source=MetaAds&amp;utm_medium=ADV+-+%5BIG%5D+%5BFB%5D+%5B30%2B%5D+%5BPIEDADE+-+40KM%5D+V%C3%81RIOS&amp;utm_campaign=07.04.2026+%5BV4%5D+%5BWB%5D+%5BLEADS-GRUPO-WHATS%5D+02&amp;utm_content=07.04+%5BIMG%5D+%5BAD04%5D+Pedidos+abertos&amp;utm_term=Instagram_Feed&amp;utm_id=120248254459350155&amp;fbclid=PAZXh0bgNhZW0BMABhZGlkAas1JoRDkXtzcnRjBmFwcF9pZA8xMjQwMjQ1NzQyODc0MTQAAachILTOXrvx3rqu_-PSo1MNrIVkp0nq0XpyBk1Bo3LYhaw0om3KG7d4EK4YPQ_aem_kC_xP76cce_jEWm8UCX76A&amp;campaign_id=120248254459350155&amp;ad_id=120248254459370155</t>
  </si>
  <si>
    <t>2026-04-22T17:34:58.915Z</t>
  </si>
  <si>
    <t>Maria guida marqyes villa</t>
  </si>
  <si>
    <t>maria.guida19560@gmail.com</t>
  </si>
  <si>
    <t>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Facebook_Mobile_Feed&amp;fbclid=IwZXh0bgNhZW0BMABhZGlkAas0a_clbLtzcnRjBmFwcF9pZAwzNTA2ODU1MzE3MjgAAR4y5i-2HIkZAz8wPqDYYJkus8Ln8Oxm77f6i4sHUl7o5vlzQgucLSK8Ury2_w_aem_qT4Of13lBlDTAGSpdaAtyg&amp;campaign_id=120247452154580155&amp;ad_id=120247452701970155&amp;utm_id=120247452154580155</t>
  </si>
  <si>
    <t>2026-04-22T22:37:18.901Z</t>
  </si>
  <si>
    <t>Elias Pereira</t>
  </si>
  <si>
    <t>eliaspereira290479@gmail.com</t>
  </si>
  <si>
    <t>https://lp.saibai.com.br/?utm_source=MetaAds&amp;utm_medium=ADV+-+%5BIG%5D+%5BFB%5D+%5B30%2B%5D+%5BPIEDADE+-+40KM%5D+V%C3%81RIOS&amp;utm_campaign=07.04.2026+%5BV4%5D+%5BWB%5D+%5BLEADS-GRUPO-WHATS%5D+02&amp;utm_content=07.04+%5BIMG%5D+%5BAD04%5D+Pedidos+abertos&amp;utm_term=Facebook_Mobile_Feed&amp;fbclid=IwZXh0bgNhZW0BMABhZGlkAas1JoRDkXtzcnRjBmFwcF9pZAwzNTA2ODU1MzE3MjgAAR6_rvFK4joTOPd_m6QIuJb28SQWqZZVeeBNyoNxoGcS14rTR2QrHl59bBElYg_aem_M1n7Y9xcQ1gIaneTm1ufIQ&amp;campaign_id=120248254459350155&amp;ad_id=120248254459370155&amp;utm_id=120248254459350155</t>
  </si>
  <si>
    <t>2026-04-23T00:55:50.693Z</t>
  </si>
  <si>
    <t>Gisele Maria De Nadai Gaiotto</t>
  </si>
  <si>
    <t>giselegaiotto@outlook.com</t>
  </si>
  <si>
    <t>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Instagram_Stories&amp;utm_id=120247452154580155&amp;fbclid=PAZXh0bgNhZW0BMABhZGlkAas0a_clbLtzcnRjBmFwcF9pZA8xMjQwMjQ1NzQyODc0MTQAAafxab5_akzbTaO56m860RCZ1KPjD6eAUToS4Tf2zeI54sg4ifySo9d2ipBq6Q_aem_3diglWdXKDB5MkhMBgOlzA&amp;campaign_id=120247452154580155&amp;ad_id=120247452701970155</t>
  </si>
  <si>
    <t>2026-04-23T03:06:22.854Z</t>
  </si>
  <si>
    <t>Celia gavazzi</t>
  </si>
  <si>
    <t>celia.gavazzi@latexsr.com.br</t>
  </si>
  <si>
    <t>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Facebook_Mobile_Reels&amp;fbclid=IwZXh0bgNhZW0BMABhZGlkAas0a_clbLtzcnRjBmFwcF9pZAo2NjI4NTY4Mzc5AAEeFs8Ju3me0bp3L4YRAkEbZYkwQPATuYQo99pbdgQS8mjTs0U1CmRWEbT5Im0_aem_jRM3qnNXQBcQkk8zJULbzQ&amp;campaign_id=120247452154580155&amp;ad_id=120247452701970155&amp;utm_id=120247452154580155</t>
  </si>
  <si>
    <t>2026-04-23T09:34:30.595Z</t>
  </si>
  <si>
    <t>https://lp.saibai.com.br/?utm_source=MetaAds&amp;utm_medium=ADV+-+%5BIG%5D+%5BFB%5D+%5B30%2B%5D+%5BPIEDADE+-+40KM%5D+V%C3%81RIOS&amp;utm_campaign=07.04.2026+%5BV4%5D+%5BWB%5D+%5BLEADS-GRUPO-WHATS%5D+02&amp;utm_content=07.04+%5BIMG%5D+%5BAD04%5D+Pedidos+abertos&amp;utm_term=Instagram_Stories&amp;utm_id=120248254459350155&amp;fbclid=PAZXh0bgNhZW0BMABhZGlkAas1JoRDkXtzcnRjBmFwcF9pZA8xMjQwMjQ1NzQyODc0MTQAAacdq56cYHAIcsXXs-I-s0esKwwGkP-O5HusZtj1PWnoEmsVhSxHYlrioFsOGA_aem_vHwqWAaBrKCgESN8QVpsMA&amp;campaign_id=120248254459350155&amp;ad_id=120248254459370155</t>
  </si>
  <si>
    <t>2026-04-23T14:26:20.389Z</t>
  </si>
  <si>
    <t>Acacio Antônio9</t>
  </si>
  <si>
    <t>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Instagram_Feed&amp;utm_id=120247452154580155&amp;fbclid=PAZXh0bgNhZW0BMABhZGlkAas0a_clbLtzcnRjBmFwcF9pZA81NjcwNjczNDMzNTI0MjcAAac8xBVpmunnByOZvcXFzXkxp34jhArURLy64RA5j09cVaINBDayFjsrlFWIXw_aem_R835-5o5qvbevIPdXiIBPQ&amp;campaign_id=120247452154580155&amp;ad_id=120247452701970155</t>
  </si>
  <si>
    <t>2026-04-23T20:52:06.133Z</t>
  </si>
  <si>
    <t>Elvira Ferreira</t>
  </si>
  <si>
    <t>elviramarinho1958@hotmail.com</t>
  </si>
  <si>
    <t>https://lp.saibai.com.br/?utm_source=MetaAds&amp;utm_medium=ADV+-+%5BIG%5D+%5BFB%5D+%5B30%2B%5D+%5BPIEDADE+-+40KM%5D+V%C3%81RIOS&amp;utm_campaign=07.04.2026+%5BV4%5D+%5BWB%5D+%5BLEADS-GRUPO-WHATS%5D+02&amp;utm_content=07.04+%5BIMG%5D+%5BAD04%5D+Pedidos+abertos&amp;utm_term=Facebook_Mobile_Feed&amp;fbclid=IwZXh0bgNhZW0BMABhZGlkAas1JoRDkXtzcnRjBmFwcF9pZAwzNTA2ODU1MzE3MjgAAR6HjoyyEf6EcpYVEtjbpGyyWqtrE61lMsOVMe4lPMBvbvnbv3mYK6zo6f8KIg_aem_v88EbQrTBNYBgcrxesiBGQ&amp;campaign_id=120248254459350155&amp;ad_id=120248254459370155&amp;utm_id=120248254459350155</t>
  </si>
  <si>
    <t>2026-04-24T03:44:37.530Z</t>
  </si>
  <si>
    <t>Rivetti ⁹</t>
  </si>
  <si>
    <t>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Instagram_Feed&amp;utm_id=120247452154580155&amp;fbclid=PAZXh0bgNhZW0BMABhZGlkAas0a_clbLtzcnRjBmFwcF9pZA81NjcwNjczNDMzNTI0MjcAAafkH6LP4TY_RG9WIj-lruurP4EYRX35f7DLqJ-Xlbs1a9P70bM9jYqNfTHjeQ_aem_fL6NTir7zz5AVEoW-Fytyg&amp;campaign_id=120247452154580155&amp;ad_id=120247452701970155</t>
  </si>
  <si>
    <t>2026-04-24T12:24:56.267Z</t>
  </si>
  <si>
    <t>Maria angela</t>
  </si>
  <si>
    <t>angelajuni@terra.com</t>
  </si>
  <si>
    <t>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Instagram_Reels&amp;utm_id=120247452154580155&amp;fbclid=PAZXh0bgNhZW0BMABhZGlkAas0a_clbLtzcnRjBmFwcF9pZA8xMjQwMjQ1NzQyODc0MTQAAadrMqngmOxlC6V2ILdXzR82j-4L23IUoUaseZSk2dt5C2FTcZ0F9cj5lZ6bPw_aem_wn_ZR6lCOtUChjchE7DrbA&amp;campaign_id=120247452154580155&amp;ad_id=120247452701970155</t>
  </si>
  <si>
    <t>2026-04-25T03:45:15.352Z</t>
  </si>
  <si>
    <t>Manoella</t>
  </si>
  <si>
    <t>manoellamitter.777@gmail.com</t>
  </si>
  <si>
    <t>https://lp.saibai.com.br/?utm_source=google-ads&amp;utm_medium=branding-terms&amp;utm_campaign=venda-direta&amp;utm_term=saibai&amp;utm_content=786538028159&amp;gad_source=1&amp;gad_campaignid=23319194144&amp;gbraid=0AAAAArClr9HA6EDffFX28W6voCsVrOSd9&amp;gclid=EAIaIQobChMIxPPfmouIlAMVQEVIAB2rlwYxEAAYASAAEgIG_vD_BwE</t>
  </si>
  <si>
    <t>2026-04-26T01:25:58.579Z</t>
  </si>
  <si>
    <t>Agnaldo Ranieri Correa</t>
  </si>
  <si>
    <t>ranieri.correa1177@gmail.com</t>
  </si>
  <si>
    <t>2026-04-29T15:55:37.630Z</t>
  </si>
  <si>
    <t>Maria Amélia Sampaio</t>
  </si>
  <si>
    <t>mariaamelia.sampaio@yahoo.com.br</t>
  </si>
  <si>
    <t>https://lp.saibai.com.br/?utm_source=MetaAds&amp;utm_medium=ADV+-+%5BIG%5D+%5BFB%5D+%5B30%2B%5D+%5BPIEDADE+-+40KM%5D+V%C3%81RIOS&amp;utm_campaign=07.04.2026+%5BV4%5D+%5BWB%5D+%5BLEADS-GRUPO-WHATS%5D+02&amp;utm_content=07.04+%5BIMG%5D+%5BAD02%5D+N%C3%A3o+%C3%A9+sobre+comida&amp;utm_term=Instagram_Stories&amp;utm_id=120248254459350155&amp;fbclid=PAZXh0bgNhZW0BMABhZGlkAas1Jn2kKgtzcnRjBmFwcF9pZA8xMjQwMjQ1NzQyODc0MTQAAadpk4PHNfIgQnmLpKdE8j7cJVKtBWUlfzCpZsXXg9GZrne41k_oYO8g3xpiGg_aem_DQ6Wc_ilYyuLCToAFt2VSA&amp;campaign_id=120248254459350155&amp;ad_id=120248254459380155</t>
  </si>
  <si>
    <t>2026-04-30T20:14:35.759Z</t>
  </si>
  <si>
    <t>Patrícia Honji</t>
  </si>
  <si>
    <t>honji.patricia@gmail.com</t>
  </si>
  <si>
    <t>2026-05-01T12:36:19.746Z</t>
  </si>
  <si>
    <t>Daniela Ferreira</t>
  </si>
  <si>
    <t>ferreira.danielaalexandra@gmail.com</t>
  </si>
  <si>
    <t>https://lp.saibai.com.br/?utm_source=google-ads&amp;utm_medium=branding-terms&amp;utm_campaign=venda-direta&amp;utm_term=saibai&amp;utm_content=786538028159&amp;gad_source=1&amp;gad_campaignid=23319194144&amp;gbraid=0AAAAArClr9HdbaFnaRur4fA_IA0QJ6bm-&amp;gclid=CjwKCAjwntHPBhAaEiwA_Xp6RgYFmTSKvGH7xCcolLqaPAvaHSbGT45uU7l9KF-tIOzds8s7tn67mhoCe0cQAvD_BwE</t>
  </si>
  <si>
    <t>2026-05-02T01:55:50.341Z</t>
  </si>
  <si>
    <t>Adriane Paiva Lopes</t>
  </si>
  <si>
    <t>adrivilioti@gmail.com</t>
  </si>
  <si>
    <t>2026-05-02T12:14:03.536Z</t>
  </si>
  <si>
    <t>Marilza Antunes de Lemos</t>
  </si>
  <si>
    <t>marilzadelemos@gmail.com</t>
  </si>
  <si>
    <t>https://lp.saibai.com.br/?utm_source=MetaAds&amp;utm_medium=ADV+-+%5BIG%5D+%5BFB%5D+%5B30%2B%5D+%5BPIEDADE+-+40KM%5D+V%C3%81RIOS&amp;utm_campaign=07.04.2026+%5BV4%5D+%5BWB%5D+%5BLEADS-GRUPO-WHATS%5D+02&amp;utm_content=07.04+%5BIMG%5D+%5BAD02%5D+N%C3%A3o+%C3%A9+sobre+comida&amp;utm_term=Facebook_Stories&amp;fbclid=IwZXh0bgNhZW0BMABhZGlkAas1JoT8MxtzcnRjBmFwcF9pZAo2NjI4NTY4Mzc5AAEezda0u0S2v0Q455fb-K3u6RxrKslnQVi6G-g6LImf7_01wDJ4fnp3HftgCo0_aem_sLFFrJwM3HJk0R0G-bmp7g&amp;campaign_id=120248254459350155&amp;ad_id=120248254459380155&amp;utm_id=120248254459350155</t>
  </si>
  <si>
    <t>2026-05-02T16:30:46.390Z</t>
  </si>
  <si>
    <t>Dagmar Rubiano</t>
  </si>
  <si>
    <t>darugos@terra.com.br</t>
  </si>
  <si>
    <t>https://lp.saibai.com.br/?utm_source=MetaAds&amp;utm_medium=ADV+-+%5BIG%5D+%5BFB%5D+%5B30%2B%5D+%5BPIEDADE+-+40KM%5D+V%C3%81RIOS&amp;utm_campaign=07.04.2026+%5BV4%5D+%5BWB%5D+%5BLEADS-GRUPO-WHATS%5D+02&amp;utm_content=07.04+%5BIMG%5D+%5BAD04%5D+Pedidos+abertos&amp;utm_term=Instagram_Stories&amp;utm_id=120248254459350155&amp;fbclid=PAZXh0bgNhZW0BMABhZGlkAas1g0M2JftzcnRjBmFwcF9pZA81NjcwNjczNDMzNTI0MjcAAaclhV9F1gdYsRDI7hfW05QaNo-D1V4Itup5XTU09GKbdAq_-LHtREnsfCzw9Q_aem_y66OzBa3FhjPu23g4yp8qQ&amp;campaign_id=120248254459350155&amp;ad_id=120248254459370155</t>
  </si>
  <si>
    <t>2026-05-03T07:46:41.553Z</t>
  </si>
  <si>
    <t>Cristiane Ambrozevicius</t>
  </si>
  <si>
    <t>c.ambrozevicius@gmail.com</t>
  </si>
  <si>
    <t>https://lp.saibai.com.br/?utm_source=MetaAds&amp;utm_medium=ADV+-+%5BIG%5D+%5BFB%5D+%5B30%2B%5D+%5BPIEDADE+-+40KM%5D+V%C3%81RIOS&amp;utm_campaign=07.04.2026+%5BV4%5D+%5BWB%5D+%5BLEADS-GRUPO-WHATS%5D+02&amp;utm_content=07.04+%5BIMG%5D+%5BAD02%5D+N%C3%A3o+%C3%A9+sobre+comida&amp;utm_term=Facebook_Mobile_Feed&amp;fbclid=IwZXh0bgNhZW0BMABhZGlkAas1JoT8MxtzcnRjBmFwcF9pZAo2NjI4NTY4Mzc5AAEe0fNdc3GnnlTsZJykjGSqUfwBcRhd7esngndSb2sFpVeyLrO4IJMuwCfd0Y0_aem_w6yryjXHqogF0WhVUgco2Q&amp;campaign_id=120248254459350155&amp;ad_id=120248254459380155&amp;utm_id=120248254459350155</t>
  </si>
  <si>
    <t>2026-05-03T17:40:03.103Z</t>
  </si>
  <si>
    <t>Mario Mortara</t>
  </si>
  <si>
    <t>mortaramario@gmail.com</t>
  </si>
  <si>
    <t>https://lp.saibai.com.br/?utm_source=MetaAds&amp;utm_medium=ADV+-+%5BIG%5D+%5BFB%5D+%5B30%2B%5D+%5BPIEDADE+-+40KM%5D+V%C3%81RIOS&amp;utm_campaign=07.04.2026+%5BV4%5D+%5BWB%5D+%5BLEADS-GRUPO-WHATS%5D+02&amp;utm_content=07.04+%5BIMG%5D+%5BAD02%5D+N%C3%A3o+%C3%A9+sobre+comida&amp;utm_term=Facebook_Mobile_Feed&amp;fbclid=IwZXh0bgNhZW0BMABhZGlkAas1Jn2kKgtzcnRjBmFwcF9pZAwzNTA2ODU1MzE3MjgAAR7VgLnxS0GGJLK3UM_oeNUQAjVcwcL81yfpJx4uw5cfzRYhIPczx-9TkHMntQ_aem_c9fygREylSbzu-qyvoIcLQ&amp;campaign_id=120248254459350155&amp;ad_id=120248254459380155&amp;utm_id=120248254459350155</t>
  </si>
  <si>
    <t>2026-05-04T11:48:31.873Z</t>
  </si>
  <si>
    <t>Marcia</t>
  </si>
  <si>
    <t>Marciadecassiavieira2010@gmail.com</t>
  </si>
  <si>
    <t>2026-05-04T18:53:01.473Z</t>
  </si>
  <si>
    <t>Claudia Bassani</t>
  </si>
  <si>
    <t>claudia.m.b.bassani@gmail.com</t>
  </si>
  <si>
    <t>https://lp.saibai.com.br/?utm_source=MetaAds&amp;utm_medium=ADV+-+%5BIG%5D+%5BFB%5D+%5B30%2B%5D+%5BPIEDADE+-+40KM%5D+V%C3%81RIOS&amp;utm_campaign=07.04.2026+%5BV4%5D+%5BWB%5D+%5BLEADS-GRUPO-WHATS%5D+02&amp;utm_content=07.04+%5BIMG%5D+%5BAD02%5D+N%C3%A3o+%C3%A9+sobre+comida&amp;utm_term=Instagram_Feed&amp;utm_id=120248254459350155&amp;fbclid=PAZXh0bgNhZW0BMABhZGlkAas1Jn2kKgtzcnRjBmFwcF9pZA8xMjQwMjQ1NzQyODc0MTQAAactKlDmulmiuGeeW0Hs7MsyNqL5F7yXFj7g9_Xi9OKQvs0PJ7mrFV4K2gkFJw_aem_uivLaNfwNM6omt9hmVE-xA&amp;campaign_id=120248254459350155&amp;ad_id=120248254459380155</t>
  </si>
  <si>
    <t>2026-05-05T00:01:49.125Z</t>
  </si>
  <si>
    <t>Maria do Carmo  Silveira Gomide</t>
  </si>
  <si>
    <t>mcarmo61@gmail.com</t>
  </si>
  <si>
    <t>https://lp.saibai.com.br/?utm_source=MetaAds&amp;utm_medium=ADV+-+%5BIG%5D+%5BFB%5D+%5B30%2B%5D+%5BPIEDADE+-+40KM%5D+V%C3%81RIOS&amp;utm_campaign=07.04.2026+%5BV4%5D+%5BWB%5D+%5BLEADS-GRUPO-WHATS%5D+02&amp;utm_content=07.04+%5BIMG%5D+%5BAD02%5D+N%C3%A3o+%C3%A9+sobre+comida&amp;utm_term=Facebook_Mobile_Feed&amp;fbclid=IwZXh0bgNhZW0BMABhZGlkAas1Jn2kKgtzcnRjBmFwcF9pZAo2NjI4NTY4Mzc5AAEeGfEUT90X7pwRdyKHuozzFy3q6ndGo3xXS39lPgGxEMHgiItf5lFolt_JgP8_aem_q1yk42JbezWimbwH-WBxDQ&amp;campaign_id=120248254459350155&amp;ad_id=120248254459380155&amp;utm_id=120248254459350155</t>
  </si>
  <si>
    <t>2026-05-05T00:34:35.596Z</t>
  </si>
  <si>
    <t>Luuh valente</t>
  </si>
  <si>
    <t>denonelu@gmail.com</t>
  </si>
  <si>
    <t>https://lp.saibai.com.br/?utm_source=MetaAds&amp;utm_medium=ADV+-+%5BIG%5D+%5BFB%5D+%5B30%2B%5D+%5BPIEDADE+-+40KM%5D+V%C3%81RIOS&amp;utm_campaign=07.04.2026+%5BV4%5D+%5BWB%5D+%5BLEADS-GRUPO-WHATS%5D+02&amp;utm_content=07.04+%5BIMG%5D+%5BAD02%5D+N%C3%A3o+%C3%A9+sobre+comida&amp;utm_term=Instagram_Feed&amp;utm_id=120248254459350155&amp;fbclid=PAZXh0bgNhZW0BMABhZGlkAas1Jn2kKgtzcnRjBmFwcF9pZA8xMjQwMjQ1NzQyODc0MTQAAad_R45j3OMhWX6UdUw1RO2NeWUpik_4_u4QpJR3zeUeGj3HSZ2i-kCodVoaYA_aem_eNF-htJ82BhtGZQ04_C1eA&amp;campaign_id=120248254459350155&amp;ad_id=120248254459380155</t>
  </si>
  <si>
    <t>2026-05-06T13:05:08.792Z</t>
  </si>
  <si>
    <t>Carina de Fátima Granjeiro</t>
  </si>
  <si>
    <t>carina.granjeiro24@gmail.com</t>
  </si>
  <si>
    <t>https://lp.saibai.com.br/?utm_source=google-ads&amp;utm_medium=branding-terms&amp;utm_campaign=venda-direta&amp;utm_term=saibai&amp;utm_content=786538028159&amp;gad_source=1&amp;gad_campaignid=23319194144&amp;gbraid=0AAAAArClr9GaBihPMT2zlUuA2ozrow0U_&amp;gclid=EAIaIQobChMI6OvD9NyklAMVmEFIAB3vgh8cEAAYASAFEgKaV_D_BwE</t>
  </si>
  <si>
    <t>2026-05-06T20:05:22.542Z</t>
  </si>
  <si>
    <t>Cintia Carvalho</t>
  </si>
  <si>
    <t>cinthiaros2018@gmail.com</t>
  </si>
  <si>
    <t>https://lp.saibai.com.br/?utm_source=MetaAds&amp;utm_medium=ADV+-+%5BIG%5D+%5BFB%5D+%5B30%2B%5D+%5BPIEDADE+-+40KM%5D+V%C3%81RIOS&amp;utm_campaign=07.04.2026+%5BV4%5D+%5BWB%5D+%5BLEADS-GRUPO-WHATS%5D+02&amp;utm_content=07.04+%5BIMG%5D+%5BAD02%5D+N%C3%A3o+%C3%A9+sobre+comida&amp;utm_term=Instagram_Reels&amp;utm_id=120248254459350155&amp;fbclid=PAZXh0bgNhZW0BMABhZGlkAas1Jn2kKgtzcnRjBmFwcF9pZA81NjcwNjczNDMzNTI0MjcAAae8-ayODuHCQOZ-1_OPhB0zJeZPpz7s8Tt8lFPST1hD87sde7akXYZ761cOvg_aem_qzCbL-GuEZ3x5eCXk9Zbpg&amp;campaign_id=120248254459350155&amp;ad_id=120248254459380155</t>
  </si>
  <si>
    <t>2026-05-07T15:01:52.778Z</t>
  </si>
  <si>
    <t>Angélica Cesarino de Proença</t>
  </si>
  <si>
    <t>cesarinodeproencaangelica@gmail.com</t>
  </si>
  <si>
    <t>2026-05-08T02:12:00.545Z</t>
  </si>
  <si>
    <t>Adriane Lopes</t>
  </si>
  <si>
    <t>https://lp.saibai.com.br/?utm_source=MetaAds&amp;utm_medium=ADV+-+%5BIG%5D+%5BFB%5D+%5B30%2B%5D+%5BPIEDADE+-+40KM%5D+V%C3%81RIOS&amp;utm_campaign=07.04.2026+%5BV4%5D+%5BWB%5D+%5BLEADS-GRUPO-WHATS%5D+02&amp;utm_content=07.04+%5BIMG%5D+%5BAD02%5D+N%C3%A3o+%C3%A9+sobre+comida&amp;utm_term=Facebook_Mobile_Feed&amp;fbclid=IwZXh0bgNhZW0BMABhZGlkAas1JoT8MxtzcnRjBmFwcF9pZAwzNTA2ODU1MzE3MjgAAR77XHcJ992eDybgkiO5NBQrChXuBSs0uD621Zhyrehtwk937cwMxq0xERg2MQ_aem_AWznl5e-_MdurNH3_rC0EQ&amp;campaign_id=120248254459350155&amp;ad_id=120248254459380155&amp;utm_id=120248254459350155</t>
  </si>
  <si>
    <t>2026-05-09T00:01:19.672Z</t>
  </si>
  <si>
    <t>Katia aparecida</t>
  </si>
  <si>
    <t>katiasantosdejesus@hotmail.com</t>
  </si>
  <si>
    <t>2026-05-10T20:57:20.683Z</t>
  </si>
  <si>
    <t>Julieta Muller</t>
  </si>
  <si>
    <t>julieta@selectgreen.com.br</t>
  </si>
  <si>
    <t>https://lp.saibai.com.br/?utm_source=MetaAds&amp;utm_medium=ADV+-+%5BIG%5D+%5BFB%5D+%5B30%2B%5D+%5BPIEDADE+-+40KM%5D+V%C3%81RIOS&amp;utm_campaign=07.04.2026+%5BV4%5D+%5BWB%5D+%5BLEADS-GRUPO-WHATS%5D+02&amp;utm_content=07.04+%5BIMG%5D+%5BAD02%5D+N%C3%A3o+%C3%A9+sobre+comida&amp;utm_term=Instagram_Feed&amp;utm_id=120248254459350155&amp;fbclid=PAZXh0bgNhZW0BMABhZGlkAas1Jn2kKgtzcnRjBmFwcF9pZA8xMjQwMjQ1NzQyODc0MTQAAadEO8nUcoq5acTmK8F8u1I9RQznXpmScxqs942CYumPsoZBG_1_I5NxIcsK3w_aem__c3hScc8zt40rDTpsRfF_g&amp;campaign_id=120248254459350155&amp;ad_id=120248254459380155</t>
  </si>
  <si>
    <t>2026-05-10T22:14:22.065Z</t>
  </si>
  <si>
    <t>Eliane Zanetti</t>
  </si>
  <si>
    <t>tineza.lila@gmail.com</t>
  </si>
  <si>
    <t>https://lp.saibai.com.br/?utm_source=MetaAds&amp;utm_medium=ADV+-+%5BIG%5D+%5BFB%5D+%5B30%2B%5D+%5BPIEDADE+-+40KM%5D+V%C3%81RIOS&amp;utm_campaign=07.04.2026+%5BV4%5D+%5BWB%5D+%5BLEADS-GRUPO-WHATS%5D+02&amp;utm_content=07.04+%5BIMG%5D+%5BAD02%5D+N%C3%A3o+%C3%A9+sobre+comida&amp;utm_term=Facebook_Mobile_Feed&amp;fbclid=IwZXh0bgNhZW0BMABhZGlkAas1Jn2kKgtzcnRjBmFwcF9pZAwzNTA2ODU1MzE3MjgAAR4Vug4KZspILIwqswOW8oyq6w33Xw0vrECcpGHA4PqlEBJO1Y08kmJKUyxomA_aem_AjytrD3tWUqBRDbMx3ephg&amp;campaign_id=120248254459350155&amp;ad_id=120248254459380155&amp;utm_id=120248254459350155</t>
  </si>
  <si>
    <t>2026-05-10T22:26:19.289Z</t>
  </si>
  <si>
    <t>Rosemary conceicao santos</t>
  </si>
  <si>
    <t>rosybahia@hotmail.com</t>
  </si>
  <si>
    <t>https://lp.saibai.com.br/?utm_source=MetaAds&amp;utm_medium=ADV+-+%5BIG%5D+%5BFB%5D+%5B30%2B%5D+%5BPIEDADE+-+40KM%5D+V%C3%81RIOS&amp;utm_campaign=22.04.2026+%5BV4%5D+%5BWB%5D+%5BLEADS-GRUPO-WHATS%5D+02&amp;utm_content=07.04+%5BIMG%5D+%5BAD04%5D+Pedidos+abertos&amp;utm_term=Instagram_Feed&amp;utm_id=120248254459350155&amp;fbclid=PAZXh0bgNhZW0BMABhZGlkAas1g04I1ttzcnRjBmFwcF9pZA8xMjQwMjQ1NzQyODc0MTQAAacF-10u2fP9tY-1Szr7fL26wiBrP9hMY59qa8SDLkWjdmfeqJ4DyRmPa1hP6g_aem_rqkUhJq0TlpuIVIfAjp0jg&amp;campaign_id=120248254459350155&amp;ad_id=120248254459370155</t>
  </si>
  <si>
    <t>2026-05-15T11:29:30.332Z</t>
  </si>
  <si>
    <t>Alessandra Frattes</t>
  </si>
  <si>
    <t>alessandratfr@gmail.com</t>
  </si>
  <si>
    <t>https://lp.saibai.com.br/?utm_source=MetaAds&amp;utm_medium=ADV+-+%5BIG%5D+%5BFB%5D+%5B30%2B%5D+%5BPIEDADE+-+40KM%5D+V%C3%81RIOS&amp;utm_campaign=22.04.2026+%5BV4%5D+%5BWB%5D+%5BLEADS-GRUPO-WHATS%5D+02&amp;utm_content=07.04+%5BIMG%5D+%5BAD04%5D+Pedidos+abertos&amp;utm_term=Instagram_Feed&amp;utm_id=120248254459350155&amp;fbclid=PAZXh0bgNhZW0BMABhZGlkAas1g04I1ttzcnRjBmFwcF9pZA8xMjQwMjQ1NzQyODc0MTQAAaeE_WAK2rUvQy4Lq6frMNFYpJMzQp2NRcn7k_3eGWuuSUI4aWU_H6_TMgZ4UQ_aem_27A99QAu8sjekaJxukVA6Q&amp;campaign_id=120248254459350155&amp;ad_id=120248254459370155</t>
  </si>
  <si>
    <t>2026-05-15T13:00:24.770Z</t>
  </si>
  <si>
    <t>Maria Guida Villa</t>
  </si>
  <si>
    <t>https://lp.saibai.com.br/?utm_source=MetaAds&amp;utm_medium=ADV+-+%5BIG%5D+%5BFB%5D+%5B30%2B%5D+%5BPIEDADE+-+40KM%5D+V%C3%81RIOS&amp;utm_campaign=07.04.2026+%5BV4%5D+%5BWB%5D+%5BLEADS-GRUPO-WHATS%5D+02&amp;utm_content=07.04+%5BIMG%5D+%5BAD04%5D+Pedidos+abertos&amp;utm_term=Facebook_Mobile_Feed&amp;fbclid=IwZXh0bgNhZW0BMABhZGlkAas1g0M2JftzcnRjBmFwcF9pZAwzNTA2ODU1MzE3MjgAAR5qyKYgNSsN6sZLXs-4jl22Hp9YaybbepwG9bix652pK5iTwiFL-xuFavDGSQ_aem_bjbOMyL9leYRZNWXINvsEw&amp;campaign_id=120248254459350155&amp;ad_id=120248254459370155&amp;utm_id=120248254459350155</t>
  </si>
  <si>
    <t>2026-05-15T19:57:46.263Z</t>
  </si>
  <si>
    <t>Maria</t>
  </si>
  <si>
    <t>ligata35@hotmail.com</t>
  </si>
  <si>
    <t>https://lp.saibai.com.br/?utm_source=MetaAds&amp;utm_medium=ADV+-+%5BIG%5D+%5BFB%5D+%5B30%2B%5D+%5BPIEDADE+-+40KM%5D+V%C3%81RIOS&amp;utm_campaign=22.04.2026+%5BV4%5D+%5BWB%5D+%5BLEADS-GRUPO-WHATS%5D+02&amp;utm_content=07.04+%5BIMG%5D+%5BAD04%5D+Pedidos+abertos&amp;utm_term=Instagram_Feed&amp;utm_id=120248254459350155&amp;fbclid=PAZXh0bgNhZW0BMABhZGlkAas1g04I1ttzcnRjBmFwcF9pZA81NjcwNjczNDMzNTI0MjcAAafs3vmqy0V4HqrfjcG0Cq4IeJHBY394-yHOz7A2I435iRZxmNn-xeAFg62yrQ_aem_o0opLBdAUgfpWVfNW7oohg&amp;campaign_id=120248254459350155&amp;ad_id=120248254459370155</t>
  </si>
  <si>
    <t>2026-05-15T21:30:20.534Z</t>
  </si>
  <si>
    <t>Maria jose</t>
  </si>
  <si>
    <t>ciarmamariajose@gmail.com</t>
  </si>
  <si>
    <t>https://lp.saibai.com.br/?utm_source=MetaAds&amp;utm_medium=ADV+-+%5BIG%5D+%5BFB%5D+%5B30%2B%5D+%5BPIEDADE+-+40KM%5D+V%C3%81RIOS&amp;utm_campaign=22.04.2026+%5BV4%5D+%5BWB%5D+%5BLEADS-GRUPO-WHATS%5D+02&amp;utm_content=07.04+%5BIMG%5D+%5BAD04%5D+Pedidos+abertos&amp;utm_term=Facebook_Mobile_Reels&amp;fbclid=IwZXh0bgNhZW0BMABhZGlkAas1g04I1ttzcnRjBmFwcF9pZAwzNTA2ODU1MzE3MjgAAR5XdFiakkfzfXQ0lEKm1fAq71h3zlpNp4MRx1MKmAnPAr2Npm_Xwu53rjFFiA_aem_NjdfhldL758MPxBVZrWIug&amp;campaign_id=120248254459350155&amp;ad_id=120248254459370155&amp;utm_id=120248254459350155</t>
  </si>
  <si>
    <t>2026-05-15T21:30:41.608Z</t>
  </si>
  <si>
    <t>2026-05-16T04:08:56.329Z</t>
  </si>
  <si>
    <t>Jorge Salles</t>
  </si>
  <si>
    <t>jorge_salles@hotmail.com</t>
  </si>
  <si>
    <t>https://lp.saibai.com.br/?utm_source=MetaAds&amp;utm_medium=ADV+-+%5BIG%5D+%5BFB%5D+%5B30%2B%5D+%5BPIEDADE+-+40KM%5D+V%C3%81RIOS&amp;utm_campaign=22.04.2026+%5BV4%5D+%5BWB%5D+%5BLEADS-GRUPO-WHATS%5D+02&amp;utm_content=07.04+%5BIMG%5D+%5BAD04%5D+Pedidos+abertos&amp;utm_term=Instagram_Stories&amp;utm_id=120248254459350155&amp;fbclid=PAZXh0bgNhZW0BMABhZGlkAas1g04I1ttzcnRjBmFwcF9pZA81NjcwNjczNDMzNTI0MjcAAafb7x_rxkXnyotbIYFDUCj-4s4hwIbdiBdiErV23TWaYdS23AqGrlwLOmMs9w_aem_DNw7rUBVFQgeulyimkC9nQ&amp;campaign_id=120248254459350155&amp;ad_id=120248254459370155</t>
  </si>
  <si>
    <t>2026-05-16T09:30:24.820Z</t>
  </si>
  <si>
    <t>Franciele</t>
  </si>
  <si>
    <t>ftcontente@gmail.com</t>
  </si>
  <si>
    <t>https://lp.saibai.com.br/?utm_source=MetaAds&amp;utm_medium=ADV+-+%5BIG%5D+%5BFB%5D+%5B30%2B%5D+%5BPIEDADE+-+40KM%5D+V%C3%81RIOS&amp;utm_campaign=07.04.2026+%5BV4%5D+%5BWB%5D+%5BLEADS-GRUPO-WHATS%5D+02&amp;utm_content=07.04+%5BIMG%5D+%5BAD04%5D+Pedidos+abertos&amp;utm_term=Facebook_Mobile_Feed&amp;fbclid=IwZXh0bgNhZW0BMABhZGlkAas1g0M2JftzcnRjBmFwcF9pZAo2NjI4NTY4Mzc5AAEemmPp-h908ED4lzRNkZEgXLB2U85XpHnSU9S57f1hLetk3Q6mwRRlXwxJMss_aem_P4WdRxhyjFABka09Nz1wuw&amp;campaign_id=120248254459350155&amp;ad_id=120248254459370155&amp;utm_id=120248254459350155</t>
  </si>
  <si>
    <t>2026-05-16T14:48:14.812Z</t>
  </si>
  <si>
    <t>Lúcia Helena Diniz de Proença Gentina</t>
  </si>
  <si>
    <t>luciadinizgentina@gmail.com</t>
  </si>
  <si>
    <t>https://lp.saibai.com.br/?utm_source=MetaAds&amp;utm_medium=ADV+-+%5BIG%5D+%5BFB%5D+%5B30%2B%5D+%5BPIEDADE+-+40KM%5D+V%C3%81RIOS&amp;utm_campaign=22.04.2026+%5BV4%5D+%5BWB%5D+%5BLEADS-GRUPO-WHATS%5D+02&amp;utm_content=07.04+%5BIMG%5D+%5BAD04%5D+Pedidos+abertos&amp;utm_term=Instagram_Stories&amp;utm_id=120248254459350155&amp;fbclid=PAZXh0bgNhZW0BMABhZGlkAas1g04I1ttzcnRjBmFwcF9pZA8xMjQwMjQ1NzQyODc0MTQAAae-OuiBKHUg_q-V80zuNWrHjSAbwWv1SBxxkBBPbNv5BSohQer5onn9j_k7iw_aem_exAkmSnk9RkVPMnyF48flQ&amp;campaign_id=120248254459350155&amp;ad_id=120248254459370155</t>
  </si>
  <si>
    <t>2026-05-16T22:47:27.477Z</t>
  </si>
  <si>
    <t>Patricia Aparecida de Oliveira Cordeiro</t>
  </si>
  <si>
    <t>patriciaaparecida65234@gmail.com</t>
  </si>
  <si>
    <t>https://lp.saibai.com.br/?utm_source=google-ads&amp;utm_medium=branding-terms&amp;utm_campaign=venda-direta&amp;utm_term=saibai&amp;utm_content=786538028159&amp;gad_source=1&amp;gad_campaignid=23319194144&amp;gclid=CjwKCAjwq6DQBhBVEiwA4ZD5XAJUnNJmfzqs0-GvFjLx1DIC_Wc7Nf3JuJ9YH43l6MErkzvJBzfoWBoC5FQQAvD_BwE</t>
  </si>
  <si>
    <t>2026-05-17T10:48:14.229Z</t>
  </si>
  <si>
    <t>Diracy Oliveira</t>
  </si>
  <si>
    <t>diracy.cassia@gmail.com</t>
  </si>
  <si>
    <t>https://lp.saibai.com.br/?utm_source=MetaAds&amp;utm_medium=ADV+-+%5BIG%5D+%5BFB%5D+%5B30%2B%5D+%5BPIEDADE+-+40KM%5D+V%C3%81RIOS&amp;utm_campaign=07.04.2026+%5BV4%5D+%5BWB%5D+%5BLEADS-GRUPO-WHATS%5D+02&amp;utm_content=07.04+%5BIMG%5D+%5BAD04%5D+Pedidos+abertos&amp;utm_term=Facebook_Mobile_Reels&amp;fbclid=IwZXh0bgNhZW0BMABhZGlkAas1g0M2JftzcnRjBmFwcF9pZAwzNTA2ODU1MzE3MjgAAR5YLJ2z-YS8pzYMqNZ-CVCktrbpoT6NXjqxRWacevV7DWSYQZS2CUy5Bvb2jw_aem_RPvKtZit-FzWgf307pUKeg&amp;campaign_id=120248254459350155&amp;ad_id=120248254459370155&amp;utm_id=120248254459350155</t>
  </si>
  <si>
    <t>2026-05-17T12:59:06.842Z</t>
  </si>
  <si>
    <t>Regina Stela Santos</t>
  </si>
  <si>
    <t>regina_stela@outlook.com</t>
  </si>
  <si>
    <t>https://lp.saibai.com.br/?utm_source=MetaAds&amp;utm_medium=ADV+-+%5BIG%5D+%5BFB%5D+%5B30%2B%5D+%5BPIEDADE+-+40KM%5D+V%C3%81RIOS&amp;utm_campaign=22.04.2026+%5BV4%5D+%5BWB%5D+%5BLEADS-GRUPO-WHATS%5D+02&amp;utm_content=07.04+%5BIMG%5D+%5BAD04%5D+Pedidos+abertos&amp;utm_term=Facebook_Mobile_Feed&amp;fbclid=IwZXh0bgNhZW0BMABhZGlkAas1g0zhbdtzcnRjBmFwcF9pZAwzNTA2ODU1MzE3MjgAAR65hMpfM09_qooPQicaA8DkkL9Q9lvS07tqr4C22E1zcUHZuUoQiocvuGiA3g_aem_aoV6cFrpEry9D5jMT4mCGw&amp;campaign_id=120248254459350155&amp;ad_id=120248254459370155&amp;utm_id=120248254459350155</t>
  </si>
  <si>
    <t>2026-05-17T18:21:19.698Z</t>
  </si>
  <si>
    <t>Gisele Nunes De Aguiar</t>
  </si>
  <si>
    <t>g.nunes.aguiar@uol.com.br</t>
  </si>
  <si>
    <t>https://lp.saibai.com.br/?utm_source=MetaAds&amp;utm_medium=ADV+-+%5BIG%5D+%5BFB%5D+%5B30%2B%5D+%5BPIEDADE+-+40KM%5D+V%C3%81RIOS&amp;utm_campaign=22.04.2026+%5BV4%5D+%5BWB%5D+%5BLEADS-GRUPO-WHATS%5D+02&amp;utm_content=07.04+%5BIMG%5D+%5BAD04%5D+Pedidos+abertos&amp;utm_term=Facebook_Mobile_Feed&amp;fbclid=IwZXh0bgNhZW0BMABhZGlkAas1g04I1ttzcnRjBmFwcF9pZAwzNTA2ODU1MzE3MjgAAR5V8M8okVsbneSmmItgM9Weuzoo7iJ2BZrVWgVGZHkUAYTmDLKrOryXWQTogA_aem_F7jWqrt-l2Lco9yKUenNww&amp;campaign_id=120248254459350155&amp;ad_id=120248254459370155&amp;utm_id=120248254459350155</t>
  </si>
  <si>
    <t>2026-05-17T20:15:41.825Z</t>
  </si>
  <si>
    <t>https://lp.saibai.com.br/?utm_source=MetaAds&amp;utm_medium=ADV+-+%5BIG%5D+%5BFB%5D+%5B30%2B%5D+%5BPIEDADE+-+40KM%5D+V%C3%81RIOS&amp;utm_campaign=22.04.2026+%5BV4%5D+%5BWB%5D+%5BLEADS-GRUPO-WHATS%5D+02&amp;utm_content=07.04+%5BIMG%5D+%5BAD04%5D+Pedidos+abertos&amp;utm_term=Facebook_Mobile_Feed&amp;fbclid=IwZXh0bgNhZW0BMABhZGlkAas1g04I1ttzcnRjBmFwcF9pZAwzNTA2ODU1MzE3MjgAAR7zBljx5bG95OE-UUPXX2Q_7T75C4SAZbM2n_zCfc1hR_nl09AbMddnvcr3YQ_aem_sJfm-lNBWE7YgNEtFNxZsg&amp;campaign_id=120248254459350155&amp;ad_id=120248254459370155&amp;utm_id=120248254459350155</t>
  </si>
  <si>
    <t>2026-05-17T20:45:35.190Z</t>
  </si>
  <si>
    <t>https://lp.saibai.com.br/?utm_source=MetaAds&amp;utm_medium=ADV+-+%5BIG%5D+%5BFB%5D+%5B30%2B%5D+%5BPIEDADE+-+40KM%5D+V%C3%81RIOS&amp;utm_campaign=07.04.2026+%5BV4%5D+%5BWB%5D+%5BLEADS-GRUPO-WHATS%5D+02&amp;utm_content=07.04+%5BIMG%5D+%5BAD04%5D+Pedidos+abertos&amp;utm_term=Facebook_Mobile_Feed&amp;fbclid=IwZXh0bgNhZW0BMABhZGlkAas1g0M2JftzcnRjBmFwcF9pZAwzNTA2ODU1MzE3MjgAAR7p19AWs0m_-NwatHjYPYNvoEAK71LWMwsG6bYmx6e7MGGos6NqwnpbjtSO2g_aem_a4UG6yBc-Gl0PB28wfVO0A&amp;campaign_id=120248254459350155&amp;ad_id=120248254459370155&amp;utm_id=120248254459350155</t>
  </si>
  <si>
    <t>2026-05-18T21:05:59.683Z</t>
  </si>
  <si>
    <t>Maria Cristina de Jesus Gomes</t>
  </si>
  <si>
    <t>cristp.pereira@gmail.com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</si>
  <si>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HJg-tzcnRjBmFwcF9pZAwzNTA2ODU1MzE3MjgAAR4OnrEmKqeQmsQsESBGGHb0b53hioPXmY5sS7tbp1rY84bFgddnpn5KZhX80g_aem_7UMD7hoKLVXyxjm7He3vgg&amp;campaign_id=120248254459350155&amp;ad_id=120249883219710155&amp;utm_id=120248254459350155</t>
  </si>
  <si>
    <t>2026-05-19T04:03:51.804Z</t>
  </si>
  <si>
    <t>Maria ee Fatima Rodrigues Domingues</t>
  </si>
  <si>
    <t>fatima@stallos.com.br</t>
  </si>
  <si>
    <t>https://lp.saibai.com.br/?utm_source=MetaAds&amp;utm_medium=ADV+-+%5BIG%5D+%5BFB%5D+%5B30%2B%5D+%5BPIEDADE+-+40KM%5D+V%C3%81RIOS&amp;utm_campaign=07.04.2026+%5BV4%5D+%5BWB%5D+%5BLEADS-GRUPO-WHATS%5D+02&amp;utm_content=07.04+%5BIMG%5D+%5BAD04%5D+Pedidos+abertos&amp;utm_term=Facebook_Mobile_Reels&amp;fbclid=IwZXh0bgNhZW0BMABhZGlkAas1g0M2JftzcnRjBmFwcF9pZAo2NjI4NTY4Mzc5AAEe59NwpU3t_K43fNW0dMdr_RQv6JEZB-4MsZiCG6e6To7aHm1HUVJPekmBEgM_aem_MfmLtrDHdMPpRyk_vX4lfg&amp;campaign_id=120248254459350155&amp;ad_id=120248254459370155&amp;utm_id=120248254459350155</t>
  </si>
  <si>
    <t>2026-05-19T07:07:37.599Z</t>
  </si>
  <si>
    <t>Tania Mura</t>
  </si>
  <si>
    <t>tania.mura@hotmail.com</t>
  </si>
  <si>
    <t>https://lp.saibai.com.br/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ob8X6ftzcnRjBmFwcF9pZA81NjcwNjczNDMzNTI0MjcAAaecdB2agZ6Eo01ibiN63iQc39tFTg2X8NuIR9YzlNmQTsvsLS0mIgWALRGlmw_aem_VEk-ej5m31r1dxznvzZ_bg&amp;campaign_id=120248254459350155&amp;ad_id=120249883219710155</t>
  </si>
  <si>
    <t>2026-05-19T17:01:15.965Z</t>
  </si>
  <si>
    <t>SONIA FERREIRA2</t>
  </si>
  <si>
    <t>buabsiferreira@hotmail.com</t>
  </si>
  <si>
    <t>https://lp.saibai.com.br/?utm_source=MetaAds&amp;utm_medium=ADV+-+%5BIG%5D+%5BFB%5D+%5B30%2B%5D+%5BSP+METROPOLE%5D+V%C3%81RIOS&amp;utm_campaign=22.04.2026+%5BV4%5D+%5BWB%5D+%5BLEADS-GRUPO-WHATS%5D+02&amp;utm_content=07.04+%5BIMG%5D+%5BAD04%5D+Pedidos+abertos&amp;utm_term=Instagram_Reels&amp;utm_id=120248254459350155&amp;fbclid=PAZXh0bgNhZW0BMABhZGlkAas2ob8X6ftzcnRjBmFwcF9pZA81NjcwNjczNDMzNTI0MjcAAafgDmiz9HCVQyHEZ7fkrGlqoYVozq6ZhBM7Yda-I5-82dxERGPMCIvH7zTfiw_aem_HOR7STLIouDxlGErgWFepA&amp;campaign_id=120248254459350155&amp;ad_id=120249883219710155</t>
  </si>
  <si>
    <t>2026-05-19T20:54:09.731Z</t>
  </si>
  <si>
    <t>Antonio S.Del Grande</t>
  </si>
  <si>
    <t>as.delgrande@gmail.com</t>
  </si>
  <si>
    <t>https://lp.saibai.com.br/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ob8X6ftzcnRjBmFwcF9pZAwzNTA2ODU1MzE3MjgAAR5mh8osOy5IGP90bILHL9ObNG1yCJBkoLx-214Pgb6SQsl12y5hHkpq072UXA_aem_8l7WB5UgQWDSvPZLVfnyow&amp;campaign_id=120248254459350155&amp;ad_id=120249883219710155&amp;utm_id=120248254459350155</t>
  </si>
  <si>
    <t>2026-05-19T23:17:15.975Z</t>
  </si>
  <si>
    <t>elaineefabiano@uol.com.br</t>
  </si>
  <si>
    <t>https://lp.saibai.com.br/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ob8X6ftzcnRjBmFwcF9pZA8xMjQwMjQ1NzQyODc0MTQAAaf-FsUAH5EixkVYY3F2oefPq06lciDd1SHk9zhwA_0Ydoi57Ib9LrQZdmG4fw_aem_QMuA7Gu6e-glY7xVepE_Xw&amp;campaign_id=120248254459350155&amp;ad_id=120249883219710155</t>
  </si>
  <si>
    <t>2026-05-19T23:42:51.187Z</t>
  </si>
  <si>
    <t>Carolina Deruzzi</t>
  </si>
  <si>
    <t>cderuzzi@gmail.com</t>
  </si>
  <si>
    <t>https://lp.saibai.com.br/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ob8X6ftzcnRjBmFwcF9pZA81NjcwNjczNDMzNTI0MjcAAafm2PPM7SdfK6m5SX6UtXLG65QxxIjKUlzs2_YYwG3FW_uizMh8bWQB888tZQ_aem_kVjTNmB8SEEqta5AaVGP2Q&amp;campaign_id=120248254459350155&amp;ad_id=120249883219710155</t>
  </si>
  <si>
    <t>2026-05-20T01:08:30.405Z</t>
  </si>
  <si>
    <t>Antonio S. Del Grande</t>
  </si>
  <si>
    <t>https://lp.saibai.com.br/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ob8X6ftzcnRjBmFwcF9pZA8yNzUyNTQ2OTI1OTgyNzkAAR6gxXTDJLcXScRKT40NbJkIRsBrVn_1YbmuJBzazdQWVQKD95Jsezw_Cb1iCA_aem_8l7WB5UgQWDSvPZLVfnyow&amp;campaign_id=120248254459350155&amp;ad_id=120249883219710155&amp;utm_id=120248254459350155</t>
  </si>
  <si>
    <t>2026-05-20T03:16:20.140Z</t>
  </si>
  <si>
    <t>Maria Jose de Anto</t>
  </si>
  <si>
    <t>mariajose@deantonioefavaro.com</t>
  </si>
  <si>
    <t>https://lp.saibai.com.br/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ob8X6ftzcnRjBmFwcF9pZA8xMjQwMjQ1NzQyODc0MTQAAafFWe8kxFa5LWrqqrPDyRuEIW7Z-VO7WocQInlUk663peYf8HsXwhRJtubiEQ_aem_YWdncwD0Eharbv8JmTMYuNt-Arsm&amp;brid=YWdncwH0Eharbv8JmTMYuNt-Arsm&amp;campaign_id=120248254459350155&amp;ad_id=120249883219710155</t>
  </si>
  <si>
    <t>2026-05-20T06:44:10.775Z</t>
  </si>
  <si>
    <t>Luis Roberto Novelli Fonseca</t>
  </si>
  <si>
    <t>novellifonseca@gmail.com</t>
  </si>
  <si>
    <t>https://lp.saibai.com.br/?utm_source=MetaAds&amp;utm_medium=ADV+-+%5BIG%5D+%5BFB%5D+%5B30%2B%5D+%5BSP+METROPOLE%5D+V%C3%81RIOS&amp;utm_campaign=22.04.2026+%5BV4%5D+%5BWB%5D+%5BLEADS-GRUPO-WHATS%5D+02&amp;utm_content=07.04+%5BIMG%5D+%5BAD04%5D+Pedidos+abertos&amp;utm_term=Facebook_Mobile_Reels&amp;fbclid=IwZXh0bgNhZW0BMABhZGlkAas2ob8X6ftzcnRjBmFwcF9pZAwzNTA2ODU1MzE3MjgAAR7foY99xkubjVWQO7sTFeEtmBfhZed8AY_JGLsP3YxoiPrNlEKpQ6zzshvE1A_aem_MNKS1hd_Kofa1_-tvcN7kQ&amp;campaign_id=120248254459350155&amp;ad_id=120249883219710155&amp;utm_id=120248254459350155</t>
  </si>
  <si>
    <t>2026-05-20T09:39:07.377Z</t>
  </si>
  <si>
    <t>Daniele Rosa</t>
  </si>
  <si>
    <t>danniele_rosa@hotmail.com</t>
  </si>
  <si>
    <t>2026-05-20T12:13:44.977Z</t>
  </si>
  <si>
    <t>Maria Cecilia Castro Martin</t>
  </si>
  <si>
    <t>ceciliamartin@uol.com.br</t>
  </si>
  <si>
    <t>https://lp.saibai.com.br/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2ob8X6ftzcnRjBmFwcF9pZA8xMjQwMjQ1NzQyODc0MTQAAafpv3--Na20AbSzqcNIgP1N9XUsWTBR9L7RdH7bL5il_tngniBEYt25kLzLrQ_aem_tq8hp7IEpp11BLeCadq6sg&amp;campaign_id=120248254459350155&amp;ad_id=120249883219710155</t>
  </si>
  <si>
    <t>2026-05-20T13:34:37.399Z</t>
  </si>
  <si>
    <t>Regina Assunção</t>
  </si>
  <si>
    <t>rassuncao.bekas@gmail.com</t>
  </si>
  <si>
    <t>https://lp.saibai.com.br/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ob8X6ftzcnRjBmFwcF9pZA8xMjQwMjQ1NzQyODc0MTQAAae5QLqQ9WaIICH_tb9qEk1Jv0M28VQ8AfNRQgbb71iBpqz3za2UYY-9UkThFg_aem_sHNmC43syTzaThw9HODUpw&amp;campaign_id=120248254459350155&amp;ad_id=120249883219710155</t>
  </si>
  <si>
    <t>2026-05-20T14:58:34.041Z</t>
  </si>
  <si>
    <t>MARY FUKUDA YANASE</t>
  </si>
  <si>
    <t>mary.yanase@hotmail.com</t>
  </si>
  <si>
    <t>https://lp.saibai.com.br/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ocfZvDtzcnRjBmFwcF9pZAwzNTA2ODU1MzE3MjgAAR5-qutwXIVOlJ5YE5m3cIUuzpsR7MkfPpIfeATCy4khUJvCQAKSbPXSvtmp_w_aem__3xZ62MsCxvN3AvTlSMODA&amp;campaign_id=120248254459350155&amp;ad_id=120249883219710155&amp;utm_id=120248254459350155</t>
  </si>
  <si>
    <t>2026-05-20T23:44:59.819Z</t>
  </si>
  <si>
    <t>Helena Maria de Oliveira Yazbek</t>
  </si>
  <si>
    <t>lena@espacoekoa.com.br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</si>
  <si>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UcpotzcnRjBmFwcF9pZA8xMjQwMjQ1NzQyODc0MTQAAaeOikNl-k8DuqqDrxBxg_SxNQ54wWXIHHuWjmwsuVwRbwy5ASW3iuPLGQBGrw_aem_mEPGSfT4v_dI8I5ZaJZ51Q&amp;campaign_id=120248254459350155&amp;ad_id=120249883219710155</t>
  </si>
  <si>
    <t>2026-05-21T00:00:30.147Z</t>
  </si>
  <si>
    <t>Maurício nieri</t>
  </si>
  <si>
    <t>nieri.mg8@gmail.com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</si>
  <si>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UcpotzcnRjBmFwcF9pZA81NjcwNjczNDMzNTI0MjcAAacdTWtY6w6wJnoS-2zW8d75wg-U5Kn20Z8ZIDUsDcuqXOlsswcs9JErVVYUGQ_aem_MMlE6X6R79AJGp6I4nRbMg&amp;campaign_id=120248254459350155&amp;ad_id=120249883219710155</t>
  </si>
  <si>
    <t>2026-05-21T00:38:10.618Z</t>
  </si>
  <si>
    <t>Regina Olivieri</t>
  </si>
  <si>
    <t>reginaolivieri@terra.com.br</t>
  </si>
  <si>
    <t>2026-05-21T01:03:53.267Z</t>
  </si>
  <si>
    <t>Renato Sáfadi</t>
  </si>
  <si>
    <t>safadirenato@gmail.com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</si>
  <si>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HJg-tzcnRjBmFwcF9pZA8xMjQwMjQ1NzQyODc0MTQAAadeJ7g6_iaZh_9PJTT6U0gt4c6hKg4b2TNs6bkgF8UaBdrlj8udeF2wF2SNXg_aem_3JoPO_bCfuwcR56bbrY80Q&amp;campaign_id=120248254459350155&amp;ad_id=120249883219710155</t>
  </si>
  <si>
    <t>2026-05-21T02:22:41.793Z</t>
  </si>
  <si>
    <t>Claudia Dantas</t>
  </si>
  <si>
    <t>claudiarocha1588@gmail.com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</si>
  <si>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UcpotzcnRjBmFwcF9pZA8xMjQwMjQ1NzQyODc0MTQAAaf_pVVxdygtKqmde5W3JHnAgnGAJmta1Bq02TOfZKx5_Xvl99t5l5tf3VC2BQ_aem_rkp_hu4eVlrRy4aeW6P1VA&amp;campaign_id=120248254459350155&amp;ad_id=120249883219710155</t>
  </si>
  <si>
    <t>2026-05-21T15:02:08.863Z</t>
  </si>
  <si>
    <t>Ana Cristina</t>
  </si>
  <si>
    <t>anacrisf.rocha@gmail.com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</si>
  <si>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Reels&amp;utm_id=120248254459350155&amp;fbclid=PAZXh0bgNhZW0BMABhZGlkAas2xZUcpotzcnRjBmFwcF9pZA81NjcwNjczNDMzNTI0MjcAAacm18c6TwdzBhrtw3ADnwZWKOH1hObl9pQp3K3_RpS-oJQdgtNfyJPSBK9rMQ_aem_hkc1uIiy62ugf_F0uqfesg&amp;campaign_id=120248254459350155&amp;ad_id=120249883219710155</t>
  </si>
  <si>
    <t>2026-05-21T17:20:00.493Z</t>
  </si>
  <si>
    <t>Sandra Mara Sousa</t>
  </si>
  <si>
    <t>sandraciccy@gmail.com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</si>
  <si>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HJg-tzcnRjBmFwcF9pZA8xMjQwMjQ1NzQyODc0MTQAAac13m7sV-5ZmfqaQQCmGXx_RYH_UOJF35elbRt_ot4-inRvaRfezbNTGkuiYg_aem_LXcapTN_i4XlurlDM4jpxQ&amp;campaign_id=120248254459350155&amp;ad_id=120249883219710155</t>
  </si>
  <si>
    <t>2026-05-21T21:30:34.142Z</t>
  </si>
  <si>
    <t>Viviane Guariglia</t>
  </si>
  <si>
    <t>vafg09@yahoo.com.br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</si>
  <si>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HJg-tzcnRjBmFwcF9pZA8xMjQwMjQ1NzQyODc0MTQAAactrjPRXhY6dzQgwIDi1f9CC8XbGR7B0iqZKl7V4MPnozdgY3Lt2wUi_FxM_w_aem_8z83YCCiHwiLM1xekF0l2Q&amp;campaign_id=120248254459350155&amp;ad_id=120249883219710155</t>
  </si>
  <si>
    <t>2026-05-22T14:58:41.522Z</t>
  </si>
  <si>
    <t>Sandra</t>
  </si>
  <si>
    <t>gspdraymondi@gmail.com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</si>
  <si>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wzNTA2ODU1MzE3MjgAAR5Zf0Y9SgOAR0s5puN6ITtfFjvZWexi3iwJOlg7aqM1XSjr-O3gAayw6nepMQ_aem_OLZgA7lUdgr6SQYJimRgkw&amp;campaign_id=120248254459350155&amp;ad_id=120249883219710155&amp;utm_id=120248254459350155</t>
  </si>
  <si>
    <t>2026-05-22T15:13:40.426Z</t>
  </si>
  <si>
    <t>Mauricio C Peres</t>
  </si>
  <si>
    <t>colperes0800@gmail.com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</si>
  <si>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wzNTA2ODU1MzE3MjgAAR69cfrLHX4XzsgNZvDPXgEs2Zys2_zrmz1Bue1zSWhnKkRzdORITxAi7xqUeg_aem_CPsh2IS-rZ-iVWQigTkY7w&amp;campaign_id=120248254459350155&amp;ad_id=120249883219710155&amp;utm_id=120248254459350155</t>
  </si>
  <si>
    <t>2026-05-22T16:45:12.218Z</t>
  </si>
  <si>
    <t>Mara Marcos</t>
  </si>
  <si>
    <t>mara3marcos@gmail.com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</si>
  <si>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wzNTA2ODU1MzE3MjgAAR6J2_A0Sy1n1ajifPE4IJB8GeUubI8U7ReC6PVWXNOrMzTbMPtab44SEC3pwA_aem_9eqiKEGmHMs92a_FbUDYcg&amp;campaign_id=120248254459350155&amp;ad_id=120249883219710155&amp;utm_id=120248254459350155</t>
  </si>
  <si>
    <t>2026-05-22T16:51:53.623Z</t>
  </si>
  <si>
    <t>Sueli FIALKOWSKI</t>
  </si>
  <si>
    <t>fialkowskisueli@outlook.com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</si>
  <si>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wzNTA2ODU1MzE3MjgAAR5qHfl7bPTwHOVqDPxDk75ZboqhsNMH91s936sdaYLoHbG0Sj-btYVaJNlF6A_aem_crzBFsSFlaVuKyOAhYNQAg&amp;campaign_id=120248254459350155&amp;ad_id=120249883219710155&amp;utm_id=120248254459350155</t>
  </si>
  <si>
    <t>2026-05-22T18:39:16.008Z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</si>
  <si>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wzNTA2ODU1MzE3MjgAAR6JqGAGm-Z1rICy_mB8j6tXP6U-7FOr-v5Fs5SU7CRB61nGrS_eIh3DpZDUhg_aem_iQxkpsAhlV-1ec6tnyhWIw&amp;campaign_id=120248254459350155&amp;ad_id=120249883219710155&amp;utm_id=120248254459350155</t>
  </si>
  <si>
    <t>2026-05-22T19:49:47.198Z</t>
  </si>
  <si>
    <t>Mara Bartolini D Arco</t>
  </si>
  <si>
    <t>maradarco@hotmail.com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</si>
  <si>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o2NjI4NTY4Mzc5AAEemuKlztGngI5C_TICKLNwL8EzGCb3YFLZDIer1-GMatpsjuUjas4pHW_Lutc_aem_ODHSpzwTpEX2pJRBKpmk6g&amp;campaign_id=120248254459350155&amp;ad_id=120249883219710155&amp;utm_id=120248254459350155</t>
  </si>
  <si>
    <t>2026-05-22T20:17:14.216Z</t>
  </si>
  <si>
    <t>Nina Dal</t>
  </si>
  <si>
    <t>nina@dalpoggetto.adv.br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</si>
  <si>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wzNTA2ODU1MzE3MjgAAR61U3K51L6VcNrvKb-YhEq8LHpJFoccJI63fv1Y9kdMkV8U4Rk106i6IV4Mng_aem_gQpV8G-6A_QvhyIRMatmCw&amp;campaign_id=120248254459350155&amp;ad_id=120249883219710155&amp;utm_id=120248254459350155</t>
  </si>
  <si>
    <t>2026-05-22T20:19:45.594Z</t>
  </si>
  <si>
    <t>Gilda Maximiano</t>
  </si>
  <si>
    <t>gigimax2004@gmail.com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</si>
  <si>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Reels&amp;utm_id=120248254459350155&amp;fbclid=PAZXh0bgNhZW0BMABhZGlkAas2xZUcpotzcnRjBmFwcF9pZA81NjcwNjczNDMzNTI0MjcAAacERDW_zUXQ8ypCEBPQjCsrNllVqgoHQ3HsdpyQBC7VTRgA2HUR3Jarm4HD-w_aem_soOH8LdcuMFiiFR5SRs-iA&amp;campaign_id=120248254459350155&amp;ad_id=120249883219710155</t>
  </si>
  <si>
    <t>2026-05-23T00:57:48.502Z</t>
  </si>
  <si>
    <t>Homero villela azevedo filho</t>
  </si>
  <si>
    <t>homeroazevedofilho@gmail.com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</si>
  <si>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UcpotzcnRjBmFwcF9pZA8xMjQwMjQ1NzQyODc0MTQAAae8sKckhT_AyveXaBkoEwVRgyj8dz-WHoiPzSO26nhQ1l1OJoRakjI4TOkk0Q_aem_XU0Emn7L8mJEMD9VHWEcRA&amp;campaign_id=120248254459350155&amp;ad_id=120249883219710155</t>
  </si>
  <si>
    <t>2026-05-23T02:24:27.009Z</t>
  </si>
  <si>
    <t>Mei Lin</t>
  </si>
  <si>
    <t>meilin0205@gmail.com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</si>
  <si>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wzNTA2ODU1MzE3MjgAAR6Eqtc0ugrIqhYTi2dxqZt8rwfHy9_5XW3IZxsXab9KbRYhqtXdVq-EIxZw4A_aem_G5GJZgVa8I_jw0cS54k__A&amp;campaign_id=120248254459350155&amp;ad_id=120249883219710155&amp;utm_id=120248254459350155</t>
  </si>
  <si>
    <t>2026-05-23T14:02:37.907Z</t>
  </si>
  <si>
    <t>Sergio Henrique</t>
  </si>
  <si>
    <t>semoreno10@gmail.com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</si>
  <si>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wzNTA2ODU1MzE3MjgAAR7BiVYkQt-YkDAIBlaPVmPH-MSEEfKAb3qLTelEXvZh_M-7bUSw4iAgBGI-aA_aem_YWdncwADd6fb2w8GUQVP3VhHZj23&amp;brid=YWdncwEDd6fb2w8GUQVP3VhHZj23&amp;campaign_id=120248254459350155&amp;ad_id=120249883219710155&amp;utm_id=120248254459350155</t>
  </si>
  <si>
    <t>2026-05-23T20:53:24.029Z</t>
  </si>
  <si>
    <t>Silvana Gluz</t>
  </si>
  <si>
    <t>silgluz118@gmail.com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</si>
  <si>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UcpotzcnRjBmFwcF9pZA8xMjQwMjQ1NzQyODc0MTQAAaeI2QT84ctrLhLpUw9DIAMqhXLtldTTft-D7NjFqHL41AmOCoYAqirFr22Evg_aem_18Gz903MLyJreYBw2By49g&amp;campaign_id=120248254459350155&amp;ad_id=120249883219710155</t>
  </si>
  <si>
    <t>2026-05-24T12:46:38.338Z</t>
  </si>
  <si>
    <t>Wilson Alves Feitosa</t>
  </si>
  <si>
    <t>wilsonfeitosa@hotmail.com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</si>
  <si>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Stories&amp;fbclid=IwZXh0bgNhZW0BMABhZGlkAas2xZUcpotzcnRjBmFwcF9pZAwzNTA2ODU1MzE3MjgAAR6ZyetGUoQAH4-tIA_swAP3xgdSyEc5maIrDSDMJIjm0ECqd0Gmn73U6X-C5g_aem_2WEMq8j8c3TJBYQUDhCSnQ&amp;campaign_id=120248254459350155&amp;ad_id=120249883219710155&amp;utm_id=120248254459350155</t>
  </si>
  <si>
    <t>2026-05-24T17:01:32.023Z</t>
  </si>
  <si>
    <t>Fabio Amaral</t>
  </si>
  <si>
    <t>fabiosp012@gmail.com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</si>
  <si>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Reels&amp;fbclid=IwZXh0bgNhZW0BMABhZGlkAas2xZUcpotzcnRjBmFwcF9pZAo2NjI4NTY4Mzc5AAEejix1sFYH5f1I6_u_o31t2g2ezjTNm3YLT4WE_veDPcbBX7FEoVfHUIxRg78_aem_zaWj6VsF7t-PoElbAnc7cw&amp;campaign_id=120248254459350155&amp;ad_id=120249883219710155&amp;utm_id=120248254459350155</t>
  </si>
  <si>
    <t>2026-05-24T19:38:06.140Z</t>
  </si>
  <si>
    <t>Benny Apelbaum</t>
  </si>
  <si>
    <t>bennyapelbaum@icloud.com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</si>
  <si>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HJg-tzcnRjBmFwcF9pZA8xMjQwMjQ1NzQyODc0MTQAAafyN0TzUt5vrXrRlUhyWnK52GVo8mHQWLE4ykS9haW_W1YTOwKJMf280ZXyHg_aem_se_krWo4f0uE4XHMtl31qQ&amp;campaign_id=120248254459350155&amp;ad_id=120249883219710155</t>
  </si>
  <si>
    <t>2026-05-24T20:26:09.401Z</t>
  </si>
  <si>
    <t>Roberto Samperiz Fernandez</t>
  </si>
  <si>
    <t>robertosfernandez@icloud.com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</si>
  <si>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HJg-tzcnRjBmFwcF9pZAo2NjI4NTY4Mzc5AAEeaKpArhaedWsHO1WX58EiOh3On5KCncxXMik8rKsaCrIbknvqDi4W5CYEeDw_aem_YWdncwCOLpJXQpkjy9PC7OktQpGG&amp;brid=YWdncwGOLpJXQpkjy9PC7OktQpGG&amp;campaign_id=120248254459350155&amp;ad_id=120249883219710155&amp;utm_id=120248254459350155</t>
  </si>
  <si>
    <t>2026-05-24T21:09:08.950Z</t>
  </si>
  <si>
    <t>Evilasio Rodrigues</t>
  </si>
  <si>
    <t>evilasio@transrapido.com.br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</si>
  <si>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wzNTA2ODU1MzE3MjgAAR4OzQafKGbaMPIYaRUsFt5vZn-aCkSnicMaKuRCqwLGiOhJryUSFmzPf_lK4w_aem_6oAhWr1On9M9_BWH9ojfkA&amp;campaign_id=120248254459350155&amp;ad_id=120249883219710155&amp;utm_id=120248254459350155</t>
  </si>
  <si>
    <t>2026-05-25T02:22:14.483Z</t>
  </si>
  <si>
    <t>Sheyla Tayar Covolo</t>
  </si>
  <si>
    <t>shecovolo@gmail.com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</si>
  <si>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UcpotzcnRjBmFwcF9pZA81NjcwNjczNDMzNTI0MjcAAads4qWixbXHFhc0PcJztV8WjTDP98Wkf1Dwben3LiYPdHlsawaus88A_UiQ0A_aem_qVF9tmaE-vX_-cTG-F7TZQ&amp;campaign_id=120248254459350155&amp;ad_id=120249883219710155</t>
  </si>
  <si>
    <t>2026-05-25T23:14:14.136Z</t>
  </si>
  <si>
    <t>Vera R J Rodado</t>
  </si>
  <si>
    <t>verareginajuste@gmail.com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</si>
  <si>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o2NjI4NTY4Mzc5AAEekJVZ8mtBMczTdhxjBTMQGhQwGDYExrduuHZ0qqVSgr4hetS4Qyy3qmsrFIc_aem_tf3RwDPeeB5CvAMsCbH7Dg&amp;campaign_id=120248254459350155&amp;ad_id=120249883219710155&amp;utm_id=120248254459350155</t>
  </si>
  <si>
    <t>2026-05-26T00:51:44.228Z</t>
  </si>
  <si>
    <t>Adelia Gasnier</t>
  </si>
  <si>
    <t>adelia.gasnier@gmail.com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</si>
  <si>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Reels&amp;fbclid=IwZXh0bgNhZW0BMABhZGlkAas2xZUcpotzcnRjBmFwcF9pZAo2NjI4NTY4Mzc5AAEei23r3tR0EC5w_oJYRm6GrutqZ1abiImx-79p15rwy6fWH3P0Bn0M-u3x7Sc_aem_m4FOhqsk7nIfvRSuPdluig&amp;campaign_id=120248254459350155&amp;ad_id=120249883219710155&amp;utm_id=120248254459350155</t>
  </si>
  <si>
    <t>2026-05-26T06:37:14.137Z</t>
  </si>
  <si>
    <t>Fernando Lemes</t>
  </si>
  <si>
    <t>lemes21@yahoo.com.br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</si>
  <si>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HJg-tzcnRjBmFwcF9pZAwzNTA2ODU1MzE3MjgAAR63ankMj6w_RKN8chm3txN8w0o3S7nuv7cQpXTa7DNua28K4q6_rAvx8XQVMQ_aem_mk_aGWQzizDKAl5ERpptlw&amp;campaign_id=120248254459350155&amp;ad_id=120249883219710155&amp;utm_id=120248254459350155</t>
  </si>
  <si>
    <t>2026-05-26T06:58:33.348Z</t>
  </si>
  <si>
    <t>Terezinha Stephano</t>
  </si>
  <si>
    <t>terezinhagebara@icloud.com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</si>
  <si>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8xNzM4NDc2NDI2NzAzNzAAAR7o6ny6jxxPRlFom1oReMp6iLWfM1G0GAdovba0BASspZG9yE0AleEJt1vvhQ_aem_Vmtoj0AiddKkF78Kf-T65Q&amp;campaign_id=120248254459350155&amp;ad_id=120249883219710155&amp;utm_id=120248254459350155</t>
  </si>
  <si>
    <t>2026-05-26T08:51:01.024Z</t>
  </si>
  <si>
    <t>Mirian Cobre</t>
  </si>
  <si>
    <t>mirian.dentisa@gmail.com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</si>
  <si>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UcpotzcnRjBmFwcF9pZA8xMjQwMjQ1NzQyODc0MTQAAae9eNonxWff1BrGnpEBZKRgsllyHiUmqVHTcwa_pFFkug5PUOkR6U_uBS-tOw_aem_mw7f9ADH5njDVGuLaDxmlA&amp;campaign_id=120248254459350155&amp;ad_id=120249883219710155</t>
  </si>
  <si>
    <t>2026-05-26T11:01:40.627Z</t>
  </si>
  <si>
    <t>Agner Borges</t>
  </si>
  <si>
    <t>agner10@hotmail.com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</si>
  <si>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2xZHJg-tzcnRjBmFwcF9pZA81NjcwNjczNDMzNTI0MjcAAadg2lj5LHK03tyWes3PyU15mzCZ7XKGJ-vtxhRfctyFtXswfYMTO3zlqrCptA_aem_pJIgmwQ5rzZSMsJ898BDPQ&amp;campaign_id=120248254459350155&amp;ad_id=120249883219710155</t>
  </si>
  <si>
    <t>2026-05-26T13:26:14.366Z</t>
  </si>
  <si>
    <t>fabio sandoli de brito</t>
  </si>
  <si>
    <t>fabiosbrito@uol.com.br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</si>
  <si>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Others&amp;utm_id=120248254459350155&amp;fbclid=PAaWdyZASCfmNleHRuA2FlbQEwAGFkaWQBqzbFlRymi3NydGMGYXBwX2lkDDI1NjI4MTA0MDU1OAABp5HL2V3q5SfVQB3s4Otp69LUtzKFu50pZPDfsrDsT-IhCIFh4hbdheUsSEki_aem_GyAWW2yExKnpra_mn-iy1A&amp;campaign_id=120248254459350155&amp;ad_id=120249883219710155</t>
  </si>
  <si>
    <t>2026-05-26T19:40:47.979Z</t>
  </si>
  <si>
    <t>Cristina Ortolani</t>
  </si>
  <si>
    <t>crisorto@gmail.com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</si>
  <si>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HJg-tzcnRjBmFwcF9pZA8xMjQwMjQ1NzQyODc0MTQAAaefzUBHMB6BSsc9-MrOMNVGNAqt0bwwVAYoFp6n4bRFj7tl6boe8-ZzXXClyQ_aem_Irq2mx6CNGDGuzRpMg7bLw&amp;campaign_id=120248254459350155&amp;ad_id=120249883219710155</t>
  </si>
  <si>
    <t>2026-05-26T19:46:10.285Z</t>
  </si>
  <si>
    <t>Nelson Fender</t>
  </si>
  <si>
    <t>nelson.vocare@gmail.com</t>
  </si>
  <si>
    <t>2026-05-26T19:55:57.578Z</t>
  </si>
  <si>
    <t>Marcos</t>
  </si>
  <si>
    <t>sinistro@gmail.com</t>
  </si>
  <si>
    <t>2026-05-26T21:33:20.843Z</t>
  </si>
  <si>
    <t>Edna zaki</t>
  </si>
  <si>
    <t>ednazaki@hotmail.com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</si>
  <si>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o2NjI4NTY4Mzc5AAEeDxvpIdBRy1zsU-IlkWAp3UJ1VN1lYuhjKpjUBbHacuLp6GWxpvsxm8yKvVk_aem_eujBvh0M3MxHGvxPzxW3dQ&amp;campaign_id=120248254459350155&amp;ad_id=120249883219710155&amp;utm_id=120248254459350155</t>
  </si>
  <si>
    <t>2026-05-26T23:26:48.432Z</t>
  </si>
  <si>
    <t>Luiz Macedo</t>
  </si>
  <si>
    <t>vectra@vectraconsult.com.br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</si>
  <si>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wzNTA2ODU1MzE3MjgAAR7nmjq4dvfqfgItICes3tNOoxvtQobsB_dwfvbsaAvBKnIvphGAhA2qGMmWhQ_aem_IUrGpNwj8yP81fPVDqZXaA&amp;campaign_id=120248254459350155&amp;ad_id=120249883219710155&amp;utm_id=120248254459350155</t>
  </si>
  <si>
    <t>2026-05-26T23:47:55.850Z</t>
  </si>
  <si>
    <t>Rosana Cristina Gama</t>
  </si>
  <si>
    <t>rosanacgama@bol.com.br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</si>
  <si>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Reels&amp;utm_id=120248254459350155&amp;fbclid=PAZXh0bgNhZW0BMABhZGlkAas2xZHJg-tzcnRjBmFwcF9pZA81NjcwNjczNDMzNTI0MjcAAafGmU8RKTArsVdFE0lPjTHlks6zPB7PrSTDpT8HpnCcUNdNhVOOenN0kW1MRA_aem_yJzz0er8mLBEtCF279XzVQ&amp;campaign_id=120248254459350155&amp;ad_id=120249883219710155</t>
  </si>
  <si>
    <t>2026-05-27T02:15:39.425Z</t>
  </si>
  <si>
    <t>Regina Biagini</t>
  </si>
  <si>
    <t>reginabiagini@gmail.com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</si>
  <si>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HJg-tzcnRjBmFwcF9pZA81NjcwNjczNDMzNTI0MjcAAadD7sHkonuMuhXdIUVLD4oiO0tkYCsAI0veik9HRh3tj57VZOaK_yTSqO9r5A_aem_olJFf3PYTsuEs9CxsKpy6Q&amp;campaign_id=120248254459350155&amp;ad_id=120249883219710155</t>
  </si>
  <si>
    <t>2026-05-27T05:30:00.526Z</t>
  </si>
  <si>
    <t>Lucia Naufal</t>
  </si>
  <si>
    <t>lucia.naufal@gmail.com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</si>
  <si>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2xZUcpotzcnRjBmFwcF9pZA81NjcwNjczNDMzNTI0MjcAAacW1uztxOnzwUYGDpTx-MJrjwksOj_yCxEI3nsOrYydfQUgloA4mprQY1529A_aem_W0e_rwdocLuhFF23ubKdqw&amp;campaign_id=120248254459350155&amp;ad_id=120249883219710155</t>
  </si>
  <si>
    <t>2026-05-27T14:50:05.565Z</t>
  </si>
  <si>
    <t>Nivaldo Granado</t>
  </si>
  <si>
    <t>nigra@uol.com.br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</si>
  <si>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Stories&amp;fbclid=IwZXh0bgNhZW0BMABhZGlkAas2xZUcpotzcnRjBmFwcF9pZAo2NjI4NTY4Mzc5AAEe_z_jYm1RljX7xj-gmaokt_nGUiC3hnP4wYBjycfJbBgcmR_wmQvqZQpFbiw_aem_JZQCVvBPTfxtIKrzMtQwpA&amp;campaign_id=120248254459350155&amp;ad_id=120249883219710155&amp;utm_id=120248254459350155</t>
  </si>
  <si>
    <t>2026-05-27T15:30:02.580Z</t>
  </si>
  <si>
    <t>Silvia Shira</t>
  </si>
  <si>
    <t>familiashira@hotmail.com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</si>
  <si>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2xZHJg-tzcnRjBmFwcF9pZA8xMjQwMjQ1NzQyODc0MTQAAadaAKLNtT3mX-9toCM7psQ1HLUn7dwKV-_qWTzNuYyLCq3B8zJri7rfMeiOkA_aem_NNE1-OZgYO6UsYOWfemZiw&amp;campaign_id=120248254459350155&amp;ad_id=120249883219710155</t>
  </si>
  <si>
    <t>2026-05-27T17:24:07.793Z</t>
  </si>
  <si>
    <t>Maria Cecília Djinishian</t>
  </si>
  <si>
    <t>mdjinishian@yahoo.com.br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</si>
  <si>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Reels&amp;fbclid=IwZXh0bgNhZW0BMABhZGlkAas2xZHJg-tzcnRjBmFwcF9pZAwzNTA2ODU1MzE3MjgAAR4bvjradhmv8_xdetH0zQjBdn2ZmIOGnKbrLX4yCYXGrcrHwMddM__IbwpF-w_aem_bgchdh6y2wQZ2oHKnAmqVA&amp;campaign_id=120248254459350155&amp;ad_id=120249883219710155&amp;utm_id=120248254459350155</t>
  </si>
  <si>
    <t>2026-05-27T19:30:31.495Z</t>
  </si>
  <si>
    <t>Patricia Henriques</t>
  </si>
  <si>
    <t>patsyadv@uol.com.br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</si>
  <si>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UcpotzcnRjBmFwcF9pZA81NjcwNjczNDMzNTI0MjcAAaeTsMIkeQr_dDgP7GmKqvgIwvPb1LF6QUm62ZElpIKIN5rvd7VNX4jLQgTCoA_aem_Fa-iR7G0CQVsXllP5F09uw&amp;campaign_id=120248254459350155&amp;ad_id=120249883219710155</t>
  </si>
  <si>
    <t>2026-05-27T19:45:06.129Z</t>
  </si>
  <si>
    <t>COANITO</t>
  </si>
  <si>
    <t>coanclaudio@yahoo.com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</si>
  <si>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wzNTA2ODU1MzE3MjgAAR6p1nAieO5hogga4R5ZKUwbO1ydHSBUx79EymBDpN4-zIn7Tkx6ekeZJF_Rfg_aem__mH8koujxNd4lW-w2Rx6SA&amp;campaign_id=120248254459350155&amp;ad_id=120249883219710155&amp;utm_id=120248254459350155</t>
  </si>
  <si>
    <t>2026-05-27T20:24:03.643Z</t>
  </si>
  <si>
    <t>Carlos Casimiro Costa Júnior</t>
  </si>
  <si>
    <t>carlosccjr@hotmail.com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</si>
  <si>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Reels&amp;fbclid=IwZXh0bgNhZW0BMABhZGlkAas2xZHJg-tzcnRjBmFwcF9pZA8xNzM4NDc2NDI2NzAzNzAAAR5ryQJF09mYuo9MP-c5Uc_sFvuo6KBArXdiOTS2A_MxEccAp9P413YYehIhJg_aem_UNa_oelZSvOv-0qX09r41A&amp;campaign_id=120248254459350155&amp;ad_id=120249883219710155&amp;utm_id=120248254459350155</t>
  </si>
  <si>
    <t>2026-05-27T20:39:10.737Z</t>
  </si>
  <si>
    <t>Marlene Teixeira</t>
  </si>
  <si>
    <t>marlene.teixeira1947@gmail.com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</si>
  <si>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wzNTA2ODU1MzE3MjgAAR5kKFu89Zkn5kwsj2vn6Sk8SC6xTrQzaWqjlDCVLaTtpi8HTtG54S04B6z44A_aem_IWzq8OB-qI-VwEYTbYdhOA&amp;campaign_id=120248254459350155&amp;ad_id=120249883219710155&amp;utm_id=120248254459350155</t>
  </si>
  <si>
    <t>2026-05-27T23:55:27.136Z</t>
  </si>
  <si>
    <t>patricia yoshioka</t>
  </si>
  <si>
    <t>patty.y.k@gmail.com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</si>
  <si>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HJg-tzcnRjBmFwcF9pZA81NjcwNjczNDMzNTI0MjcAAafRqpOGi6fbtdbc7GnwsS9mdTVX7NrrtnaG2GmSyBHtv-H61ig2G_MowQjuiA_aem_6OR7fOSBHbnJ7sDGvbIQMw&amp;campaign_id=120248254459350155&amp;ad_id=120249883219710155</t>
  </si>
  <si>
    <t>2026-05-28T00:45:10.345Z</t>
  </si>
  <si>
    <t>Ângela Maura Rosa Xisto Trugli</t>
  </si>
  <si>
    <t>amrxtruglio@gmail.com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</si>
  <si>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wzNTA2ODU1MzE3MjgAAR4_feOsWFDNZ90SPKa2c1px6SrzFuMPvvKmCtod9xiPFO3TcFffgs4LUYaauA_aem_M3zfXBwpQ35-QIxHmzFDFQ&amp;campaign_id=120248254459350155&amp;ad_id=120249883219710155&amp;utm_id=120248254459350155</t>
  </si>
  <si>
    <t>2026-05-28T01:03:18.154Z</t>
  </si>
  <si>
    <t>Elaine Marques</t>
  </si>
  <si>
    <t>elainetmarques@hotmail.com</t>
  </si>
  <si>
    <t>https://lp.saibai.com.br/sao-paulo?fbclid=IwZXh0bgNhZW0CMTEAc3J0YwZhcHBfaWQKNjYyODU2ODM3OQABHi_SJ_EsH4Epkdktb2OLDlDVqamQUfjkwWts4uBaJ-fQmhRMqMtRDCEq69Dm_aem_8kusBOyhNPFWuw49chVIew&amp;utm_medium=paid&amp;utm_id=120248254459350155&amp;utm_content=120249883219710155&amp;utm_term=120249883219690155&amp;utm_campaign=120248254459350155</t>
  </si>
  <si>
    <t>2026-05-28T03:06:25.732Z</t>
  </si>
  <si>
    <t>Taiselena Gasparetti</t>
  </si>
  <si>
    <t>taise.garavelli@gmail.com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</si>
  <si>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HJg-tzcnRjBmFwcF9pZAwzNTA2ODU1MzE3MjgAAR410BSRYETitzHyDajOzAIBwlVrCUGLMyBVGuDl4gofyVN2SLXsoy8WderrtA_aem_kPBvtMjviCnzFPazXWURUg&amp;campaign_id=120248254459350155&amp;ad_id=120249883219710155&amp;utm_id=120248254459350155</t>
  </si>
  <si>
    <t>2026-05-28T04:14:05.434Z</t>
  </si>
  <si>
    <t>Maggie Shahini</t>
  </si>
  <si>
    <t>maggieshahi@hotmail.com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</si>
  <si>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Stories&amp;fbclid=IwZXh0bgNhZW0BMABhZGlkAas2xZHJg-tzcnRjBmFwcF9pZAwzNTA2ODU1MzE3MjgAAR6mRZ6aCjJbbwXHPJtG_MqnEC4DM7QvD1wTcVG4TWURbMxVQssOJjJx4YE-pA_aem_k0wglrSsUsMgRffJcuf8ow&amp;campaign_id=120248254459350155&amp;ad_id=120249883219710155&amp;utm_id=120248254459350155</t>
  </si>
  <si>
    <t>2026-05-28T12:18:39.510Z</t>
  </si>
  <si>
    <t>Erica Rodrigues da Silva</t>
  </si>
  <si>
    <t>ericahrds@hotmail.com</t>
  </si>
  <si>
    <t>https://lp.saibai.com.br/?utm_source=google-ads&amp;utm_medium=branding-terms&amp;utm_campaign=venda-direta&amp;utm_term=saibai&amp;utm_content=786538028159&amp;gad_source=1&amp;gad_campaignid=23319194144&amp;gbraid=0AAAAArClr9H_biM21_yuP6RODWz7gQ2NO&amp;gclid=Cj0KCQjwz9_QBhD_ARIsADnSCfA4Qud5ZK_OohxoCnhX0RXUWXKjKOnx_BIqaLTTJ4laOPzHGALBpiMaAgYMEALw_wcB</t>
  </si>
  <si>
    <t>2026-05-28T15:55:41.508Z</t>
  </si>
  <si>
    <t>Rui Manuel</t>
  </si>
  <si>
    <t>ruiafonso54@gmail.com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</si>
  <si>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o2NjI4NTY4Mzc5AAEeAVjrtWq9aWVhpPd37GCF0sccMEWai26Gx8zzlTsoKT3gFU8__KTnif9svog_aem_I-Ac572IY04MqstbHxDCPw&amp;campaign_id=120248254459350155&amp;ad_id=120249883219710155&amp;utm_id=120248254459350155</t>
  </si>
  <si>
    <t>2026-05-28T21:34:48.621Z</t>
  </si>
  <si>
    <t>Josina Nobre da Silva Luis</t>
  </si>
  <si>
    <t>josinanobre@gmail.com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</si>
  <si>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wzNTA2ODU1MzE3MjgAAR5ab-u7ffOGUZirZfMF5ra_usKPB5OcLPpTdfaAu-wx5UTGC3hq-GK0c16Q4w_aem_EG1jlEo2d8JEHkOs01bDnA&amp;campaign_id=120248254459350155&amp;ad_id=120249883219710155&amp;utm_id=120248254459350155</t>
  </si>
  <si>
    <t>2026-05-28T22:33:35.016Z</t>
  </si>
  <si>
    <t>Mauro balsimelli</t>
  </si>
  <si>
    <t>maurobalsimelli@uol.com.br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</si>
  <si>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UcpotzcnRjBmFwcF9pZA81NjcwNjczNDMzNTI0MjcAAacFu_WAQtvXedfYakWzDPtxVz65LVEX_E-LRBUdg3Mzmq0GWn0v3bHelEGCyg_aem_jUxB2cR_pRgqmFTAO3g6Pw&amp;campaign_id=120248254459350155&amp;ad_id=120249883219710155</t>
  </si>
  <si>
    <t>2026-05-28T22:39:24.667Z</t>
  </si>
  <si>
    <t>tania Mara da Silva Pfaff</t>
  </si>
  <si>
    <t>marapfaff@uol.com.br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</si>
  <si>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o2NjI4NTY4Mzc5AAEe2GUVMEEstKq2qvTJF5Cq8Fs-dDWPbTn-NJzwzkIP4IqRKGfdYvJF6-FDY_Q_aem_k3am7mG6it4TGCXcVIoGCw&amp;campaign_id=120248254459350155&amp;ad_id=120249883219710155&amp;utm_id=120248254459350155</t>
  </si>
  <si>
    <t>2026-05-29T00:07:41.546Z</t>
  </si>
  <si>
    <t>Sonia Watanabe</t>
  </si>
  <si>
    <t>sswatanabe@uol.com.br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</si>
  <si>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UcpotzcnRjBmFwcF9pZA8xMjQwMjQ1NzQyODc0MTQAAafOZum8nMbyZiiqCnbSVY7VzQ14v_yhVu-RY57jZXqlIDF5CXDKxIvHsZsEvQ_aem_qoaWXYNTfS1vNLSiuO300g&amp;campaign_id=120248254459350155&amp;ad_id=120249883219710155</t>
  </si>
  <si>
    <t>2026-05-29T00:29:19.129Z</t>
  </si>
  <si>
    <t>Nilza bortoloto rodrigues lopes</t>
  </si>
  <si>
    <t>nilza_rodrigues5@hotmail.com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</si>
  <si>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HJg-tzcnRjBmFwcF9pZAo2NjI4NTY4Mzc5AAEe3kGosPE_TUdd7qogtxTC1KNi4AVGjrEmWQpl3ovTjItXbZMyQ8IbNE47kDs_aem_4gz6Qn2bhy6Jt792xtaMKw&amp;campaign_id=120248254459350155&amp;ad_id=120249883219710155&amp;utm_id=120248254459350155</t>
  </si>
  <si>
    <t>2026-05-29T01:15:32.828Z</t>
  </si>
  <si>
    <t>Ana Maria Couto</t>
  </si>
  <si>
    <t>ana.couto854@gmail.com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</si>
  <si>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HJg-tzcnRjBmFwcF9pZAo2NjI4NTY4Mzc5AAEe4A7VDiuRtuFNNiHwROV_6rUcbbVgkyazjMhaI9-F-guhulnajgQmg4vpV80_aem_-TlLM9cNlzZ7Rfn80SBcWg&amp;campaign_id=120248254459350155&amp;ad_id=120249883219710155&amp;utm_id=120248254459350155</t>
  </si>
  <si>
    <t>2026-05-29T02:39:31.192Z</t>
  </si>
  <si>
    <t>Sonia Regina Esteves</t>
  </si>
  <si>
    <t>soniadecor6@gmail.com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</si>
  <si>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Threads_Feed&amp;utm_id=120248254459350155&amp;fbclid=PAaWdyZASF23tleHRuA2FlbQEwAGFkaWQBqzbFlRymi3NydGMGYXBwX2lkEDE1NDYzMDY1MDkyMTE0NjEAAafoSBRY1gx-4qTVFFO18PXH3E2sRuWUnC2Lga0C9OTA6hPt2icFORPScYbvGg_aem_t1hviYmNuvIHHdQ4JId1uw&amp;campaign_id=120248254459350155&amp;ad_id=120249883219710155</t>
  </si>
  <si>
    <t>2026-05-29T13:30:25.216Z</t>
  </si>
  <si>
    <t>Patricia Souza Malatesta</t>
  </si>
  <si>
    <t>patymalatesta@gmail.com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</si>
  <si>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Hxvk4tzcnRjBmFwcF9pZA8xMjQwMjQ1NzQyODc0MTQAAaeC4bLbda3JcvaSP5dw2-nK9RZRJtMSssiH4oPfh5tcTuGmmCpcWA6blC0JgA_aem_QPJWR7XDaxR4SvxcgavOaQ&amp;campaign_id=120248254459350155&amp;ad_id=120249883219710155</t>
  </si>
  <si>
    <t>2026-05-29T19:42:59.752Z</t>
  </si>
  <si>
    <t>Simone Arruda Carvalhaes</t>
  </si>
  <si>
    <t>arrudasimone1609@gmail.com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</si>
  <si>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Hxvk4tzcnRjBmFwcF9pZA8xMjQwMjQ1NzQyODc0MTQAAaezlk7iyAtxR1IMKfyDLF4b-eOBzLvMUz4HgKr5eKuvw8k5_2KKwpYrMx4Jgg_aem_WQIvwBaSHcE7x-LX_u8BVA&amp;campaign_id=120248254459350155&amp;ad_id=120249883219710155</t>
  </si>
  <si>
    <t>2026-05-29T21:44:29.828Z</t>
  </si>
  <si>
    <t>Priscilla Carla do Amaral</t>
  </si>
  <si>
    <t>pamaral58@gmail.com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</si>
  <si>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Hxvk4tzcnRjBmFwcF9pZA81NjcwNjczNDMzNTI0MjcAAaegXL6l2KnFJdJfAZLPsmYoNQIjst0hfrfFu7YdWsJXemQ067Tim2WSbfIxdg_aem_EJ-wjg1gmiWol0XDbYjw6A&amp;campaign_id=120248254459350155&amp;ad_id=120249883219710155</t>
  </si>
  <si>
    <t>2026-05-29T21:55:18.720Z</t>
  </si>
  <si>
    <t>Solange Santos</t>
  </si>
  <si>
    <t>solita101010@gmail.com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</si>
  <si>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3SHxvk4tzcnRjBmFwcF9pZAwzNTA2ODU1MzE3MjgAAR74H3gCjS0TFJWQH2I4am6DECwl7RvKGQtQGucV444ETWESEPoOFMuGQdAYkA_aem_Kcx1YcWQ_oVv6oRquYi35w&amp;campaign_id=120248254459350155&amp;ad_id=120249883219710155&amp;utm_id=120248254459350155</t>
  </si>
  <si>
    <t>2026-05-30T00:13:50.630Z</t>
  </si>
  <si>
    <t>Danni Schlesinger</t>
  </si>
  <si>
    <t>legal@uol.com.br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</si>
  <si>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Hxvk4tzcnRjBmFwcF9pZA81NjcwNjczNDMzNTI0MjcAAac3yzYFb4u6bP-6GGS5wVWaKCQvXw_lzUoLTlpZCX8Gz9stbNU4_P4Y-CKRMw_aem_YWdncwA1Qeyh6vcIXfNQJviRkjPr&amp;brid=YWdncwE1Qeyh6vcIXfNQJviRkjPr&amp;campaign_id=120248254459350155&amp;ad_id=120249883219710155</t>
  </si>
  <si>
    <t>2026-05-30T08:01:57.194Z</t>
  </si>
  <si>
    <t>Cintia</t>
  </si>
  <si>
    <t>crb.inter@gmail.com</t>
  </si>
  <si>
    <t>https://lp.saibai.com.br/?utm_source=google-ads&amp;utm_medium=branding-terms&amp;utm_campaign=venda-direta&amp;utm_term=saibai&amp;utm_content=786538028159&amp;gad_source=1&amp;gad_campaignid=23319194144&amp;gbraid=0AAAAArClr9EL7-3CeIK28iTdt_AMJWDz1&amp;gclid=EAIaIQobChMI3vml3P3flAMVWUVIAB3fTTPLEAAYASADEgLva_D_BwE</t>
  </si>
  <si>
    <t>2026-05-30T16:01:46.034Z</t>
  </si>
  <si>
    <t>Thabada</t>
  </si>
  <si>
    <t>lapracasa@uol.com.br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</si>
  <si>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81NjcwNjczNDMzNTI0MjcAAafCmeBKv9RSUyy3T1SIX_R3XxvML8cGS3ZFoAK5KbToBdAvbTGs_FzgrFIM0Q_aem_zMP-ep1vyr90jVnuJtEfeg&amp;campaign_id=120248254459350155&amp;ad_id=120249883219710155</t>
  </si>
  <si>
    <t>2026-05-30T16:23:45.800Z</t>
  </si>
  <si>
    <t>Katia Regina Betteloni</t>
  </si>
  <si>
    <t>katiabetteloni@hotmail..com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</si>
  <si>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81NjcwNjczNDMzNTI0MjcAAacTOANqewaw0V1PCD3rFSM5kSuERUF_PWSdoqVGMe8a9KMV3c8CEq5kI5flWg_aem_x2eJp4AdniJ33iLEaT9kiA&amp;campaign_id=120248254459350155&amp;ad_id=120249883219710155</t>
  </si>
  <si>
    <t>2026-05-30T16:24:15.586Z</t>
  </si>
  <si>
    <t>2026-05-30T18:29:13.198Z</t>
  </si>
  <si>
    <t>Patricia</t>
  </si>
  <si>
    <t>patriciamurano17@gmail.com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</si>
  <si>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3SIevXhtzcnRjBmFwcF9pZAwzNTA2ODU1MzE3MjgAAR5YtJDA_VVK4vpZV5vFu0EzGGP94F1mubysT3X3Oa225ufPHCPgE6PlbfWgjw_aem_BEErRZVvFgrvEvN2AVk6lQ&amp;campaign_id=120248254459350155&amp;ad_id=120249883219710155&amp;utm_id=120248254459350155</t>
  </si>
  <si>
    <t>2026-05-31T11:35:27.348Z</t>
  </si>
  <si>
    <t>Laís boselli carvalho</t>
  </si>
  <si>
    <t>lais_bc@hotmail.com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</si>
  <si>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xMjQwMjQ1NzQyODc0MTQAAac8kZTTyOjty-UWNmYRqq_A-yjf0sx1wpfrkRsJGUDysxVIhoevE3Ru_SNeNQ_aem__BIuEr44g_f53hYWrNdfeA&amp;campaign_id=120248254459350155&amp;ad_id=120249883219710155</t>
  </si>
  <si>
    <t>2026-05-31T11:48:49.800Z</t>
  </si>
  <si>
    <t>Daniela Cristina Lima Donato</t>
  </si>
  <si>
    <t>daniela.donato@ymail.com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</si>
  <si>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3SIevXhtzcnRjBmFwcF9pZAo2NjI4NTY4Mzc5AAEeGs43xYZ8t_WdYgLbtfN6CAaLyfCUMKhOvrhEZhbiFTcyd6eQbGiGmFzGqhQ_aem_oao__wx2Th5nfVcLB0kfpA&amp;campaign_id=120248254459350155&amp;ad_id=120249883219710155&amp;utm_id=120248254459350155</t>
  </si>
  <si>
    <t>2026-05-31T13:13:00.617Z</t>
  </si>
  <si>
    <t>Patrícia Theodoro Theodoro</t>
  </si>
  <si>
    <t>patheodoro@hotmail.com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</si>
  <si>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81NjcwNjczNDMzNTI0MjcAAacPNrSBu_OZuFinCTu4k6KNiNqOTQ2s2ZtOwNOLLaSrnVySdL2cmcQwTgWYyQ_aem_mfUXG6fdvZan5slmD2Pi6g&amp;campaign_id=120248254459350155&amp;ad_id=120249883219710155</t>
  </si>
  <si>
    <t>2026-05-31T14:20:19.029Z</t>
  </si>
  <si>
    <t>sandrasinato@hotmail.com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</si>
  <si>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3SHxvk4tzcnRjBmFwcF9pZAo2NjI4NTY4Mzc5AAEejIJU-uXShwI5WlhguM6DrIMun3YWe2lXll10UhUlGqt3prRDif8nCNG_IQw_aem_Uqk5mpzDH7PkpNdCzVCLvA&amp;campaign_id=120248254459350155&amp;ad_id=120249883219710155&amp;utm_id=120248254459350155</t>
  </si>
  <si>
    <t>2026-05-31T14:33:21.496Z</t>
  </si>
  <si>
    <t>Isabel neves</t>
  </si>
  <si>
    <t>isabelneves92@gmail.com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</si>
  <si>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81NjcwNjczNDMzNTI0MjcAAacSi2MOlMAxvTu6z-qc8_aLzYKmw9hx93rsmZiPn3LGlRB933xs170A0elbGA_aem_P_5hsTyN1g1v_JEPyCQlpQ&amp;campaign_id=120248254459350155&amp;ad_id=120249883219710155</t>
  </si>
  <si>
    <t>2026-05-31T14:36:19.502Z</t>
  </si>
  <si>
    <t>Marcia Rinaldi Moreno</t>
  </si>
  <si>
    <t>marciarimoreno@yahoo.com.br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</si>
  <si>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Hxvk4tzcnRjBmFwcF9pZA81NjcwNjczNDMzNTI0MjcAAafnXtP5551Me8miw8d5corQ7nUvI9zIe2ojRQOsSuX1vIvWmxgU4wRIN1sqnA_aem_raH5Rr3Ayd9RnCOvK11vIg&amp;campaign_id=120248254459350155&amp;ad_id=120249883219710155</t>
  </si>
  <si>
    <t>2026-05-31T17:31:34.990Z</t>
  </si>
  <si>
    <t>Juliana Scaggion</t>
  </si>
  <si>
    <t>scaion_juliana@hotmail.com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</si>
  <si>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Hxvk4tzcnRjBmFwcF9pZA8xMjQwMjQ1NzQyODc0MTQAAacNUnMHHOnWlEy_ZxKGrXiIYdXF6NFEKQZ4o8qTenVthrtoa7rMiNdRJOr2NA_aem_2dxJgdpFppZoPMbgGtwSJQ&amp;campaign_id=120248254459350155&amp;ad_id=120249883219710155</t>
  </si>
  <si>
    <t>2026-05-31T17:31:58.500Z</t>
  </si>
  <si>
    <t>Sandro Gorresio</t>
  </si>
  <si>
    <t>sandro.gorresio@gmail.com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</si>
  <si>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3SIevXhtzcnRjBmFwcF9pZAwzNTA2ODU1MzE3MjgAAR7vBDGIZlEcV8Ir92GNBOESGxQPcK2jidgDylatspnFscPvlG9ojw-8nlTrGA_aem_sye8yyUxHL9sMkp6ZgTcHg&amp;campaign_id=120248254459350155&amp;ad_id=120249883219710155&amp;utm_id=120248254459350155</t>
  </si>
  <si>
    <t>2026-05-31T18:04:41.333Z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</si>
  <si>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Hxvk4tzcnRjBmFwcF9pZA81NjcwNjczNDMzNTI0MjcAAafLRcT3QnOW9v3wi2DA7IhvzedVLCwB9SfHDpvfvVYaRhJwIOHNzZIqClL_2A_aem_YWdncwAA6JT4wiYab71peYKszRcX&amp;brid=YWdncwEA6JT4wiYab71peYKszRcX&amp;campaign_id=120248254459350155&amp;ad_id=120249883219710155</t>
  </si>
  <si>
    <t>2026-05-31T19:12:44.073Z</t>
  </si>
  <si>
    <t>Fernanda Fukuda</t>
  </si>
  <si>
    <t>fernandafukuda@gmail.com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</si>
  <si>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81NjcwNjczNDMzNTI0MjcAAadIySWjpJ_giqvZSC_uRG2y1SIthNviQg7r6QklO4WRAvqziAcWUsZGx1bdyA_aem_fTzAS13mswSIiJwlJqc4hw&amp;campaign_id=120248254459350155&amp;ad_id=120249883219710155</t>
  </si>
  <si>
    <t>2026-06-01T00:20:33.357Z</t>
  </si>
  <si>
    <t>Cristiane Riva</t>
  </si>
  <si>
    <t>cristiane_riva@hotmail.com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</si>
  <si>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xMjQwMjQ1NzQyODc0MTQAAadNY1qW04v3KVgHJ-6rm6dqc4R7675Jt0GEIXolAlVTYQgnNx33C9H4NOlC-A_aem_R2tj0E_5D8PAFTuLpI4-Wg&amp;campaign_id=120248254459350155&amp;ad_id=120249883219710155</t>
  </si>
  <si>
    <t>2026-06-01T01:12:59.028Z</t>
  </si>
  <si>
    <t>Lucia Mitie</t>
  </si>
  <si>
    <t>lucia.mitie@gmail.com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</si>
  <si>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Hxvk4tzcnRjBmFwcF9pZA81NjcwNjczNDMzNTI0MjcAAacVPKFQKqHv-mBkOKMt9dB6QV_RvmSaycwmYjKBuvOB50jHOr7ouHFAC0nmMw_aem_f6yfOz8j7gWcxuBQYLXQiw&amp;campaign_id=120248254459350155&amp;ad_id=120249883219710155</t>
  </si>
  <si>
    <t>2026-06-01T01:23:56.058Z</t>
  </si>
  <si>
    <t>lilian cintra</t>
  </si>
  <si>
    <t>liliancintra9@gmail.com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</si>
  <si>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81NjcwNjczNDMzNTI0MjcAAaeU4LdQ0RHIVHrpgHax6LDk4c3d-pTx3uisBZ75najjqzs43jpcRTzWmA4Lcg_aem_KObiFpHSpmUugEAFPdH9dg&amp;campaign_id=120248254459350155&amp;ad_id=120249883219710155</t>
  </si>
  <si>
    <t>2026-06-01T01:24:00.285Z</t>
  </si>
  <si>
    <t>olga fontão</t>
  </si>
  <si>
    <t>olgafonts@gmail.com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</si>
  <si>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81NjcwNjczNDMzNTI0MjcAAadNX6BJPF3yQyt4qyFSPD3WCOOCip3ymgtMgRrT3Cs5durt0NIgf5IIQuKswQ_aem_6MQrPtzSBWchRXylNdKDsg&amp;campaign_id=120248254459350155&amp;ad_id=120249883219710155</t>
  </si>
  <si>
    <t>2026-06-01T01:54:38.303Z</t>
  </si>
  <si>
    <t>Tatiana</t>
  </si>
  <si>
    <t>tatirinaldi@gmail.com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</si>
  <si>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81NjcwNjczNDMzNTI0MjcAAaefBMjAHEsd-hDA-IK5xfDUEnXsOiVtZRdjJTQ9vl2XxvsuHG4TCabM3ZxiBg_aem_SWO2cnr2CLiOiA7NPJeJBQ&amp;campaign_id=120248254459350155&amp;ad_id=120249883219710155</t>
  </si>
  <si>
    <t>2026-06-01T02:49:13.013Z</t>
  </si>
  <si>
    <t>Pati Scarpa</t>
  </si>
  <si>
    <t>pa2810@gmail.com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</si>
  <si>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Threads_Feed&amp;utm_id=120248254459350155&amp;fbclid=PAZXh0bgNhZW0BMABhZGlkAas3SHxvk4tzcnRjBmFwcF9pZBAzNDE5NjI4MzA1MDI1OTE3AAGnkymre3ENUSSQEO3VPBsgexZciaoAPwcK4ve9g-x5qLN25CKKPGU1a9guAQU_aem_GVEb1ypAl773Cxhh4E_F6Q&amp;campaign_id=120248254459350155&amp;ad_id=120249883219710155</t>
  </si>
  <si>
    <t>2026-06-01T15:45:34.747Z</t>
  </si>
  <si>
    <t>Adriana Ferrazzo</t>
  </si>
  <si>
    <t>drikacaypy@gmail.com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</si>
  <si>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3SIevXhtzcnRjBmFwcF9pZAwzNTA2ODU1MzE3MjgAAR7WOPkGx3TDoorsFOYcww-Zp9RWb9t0Na6uvUs2mVicjdorE-_FlbMe5e0RBw_aem_b1jVelfwgRj5_LjPLW-wKg&amp;campaign_id=120248254459350155&amp;ad_id=120249883219710155&amp;utm_id=120248254459350155</t>
  </si>
  <si>
    <t>2026-06-01T16:46:19.402Z</t>
  </si>
  <si>
    <t>Priscila Formigoni Ursaia</t>
  </si>
  <si>
    <t>ursaiajf@gmail.com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</si>
  <si>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Hxvk4tzcnRjBmFwcF9pZA8xMjQwMjQ1NzQyODc0MTQAAadQaJsb6O_GW6uPYYlATJI2jJidzYsbkEJLq0yGfqdEWdA-wQLntArgr-SDAw_aem_e6YdFl5eezGN8ocMY2ekaw&amp;campaign_id=120248254459350155&amp;ad_id=120249883219710155</t>
  </si>
  <si>
    <t>2026-06-01T18:41:22.578Z</t>
  </si>
  <si>
    <t>Merity Neves</t>
  </si>
  <si>
    <t>merity@amgadm.com.br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</si>
  <si>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xMjQwMjQ1NzQyODc0MTQAAafDETBMjmFK-tdu58p792BlHse3Z-YlhFfWzp47SPqRuWRIR21Zax5BHqxoJQ_aem_AjRny-WoWQ8PIpiN0W6P0g&amp;campaign_id=120248254459350155&amp;ad_id=120249883219710155</t>
  </si>
  <si>
    <t>2026-06-01T23:33:18.167Z</t>
  </si>
  <si>
    <t>Adriana Lauer</t>
  </si>
  <si>
    <t>algaldino@prefeitura.sp.gov.br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</si>
  <si>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xMjQwMjQ1NzQyODc0MTQAAadvjt8QIYV0bV0sBnym3C_FdhI8x4BJf12fe3FMyJl8qIBzyVnP17lxFHmJdQ_aem_2eKz6HqoI7eoukjBPf3m7A&amp;campaign_id=120248254459350155&amp;ad_id=120249883219710155</t>
  </si>
  <si>
    <t>2026-06-02T03:14:16.235Z</t>
  </si>
  <si>
    <t>Andréa Madella</t>
  </si>
  <si>
    <t>andreammadella@gmail.com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</si>
  <si>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81NjcwNjczNDMzNTI0MjcAAaez0yDLhcvdW5IassWHInqDrFnrNJRHmhO7gOqjmUmh3w7gGkYKxHsTU5hmMg_aem_LWWa2Fii2mFnVekByUxn9g&amp;campaign_id=120248254459350155&amp;ad_id=120249883219710155</t>
  </si>
  <si>
    <t>2026-06-02T03:20:48.671Z</t>
  </si>
  <si>
    <t>Jean Melle</t>
  </si>
  <si>
    <t>jeanmelle@mellepartners.com.br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</si>
  <si>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xMjQwMjQ1NzQyODc0MTQAAacuJ9Qd_GpQZju83ZL7MzD7eYmRbzJp_cxXkG3pivmv1RgNL0tTNHy3mN233w_aem_Bwxas05SLcHKiFP_Pw6bxw&amp;campaign_id=120248254459350155&amp;ad_id=120249883219710155</t>
  </si>
  <si>
    <t>2026-06-02T03:22:44.268Z</t>
  </si>
  <si>
    <t>Elaine Siciliano Cussi</t>
  </si>
  <si>
    <t>elainecussi@bol.com.br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</si>
  <si>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xMjQwMjQ1NzQyODc0MTQAAac1pdoS8U4OIr4nLMOVYa0usuueL5xtlcekuSOd7l7Zrr7TmChb-BZQatz2dA_aem_mGT6Fz77IivZKR6FRKuSJA&amp;campaign_id=120248254459350155&amp;ad_id=120249883219710155</t>
  </si>
  <si>
    <t>2026-06-02T12:09:49.798Z</t>
  </si>
  <si>
    <t>Cristina pereira Oliveira</t>
  </si>
  <si>
    <t>cripsi2014@gmail.com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</si>
  <si>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81NjcwNjczNDMzNTI0MjcAAadfSYrUyI0zzTgL5oag5wJZrMoP07qGI17HA7BLbdaZ1O3F0_h1CNNVxRIt2Q_aem_9xU-rCRf75RP6Zw_U5-Fjg&amp;campaign_id=120248254459350155&amp;ad_id=120249883219710155</t>
  </si>
  <si>
    <t>2026-06-02T12:53:25.791Z</t>
  </si>
  <si>
    <t>Cesar Cosentino</t>
  </si>
  <si>
    <t>cesarcosent@gmail.com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</si>
  <si>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Hxvk4tzcnRjBmFwcF9pZA81NjcwNjczNDMzNTI0MjcAAacbHvvBPaombWlrFb0FhRWeX3VrHeNHp7ummydsHPigM2EOPoC_wD2IzvL92A_aem_YWdncwDFHOFDEjRz6DrHNpYydjy7&amp;brid=YWdncwHFHOFDEjRz6DrHNpYydjy7&amp;campaign_id=120248254459350155&amp;ad_id=120249883219710155</t>
  </si>
  <si>
    <t>2026-06-02T17:18:29.425Z</t>
  </si>
  <si>
    <t>Yassuko Hashimoto de Abreu</t>
  </si>
  <si>
    <t>yahashimoto@outlook.com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</si>
  <si>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xMjQwMjQ1NzQyODc0MTQAAadXUm5F1oY9eEHQN0gPfaXYWQe48hLH6gLsuLM2tND0SmiF7fkiI4Uu0URHzg_aem_z10Os2f1hj5BD4eYxdtF2g&amp;campaign_id=120248254459350155&amp;ad_id=120249883219710155</t>
  </si>
  <si>
    <t>2026-06-02T17:31:54.812Z</t>
  </si>
  <si>
    <t>Ana Carolina Gemi Galvão</t>
  </si>
  <si>
    <t>carol.gemi@gmail.com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</si>
  <si>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xMjQwMjQ1NzQyODc0MTQAAafOpTF6kmMU-RigSigGyFepTrHt3IP7xn8lKkXqItCrjJcCfzeWZPt5mNEGdw_aem_UH7cBMqGiU4xY9m0RbQPpw&amp;campaign_id=120248254459350155&amp;ad_id=120249883219710155</t>
  </si>
  <si>
    <t>2026-06-02T17:39:17.803Z</t>
  </si>
  <si>
    <t>Kenia Dotto</t>
  </si>
  <si>
    <t>kldotto@terra.com.br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</si>
  <si>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81NjcwNjczNDMzNTI0MjcAAae95y1H2WijR7n-o7KTmEMI917BWrk458Frb3AbpGyScLhiXwmxGG5x5OiRvw_aem_mxP3px2LVP03z_XRt2OSVA&amp;campaign_id=120248254459350155&amp;ad_id=120249883219710155</t>
  </si>
  <si>
    <t>2026-06-02T17:40:41.164Z</t>
  </si>
  <si>
    <t>Jaqueline Escaleira Jordao</t>
  </si>
  <si>
    <t>dakiss@gmail.com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</si>
  <si>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xMjQwMjQ1NzQyODc0MTQAAac0axcxQqe275yRGlVUsbP7Gp7jX9pAengjKDhbzy6T5lEwqTsQFIh_HnCICg_aem_Jut227pehm31pGTXYjs0hQ&amp;campaign_id=120248254459350155&amp;ad_id=120249883219710155</t>
  </si>
  <si>
    <t>2026-06-02T20:52:19.081Z</t>
  </si>
  <si>
    <t>Fabiani Nicastro</t>
  </si>
  <si>
    <t>fabiani.n73i@gmail.com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</si>
  <si>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3SIevXhtzcnRjBmFwcF9pZAwzNTA2ODU1MzE3MjgAAR4BBfyV_PFRbKcEwJcvr_3yG94I9zXdAHhRwDzLk_kEMk0ygUbCCXngtJsuzw_aem_x1sZhcAdLAK5BRuAw1uQqw&amp;campaign_id=120248254459350155&amp;ad_id=120249883219710155&amp;utm_id=120248254459350155</t>
  </si>
  <si>
    <t>2026-06-02T23:33:40.370Z</t>
  </si>
  <si>
    <t>Jane Giroto Firmino</t>
  </si>
  <si>
    <t>ninnaagirotto@gmail.com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</si>
  <si>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81NjcwNjczNDMzNTI0MjcAAaecXtUTUoEqosK2RgJ7gPWJ-zPI_PYhOVzMkCxHqMjK3AR2JNSi_RJqvXjnDQ_aem_0SMoburWfvlTtoM8ift76g&amp;campaign_id=120248254459350155&amp;ad_id=120249883219710155</t>
  </si>
  <si>
    <t>2026-06-03T01:14:05.658Z</t>
  </si>
  <si>
    <t>Rodolfo</t>
  </si>
  <si>
    <t>rodolfo.polloni@gmail.com</t>
  </si>
  <si>
    <t>2026-06-03T02:05:07.462Z</t>
  </si>
  <si>
    <t>Cristiane Ramos</t>
  </si>
  <si>
    <t>cristianehu2@gmail.com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</si>
  <si>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3SIevXhtzcnRjBmFwcF9pZAwzNTA2ODU1MzE3MjgAAR6kn-eQiWlaaJPA5U0pRz97rJ87DiA9vcW3kqNKAixAV8A6FNZEigkBqmgqBA_aem_M9xRB8SpK077fHYSvrrwnA&amp;campaign_id=120248254459350155&amp;ad_id=120249883219710155&amp;utm_id=120248254459350155</t>
  </si>
  <si>
    <t>2026-06-03T03:45:15.355Z</t>
  </si>
  <si>
    <t>Patrícia Kawachi</t>
  </si>
  <si>
    <t>patriciakawachi@gmail.com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</si>
  <si>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81NjcwNjczNDMzNTI0MjcAAac2EaNxoMpYm5UY_GF0199ojwsHxKw_AqdW6bpl8B_i7Z4v663NtUBAuav0Ag_aem_YYpyW0FWSQYacufFwrvKgQ&amp;campaign_id=120248254459350155&amp;ad_id=120249883219710155</t>
  </si>
  <si>
    <t>2026-06-03T06:44:40.855Z</t>
  </si>
  <si>
    <t>2026-06-03T12:27:02.028Z</t>
  </si>
  <si>
    <t>Fabiana Goes</t>
  </si>
  <si>
    <t>fabianadmgoes@gmail.com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</si>
  <si>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Hxvk4tzcnRjBmFwcF9pZA8xMjQwMjQ1NzQyODc0MTQAAadmS9pKJUyPK6rAMT54obG3fkZtyamm2Xn-hcKeXTozdu4FTxz613ROsTpSwg_aem_LBivRMDy9n9XjrJWjOvLrw&amp;campaign_id=120248254459350155&amp;ad_id=120249883219710155</t>
  </si>
  <si>
    <t>2026-06-03T19:34:14.900Z</t>
  </si>
  <si>
    <t>Heloísa</t>
  </si>
  <si>
    <t>heloisaponzoni@hotmail.com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</si>
  <si>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xMjQwMjQ1NzQyODc0MTQAAad4qjQeoRxBX-EADg2h7o9jrjv5Ut7aPYhHRKjR_qpsR3ckI0s97wcLLo6CEw_aem_7rPouIPTIadZcJOGVzRCrA&amp;campaign_id=120248254459350155&amp;ad_id=120249883219710155</t>
  </si>
  <si>
    <t>2026-06-03T19:34:38.394Z</t>
  </si>
  <si>
    <t>Daniela Assaf da Fonseca</t>
  </si>
  <si>
    <t>danielaassaff@gmail.com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</si>
  <si>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xMjQwMjQ1NzQyODc0MTQAAaclBcabwcDk1WuX-kWQigXkIqwd1uFk7YCKLXaYhhRmLb-ntlp780dvLylFsw_aem_odP7zytTsQEl0VaLyVPhyA&amp;campaign_id=120248254459350155&amp;ad_id=120249883219710155</t>
  </si>
  <si>
    <t>2026-06-03T20:45:50.798Z</t>
  </si>
  <si>
    <t>Piedade Rosa Diogo</t>
  </si>
  <si>
    <t>piedaderosa1967@gmail.com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</si>
  <si>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3SIevXhtzcnRjBmFwcF9pZAo2NjI4NTY4Mzc5AAEez7f4is0_d1fw1BO4nSEJJhR2qcYMvK_1ExEdAaPLP-pDh7OyQHu31v6l7O0_aem_wZAtco-YYWR9NnaYJGMcew&amp;campaign_id=120248254459350155&amp;ad_id=120249883219710155&amp;utm_id=120248254459350155</t>
  </si>
  <si>
    <t>2026-06-03T22:05:13.877Z</t>
  </si>
  <si>
    <t>Sacha Redorat</t>
  </si>
  <si>
    <t>sacharedorat@gmail.com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</si>
  <si>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Reels&amp;fbclid=IwZXh0bgNhZW0BMABhZGlkAas3SIevXhtzcnRjBmFwcF9pZAo2NjI4NTY4Mzc5AAEeOO7K9EcfnRRSYNkJJnxrny7N_1hXtv-sC4QvWUtVLpv_Gpf4mhD_lEzDyko_aem_ELAthwNIqK3jSEyrPcdtGg&amp;campaign_id=120248254459350155&amp;ad_id=120249883219710155&amp;utm_id=120248254459350155</t>
  </si>
  <si>
    <t>2026-06-04T01:48:22.448Z</t>
  </si>
  <si>
    <t>Claudia C.</t>
  </si>
  <si>
    <t>clclo@outlook.com.br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</si>
  <si>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xMjQwMjQ1NzQyODc0MTQAAafyVnZSxAWFgXt3Q2gVxPbZ5cSvMxQbsbXkymVO0qlaVzqhmaOTt8odePZ9fQ_aem_TBkPE5POlHBPNm0zeUpSpQ&amp;campaign_id=120248254459350155&amp;ad_id=120249883219710155</t>
  </si>
  <si>
    <t>2026-06-04T04:35:14.373Z</t>
  </si>
  <si>
    <t>Sabrina Andreotti</t>
  </si>
  <si>
    <t>s.andreotto@uol.com.br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</si>
  <si>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81NjcwNjczNDMzNTI0MjcAAadF34o_rtwu8TDXfwVomvPSvnBdan03ApGeEwgQSjvJMADn-H_6MZX-_56gbw_aem_G_gdbHdr6g32OCreq1OWFA&amp;campaign_id=120248254459350155&amp;ad_id=120249883219710155</t>
  </si>
  <si>
    <t>2026-06-04T08:25:05.472Z</t>
  </si>
  <si>
    <t>Fabio Honorio</t>
  </si>
  <si>
    <t>fhonori9@terra.com.br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</si>
  <si>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Reels&amp;utm_id=120248254459350155&amp;fbclid=PAZXh0bgNhZW0BMABhZGlkAas3SIevXhtzcnRjBmFwcF9pZA81NjcwNjczNDMzNTI0MjcAAafNBP_5jTtCj5P44Y6ayXxNhcXAcKvaLjZ9NMV7qSweyYhp_cWfWfY9Yu4h8A_aem_euc0bISWySdwr5HnewDxRw&amp;campaign_id=120248254459350155&amp;ad_id=120249883219710155</t>
  </si>
  <si>
    <t>2026-06-04T16:25:53.759Z</t>
  </si>
  <si>
    <t>Marcia Nakayama</t>
  </si>
  <si>
    <t>marciaemiko@uol.com.br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</si>
  <si>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81NjcwNjczNDMzNTI0MjcAAafMGDVCjfwpi-D2mGo2aNURhhumaPuKv6bc5auKc_XwzbKfgxg2wSOLORnxGQ_aem_YWdncwCJ85tNyQBHBCjw05QN6byq&amp;brid=YWdncwGJ85tNyQBHBCjw05QN6byq&amp;campaign_id=120248254459350155&amp;ad_id=120249883219710155</t>
  </si>
  <si>
    <t>2026-06-04T16:37:00.945Z</t>
  </si>
  <si>
    <t>Marcia Emiko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</si>
  <si>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Hxvk4tzcnRjBmFwcF9pZA81NjcwNjczNDMzNTI0MjcAAafdpN72lYk2geTbYyAacfBQiSquVr3lKelZni64CuK0gGXKzazvmsNpHMOREg_aem_YWdncwBfXQbT66k67wozmqpcOdvY&amp;brid=YWdncwFfXQbT66k67wozmqpcOdvY&amp;campaign_id=120248254459350155&amp;ad_id=120249883219710155</t>
  </si>
  <si>
    <t>2026-06-04T16:37:41.382Z</t>
  </si>
  <si>
    <t>2026-06-04T16:39:15.031Z</t>
  </si>
  <si>
    <t>2026-06-04T20:11:05.917Z</t>
  </si>
  <si>
    <t>Ana Lucia</t>
  </si>
  <si>
    <t>analuciagb2011@hotmail.com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</si>
  <si>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Reels&amp;fbclid=IwZXh0bgNhZW0BMABhZGlkAas3SHxvk4tzcnRjBmFwcF9pZAwzNTA2ODU1MzE3MjgAAR7ZUxiP5-qWtkNb8Z69YCGYadzpz-y_qBwZdRlSG3_I3xyfInIvTOhQ_HHx5g_aem__TkQCDnK7VoAUudjNQqIvA&amp;campaign_id=120248254459350155&amp;ad_id=120249883219710155&amp;utm_id=120248254459350155</t>
  </si>
  <si>
    <t>2026-06-04T20:12:42.644Z</t>
  </si>
  <si>
    <t>Ana Lucia Borghi</t>
  </si>
  <si>
    <t>2026-06-04T23:59:29.374Z</t>
  </si>
  <si>
    <t>Claudia M Ferreira</t>
  </si>
  <si>
    <t>claumaffei@uol.com.br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</si>
  <si>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3SIevXhtzcnRjBmFwcF9pZAo2NjI4NTY4Mzc5AAEerEBVPQSRqO8oweok2JFfNLZ5vduaKTJtlT1pqOq0jIZZckH9I3ln8-0aAug_aem_z0106_xDf8l2eQcuA4nEGw&amp;campaign_id=120248254459350155&amp;ad_id=120249883219710155&amp;utm_id=120248254459350155</t>
  </si>
  <si>
    <t>2026-06-05T15:51:25.885Z</t>
  </si>
  <si>
    <t>Katty zapata</t>
  </si>
  <si>
    <t>kattyvivianabz@gmail.com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</si>
  <si>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81NjcwNjczNDMzNTI0MjcAAaeoRRc4xKXBfuLzn5IE2r4YU7hM_tuQAbnHQYvKZqpn6WWp9RzTgagAq4h6dg_aem_3Dyvpq6Q8vcOhIyIZSydow&amp;campaign_id=120248254459350155&amp;ad_id=120249883219710155</t>
  </si>
  <si>
    <t>2026-06-05T15:58:56.616Z</t>
  </si>
  <si>
    <t>Catherine Bonaventure</t>
  </si>
  <si>
    <t>catipizolio@gmail.com</t>
  </si>
  <si>
    <t>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81NjcwNjczNDMzNTI0MjcAAacHBpHW4nuu99XOjWgWl5CUcmffGtd0yADQRAeWQllVVPAHL0z6ZxGYa73kkg_aem_YWdncwAT1sREoHQy_VF3BoOElCDL&amp;brid=YWdncwET1sREoHQy_VF3BoOElCDL&amp;campaign_id=120248254459350155&amp;ad_id=120249883219710155</t>
  </si>
  <si>
    <t>2026-06-05T23:56:10.262Z</t>
  </si>
  <si>
    <t>https://lp.saibai.com.br/sao-paulo?utm_source=MetaAds&amp;utm_medium=ADV+-+%5BIG%5D+%5BFB%5D+%5B30%2B%5D+%5BSP+METROPOLE%5D+V%C3%81RIOS&amp;utm_campaign=22.04.2026+%5BV4%5D+%5BWB%5D+%5BLEADS-GRUPO-WHATS%5D+02&amp;utm_content=07.04+%5BIMG%5D+%5BAD02%5D+N%C3%A3o+%C3%A9+sobre+comida&amp;utm_term=Facebook_Mobile_Feed&amp;fbclid=IwZXh0bgNhZW0BMABhZGlkAas3SHxp7jtzcnRjBmFwcF9pZAwzNTA2ODU1MzE3MjgAAR6y6GR05V3dUpPnGeYCpq-z0mqVB6-626ruBQ45ZAfu-MpvAIkXpDaNS8rm-A_aem_LUh_Z7GJHEjGU2cXSMOBmQ&amp;campaign_id=120248254459350155&amp;ad_id=120249883219700155&amp;utm_id=120248254459350155</t>
  </si>
  <si>
    <t>Numero</t>
  </si>
  <si>
    <t>2026-06-03T06:30:09.449+02:00</t>
  </si>
  <si>
    <t>2026-06-03T06:30:09.462+02:00</t>
  </si>
  <si>
    <t>2026-04-13T19:42:21.214+02:00</t>
  </si>
  <si>
    <t>2026-06-03T06:30:09.465+02:00</t>
  </si>
  <si>
    <t>2026-04-25T06:31:00.222+02:00</t>
  </si>
  <si>
    <t>2026-06-03T06:30:09.473+02:00</t>
  </si>
  <si>
    <t>2026-04-25T06:31:00.236+02:00</t>
  </si>
  <si>
    <t>2026-06-03T06:30:09.480+02:00</t>
  </si>
  <si>
    <t>2026-06-03T06:30:09.481+02:00</t>
  </si>
  <si>
    <t>2026-06-03T06:30:09.483+02:00</t>
  </si>
  <si>
    <t>2026-06-03T06:30:09.484+02:00</t>
  </si>
  <si>
    <t>2026-06-03T06:30:09.485+02:00</t>
  </si>
  <si>
    <t>2026-04-25T06:31:00.256+02:00</t>
  </si>
  <si>
    <t>2026-04-25T06:31:00.262+02:00</t>
  </si>
  <si>
    <t>2026-06-03T06:30:09.490+02:00</t>
  </si>
  <si>
    <t>2026-06-03T06:30:09.491+02:00</t>
  </si>
  <si>
    <t>2026-04-24T06:31:00.844+02:00</t>
  </si>
  <si>
    <t>2026-04-24T06:31:00.845+02:00</t>
  </si>
  <si>
    <t>2026-06-03T06:30:09.495+02:00</t>
  </si>
  <si>
    <t>2026-04-24T06:31:00.851+02:00</t>
  </si>
  <si>
    <t>2026-06-03T06:30:09.499+02:00</t>
  </si>
  <si>
    <t>2026-06-03T06:30:09.501+02:00</t>
  </si>
  <si>
    <t>2026-06-03T06:30:09.505+02:00</t>
  </si>
  <si>
    <t>2026-05-11T06:30:59.926+02:00</t>
  </si>
  <si>
    <t>2026-04-24T06:31:00.866+02:00</t>
  </si>
  <si>
    <t>2026-06-03T06:30:09.506+02:00</t>
  </si>
  <si>
    <t>2026-06-03T06:30:09.507+02:00</t>
  </si>
  <si>
    <t>2026-04-25T06:31:00.288+02:00</t>
  </si>
  <si>
    <t>2026-06-03T06:30:09.511+02:00</t>
  </si>
  <si>
    <t>2026-06-03T06:30:09.513+02:00</t>
  </si>
  <si>
    <t>2026-06-03T06:30:09.514+02:00</t>
  </si>
  <si>
    <t>2026-06-03T06:30:09.517+02:00</t>
  </si>
  <si>
    <t>2026-06-03T06:30:09.519+02:00</t>
  </si>
  <si>
    <t>2026-06-03T06:30:09.521+02:00</t>
  </si>
  <si>
    <t>2026-06-03T06:30:09.523+02:00</t>
  </si>
  <si>
    <t>2026-04-25T06:31:00.308+02:00</t>
  </si>
  <si>
    <t>2026-04-14T14:13:30.730+02:00</t>
  </si>
  <si>
    <t>2026-06-03T06:30:09.527+02:00</t>
  </si>
  <si>
    <t>2026-06-03T06:30:09.532+02:00</t>
  </si>
  <si>
    <t>2026-06-03T06:30:09.533+02:00</t>
  </si>
  <si>
    <t>2026-05-06T06:30:59.936+02:00</t>
  </si>
  <si>
    <t>2026-06-03T06:30:09.539+02:00</t>
  </si>
  <si>
    <t>2026-04-28T06:30:59.971+02:00</t>
  </si>
  <si>
    <t>2026-06-03T06:30:09.543+02:00</t>
  </si>
  <si>
    <t>2026-06-03T06:30:09.553+02:00</t>
  </si>
  <si>
    <t>2026-06-03T06:30:09.554+02:00</t>
  </si>
  <si>
    <t>2026-06-03T06:30:09.555+02:00</t>
  </si>
  <si>
    <t>2026-06-03T06:30:09.559+02:00</t>
  </si>
  <si>
    <t>2026-04-25T06:31:00.368+02:00</t>
  </si>
  <si>
    <t>2026-06-03T06:30:09.450+02:00</t>
  </si>
  <si>
    <t>2026-06-03T06:30:09.470+02:00</t>
  </si>
  <si>
    <t>2026-04-25T06:31:00.226+02:00</t>
  </si>
  <si>
    <t>2026-05-27T06:30:14.053+02:00</t>
  </si>
  <si>
    <t>2026-06-03T06:30:09.476+02:00</t>
  </si>
  <si>
    <t>2026-04-30T06:30:59.936+02:00</t>
  </si>
  <si>
    <t>2026-06-03T06:30:09.552+02:00</t>
  </si>
  <si>
    <t>2026-06-03T06:30:09.458+02:00</t>
  </si>
  <si>
    <t>2026-04-25T06:31:00.233+02:00</t>
  </si>
  <si>
    <t>2026-04-24T06:31:00.843+02:00</t>
  </si>
  <si>
    <t>2026-04-24T06:31:00.850+02:00</t>
  </si>
  <si>
    <t>2026-06-03T06:30:09.498+02:00</t>
  </si>
  <si>
    <t>2026-06-03T06:30:09.526+02:00</t>
  </si>
  <si>
    <t>2026-04-15T06:31:00.347+02:00</t>
  </si>
  <si>
    <t>2026-05-04T06:31:00.867+02:00</t>
  </si>
  <si>
    <t>2026-06-03T06:30:09.557+02:00</t>
  </si>
  <si>
    <t>2026-06-03T06:30:09.448+02:00</t>
  </si>
  <si>
    <t>2026-06-03T06:30:09.454+02:00</t>
  </si>
  <si>
    <t>2026-06-03T06:30:09.457+02:00</t>
  </si>
  <si>
    <t>2026-05-18T06:30:59.904+02:00</t>
  </si>
  <si>
    <t>2026-06-03T06:30:09.489+02:00</t>
  </si>
  <si>
    <t>2026-04-28T06:30:59.938+02:00</t>
  </si>
  <si>
    <t>2026-06-03T06:30:09.520+02:00</t>
  </si>
  <si>
    <t>2026-06-03T06:30:09.528+02:00</t>
  </si>
  <si>
    <t>2026-06-03T06:30:09.560+02:00</t>
  </si>
  <si>
    <t>2026-05-06T06:30:59.883+02:00</t>
  </si>
  <si>
    <t>2026-05-29T06:30:07.480+02:00</t>
  </si>
  <si>
    <t>2026-06-03T06:30:09.468+02:00</t>
  </si>
  <si>
    <t>2026-06-03T06:30:09.469+02:00</t>
  </si>
  <si>
    <t>2026-06-03T06:30:09.478+02:00</t>
  </si>
  <si>
    <t>2026-06-03T06:30:09.492+02:00</t>
  </si>
  <si>
    <t>2026-06-03T06:30:09.494+02:00</t>
  </si>
  <si>
    <t>2026-06-03T06:30:09.502+02:00</t>
  </si>
  <si>
    <t>2026-06-03T06:30:09.530+02:00</t>
  </si>
  <si>
    <t>2026-06-03T06:30:09.537+02:00</t>
  </si>
  <si>
    <t>2026-06-03T06:30:09.542+02:00</t>
  </si>
  <si>
    <t>2026-04-25T06:31:00.225+02:00</t>
  </si>
  <si>
    <t>2026-06-03T06:30:09.474+02:00</t>
  </si>
  <si>
    <t>2026-06-03T06:30:09.497+02:00</t>
  </si>
  <si>
    <t>2026-06-03T06:30:09.504+02:00</t>
  </si>
  <si>
    <t>2026-06-03T06:30:09.509+02:00</t>
  </si>
  <si>
    <t>2026-06-03T06:30:09.544+02:00</t>
  </si>
  <si>
    <t>2026-06-03T06:30:09.558+02:00</t>
  </si>
  <si>
    <t>2026-04-28T06:30:59.912+02:00</t>
  </si>
  <si>
    <t>2026-06-03T06:30:09.464+02:00</t>
  </si>
  <si>
    <t>2026-06-03T06:30:09.466+02:00</t>
  </si>
  <si>
    <t>2026-05-25T06:30:13.930+02:00</t>
  </si>
  <si>
    <t>2026-04-25T06:31:00.267+02:00</t>
  </si>
  <si>
    <t>2026-04-23T06:31:00.351+02:00</t>
  </si>
  <si>
    <t>2026-04-25T06:31:00.273+02:00</t>
  </si>
  <si>
    <t>2026-06-03T06:30:09.508+02:00</t>
  </si>
  <si>
    <t>2026-06-03T06:30:09.518+02:00</t>
  </si>
  <si>
    <t>2026-04-25T06:31:00.326+02:00</t>
  </si>
  <si>
    <t>2026-06-03T06:30:09.546+02:00</t>
  </si>
  <si>
    <t>2026-06-03T06:30:09.549+02:00</t>
  </si>
  <si>
    <t>2026-05-12T06:30:59.952+02:00</t>
  </si>
  <si>
    <t>2026-06-03T06:30:09.486+02:00</t>
  </si>
  <si>
    <t>2026-06-03T06:30:09.547+02:00</t>
  </si>
  <si>
    <t>2026-04-24T06:31:00.921+02:00</t>
  </si>
  <si>
    <t>2026-04-25T06:31:00.216+02:00</t>
  </si>
  <si>
    <t>2026-06-03T06:30:09.516+02:00</t>
  </si>
  <si>
    <t>2026-04-21T06:31:00.802+02:00</t>
  </si>
  <si>
    <t>2026-06-03T06:30:09.535+02:00</t>
  </si>
  <si>
    <t>2026-06-03T06:30:09.463+02:00</t>
  </si>
  <si>
    <t>2026-06-03T06:30:09.471+02:00</t>
  </si>
  <si>
    <t>2026-06-03T06:30:09.534+02:00</t>
  </si>
  <si>
    <t>2026-06-03T06:30:09.545+02:00</t>
  </si>
  <si>
    <t>2026-06-03T06:30:09.561+02:00</t>
  </si>
  <si>
    <t>2026-06-03T06:30:09.451+02:00</t>
  </si>
  <si>
    <t>2026-06-03T06:30:09.522+02:00</t>
  </si>
  <si>
    <t>2026-06-03T06:30:09.461+02:00</t>
  </si>
  <si>
    <t>2026-06-03T06:30:09.550+02:00</t>
  </si>
  <si>
    <t>2026-06-03T06:30:09.477+02:00</t>
  </si>
  <si>
    <t>2026-05-22T06:30:13.952+02:00</t>
  </si>
  <si>
    <t>2026-06-03T06:30:09.536+02:00</t>
  </si>
  <si>
    <t>2026-06-03T06:30:09.475+02:00</t>
  </si>
  <si>
    <t>2026-06-03T06:30:09.493+02:00</t>
  </si>
  <si>
    <t>2026-06-03T06:30:09.500+02:00</t>
  </si>
  <si>
    <t>2026-06-03T06:30:09.515+02:00</t>
  </si>
  <si>
    <t>2026-06-03T06:30:09.551+02:00</t>
  </si>
  <si>
    <t>2026-06-03T06:30:09.456+02:00</t>
  </si>
  <si>
    <t>2026-05-27T15:55:10.751+02:00</t>
  </si>
  <si>
    <t>2026-06-03T06:30:09.541+02:00</t>
  </si>
  <si>
    <t>2026-06-03T06:30:09.459+02:00</t>
  </si>
  <si>
    <t>2026-06-03T06:30:09.455+02:00</t>
  </si>
  <si>
    <t>2026-06-03T06:30:09.472+02:00</t>
  </si>
  <si>
    <t>2026-06-03T06:30:09.496+02:00</t>
  </si>
  <si>
    <t>2026-05-09T06:30:59.932+02:00</t>
  </si>
  <si>
    <t>2026-06-03T06:30:09.467+02:00</t>
  </si>
  <si>
    <t>2026-06-03T06:30:09.487+02:00</t>
  </si>
  <si>
    <t>2026-05-09T06:30:59.917+02:00</t>
  </si>
  <si>
    <t>2026-06-03T06:30:09.529+02:00</t>
  </si>
  <si>
    <t>2026-05-17T06:31:00.030+02:00</t>
  </si>
  <si>
    <t>2026-06-03T06:30:09.512+02:00</t>
  </si>
  <si>
    <t>2026-06-03T06:30:09.525+02:00</t>
  </si>
  <si>
    <t>2026-05-29T06:30:07.613+02:00</t>
  </si>
  <si>
    <t>2026-05-19T06:30:59.877+02:00</t>
  </si>
  <si>
    <t>2026-06-03T06:30:09.524+02:00</t>
  </si>
  <si>
    <t>2026-06-03T06:30:09.556+02:00</t>
  </si>
  <si>
    <t>2026-05-19T06:30:59.925+02:00</t>
  </si>
  <si>
    <t>2026-06-03T06:30:09.479+02:00</t>
  </si>
  <si>
    <t>2026-06-03T06:30:09.488+02:00</t>
  </si>
  <si>
    <t>2026-06-03T06:30:09.510+02:00</t>
  </si>
  <si>
    <t>2026-06-03T06:30:03.520+02:00</t>
  </si>
  <si>
    <t>2026-06-03T06:30:03.524+02:00</t>
  </si>
  <si>
    <t>2026-06-01T06:30:03.431+02:00</t>
  </si>
  <si>
    <t>2026-06-03T06:30:03.541+02:00</t>
  </si>
  <si>
    <t>2026-06-03T06:30:03.543+02:00</t>
  </si>
  <si>
    <t>2026-06-03T06:30:03.546+02:00</t>
  </si>
  <si>
    <t>2026-06-03T06:30:03.550+02:00</t>
  </si>
  <si>
    <t>2026-06-03T06:30:03.561+02:00</t>
  </si>
  <si>
    <t>2026-06-03T06:30:03.570+02:00</t>
  </si>
  <si>
    <t>2026-06-03T06:30:03.579+02:00</t>
  </si>
  <si>
    <t>2026-06-03T06:30:03.580+02:00</t>
  </si>
  <si>
    <t>2026-05-29T06:30:03.301+02:00</t>
  </si>
  <si>
    <t>2026-06-03T06:30:03.582+02:00</t>
  </si>
  <si>
    <t>2026-06-01T06:30:03.457+02:00</t>
  </si>
  <si>
    <t>2026-06-03T06:30:03.583+02:00</t>
  </si>
  <si>
    <t>2026-06-03T06:30:03.588+02:00</t>
  </si>
  <si>
    <t>2026-06-01T06:30:03.465+02:00</t>
  </si>
  <si>
    <t>2026-06-03T06:30:03.611+02:00</t>
  </si>
  <si>
    <t>2026-06-03T06:30:03.612+02:00</t>
  </si>
  <si>
    <t>2026-06-03T06:30:03.613+02:00</t>
  </si>
  <si>
    <t>2026-06-03T06:30:03.615+02:00</t>
  </si>
  <si>
    <t>2026-06-03T06:30:03.616+02:00</t>
  </si>
  <si>
    <t>2026-06-03T06:30:03.617+02:00</t>
  </si>
  <si>
    <t>2026-06-03T06:30:03.618+02:00</t>
  </si>
  <si>
    <t>2026-06-03T06:30:03.622+02:00</t>
  </si>
  <si>
    <t>2026-06-03T06:30:03.627+02:00</t>
  </si>
  <si>
    <t>2026-06-03T06:30:03.632+02:00</t>
  </si>
  <si>
    <t>2026-06-03T06:30:03.641+02:00</t>
  </si>
  <si>
    <t>2026-06-03T06:30:03.642+02:00</t>
  </si>
  <si>
    <t>2026-06-03T06:30:03.645+02:00</t>
  </si>
  <si>
    <t>2026-06-01T06:30:03.495+02:00</t>
  </si>
  <si>
    <t>2026-06-03T06:30:03.663+02:00</t>
  </si>
  <si>
    <t>2026-06-03T06:30:03.676+02:00</t>
  </si>
  <si>
    <t>2026-06-03T06:30:03.687+02:00</t>
  </si>
  <si>
    <t>2026-06-03T06:30:03.708+02:00</t>
  </si>
  <si>
    <t>2026-06-03T06:30:03.712+02:00</t>
  </si>
  <si>
    <t>2026-06-03T06:30:03.542+02:00</t>
  </si>
  <si>
    <t>2026-06-03T06:30:03.559+02:00</t>
  </si>
  <si>
    <t>2026-06-03T06:30:03.560+02:00</t>
  </si>
  <si>
    <t>2026-06-03T06:30:03.569+02:00</t>
  </si>
  <si>
    <t>2026-06-03T06:30:03.571+02:00</t>
  </si>
  <si>
    <t>2026-06-03T06:30:03.573+02:00</t>
  </si>
  <si>
    <t>2026-06-03T06:30:03.576+02:00</t>
  </si>
  <si>
    <t>2026-06-03T06:30:03.577+02:00</t>
  </si>
  <si>
    <t>2026-06-03T06:30:03.581+02:00</t>
  </si>
  <si>
    <t>2026-06-03T06:30:03.604+02:00</t>
  </si>
  <si>
    <t>2026-06-03T06:30:03.609+02:00</t>
  </si>
  <si>
    <t>2026-06-03T06:30:03.691+02:00</t>
  </si>
  <si>
    <t>2026-06-03T06:30:03.713+02:00</t>
  </si>
  <si>
    <t>2026-06-01T06:30:07.934+02:00</t>
  </si>
  <si>
    <t>2026-06-03T06:30:03.605+02:00</t>
  </si>
  <si>
    <t>2026-06-03T06:30:03.606+02:00</t>
  </si>
  <si>
    <t>2026-06-03T06:30:03.607+02:00</t>
  </si>
  <si>
    <t>2026-06-03T06:30:03.633+02:00</t>
  </si>
  <si>
    <t>2026-06-03T06:30:03.648+02:00</t>
  </si>
  <si>
    <t>2026-06-03T06:30:03.701+02:00</t>
  </si>
  <si>
    <t>2026-06-03T06:30:03.705+02:00</t>
  </si>
  <si>
    <t>2026-06-03T06:30:03.714+02:00</t>
  </si>
  <si>
    <t>2026-06-03T06:30:03.536+02:00</t>
  </si>
  <si>
    <t>2026-06-03T06:30:03.553+02:00</t>
  </si>
  <si>
    <t>2026-06-03T06:30:03.554+02:00</t>
  </si>
  <si>
    <t>2026-06-03T06:30:03.563+02:00</t>
  </si>
  <si>
    <t>2026-06-03T06:30:03.594+02:00</t>
  </si>
  <si>
    <t>2026-06-03T06:30:03.608+02:00</t>
  </si>
  <si>
    <t>2026-06-02T06:30:03.502+02:00</t>
  </si>
  <si>
    <t>2026-06-03T06:30:03.652+02:00</t>
  </si>
  <si>
    <t>2026-06-03T06:30:03.662+02:00</t>
  </si>
  <si>
    <t>2026-06-03T06:30:03.704+02:00</t>
  </si>
  <si>
    <t>2026-06-03T06:30:03.529+02:00</t>
  </si>
  <si>
    <t>2026-06-03T06:30:03.619+02:00</t>
  </si>
  <si>
    <t>2026-06-03T06:30:03.709+02:00</t>
  </si>
  <si>
    <t>2026-06-03T06:30:03.711+02:00</t>
  </si>
  <si>
    <t>2026-06-03T06:30:03.539+02:00</t>
  </si>
  <si>
    <t>2026-06-03T06:30:03.558+02:00</t>
  </si>
  <si>
    <t>2026-06-03T06:30:03.562+02:00</t>
  </si>
  <si>
    <t>2026-06-03T06:30:03.564+02:00</t>
  </si>
  <si>
    <t>2026-06-03T06:30:03.584+02:00</t>
  </si>
  <si>
    <t>2026-06-03T06:30:03.586+02:00</t>
  </si>
  <si>
    <t>2026-06-03T06:30:03.589+02:00</t>
  </si>
  <si>
    <t>2026-06-03T06:30:03.595+02:00</t>
  </si>
  <si>
    <t>2026-06-03T06:30:03.716+02:00</t>
  </si>
  <si>
    <t>Data do Sprint</t>
  </si>
  <si>
    <t>Pilar</t>
  </si>
  <si>
    <t>Categoria</t>
  </si>
  <si>
    <t>Ação 🎯</t>
  </si>
  <si>
    <t>NSM</t>
  </si>
  <si>
    <t>Ekyte</t>
  </si>
  <si>
    <t>Responsável 👮</t>
  </si>
  <si>
    <t>Confiança</t>
  </si>
  <si>
    <t>Impacto</t>
  </si>
  <si>
    <t>Facilidade</t>
  </si>
  <si>
    <t>Prioridade</t>
  </si>
  <si>
    <t>Prazo 📆</t>
  </si>
  <si>
    <t>Status</t>
  </si>
  <si>
    <t>Nota Ja Faco</t>
  </si>
  <si>
    <t>Nota Impacto</t>
  </si>
  <si>
    <t>Nota Facilidade</t>
  </si>
  <si>
    <t>Facilidade + Impacto</t>
  </si>
  <si>
    <t>Nota Prioridade</t>
  </si>
  <si>
    <t>Tráfego</t>
  </si>
  <si>
    <t>Promoção</t>
  </si>
  <si>
    <t>Colocar rodar ads no Meta e Google Ads. (rodando search)</t>
  </si>
  <si>
    <t>William Rodrigues</t>
  </si>
  <si>
    <t>Média</t>
  </si>
  <si>
    <t>Alto</t>
  </si>
  <si>
    <t>Fácil</t>
  </si>
  <si>
    <t>Precisamos destravar campanha de engajamento.</t>
  </si>
  <si>
    <t>Start do projeto.</t>
  </si>
  <si>
    <t>Domínio da LP</t>
  </si>
  <si>
    <t>Carlos Williame</t>
  </si>
  <si>
    <t>criar campanha e grupo para SP capital</t>
  </si>
  <si>
    <t>Alta</t>
  </si>
  <si>
    <t>Médio</t>
  </si>
  <si>
    <t xml:space="preserve">Fazer alimentação do grupo vip whatsapp </t>
  </si>
  <si>
    <t>Adicionar saldo nas campanhas</t>
  </si>
  <si>
    <t>Dar acesso ao everton na conta do meta ads</t>
  </si>
  <si>
    <t>Revisar e-com estrutural e copy (Colocar link da planilha de acessos)</t>
  </si>
  <si>
    <t xml:space="preserve">Everton da Silva </t>
  </si>
  <si>
    <t xml:space="preserve">Trocar link do grupa para fazer pedido no whatsapp </t>
  </si>
  <si>
    <t xml:space="preserve">Revisão dos textos dos grupos </t>
  </si>
  <si>
    <t>Revisão da Copy da LP</t>
  </si>
  <si>
    <t>Ver com Otávio desconto dos grupos VIP'S</t>
  </si>
  <si>
    <t xml:space="preserve">Rodar videos da Clara </t>
  </si>
  <si>
    <t xml:space="preserve">Ver possibilidade de monetizar outros produtos </t>
  </si>
  <si>
    <t>Revisão do E-com</t>
  </si>
  <si>
    <t xml:space="preserve">Clara - colocar catalogo no whatsapp </t>
  </si>
  <si>
    <t>Funil Inside Sales 2025</t>
  </si>
  <si>
    <t>Data inicio</t>
  </si>
  <si>
    <t>Data fim</t>
  </si>
  <si>
    <t>Dados Totais</t>
  </si>
  <si>
    <t>Semanas</t>
  </si>
  <si>
    <t>Investido</t>
  </si>
  <si>
    <t>Faturado</t>
  </si>
  <si>
    <t>Impressões</t>
  </si>
  <si>
    <t>Cliques</t>
  </si>
  <si>
    <t>Lead</t>
  </si>
  <si>
    <t>Lead Converteu P/Grupo</t>
  </si>
  <si>
    <t>Lead entrou no grupo</t>
  </si>
  <si>
    <t>MQL (Lead Qualificado)</t>
  </si>
  <si>
    <t>SQL (Oportunidade)</t>
  </si>
  <si>
    <t>Venda</t>
  </si>
  <si>
    <t>CTR</t>
  </si>
  <si>
    <t>Tx Clique em Lead</t>
  </si>
  <si>
    <t>Tx Lead em MQL</t>
  </si>
  <si>
    <t>Tx MQL em Oport.</t>
  </si>
  <si>
    <t>Tx Oport. em Venda</t>
  </si>
  <si>
    <t>Tx MQL em Venda</t>
  </si>
  <si>
    <t>Tx Clique em Lead Conv</t>
  </si>
  <si>
    <t>Tx Lead no Grupo</t>
  </si>
  <si>
    <t>CPM</t>
  </si>
  <si>
    <t>Custo por Clique</t>
  </si>
  <si>
    <t>Custo por Lead</t>
  </si>
  <si>
    <t>Custo por MQL</t>
  </si>
  <si>
    <t>Custo por Oportunidade</t>
  </si>
  <si>
    <t>Custo por Venda</t>
  </si>
  <si>
    <t>Custo por Lead Conv</t>
  </si>
  <si>
    <t>Custo por Lead Grupo</t>
  </si>
  <si>
    <t>ROAS</t>
  </si>
  <si>
    <t>Ticket Médio</t>
  </si>
  <si>
    <t>Margem de Contribuição</t>
  </si>
  <si>
    <t>Fee V4</t>
  </si>
  <si>
    <t>ROI</t>
  </si>
  <si>
    <t>Fat. Geral</t>
  </si>
  <si>
    <t>Qtd. de vendas gerais</t>
  </si>
  <si>
    <t>% de Participação da Mídia</t>
  </si>
  <si>
    <t>Dados Google</t>
  </si>
  <si>
    <t>Custo por SQL</t>
  </si>
  <si>
    <t>Dados Meta</t>
  </si>
  <si>
    <t>Mês</t>
  </si>
  <si>
    <t>Ações</t>
  </si>
  <si>
    <t>Dia da Semana</t>
  </si>
  <si>
    <t>Investido Total</t>
  </si>
  <si>
    <t>Forecast investimento Total</t>
  </si>
  <si>
    <t>Faturamento Total</t>
  </si>
  <si>
    <t>Impressões Total</t>
  </si>
  <si>
    <t>Cliques Total</t>
  </si>
  <si>
    <t>Lead Total</t>
  </si>
  <si>
    <t>MQL (Lead Qualificado) Total</t>
  </si>
  <si>
    <t>SQL (Oportunidades) Total</t>
  </si>
  <si>
    <t>Venda Total</t>
  </si>
  <si>
    <t>Lead Total P/Grupo</t>
  </si>
  <si>
    <t>Lead Total no Grupo</t>
  </si>
  <si>
    <t>Investido Google</t>
  </si>
  <si>
    <t>Forecast investimento Google</t>
  </si>
  <si>
    <t>Faturamento Google</t>
  </si>
  <si>
    <t>Impressões Google</t>
  </si>
  <si>
    <t>Cliques Google</t>
  </si>
  <si>
    <t>Conversões Google</t>
  </si>
  <si>
    <t>Leads Google</t>
  </si>
  <si>
    <t>MQL (Lead Qualificado) Google</t>
  </si>
  <si>
    <t>SQL (Oportunidades) Google</t>
  </si>
  <si>
    <t>Venda Google</t>
  </si>
  <si>
    <t>Cnversão P/Grupo</t>
  </si>
  <si>
    <t>Entrou realmente no Grupo</t>
  </si>
  <si>
    <t>Investido Meta</t>
  </si>
  <si>
    <t>Forecast investimento Meta</t>
  </si>
  <si>
    <t>Faturamento Meta</t>
  </si>
  <si>
    <t>Impressões Meta</t>
  </si>
  <si>
    <t>Cliques Meta</t>
  </si>
  <si>
    <t>Lead Meta</t>
  </si>
  <si>
    <t>MQL (Lead Qualificado) Meta</t>
  </si>
  <si>
    <t>SQL (Oportunidades) Meta</t>
  </si>
  <si>
    <t>Venda Meta</t>
  </si>
  <si>
    <t>Resultado Geral</t>
  </si>
  <si>
    <t>Anos</t>
  </si>
  <si>
    <t>2026</t>
  </si>
  <si>
    <t>Faturamento</t>
  </si>
  <si>
    <t>Nº de pedidos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</si>
  <si>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</si>
  <si>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</si>
  <si>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</si>
  <si>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</si>
  <si>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</si>
  <si>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</si>
  <si>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</si>
  <si>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</si>
  <si>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</si>
  <si>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</si>
  <si>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</si>
  <si>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</si>
  <si>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</si>
  <si>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Diferença entre 2025 / 2026</t>
  </si>
  <si>
    <t>Diferença % entre 2025 / 2026</t>
  </si>
  <si>
    <t>Resultado Mídia</t>
  </si>
  <si>
    <t>Q1 2026</t>
  </si>
  <si>
    <t>Quarter 3 / 2025</t>
  </si>
  <si>
    <t>Dados</t>
  </si>
  <si>
    <t>Pessimista</t>
  </si>
  <si>
    <t>Realista</t>
  </si>
  <si>
    <t>Otimista</t>
  </si>
  <si>
    <t>Início da campanha</t>
  </si>
  <si>
    <t>Fim da campanha</t>
  </si>
  <si>
    <t>Orçamento</t>
  </si>
  <si>
    <t>Orçamento / Dia</t>
  </si>
  <si>
    <t>Visitas Tráfego Pago (Cliques)</t>
  </si>
  <si>
    <t>Visitas Orgânico</t>
  </si>
  <si>
    <t>Custo Por Clique</t>
  </si>
  <si>
    <t>Ticket médio (Vendas únicas)</t>
  </si>
  <si>
    <t>Tax. Conversão (Cliques / Leads)</t>
  </si>
  <si>
    <t>Tax. Conversão (Leads / Vendas)</t>
  </si>
  <si>
    <t>Custo por Leads</t>
  </si>
  <si>
    <t>Meta de Leads</t>
  </si>
  <si>
    <t>Custo Por Venda</t>
  </si>
  <si>
    <t>Meta de Vendas</t>
  </si>
  <si>
    <t>Meta de Faturamento</t>
  </si>
  <si>
    <t>Meta de ROAS</t>
  </si>
  <si>
    <t>Margem de contribuição</t>
  </si>
  <si>
    <t>Q2 2026</t>
  </si>
  <si>
    <t>Q3 2026</t>
  </si>
  <si>
    <t>Q4 2026</t>
  </si>
  <si>
    <t>Meta x Real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</si>
  <si>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</si>
  <si>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</si>
  <si>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</si>
  <si>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</si>
  <si>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</si>
  <si>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</si>
  <si>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</si>
  <si>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</si>
  <si>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</si>
  <si>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</si>
  <si>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</si>
  <si>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</si>
  <si>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</si>
  <si>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</si>
  <si>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META</t>
  </si>
  <si>
    <t>REALIZADO</t>
  </si>
  <si>
    <t>% REALIZADO</t>
  </si>
  <si>
    <t>CRESCIMENTO META</t>
  </si>
  <si>
    <t>CRESCIMENTO REAL</t>
  </si>
  <si>
    <t>Investimento</t>
  </si>
  <si>
    <t>Day</t>
  </si>
  <si>
    <t>Cost (Spend)</t>
  </si>
  <si>
    <t>Impressions</t>
  </si>
  <si>
    <t>Clicks</t>
  </si>
  <si>
    <t>Conversions</t>
  </si>
  <si>
    <t>Instruções Adveronix Padrão Google Ads</t>
  </si>
  <si>
    <r>
      <rPr>
        <rFont val="Work Sans"/>
        <color rgb="FFFF0000"/>
      </rPr>
      <t xml:space="preserve">-&gt; Não excluir a coluna de Data Correta;
</t>
    </r>
    <r>
      <rPr>
        <rFont val="Work Sans"/>
        <color rgb="FF000000"/>
      </rPr>
      <t>-&gt; Baixe a extensão do Adveronix na opção de "Extensões" no menu principal;
-&gt; Rode a extensão do Adveronix e escolha a opção de Google Ads;
-&gt; Vincule sua conta, escolha a conta de anúncio do cliente e na aba Fields, coloque os seguintes campos: Day / Cost (Spend) / Impressions / Clicks / Conversions.
-&gt; Na opção de "Store in Sheet:" certifique que a importação irá rodar da célula A2.</t>
    </r>
  </si>
  <si>
    <t>Amount Spent</t>
  </si>
  <si>
    <t>Clicks (All)</t>
  </si>
  <si>
    <t>Messaging Conversations Started</t>
  </si>
  <si>
    <t>Instruções Adveronix Padrão Meta Ads</t>
  </si>
  <si>
    <r>
      <rPr>
        <rFont val="Work Sans"/>
        <color rgb="FFFF0000"/>
      </rPr>
      <t xml:space="preserve">-&gt; Não excluir a coluna de Data Correta;
</t>
    </r>
    <r>
      <rPr>
        <rFont val="Work Sans"/>
        <color rgb="FF000000"/>
      </rPr>
      <t>-&gt; Baixe a extensão do Adveronix na opção de "Extensões" no menu principal;
-&gt; Rode a extensão do Adveronix e escolha a opção de Facebook Ads;
-&gt; Vincule sua conta, escolha a conta de anúncio do cliente e na aba Fields, coloque os seguintes campos: Day / Amount Spent / Impressions / Clicks (All) / Messaging Conversations Started ou Leads ou Website Leads.
-&gt; Na opção de "Store in Sheet:" certifique que a importação irá rodar da célula A2.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</si>
</sst>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dd/mm/yyyy"/>
    <numFmt numFmtId="166" formatCode="d/m/yyyy"/>
    <numFmt numFmtId="167" formatCode="_([$R$ -416]* #,##0.00_);_([$R$ -416]* \(#,##0.00\);_([$R$ -416]* &quot;-&quot;??_);_(@_)"/>
    <numFmt numFmtId="168" formatCode="0.0"/>
    <numFmt numFmtId="169" formatCode="[$R$ -416]#,##0.00"/>
    <numFmt numFmtId="170" formatCode="dd/mm/yy"/>
    <numFmt numFmtId="171" formatCode="yyyy-mm-dd"/>
  </numFmts>
  <fonts count="30">
    <font>
      <sz val="11.0"/>
      <color theme="1"/>
      <name val="Arial"/>
      <scheme val="minor"/>
    </font>
    <font>
      <color theme="1"/>
      <name val="Work Sans"/>
    </font>
    <font>
      <sz val="11.0"/>
      <color theme="1"/>
      <name val="Work Sans"/>
    </font>
    <font>
      <color rgb="FFFFFFFF"/>
      <name val="Work Sans"/>
    </font>
    <font>
      <sz val="11.0"/>
      <color rgb="FFFFFFFF"/>
      <name val="Work Sans"/>
    </font>
    <font>
      <color theme="1"/>
      <name val="Arial"/>
      <scheme val="minor"/>
    </font>
    <font>
      <u/>
      <color rgb="FF0000FF"/>
    </font>
    <font>
      <color rgb="FFFFFFFF"/>
      <name val="Arial"/>
      <scheme val="minor"/>
    </font>
    <font>
      <u/>
      <color rgb="FFFFFFFF"/>
    </font>
    <font>
      <u/>
      <color rgb="FF0000FF"/>
    </font>
    <font>
      <color rgb="FF212121"/>
      <name val="InterVariable"/>
    </font>
    <font>
      <sz val="10.0"/>
      <color rgb="FFFFFFFF"/>
      <name val="Work Sans"/>
    </font>
    <font>
      <sz val="10.0"/>
      <color theme="1"/>
      <name val="Work Sans"/>
    </font>
    <font>
      <sz val="10.0"/>
      <color rgb="FF222B45"/>
      <name val="Work Sans"/>
    </font>
    <font>
      <sz val="10.0"/>
      <color rgb="FF38761D"/>
      <name val="Work Sans"/>
    </font>
    <font>
      <strike/>
      <sz val="10.0"/>
      <color theme="1"/>
      <name val="Work Sans"/>
    </font>
    <font>
      <sz val="11.0"/>
      <color theme="1"/>
      <name val="Arial"/>
    </font>
    <font>
      <strike/>
      <color theme="1"/>
      <name val="Work Sans"/>
    </font>
    <font>
      <color rgb="FF38761D"/>
      <name val="Work Sans"/>
    </font>
    <font>
      <strike/>
      <sz val="11.0"/>
      <color theme="1"/>
      <name val="Work Sans"/>
    </font>
    <font>
      <sz val="11.0"/>
      <color rgb="FF38761D"/>
      <name val="Work Sans"/>
    </font>
    <font>
      <sz val="10.0"/>
      <color rgb="FF000000"/>
      <name val="Work Sans"/>
    </font>
    <font>
      <b/>
      <sz val="10.0"/>
      <color theme="1"/>
      <name val="Work Sans"/>
    </font>
    <font>
      <b/>
      <sz val="10.0"/>
      <color rgb="FFFFFFFF"/>
      <name val="Work Sans"/>
    </font>
    <font/>
    <font>
      <b/>
      <sz val="11.0"/>
      <color rgb="FFFFFFFF"/>
      <name val="Work Sans"/>
    </font>
    <font>
      <b/>
      <sz val="24.0"/>
      <color rgb="FFFFFFFF"/>
      <name val="Work Sans"/>
    </font>
    <font>
      <b/>
      <sz val="14.0"/>
      <color rgb="FFFFFFFF"/>
      <name val="Work Sans"/>
    </font>
    <font>
      <color rgb="FF000000"/>
      <name val="Work Sans"/>
    </font>
    <font>
      <color rgb="FFFF0000"/>
      <name val="Work Sans"/>
    </font>
  </fonts>
  <fills count="1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D81A36"/>
        <bgColor rgb="FFD81A36"/>
      </patternFill>
    </fill>
    <fill>
      <patternFill patternType="solid">
        <fgColor rgb="FF666666"/>
        <bgColor rgb="FF666666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  <fill>
      <patternFill patternType="solid">
        <fgColor theme="9"/>
        <bgColor theme="9"/>
      </patternFill>
    </fill>
    <fill>
      <patternFill patternType="solid">
        <fgColor rgb="FF3C78D8"/>
        <bgColor rgb="FF3C78D8"/>
      </patternFill>
    </fill>
    <fill>
      <patternFill patternType="solid">
        <fgColor rgb="FF1155CC"/>
        <bgColor rgb="FF1155CC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2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1" fillId="2" fontId="3" numFmtId="0" xfId="0" applyAlignment="1" applyBorder="1" applyFill="1" applyFont="1">
      <alignment horizontal="center" shrinkToFit="0" vertical="bottom" wrapText="0"/>
    </xf>
    <xf borderId="1" fillId="2" fontId="3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2" fontId="4" numFmtId="0" xfId="0" applyAlignment="1" applyBorder="1" applyFont="1">
      <alignment horizontal="center"/>
    </xf>
    <xf borderId="0" fillId="2" fontId="4" numFmtId="0" xfId="0" applyAlignment="1" applyFont="1">
      <alignment horizontal="center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left" readingOrder="0" shrinkToFit="0" wrapText="0"/>
    </xf>
    <xf borderId="0" fillId="0" fontId="5" numFmtId="0" xfId="0" applyAlignment="1" applyFont="1">
      <alignment horizontal="center" readingOrder="0" shrinkToFit="0" wrapText="0"/>
    </xf>
    <xf borderId="0" fillId="0" fontId="6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horizontal="center" shrinkToFit="0" wrapText="0"/>
    </xf>
    <xf borderId="0" fillId="0" fontId="5" numFmtId="14" xfId="0" applyAlignment="1" applyFont="1" applyNumberFormat="1">
      <alignment horizontal="center" shrinkToFit="0" wrapText="0"/>
    </xf>
    <xf borderId="0" fillId="3" fontId="7" numFmtId="0" xfId="0" applyAlignment="1" applyFill="1" applyFont="1">
      <alignment readingOrder="0" shrinkToFit="0" wrapText="0"/>
    </xf>
    <xf borderId="0" fillId="3" fontId="7" numFmtId="0" xfId="0" applyAlignment="1" applyFont="1">
      <alignment horizontal="left" readingOrder="0" shrinkToFit="0" wrapText="0"/>
    </xf>
    <xf borderId="0" fillId="3" fontId="7" numFmtId="0" xfId="0" applyAlignment="1" applyFont="1">
      <alignment horizontal="center" readingOrder="0" shrinkToFit="0" wrapText="0"/>
    </xf>
    <xf borderId="0" fillId="3" fontId="8" numFmtId="0" xfId="0" applyAlignment="1" applyFont="1">
      <alignment readingOrder="0" shrinkToFit="0" wrapText="0"/>
    </xf>
    <xf borderId="0" fillId="3" fontId="7" numFmtId="0" xfId="0" applyAlignment="1" applyFont="1">
      <alignment shrinkToFit="0" wrapText="0"/>
    </xf>
    <xf borderId="0" fillId="3" fontId="7" numFmtId="0" xfId="0" applyAlignment="1" applyFont="1">
      <alignment horizontal="center" shrinkToFit="0" wrapText="0"/>
    </xf>
    <xf borderId="0" fillId="3" fontId="7" numFmtId="14" xfId="0" applyAlignment="1" applyFont="1" applyNumberFormat="1">
      <alignment horizontal="center" shrinkToFit="0" wrapText="0"/>
    </xf>
    <xf borderId="0" fillId="0" fontId="9" numFmtId="0" xfId="0" applyAlignment="1" applyFont="1">
      <alignment readingOrder="0" shrinkToFit="0" wrapText="0"/>
    </xf>
    <xf borderId="0" fillId="0" fontId="5" numFmtId="0" xfId="0" applyAlignment="1" applyFont="1">
      <alignment horizontal="left" shrinkToFit="0" wrapText="0"/>
    </xf>
    <xf borderId="0" fillId="0" fontId="10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4" fontId="11" numFmtId="0" xfId="0" applyAlignment="1" applyFill="1" applyFont="1">
      <alignment readingOrder="0"/>
    </xf>
    <xf borderId="0" fillId="4" fontId="11" numFmtId="0" xfId="0" applyAlignment="1" applyFont="1">
      <alignment readingOrder="0" shrinkToFit="0" wrapText="0"/>
    </xf>
    <xf borderId="0" fillId="4" fontId="11" numFmtId="0" xfId="0" applyFont="1"/>
    <xf borderId="0" fillId="5" fontId="11" numFmtId="0" xfId="0" applyFill="1" applyFont="1"/>
    <xf borderId="0" fillId="0" fontId="12" numFmtId="0" xfId="0" applyFont="1"/>
    <xf borderId="0" fillId="0" fontId="12" numFmtId="165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horizontal="left" readingOrder="0" shrinkToFit="0" wrapText="1"/>
    </xf>
    <xf borderId="0" fillId="0" fontId="14" numFmtId="0" xfId="0" applyAlignment="1" applyFont="1">
      <alignment readingOrder="0"/>
    </xf>
    <xf borderId="0" fillId="0" fontId="12" numFmtId="164" xfId="0" applyAlignment="1" applyFont="1" applyNumberForma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0" fillId="0" fontId="15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horizontal="center"/>
    </xf>
    <xf borderId="0" fillId="0" fontId="18" numFmtId="0" xfId="0" applyAlignment="1" applyFont="1">
      <alignment vertical="bottom"/>
    </xf>
    <xf borderId="0" fillId="0" fontId="1" numFmtId="164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16" numFmtId="0" xfId="0" applyAlignment="1" applyFont="1">
      <alignment vertical="bottom"/>
    </xf>
    <xf borderId="0" fillId="0" fontId="18" numFmtId="0" xfId="0" applyAlignment="1" applyFont="1">
      <alignment readingOrder="0" vertical="bottom"/>
    </xf>
    <xf borderId="0" fillId="0" fontId="1" numFmtId="165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19" numFmtId="0" xfId="0" applyAlignment="1" applyFont="1">
      <alignment horizontal="center"/>
    </xf>
    <xf borderId="0" fillId="0" fontId="20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2" fillId="6" fontId="4" numFmtId="4" xfId="0" applyAlignment="1" applyBorder="1" applyFill="1" applyFont="1" applyNumberFormat="1">
      <alignment horizontal="center" readingOrder="0" vertical="bottom"/>
    </xf>
    <xf borderId="0" fillId="6" fontId="12" numFmtId="165" xfId="0" applyAlignment="1" applyFont="1" applyNumberFormat="1">
      <alignment readingOrder="0"/>
    </xf>
    <xf borderId="0" fillId="6" fontId="12" numFmtId="0" xfId="0" applyFont="1"/>
    <xf borderId="3" fillId="4" fontId="4" numFmtId="3" xfId="0" applyAlignment="1" applyBorder="1" applyFont="1" applyNumberFormat="1">
      <alignment horizontal="right" readingOrder="0" vertical="bottom"/>
    </xf>
    <xf borderId="3" fillId="7" fontId="21" numFmtId="165" xfId="0" applyAlignment="1" applyBorder="1" applyFill="1" applyFont="1" applyNumberFormat="1">
      <alignment readingOrder="0"/>
    </xf>
    <xf borderId="3" fillId="7" fontId="21" numFmtId="165" xfId="0" applyBorder="1" applyFont="1" applyNumberFormat="1"/>
    <xf borderId="0" fillId="0" fontId="4" numFmtId="4" xfId="0" applyAlignment="1" applyFont="1" applyNumberFormat="1">
      <alignment horizontal="center" vertical="bottom"/>
    </xf>
    <xf borderId="0" fillId="0" fontId="11" numFmtId="4" xfId="0" applyAlignment="1" applyFont="1" applyNumberFormat="1">
      <alignment horizontal="center" vertical="bottom"/>
    </xf>
    <xf borderId="3" fillId="4" fontId="4" numFmtId="4" xfId="0" applyAlignment="1" applyBorder="1" applyFont="1" applyNumberFormat="1">
      <alignment horizontal="center" readingOrder="0" vertical="bottom"/>
    </xf>
    <xf borderId="3" fillId="4" fontId="11" numFmtId="4" xfId="0" applyAlignment="1" applyBorder="1" applyFont="1" applyNumberFormat="1">
      <alignment horizontal="center" vertical="bottom"/>
    </xf>
    <xf borderId="3" fillId="6" fontId="4" numFmtId="4" xfId="0" applyAlignment="1" applyBorder="1" applyFont="1" applyNumberFormat="1">
      <alignment horizontal="center" vertical="bottom"/>
    </xf>
    <xf borderId="3" fillId="6" fontId="11" numFmtId="166" xfId="0" applyAlignment="1" applyBorder="1" applyFont="1" applyNumberFormat="1">
      <alignment horizontal="center" readingOrder="0" vertical="bottom"/>
    </xf>
    <xf borderId="3" fillId="6" fontId="11" numFmtId="0" xfId="0" applyAlignment="1" applyBorder="1" applyFont="1">
      <alignment horizontal="center" readingOrder="0" vertical="bottom"/>
    </xf>
    <xf borderId="4" fillId="4" fontId="4" numFmtId="4" xfId="0" applyAlignment="1" applyBorder="1" applyFont="1" applyNumberFormat="1">
      <alignment vertical="bottom"/>
    </xf>
    <xf borderId="4" fillId="7" fontId="22" numFmtId="167" xfId="0" applyAlignment="1" applyBorder="1" applyFont="1" applyNumberFormat="1">
      <alignment horizontal="center" readingOrder="0" vertical="bottom"/>
    </xf>
    <xf borderId="4" fillId="6" fontId="23" numFmtId="167" xfId="0" applyAlignment="1" applyBorder="1" applyFont="1" applyNumberFormat="1">
      <alignment horizontal="center" readingOrder="0" vertical="bottom"/>
    </xf>
    <xf borderId="4" fillId="8" fontId="2" numFmtId="4" xfId="0" applyAlignment="1" applyBorder="1" applyFill="1" applyFont="1" applyNumberFormat="1">
      <alignment readingOrder="0" vertical="bottom"/>
    </xf>
    <xf borderId="4" fillId="8" fontId="12" numFmtId="167" xfId="0" applyAlignment="1" applyBorder="1" applyFont="1" applyNumberFormat="1">
      <alignment horizontal="center" readingOrder="0" vertical="bottom"/>
    </xf>
    <xf borderId="4" fillId="8" fontId="12" numFmtId="3" xfId="0" applyAlignment="1" applyBorder="1" applyFont="1" applyNumberFormat="1">
      <alignment horizontal="right" readingOrder="0" vertical="bottom"/>
    </xf>
    <xf borderId="4" fillId="8" fontId="11" numFmtId="3" xfId="0" applyAlignment="1" applyBorder="1" applyFont="1" applyNumberFormat="1">
      <alignment horizontal="right" readingOrder="0" vertical="bottom"/>
    </xf>
    <xf borderId="4" fillId="4" fontId="4" numFmtId="3" xfId="0" applyAlignment="1" applyBorder="1" applyFont="1" applyNumberFormat="1">
      <alignment readingOrder="0" vertical="bottom"/>
    </xf>
    <xf borderId="4" fillId="7" fontId="12" numFmtId="3" xfId="0" applyAlignment="1" applyBorder="1" applyFont="1" applyNumberFormat="1">
      <alignment horizontal="right" readingOrder="0" vertical="bottom"/>
    </xf>
    <xf borderId="4" fillId="6" fontId="11" numFmtId="3" xfId="0" applyAlignment="1" applyBorder="1" applyFont="1" applyNumberFormat="1">
      <alignment horizontal="right" readingOrder="0" vertical="bottom"/>
    </xf>
    <xf borderId="4" fillId="4" fontId="4" numFmtId="3" xfId="0" applyAlignment="1" applyBorder="1" applyFont="1" applyNumberFormat="1">
      <alignment vertical="bottom"/>
    </xf>
    <xf borderId="4" fillId="8" fontId="12" numFmtId="3" xfId="0" applyAlignment="1" applyBorder="1" applyFont="1" applyNumberFormat="1">
      <alignment horizontal="right" vertical="bottom"/>
    </xf>
    <xf borderId="4" fillId="8" fontId="11" numFmtId="3" xfId="0" applyAlignment="1" applyBorder="1" applyFont="1" applyNumberFormat="1">
      <alignment horizontal="right" vertical="bottom"/>
    </xf>
    <xf borderId="4" fillId="4" fontId="4" numFmtId="4" xfId="0" applyAlignment="1" applyBorder="1" applyFont="1" applyNumberFormat="1">
      <alignment readingOrder="0" vertical="bottom"/>
    </xf>
    <xf borderId="4" fillId="7" fontId="12" numFmtId="10" xfId="0" applyAlignment="1" applyBorder="1" applyFont="1" applyNumberFormat="1">
      <alignment horizontal="right" vertical="bottom"/>
    </xf>
    <xf borderId="4" fillId="6" fontId="11" numFmtId="10" xfId="0" applyAlignment="1" applyBorder="1" applyFont="1" applyNumberFormat="1">
      <alignment horizontal="right" vertical="bottom"/>
    </xf>
    <xf borderId="4" fillId="8" fontId="12" numFmtId="167" xfId="0" applyAlignment="1" applyBorder="1" applyFont="1" applyNumberFormat="1">
      <alignment horizontal="right" vertical="bottom"/>
    </xf>
    <xf borderId="4" fillId="8" fontId="11" numFmtId="167" xfId="0" applyAlignment="1" applyBorder="1" applyFont="1" applyNumberFormat="1">
      <alignment horizontal="right" vertical="bottom"/>
    </xf>
    <xf borderId="4" fillId="7" fontId="12" numFmtId="167" xfId="0" applyAlignment="1" applyBorder="1" applyFont="1" applyNumberFormat="1">
      <alignment horizontal="right" vertical="bottom"/>
    </xf>
    <xf borderId="4" fillId="6" fontId="11" numFmtId="167" xfId="0" applyAlignment="1" applyBorder="1" applyFont="1" applyNumberFormat="1">
      <alignment horizontal="right" vertical="bottom"/>
    </xf>
    <xf borderId="4" fillId="8" fontId="2" numFmtId="4" xfId="0" applyAlignment="1" applyBorder="1" applyFont="1" applyNumberFormat="1">
      <alignment vertical="bottom"/>
    </xf>
    <xf borderId="4" fillId="8" fontId="12" numFmtId="168" xfId="0" applyAlignment="1" applyBorder="1" applyFont="1" applyNumberFormat="1">
      <alignment horizontal="right" vertical="bottom"/>
    </xf>
    <xf borderId="4" fillId="8" fontId="11" numFmtId="168" xfId="0" applyAlignment="1" applyBorder="1" applyFont="1" applyNumberFormat="1">
      <alignment horizontal="right" vertical="bottom"/>
    </xf>
    <xf borderId="4" fillId="7" fontId="22" numFmtId="168" xfId="0" applyAlignment="1" applyBorder="1" applyFont="1" applyNumberFormat="1">
      <alignment horizontal="right" vertical="bottom"/>
    </xf>
    <xf borderId="4" fillId="6" fontId="23" numFmtId="168" xfId="0" applyAlignment="1" applyBorder="1" applyFont="1" applyNumberFormat="1">
      <alignment horizontal="right" vertical="bottom"/>
    </xf>
    <xf borderId="3" fillId="4" fontId="4" numFmtId="4" xfId="0" applyAlignment="1" applyBorder="1" applyFont="1" applyNumberFormat="1">
      <alignment readingOrder="0" vertical="bottom"/>
    </xf>
    <xf borderId="3" fillId="9" fontId="12" numFmtId="10" xfId="0" applyAlignment="1" applyBorder="1" applyFill="1" applyFont="1" applyNumberFormat="1">
      <alignment horizontal="right" readingOrder="0" vertical="bottom"/>
    </xf>
    <xf borderId="3" fillId="10" fontId="11" numFmtId="10" xfId="0" applyAlignment="1" applyBorder="1" applyFill="1" applyFont="1" applyNumberFormat="1">
      <alignment horizontal="right" readingOrder="0" vertical="bottom"/>
    </xf>
    <xf borderId="3" fillId="9" fontId="12" numFmtId="167" xfId="0" applyAlignment="1" applyBorder="1" applyFont="1" applyNumberFormat="1">
      <alignment horizontal="right" readingOrder="0" vertical="bottom"/>
    </xf>
    <xf borderId="3" fillId="10" fontId="11" numFmtId="167" xfId="0" applyAlignment="1" applyBorder="1" applyFont="1" applyNumberFormat="1">
      <alignment horizontal="right" readingOrder="0" vertical="bottom"/>
    </xf>
    <xf borderId="3" fillId="7" fontId="12" numFmtId="4" xfId="0" applyAlignment="1" applyBorder="1" applyFont="1" applyNumberFormat="1">
      <alignment horizontal="right" vertical="bottom"/>
    </xf>
    <xf borderId="3" fillId="6" fontId="11" numFmtId="4" xfId="0" applyAlignment="1" applyBorder="1" applyFont="1" applyNumberFormat="1">
      <alignment horizontal="right" vertical="bottom"/>
    </xf>
    <xf borderId="3" fillId="9" fontId="12" numFmtId="3" xfId="0" applyAlignment="1" applyBorder="1" applyFont="1" applyNumberFormat="1">
      <alignment horizontal="right" readingOrder="0" vertical="bottom"/>
    </xf>
    <xf borderId="3" fillId="10" fontId="11" numFmtId="3" xfId="0" applyAlignment="1" applyBorder="1" applyFont="1" applyNumberFormat="1">
      <alignment horizontal="right" readingOrder="0" vertical="bottom"/>
    </xf>
    <xf borderId="3" fillId="7" fontId="12" numFmtId="10" xfId="0" applyAlignment="1" applyBorder="1" applyFont="1" applyNumberFormat="1">
      <alignment horizontal="right" readingOrder="0" vertical="bottom"/>
    </xf>
    <xf borderId="3" fillId="6" fontId="11" numFmtId="10" xfId="0" applyAlignment="1" applyBorder="1" applyFont="1" applyNumberFormat="1">
      <alignment horizontal="right" readingOrder="0" vertical="bottom"/>
    </xf>
    <xf borderId="3" fillId="4" fontId="2" numFmtId="4" xfId="0" applyAlignment="1" applyBorder="1" applyFont="1" applyNumberFormat="1">
      <alignment vertical="bottom"/>
    </xf>
    <xf borderId="3" fillId="4" fontId="12" numFmtId="0" xfId="0" applyAlignment="1" applyBorder="1" applyFont="1">
      <alignment vertical="bottom"/>
    </xf>
    <xf borderId="2" fillId="11" fontId="4" numFmtId="4" xfId="0" applyAlignment="1" applyBorder="1" applyFill="1" applyFont="1" applyNumberFormat="1">
      <alignment horizontal="center" readingOrder="0" vertical="bottom"/>
    </xf>
    <xf borderId="2" fillId="11" fontId="11" numFmtId="4" xfId="0" applyAlignment="1" applyBorder="1" applyFont="1" applyNumberFormat="1">
      <alignment horizontal="center" vertical="bottom"/>
    </xf>
    <xf borderId="4" fillId="6" fontId="4" numFmtId="4" xfId="0" applyAlignment="1" applyBorder="1" applyFont="1" applyNumberFormat="1">
      <alignment horizontal="center" vertical="bottom"/>
    </xf>
    <xf borderId="4" fillId="6" fontId="11" numFmtId="166" xfId="0" applyAlignment="1" applyBorder="1" applyFont="1" applyNumberFormat="1">
      <alignment horizontal="center" readingOrder="0" vertical="bottom"/>
    </xf>
    <xf borderId="4" fillId="11" fontId="4" numFmtId="4" xfId="0" applyAlignment="1" applyBorder="1" applyFont="1" applyNumberFormat="1">
      <alignment vertical="bottom"/>
    </xf>
    <xf borderId="4" fillId="9" fontId="22" numFmtId="167" xfId="0" applyAlignment="1" applyBorder="1" applyFont="1" applyNumberFormat="1">
      <alignment horizontal="center" readingOrder="0" vertical="bottom"/>
    </xf>
    <xf borderId="4" fillId="10" fontId="23" numFmtId="167" xfId="0" applyAlignment="1" applyBorder="1" applyFont="1" applyNumberFormat="1">
      <alignment horizontal="center" readingOrder="0" vertical="bottom"/>
    </xf>
    <xf borderId="4" fillId="11" fontId="4" numFmtId="4" xfId="0" applyAlignment="1" applyBorder="1" applyFont="1" applyNumberFormat="1">
      <alignment readingOrder="0" vertical="bottom"/>
    </xf>
    <xf borderId="4" fillId="9" fontId="12" numFmtId="3" xfId="0" applyAlignment="1" applyBorder="1" applyFont="1" applyNumberFormat="1">
      <alignment horizontal="right" readingOrder="0" vertical="bottom"/>
    </xf>
    <xf borderId="4" fillId="10" fontId="11" numFmtId="3" xfId="0" applyAlignment="1" applyBorder="1" applyFont="1" applyNumberFormat="1">
      <alignment horizontal="right" readingOrder="0" vertical="bottom"/>
    </xf>
    <xf borderId="4" fillId="8" fontId="12" numFmtId="0" xfId="0" applyAlignment="1" applyBorder="1" applyFont="1">
      <alignment vertical="bottom"/>
    </xf>
    <xf borderId="4" fillId="8" fontId="11" numFmtId="0" xfId="0" applyAlignment="1" applyBorder="1" applyFont="1">
      <alignment vertical="bottom"/>
    </xf>
    <xf borderId="2" fillId="11" fontId="2" numFmtId="4" xfId="0" applyAlignment="1" applyBorder="1" applyFont="1" applyNumberFormat="1">
      <alignment vertical="bottom"/>
    </xf>
    <xf borderId="2" fillId="11" fontId="12" numFmtId="4" xfId="0" applyAlignment="1" applyBorder="1" applyFont="1" applyNumberFormat="1">
      <alignment vertical="bottom"/>
    </xf>
    <xf borderId="0" fillId="0" fontId="2" numFmtId="4" xfId="0" applyAlignment="1" applyFont="1" applyNumberFormat="1">
      <alignment vertical="bottom"/>
    </xf>
    <xf borderId="0" fillId="0" fontId="12" numFmtId="0" xfId="0" applyAlignment="1" applyFont="1">
      <alignment vertical="bottom"/>
    </xf>
    <xf borderId="5" fillId="12" fontId="4" numFmtId="4" xfId="0" applyAlignment="1" applyBorder="1" applyFill="1" applyFont="1" applyNumberFormat="1">
      <alignment horizontal="center" readingOrder="0" vertical="bottom"/>
    </xf>
    <xf borderId="6" fillId="12" fontId="11" numFmtId="4" xfId="0" applyAlignment="1" applyBorder="1" applyFont="1" applyNumberFormat="1">
      <alignment horizontal="center" vertical="bottom"/>
    </xf>
    <xf borderId="4" fillId="12" fontId="4" numFmtId="4" xfId="0" applyAlignment="1" applyBorder="1" applyFont="1" applyNumberFormat="1">
      <alignment vertical="bottom"/>
    </xf>
    <xf borderId="4" fillId="12" fontId="4" numFmtId="4" xfId="0" applyAlignment="1" applyBorder="1" applyFont="1" applyNumberFormat="1">
      <alignment readingOrder="0" vertical="bottom"/>
    </xf>
    <xf borderId="7" fillId="12" fontId="2" numFmtId="4" xfId="0" applyAlignment="1" applyBorder="1" applyFont="1" applyNumberFormat="1">
      <alignment vertical="bottom"/>
    </xf>
    <xf borderId="8" fillId="12" fontId="12" numFmtId="4" xfId="0" applyAlignment="1" applyBorder="1" applyFont="1" applyNumberFormat="1">
      <alignment vertical="bottom"/>
    </xf>
    <xf borderId="3" fillId="4" fontId="23" numFmtId="0" xfId="0" applyAlignment="1" applyBorder="1" applyFont="1">
      <alignment horizontal="center" readingOrder="0" shrinkToFit="0" vertical="center" wrapText="1"/>
    </xf>
    <xf borderId="3" fillId="4" fontId="23" numFmtId="167" xfId="0" applyAlignment="1" applyBorder="1" applyFont="1" applyNumberFormat="1">
      <alignment horizontal="center" readingOrder="0" shrinkToFit="0" vertical="center" wrapText="1"/>
    </xf>
    <xf borderId="3" fillId="4" fontId="23" numFmtId="3" xfId="0" applyAlignment="1" applyBorder="1" applyFont="1" applyNumberFormat="1">
      <alignment horizontal="center" readingOrder="0" shrinkToFit="0" vertical="center" wrapText="1"/>
    </xf>
    <xf borderId="3" fillId="11" fontId="23" numFmtId="0" xfId="0" applyAlignment="1" applyBorder="1" applyFont="1">
      <alignment horizontal="center" readingOrder="0" shrinkToFit="0" vertical="center" wrapText="1"/>
    </xf>
    <xf borderId="3" fillId="11" fontId="23" numFmtId="169" xfId="0" applyAlignment="1" applyBorder="1" applyFont="1" applyNumberFormat="1">
      <alignment horizontal="center" readingOrder="0" shrinkToFit="0" vertical="center" wrapText="1"/>
    </xf>
    <xf borderId="3" fillId="11" fontId="23" numFmtId="3" xfId="0" applyAlignment="1" applyBorder="1" applyFont="1" applyNumberFormat="1">
      <alignment horizontal="center" readingOrder="0" shrinkToFit="0" vertical="center" wrapText="1"/>
    </xf>
    <xf borderId="3" fillId="11" fontId="23" numFmtId="4" xfId="0" applyAlignment="1" applyBorder="1" applyFont="1" applyNumberFormat="1">
      <alignment horizontal="center" readingOrder="0" shrinkToFit="0" vertical="center" wrapText="1"/>
    </xf>
    <xf borderId="3" fillId="13" fontId="23" numFmtId="0" xfId="0" applyAlignment="1" applyBorder="1" applyFill="1" applyFont="1">
      <alignment horizontal="center" readingOrder="0" shrinkToFit="0" vertical="center" wrapText="1"/>
    </xf>
    <xf borderId="3" fillId="13" fontId="23" numFmtId="169" xfId="0" applyAlignment="1" applyBorder="1" applyFont="1" applyNumberFormat="1">
      <alignment horizontal="center" readingOrder="0" shrinkToFit="0" vertical="center" wrapText="1"/>
    </xf>
    <xf borderId="3" fillId="13" fontId="23" numFmtId="4" xfId="0" applyAlignment="1" applyBorder="1" applyFont="1" applyNumberFormat="1">
      <alignment horizontal="center" readingOrder="0" shrinkToFit="0" vertical="center" wrapText="1"/>
    </xf>
    <xf borderId="3" fillId="7" fontId="12" numFmtId="0" xfId="0" applyAlignment="1" applyBorder="1" applyFont="1">
      <alignment horizontal="center" vertical="center"/>
    </xf>
    <xf borderId="3" fillId="7" fontId="12" numFmtId="164" xfId="0" applyAlignment="1" applyBorder="1" applyFont="1" applyNumberFormat="1">
      <alignment horizontal="center" readingOrder="0" vertical="center"/>
    </xf>
    <xf borderId="3" fillId="9" fontId="12" numFmtId="0" xfId="0" applyAlignment="1" applyBorder="1" applyFont="1">
      <alignment horizontal="center" readingOrder="0" vertical="center"/>
    </xf>
    <xf borderId="3" fillId="7" fontId="21" numFmtId="167" xfId="0" applyAlignment="1" applyBorder="1" applyFont="1" applyNumberFormat="1">
      <alignment horizontal="center" readingOrder="0" shrinkToFit="0" vertical="center" wrapText="0"/>
    </xf>
    <xf borderId="3" fillId="7" fontId="21" numFmtId="3" xfId="0" applyAlignment="1" applyBorder="1" applyFont="1" applyNumberFormat="1">
      <alignment horizontal="center" readingOrder="0" shrinkToFit="0" vertical="center" wrapText="0"/>
    </xf>
    <xf borderId="3" fillId="7" fontId="12" numFmtId="169" xfId="0" applyAlignment="1" applyBorder="1" applyFont="1" applyNumberFormat="1">
      <alignment horizontal="center" readingOrder="0" vertical="center"/>
    </xf>
    <xf borderId="3" fillId="7" fontId="12" numFmtId="3" xfId="0" applyAlignment="1" applyBorder="1" applyFont="1" applyNumberFormat="1">
      <alignment horizontal="center" readingOrder="0" vertical="center"/>
    </xf>
    <xf borderId="3" fillId="9" fontId="12" numFmtId="4" xfId="0" applyAlignment="1" applyBorder="1" applyFont="1" applyNumberFormat="1">
      <alignment horizontal="center" readingOrder="0" vertical="center"/>
    </xf>
    <xf borderId="3" fillId="9" fontId="12" numFmtId="4" xfId="0" applyAlignment="1" applyBorder="1" applyFont="1" applyNumberFormat="1">
      <alignment horizontal="center" vertical="center"/>
    </xf>
    <xf borderId="3" fillId="9" fontId="21" numFmtId="4" xfId="0" applyAlignment="1" applyBorder="1" applyFont="1" applyNumberFormat="1">
      <alignment horizontal="center" readingOrder="0" shrinkToFit="0" vertical="center" wrapText="0"/>
    </xf>
    <xf borderId="3" fillId="7" fontId="12" numFmtId="4" xfId="0" applyAlignment="1" applyBorder="1" applyFont="1" applyNumberFormat="1">
      <alignment horizontal="center" readingOrder="0" vertical="center"/>
    </xf>
    <xf borderId="0" fillId="9" fontId="12" numFmtId="4" xfId="0" applyAlignment="1" applyFont="1" applyNumberFormat="1">
      <alignment horizontal="center" readingOrder="0" vertical="center"/>
    </xf>
    <xf borderId="3" fillId="7" fontId="12" numFmtId="0" xfId="0" applyAlignment="1" applyBorder="1" applyFont="1">
      <alignment horizontal="center"/>
    </xf>
    <xf borderId="3" fillId="9" fontId="12" numFmtId="0" xfId="0" applyBorder="1" applyFont="1"/>
    <xf borderId="3" fillId="7" fontId="12" numFmtId="0" xfId="0" applyAlignment="1" applyBorder="1" applyFont="1">
      <alignment horizontal="right"/>
    </xf>
    <xf borderId="3" fillId="7" fontId="12" numFmtId="0" xfId="0" applyBorder="1" applyFont="1"/>
    <xf borderId="3" fillId="7" fontId="12" numFmtId="169" xfId="0" applyBorder="1" applyFont="1" applyNumberFormat="1"/>
    <xf borderId="3" fillId="7" fontId="12" numFmtId="167" xfId="0" applyBorder="1" applyFont="1" applyNumberFormat="1"/>
    <xf borderId="3" fillId="7" fontId="12" numFmtId="3" xfId="0" applyBorder="1" applyFont="1" applyNumberFormat="1"/>
    <xf borderId="3" fillId="9" fontId="12" numFmtId="4" xfId="0" applyBorder="1" applyFont="1" applyNumberFormat="1"/>
    <xf borderId="3" fillId="7" fontId="12" numFmtId="4" xfId="0" applyBorder="1" applyFont="1" applyNumberFormat="1"/>
    <xf borderId="0" fillId="9" fontId="12" numFmtId="4" xfId="0" applyFont="1" applyNumberFormat="1"/>
    <xf borderId="0" fillId="8" fontId="5" numFmtId="0" xfId="0" applyFont="1"/>
    <xf borderId="2" fillId="6" fontId="4" numFmtId="0" xfId="0" applyAlignment="1" applyBorder="1" applyFont="1">
      <alignment horizontal="left" readingOrder="0" vertical="bottom"/>
    </xf>
    <xf borderId="2" fillId="0" fontId="24" numFmtId="0" xfId="0" applyBorder="1" applyFont="1"/>
    <xf borderId="4" fillId="0" fontId="24" numFmtId="0" xfId="0" applyBorder="1" applyFont="1"/>
    <xf borderId="4" fillId="6" fontId="4" numFmtId="0" xfId="0" applyAlignment="1" applyBorder="1" applyFont="1">
      <alignment horizontal="center" vertical="bottom"/>
    </xf>
    <xf borderId="2" fillId="4" fontId="4" numFmtId="49" xfId="0" applyAlignment="1" applyBorder="1" applyFont="1" applyNumberFormat="1">
      <alignment horizontal="center" readingOrder="0" vertical="bottom"/>
    </xf>
    <xf borderId="2" fillId="8" fontId="4" numFmtId="49" xfId="0" applyAlignment="1" applyBorder="1" applyFont="1" applyNumberFormat="1">
      <alignment horizontal="center" readingOrder="0" vertical="bottom"/>
    </xf>
    <xf borderId="4" fillId="6" fontId="4" numFmtId="3" xfId="0" applyAlignment="1" applyBorder="1" applyFont="1" applyNumberFormat="1">
      <alignment horizontal="center" vertical="bottom"/>
    </xf>
    <xf borderId="4" fillId="8" fontId="4" numFmtId="0" xfId="0" applyAlignment="1" applyBorder="1" applyFont="1">
      <alignment horizontal="center" vertical="bottom"/>
    </xf>
    <xf borderId="2" fillId="4" fontId="4" numFmtId="4" xfId="0" applyAlignment="1" applyBorder="1" applyFont="1" applyNumberFormat="1">
      <alignment horizontal="center" vertical="bottom"/>
    </xf>
    <xf borderId="4" fillId="7" fontId="2" numFmtId="167" xfId="0" applyAlignment="1" applyBorder="1" applyFont="1" applyNumberFormat="1">
      <alignment horizontal="center" vertical="bottom"/>
    </xf>
    <xf borderId="4" fillId="7" fontId="2" numFmtId="3" xfId="0" applyAlignment="1" applyBorder="1" applyFont="1" applyNumberFormat="1">
      <alignment horizontal="center" vertical="bottom"/>
    </xf>
    <xf borderId="4" fillId="8" fontId="2" numFmtId="167" xfId="0" applyAlignment="1" applyBorder="1" applyFont="1" applyNumberFormat="1">
      <alignment horizontal="center" vertical="bottom"/>
    </xf>
    <xf borderId="4" fillId="8" fontId="16" numFmtId="167" xfId="0" applyAlignment="1" applyBorder="1" applyFont="1" applyNumberFormat="1">
      <alignment vertical="bottom"/>
    </xf>
    <xf borderId="4" fillId="7" fontId="16" numFmtId="167" xfId="0" applyAlignment="1" applyBorder="1" applyFont="1" applyNumberFormat="1">
      <alignment vertical="bottom"/>
    </xf>
    <xf borderId="4" fillId="7" fontId="16" numFmtId="3" xfId="0" applyAlignment="1" applyBorder="1" applyFont="1" applyNumberFormat="1">
      <alignment vertical="bottom"/>
    </xf>
    <xf borderId="2" fillId="6" fontId="4" numFmtId="4" xfId="0" applyAlignment="1" applyBorder="1" applyFont="1" applyNumberFormat="1">
      <alignment horizontal="center" vertical="bottom"/>
    </xf>
    <xf borderId="4" fillId="6" fontId="4" numFmtId="167" xfId="0" applyAlignment="1" applyBorder="1" applyFont="1" applyNumberFormat="1">
      <alignment horizontal="center" vertical="bottom"/>
    </xf>
    <xf borderId="4" fillId="8" fontId="4" numFmtId="167" xfId="0" applyAlignment="1" applyBorder="1" applyFont="1" applyNumberFormat="1">
      <alignment horizontal="center" vertical="bottom"/>
    </xf>
    <xf borderId="0" fillId="0" fontId="16" numFmtId="3" xfId="0" applyAlignment="1" applyFont="1" applyNumberFormat="1">
      <alignment vertical="bottom"/>
    </xf>
    <xf borderId="0" fillId="8" fontId="16" numFmtId="0" xfId="0" applyAlignment="1" applyFont="1">
      <alignment vertical="bottom"/>
    </xf>
    <xf borderId="2" fillId="8" fontId="4" numFmtId="49" xfId="0" applyAlignment="1" applyBorder="1" applyFont="1" applyNumberFormat="1">
      <alignment horizontal="center" vertical="bottom"/>
    </xf>
    <xf borderId="4" fillId="8" fontId="2" numFmtId="10" xfId="0" applyAlignment="1" applyBorder="1" applyFont="1" applyNumberFormat="1">
      <alignment horizontal="center" vertical="bottom"/>
    </xf>
    <xf borderId="4" fillId="7" fontId="2" numFmtId="10" xfId="0" applyAlignment="1" applyBorder="1" applyFont="1" applyNumberFormat="1">
      <alignment horizontal="center" vertical="bottom"/>
    </xf>
    <xf borderId="4" fillId="8" fontId="4" numFmtId="10" xfId="0" applyAlignment="1" applyBorder="1" applyFont="1" applyNumberFormat="1">
      <alignment horizontal="center" vertical="bottom"/>
    </xf>
    <xf borderId="4" fillId="6" fontId="4" numFmtId="10" xfId="0" applyAlignment="1" applyBorder="1" applyFont="1" applyNumberFormat="1">
      <alignment horizontal="center" vertical="bottom"/>
    </xf>
    <xf borderId="5" fillId="4" fontId="4" numFmtId="4" xfId="0" applyAlignment="1" applyBorder="1" applyFont="1" applyNumberFormat="1">
      <alignment horizontal="center" readingOrder="0" vertical="bottom"/>
    </xf>
    <xf borderId="6" fillId="0" fontId="24" numFmtId="0" xfId="0" applyBorder="1" applyFont="1"/>
    <xf borderId="9" fillId="0" fontId="24" numFmtId="0" xfId="0" applyBorder="1" applyFont="1"/>
    <xf borderId="5" fillId="6" fontId="25" numFmtId="0" xfId="0" applyAlignment="1" applyBorder="1" applyFont="1">
      <alignment horizontal="center" readingOrder="0" vertical="bottom"/>
    </xf>
    <xf borderId="3" fillId="0" fontId="2" numFmtId="0" xfId="0" applyBorder="1" applyFont="1"/>
    <xf borderId="5" fillId="0" fontId="2" numFmtId="0" xfId="0" applyAlignment="1" applyBorder="1" applyFont="1">
      <alignment vertical="bottom"/>
    </xf>
    <xf borderId="5" fillId="4" fontId="25" numFmtId="0" xfId="0" applyAlignment="1" applyBorder="1" applyFont="1">
      <alignment horizontal="center" readingOrder="0" vertical="bottom"/>
    </xf>
    <xf borderId="10" fillId="0" fontId="2" numFmtId="0" xfId="0" applyAlignment="1" applyBorder="1" applyFont="1">
      <alignment vertical="bottom"/>
    </xf>
    <xf borderId="3" fillId="4" fontId="25" numFmtId="0" xfId="0" applyAlignment="1" applyBorder="1" applyFont="1">
      <alignment horizontal="center" vertical="bottom"/>
    </xf>
    <xf borderId="3" fillId="4" fontId="25" numFmtId="0" xfId="0" applyAlignment="1" applyBorder="1" applyFont="1">
      <alignment horizontal="center" vertical="bottom"/>
    </xf>
    <xf borderId="11" fillId="0" fontId="24" numFmtId="0" xfId="0" applyBorder="1" applyFont="1"/>
    <xf borderId="3" fillId="6" fontId="4" numFmtId="0" xfId="0" applyAlignment="1" applyBorder="1" applyFont="1">
      <alignment horizontal="center" vertical="bottom"/>
    </xf>
    <xf borderId="3" fillId="6" fontId="4" numFmtId="170" xfId="0" applyAlignment="1" applyBorder="1" applyFont="1" applyNumberFormat="1">
      <alignment horizontal="center" vertical="bottom"/>
    </xf>
    <xf borderId="3" fillId="6" fontId="4" numFmtId="170" xfId="0" applyAlignment="1" applyBorder="1" applyFont="1" applyNumberFormat="1">
      <alignment horizontal="center" readingOrder="0" vertical="bottom"/>
    </xf>
    <xf borderId="3" fillId="10" fontId="4" numFmtId="0" xfId="0" applyAlignment="1" applyBorder="1" applyFont="1">
      <alignment horizontal="center" vertical="bottom"/>
    </xf>
    <xf borderId="3" fillId="10" fontId="4" numFmtId="169" xfId="0" applyAlignment="1" applyBorder="1" applyFont="1" applyNumberFormat="1">
      <alignment horizontal="center" vertical="bottom"/>
    </xf>
    <xf borderId="3" fillId="10" fontId="4" numFmtId="169" xfId="0" applyAlignment="1" applyBorder="1" applyFont="1" applyNumberFormat="1">
      <alignment horizontal="center" readingOrder="0" vertical="bottom"/>
    </xf>
    <xf borderId="3" fillId="6" fontId="4" numFmtId="169" xfId="0" applyAlignment="1" applyBorder="1" applyFont="1" applyNumberFormat="1">
      <alignment horizontal="center" vertical="bottom"/>
    </xf>
    <xf borderId="3" fillId="6" fontId="4" numFmtId="3" xfId="0" applyAlignment="1" applyBorder="1" applyFont="1" applyNumberFormat="1">
      <alignment horizontal="center" vertical="bottom"/>
    </xf>
    <xf borderId="3" fillId="10" fontId="4" numFmtId="10" xfId="0" applyAlignment="1" applyBorder="1" applyFont="1" applyNumberFormat="1">
      <alignment horizontal="center" vertical="bottom"/>
    </xf>
    <xf borderId="3" fillId="10" fontId="4" numFmtId="10" xfId="0" applyAlignment="1" applyBorder="1" applyFont="1" applyNumberFormat="1">
      <alignment horizontal="center" readingOrder="0" vertical="bottom"/>
    </xf>
    <xf borderId="3" fillId="10" fontId="4" numFmtId="3" xfId="0" applyAlignment="1" applyBorder="1" applyFont="1" applyNumberFormat="1">
      <alignment horizontal="center" vertical="bottom"/>
    </xf>
    <xf borderId="3" fillId="10" fontId="4" numFmtId="169" xfId="0" applyAlignment="1" applyBorder="1" applyFont="1" applyNumberFormat="1">
      <alignment horizontal="center" vertical="bottom"/>
    </xf>
    <xf borderId="3" fillId="10" fontId="4" numFmtId="0" xfId="0" applyAlignment="1" applyBorder="1" applyFont="1">
      <alignment horizontal="center" vertical="bottom"/>
    </xf>
    <xf borderId="3" fillId="10" fontId="4" numFmtId="9" xfId="0" applyAlignment="1" applyBorder="1" applyFont="1" applyNumberFormat="1">
      <alignment horizontal="center" vertical="bottom"/>
    </xf>
    <xf borderId="12" fillId="0" fontId="24" numFmtId="0" xfId="0" applyBorder="1" applyFont="1"/>
    <xf borderId="3" fillId="4" fontId="25" numFmtId="0" xfId="0" applyAlignment="1" applyBorder="1" applyFont="1">
      <alignment horizontal="center" readingOrder="0" vertical="bottom"/>
    </xf>
    <xf borderId="3" fillId="10" fontId="4" numFmtId="3" xfId="0" applyAlignment="1" applyBorder="1" applyFont="1" applyNumberFormat="1">
      <alignment horizontal="center" readingOrder="0" vertical="bottom"/>
    </xf>
    <xf borderId="3" fillId="10" fontId="4" numFmtId="169" xfId="0" applyAlignment="1" applyBorder="1" applyFont="1" applyNumberFormat="1">
      <alignment horizontal="center" readingOrder="0" vertical="bottom"/>
    </xf>
    <xf borderId="3" fillId="10" fontId="4" numFmtId="0" xfId="0" applyAlignment="1" applyBorder="1" applyFont="1">
      <alignment horizontal="center" readingOrder="0" vertical="bottom"/>
    </xf>
    <xf borderId="3" fillId="10" fontId="4" numFmtId="9" xfId="0" applyAlignment="1" applyBorder="1" applyFont="1" applyNumberFormat="1">
      <alignment horizontal="center" readingOrder="0" vertical="bottom"/>
    </xf>
    <xf borderId="3" fillId="6" fontId="4" numFmtId="0" xfId="0" applyAlignment="1" applyBorder="1" applyFont="1">
      <alignment horizontal="center" readingOrder="0" vertical="bottom"/>
    </xf>
    <xf borderId="3" fillId="0" fontId="4" numFmtId="0" xfId="0" applyAlignment="1" applyBorder="1" applyFont="1">
      <alignment horizontal="center" vertical="bottom"/>
    </xf>
    <xf borderId="3" fillId="0" fontId="4" numFmtId="4" xfId="0" applyAlignment="1" applyBorder="1" applyFont="1" applyNumberFormat="1">
      <alignment horizontal="center" vertical="bottom"/>
    </xf>
    <xf borderId="3" fillId="0" fontId="2" numFmtId="0" xfId="0" applyAlignment="1" applyBorder="1" applyFont="1">
      <alignment vertical="bottom"/>
    </xf>
    <xf borderId="5" fillId="10" fontId="26" numFmtId="0" xfId="0" applyAlignment="1" applyBorder="1" applyFont="1">
      <alignment horizontal="center" readingOrder="0" shrinkToFit="0" vertical="bottom" wrapText="1"/>
    </xf>
    <xf borderId="3" fillId="4" fontId="11" numFmtId="0" xfId="0" applyAlignment="1" applyBorder="1" applyFont="1">
      <alignment horizontal="center" vertical="bottom"/>
    </xf>
    <xf borderId="5" fillId="10" fontId="27" numFmtId="0" xfId="0" applyAlignment="1" applyBorder="1" applyFont="1">
      <alignment horizontal="center" readingOrder="0" vertical="center"/>
    </xf>
    <xf borderId="3" fillId="4" fontId="23" numFmtId="0" xfId="0" applyAlignment="1" applyBorder="1" applyFont="1">
      <alignment horizontal="center" vertical="bottom"/>
    </xf>
    <xf borderId="3" fillId="7" fontId="12" numFmtId="169" xfId="0" applyAlignment="1" applyBorder="1" applyFont="1" applyNumberFormat="1">
      <alignment horizontal="center" vertical="bottom"/>
    </xf>
    <xf borderId="3" fillId="7" fontId="12" numFmtId="167" xfId="0" applyAlignment="1" applyBorder="1" applyFont="1" applyNumberFormat="1">
      <alignment horizontal="center" vertical="bottom"/>
    </xf>
    <xf borderId="3" fillId="7" fontId="12" numFmtId="0" xfId="0" applyAlignment="1" applyBorder="1" applyFont="1">
      <alignment horizontal="center" vertical="bottom"/>
    </xf>
    <xf borderId="3" fillId="7" fontId="22" numFmtId="167" xfId="0" applyAlignment="1" applyBorder="1" applyFont="1" applyNumberFormat="1">
      <alignment horizontal="center" vertical="bottom"/>
    </xf>
    <xf borderId="3" fillId="7" fontId="22" numFmtId="0" xfId="0" applyAlignment="1" applyBorder="1" applyFont="1">
      <alignment horizontal="center" vertical="bottom"/>
    </xf>
    <xf borderId="3" fillId="7" fontId="12" numFmtId="10" xfId="0" applyAlignment="1" applyBorder="1" applyFont="1" applyNumberFormat="1">
      <alignment horizontal="center" vertical="bottom"/>
    </xf>
    <xf borderId="3" fillId="4" fontId="23" numFmtId="10" xfId="0" applyAlignment="1" applyBorder="1" applyFont="1" applyNumberFormat="1">
      <alignment horizontal="center" vertical="bottom"/>
    </xf>
    <xf borderId="3" fillId="7" fontId="12" numFmtId="0" xfId="0" applyAlignment="1" applyBorder="1" applyFont="1">
      <alignment horizontal="center" readingOrder="0" vertical="bottom"/>
    </xf>
    <xf borderId="3" fillId="4" fontId="23" numFmtId="2" xfId="0" applyAlignment="1" applyBorder="1" applyFont="1" applyNumberFormat="1">
      <alignment horizontal="center" vertical="bottom"/>
    </xf>
    <xf borderId="3" fillId="7" fontId="22" numFmtId="10" xfId="0" applyAlignment="1" applyBorder="1" applyFont="1" applyNumberFormat="1">
      <alignment horizontal="center" vertical="bottom"/>
    </xf>
    <xf borderId="3" fillId="4" fontId="23" numFmtId="4" xfId="0" applyAlignment="1" applyBorder="1" applyFont="1" applyNumberFormat="1">
      <alignment horizontal="center" vertical="bottom"/>
    </xf>
    <xf borderId="3" fillId="7" fontId="21" numFmtId="0" xfId="0" applyAlignment="1" applyBorder="1" applyFont="1">
      <alignment horizontal="center"/>
    </xf>
    <xf borderId="3" fillId="7" fontId="12" numFmtId="2" xfId="0" applyAlignment="1" applyBorder="1" applyFont="1" applyNumberFormat="1">
      <alignment horizontal="center" vertical="bottom"/>
    </xf>
    <xf borderId="3" fillId="7" fontId="22" numFmtId="4" xfId="0" applyAlignment="1" applyBorder="1" applyFont="1" applyNumberFormat="1">
      <alignment horizontal="center" vertical="bottom"/>
    </xf>
    <xf borderId="3" fillId="4" fontId="23" numFmtId="0" xfId="0" applyAlignment="1" applyBorder="1" applyFont="1">
      <alignment horizontal="center" readingOrder="0" vertical="bottom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1" numFmtId="171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29" numFmtId="14" xfId="0" applyFont="1" applyNumberFormat="1"/>
    <xf borderId="0" fillId="6" fontId="3" numFmtId="0" xfId="0" applyAlignment="1" applyFont="1">
      <alignment horizontal="center" readingOrder="0"/>
    </xf>
    <xf borderId="0" fillId="0" fontId="29" numFmtId="0" xfId="0" applyAlignment="1" applyFont="1">
      <alignment readingOrder="0" shrinkToFit="0" vertical="top" wrapText="1"/>
    </xf>
    <xf borderId="0" fillId="0" fontId="28" numFmtId="0" xfId="0" applyFont="1"/>
    <xf borderId="0" fillId="0" fontId="29" numFmtId="0" xfId="0" applyFont="1"/>
  </cellXfs>
  <cellStyles count="1">
    <cellStyle xfId="0" name="Normal" builtinId="0"/>
  </cellStyles>
  <dxfs count="5">
    <dxf>
      <font>
        <color rgb="FFFFFFFF"/>
      </font>
      <fill>
        <patternFill patternType="solid">
          <fgColor rgb="FF38761D"/>
          <bgColor rgb="FF38761D"/>
        </patternFill>
      </fill>
      <border/>
    </dxf>
    <dxf>
      <font>
        <b/>
        <color rgb="FFFFFFFF"/>
      </font>
      <fill>
        <patternFill patternType="solid">
          <fgColor rgb="FFCC0000"/>
          <bgColor rgb="FFCC0000"/>
        </patternFill>
      </fill>
      <border/>
    </dxf>
    <dxf>
      <font>
        <strike/>
        <color rgb="FFCCCCCC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7j7TXVSeRzQCmgL-HNIf6fprMYwOhdIiDeqYL9_F6EFmrN1TvrgMa1hb870A_aem_t9l55dUHn_-k6SgD8RIj-A&amp;campaign_id=120247452154580155&amp;ad_id=120247452938090155&amp;utm_id=120247452154580155" TargetMode="External"/><Relationship Id="rId190" Type="http://schemas.openxmlformats.org/officeDocument/2006/relationships/hyperlink" Target="https://lp.saibai.com.br/?utm_source=MetaAds&amp;utm_medium=ADV+-+%5BIG%5D+%5BFB%5D+%5B30%2B%5D+%5BPIEDADE+-+40KM%5D+V%C3%81RIOS&amp;utm_campaign=22.04.2026+%5BV4%5D+%5BWB%5D+%5BLEADS-GRUPO-WHATS%5D+02&amp;utm_content=07.04+%5BIMG%5D+%5BAD04%5D+Pedidos+abertos&amp;utm_term=Instagram_Feed&amp;utm_id=120248254459350155&amp;fbclid=PAZXh0bgNhZW0BMABhZGlkAas1g04I1ttzcnRjBmFwcF9pZA8xMjQwMjQ1NzQyODc0MTQAAacF-10u2fP9tY-1Szr7fL26wiBrP9hMY59qa8SDLkWjdmfeqJ4DyRmPa1hP6g_aem_rqkUhJq0TlpuIVIfAjp0jg&amp;campaign_id=120248254459350155&amp;ad_id=120248254459370155" TargetMode="External"/><Relationship Id="rId42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Reels&amp;fbclid=IwZXh0bgNhZW0BMABhZGlkAas0bAW7ZytzcnRjBmFwcF9pZAo2NjI4NTY4Mzc5AAEeM91l-LHCK4n_BRmHiRvxVrXdpLVudRySp3jSyCqmmlznRx7FYYeuV4ZY0zY_aem_jPr04v7taRk16y5Js5xiNg&amp;campaign_id=120247452154580155&amp;ad_id=120247452938090155&amp;utm_id=120247452154580155" TargetMode="External"/><Relationship Id="rId41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fOj7tzcnRjBmFwcF9pZAwzNTA2ODU1MzE3MjgAAR7Rd5SefmRmIHeFcpvyELGs9awHvgYywscRUaxRp083cgILbQohDmZQcjjYTQ_aem_h16RRQfLBLUyXXXgeNpvqw&amp;campaign_id=120247452154580155&amp;ad_id=120247452938090155&amp;utm_id=120247452154580155" TargetMode="External"/><Relationship Id="rId44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W7ZytzcnRjBmFwcF9pZA81NjcwNjczNDMzNTI0MjcAAad1DnLBUxIVRi-y6CPJIxZfAmFPEM3Jv8ghuCy75_ocUY11fYUOePDwf0JMNg_aem_MwjS4-BWpo3ZdyEz6QQE-Q&amp;campaign_id=120247452154580155&amp;ad_id=120247452938090155" TargetMode="External"/><Relationship Id="rId194" Type="http://schemas.openxmlformats.org/officeDocument/2006/relationships/hyperlink" Target="https://lp.saibai.com.br/?utm_source=MetaAds&amp;utm_medium=ADV+-+%5BIG%5D+%5BFB%5D+%5B30%2B%5D+%5BPIEDADE+-+40KM%5D+V%C3%81RIOS&amp;utm_campaign=22.04.2026+%5BV4%5D+%5BWB%5D+%5BLEADS-GRUPO-WHATS%5D+02&amp;utm_content=07.04+%5BIMG%5D+%5BAD04%5D+Pedidos+abertos&amp;utm_term=Facebook_Mobile_Reels&amp;fbclid=IwZXh0bgNhZW0BMABhZGlkAas1g04I1ttzcnRjBmFwcF9pZAwzNTA2ODU1MzE3MjgAAR5XdFiakkfzfXQ0lEKm1fAq71h3zlpNp4MRx1MKmAnPAr2Npm_Xwu53rjFFiA_aem_NjdfhldL758MPxBVZrWIug&amp;campaign_id=120248254459350155&amp;ad_id=120248254459370155&amp;utm_id=120248254459350155" TargetMode="External"/><Relationship Id="rId43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4Kup1aatJk-57G4z8VZVUsJFnFk477rHEL0PZrehaXIb5OUSWHwKFbPFBdbw_aem_FucqPlHHul2yYz80ajOmPQ&amp;campaign_id=120247452154580155&amp;ad_id=120247452938090155&amp;utm_id=120247452154580155" TargetMode="External"/><Relationship Id="rId193" Type="http://schemas.openxmlformats.org/officeDocument/2006/relationships/hyperlink" Target="https://lp.saibai.com.br/?utm_source=MetaAds&amp;utm_medium=ADV+-+%5BIG%5D+%5BFB%5D+%5B30%2B%5D+%5BPIEDADE+-+40KM%5D+V%C3%81RIOS&amp;utm_campaign=22.04.2026+%5BV4%5D+%5BWB%5D+%5BLEADS-GRUPO-WHATS%5D+02&amp;utm_content=07.04+%5BIMG%5D+%5BAD04%5D+Pedidos+abertos&amp;utm_term=Instagram_Feed&amp;utm_id=120248254459350155&amp;fbclid=PAZXh0bgNhZW0BMABhZGlkAas1g04I1ttzcnRjBmFwcF9pZA81NjcwNjczNDMzNTI0MjcAAafs3vmqy0V4HqrfjcG0Cq4IeJHBY394-yHOz7A2I435iRZxmNn-xeAFg62yrQ_aem_o0opLBdAUgfpWVfNW7oohg&amp;campaign_id=120248254459350155&amp;ad_id=120248254459370155" TargetMode="External"/><Relationship Id="rId46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o2NjI4NTY4Mzc5AAEeVWSADMFPlOn6c4Fym4xaOWUx4dBNWPH5Jbn36z0l0eTTTYeaTyga-Tn9Hx8_aem_25sKqRp8muui3joscMmISg&amp;campaign_id=120247452154580155&amp;ad_id=120247452938090155&amp;utm_id=120247452154580155" TargetMode="External"/><Relationship Id="rId192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4%5D+Pedidos+abertos&amp;utm_term=Facebook_Mobile_Feed&amp;fbclid=IwZXh0bgNhZW0BMABhZGlkAas1g0M2JftzcnRjBmFwcF9pZAwzNTA2ODU1MzE3MjgAAR5qyKYgNSsN6sZLXs-4jl22Hp9YaybbepwG9bix652pK5iTwiFL-xuFavDGSQ_aem_bjbOMyL9leYRZNWXINvsEw&amp;campaign_id=120248254459350155&amp;ad_id=120248254459370155&amp;utm_id=120248254459350155" TargetMode="External"/><Relationship Id="rId45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Reels&amp;utm_id=120247452154580155&amp;fbclid=PAZXh0bgNhZW0BMABhZGlkAas0bAfOj7tzcnRjBmFwcF9pZA81NjcwNjczNDMzNTI0MjcAAafusM8OGl8tCc4cP44fL3_Hd5pOskbHl2MF8Z5WPH6726_HbmpqYJV5oZESTg_aem_LFt7CEVQR7gvpRpR5HnTvw&amp;campaign_id=120247452154580155&amp;ad_id=120247452938090155" TargetMode="External"/><Relationship Id="rId191" Type="http://schemas.openxmlformats.org/officeDocument/2006/relationships/hyperlink" Target="https://lp.saibai.com.br/?utm_source=MetaAds&amp;utm_medium=ADV+-+%5BIG%5D+%5BFB%5D+%5B30%2B%5D+%5BPIEDADE+-+40KM%5D+V%C3%81RIOS&amp;utm_campaign=22.04.2026+%5BV4%5D+%5BWB%5D+%5BLEADS-GRUPO-WHATS%5D+02&amp;utm_content=07.04+%5BIMG%5D+%5BAD04%5D+Pedidos+abertos&amp;utm_term=Instagram_Feed&amp;utm_id=120248254459350155&amp;fbclid=PAZXh0bgNhZW0BMABhZGlkAas1g04I1ttzcnRjBmFwcF9pZA8xMjQwMjQ1NzQyODc0MTQAAaeE_WAK2rUvQy4Lq6frMNFYpJMzQp2NRcn7k_3eGWuuSUI4aWU_H6_TMgZ4UQ_aem_27A99QAu8sjekaJxukVA6Q&amp;campaign_id=120248254459350155&amp;ad_id=120248254459370155" TargetMode="External"/><Relationship Id="rId48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fOj7tzcnRjBmFwcF9pZAwzNTA2ODU1MzE3MjgAAR6f4bBcAdayEksxARLoxgu7ZCmhkWGp-G3FTIZl2-TJeTGFarRIHTX3G8GfAQ_aem_5cmN3J-Arn1T5VTyt3oMVw&amp;campaign_id=120247452154580155&amp;ad_id=120247452938090155&amp;utm_id=120247452154580155" TargetMode="External"/><Relationship Id="rId187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4%5D+Pedidos+abertos&amp;utm_term=Instagram_Stories&amp;utm_id=120248254459350155&amp;fbclid=PAZXh0bgNhZW0BMABhZGlkAas1g0M2JftzcnRjBmFwcF9pZA81NjcwNjczNDMzNTI0MjcAAae-Pi9C5ulqTw1avKSlCfTlAiaFlEjDorhtO4cBmGvSCiUKaU-KCcm7ipMffA_aem_qVPH0fA8b5aEFs-o7UHCZA&amp;campaign_id=120248254459350155&amp;ad_id=120248254459370155" TargetMode="External"/><Relationship Id="rId47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fOj7tzcnRjBmFwcF9pZAo2NjI4NTY4Mzc5AAEeOAltH3x8o5K0HJRl4AsF5PjaoKUZ7MLgypQlEMM60h5NyZBxNVowCHUOEkw_aem_dleLWiOyWFRW7dQxU7T9bQ&amp;campaign_id=120247452154580155&amp;ad_id=120247452938090155&amp;utm_id=120247452154580155" TargetMode="External"/><Relationship Id="rId186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2%5D+N%C3%A3o+%C3%A9+sobre+comida&amp;utm_term=Facebook_Mobile_Feed&amp;fbclid=IwZXh0bgNhZW0BMABhZGlkAas1JoT8MxtzcnRjBmFwcF9pZAwzNTA2ODU1MzE3MjgAAR77XHcJ992eDybgkiO5NBQrChXuBSs0uD621Zhyrehtwk937cwMxq0xERg2MQ_aem_AWznl5e-_MdurNH3_rC0EQ&amp;campaign_id=120248254459350155&amp;ad_id=120248254459380155&amp;utm_id=120248254459350155" TargetMode="External"/><Relationship Id="rId185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4%5D+Pedidos+abertos&amp;utm_term=Instagram_Stories&amp;utm_id=120248254459350155&amp;fbclid=PAZXh0bgNhZW0BMABhZGlkAas1g0M2JftzcnRjBmFwcF9pZA81NjcwNjczNDMzNTI0MjcAAae-Pi9C5ulqTw1avKSlCfTlAiaFlEjDorhtO4cBmGvSCiUKaU-KCcm7ipMffA_aem_qVPH0fA8b5aEFs-o7UHCZA&amp;campaign_id=120248254459350155&amp;ad_id=120248254459370155" TargetMode="External"/><Relationship Id="rId49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fOj7tzcnRjBmFwcF9pZA81NjcwNjczNDMzNTI0MjcAAaeDKx8ianBdfbgN3bviJFG3Ge66jee2cOL3hPy_z54EoNYnQxvLEFD0f1YzwQ_aem_tYKWwtiFeRNe_gXHGGal5g&amp;campaign_id=120247452154580155&amp;ad_id=120247452938090155" TargetMode="External"/><Relationship Id="rId184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2%5D+N%C3%A3o+%C3%A9+sobre+comida&amp;utm_term=Instagram_Reels&amp;utm_id=120248254459350155&amp;fbclid=PAZXh0bgNhZW0BMABhZGlkAas1Jn2kKgtzcnRjBmFwcF9pZA81NjcwNjczNDMzNTI0MjcAAae8-ayODuHCQOZ-1_OPhB0zJeZPpz7s8Tt8lFPST1hD87sde7akXYZ761cOvg_aem_qzCbL-GuEZ3x5eCXk9Zbpg&amp;campaign_id=120248254459350155&amp;ad_id=120248254459380155" TargetMode="External"/><Relationship Id="rId189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2%5D+N%C3%A3o+%C3%A9+sobre+comida&amp;utm_term=Facebook_Mobile_Feed&amp;fbclid=IwZXh0bgNhZW0BMABhZGlkAas1Jn2kKgtzcnRjBmFwcF9pZAwzNTA2ODU1MzE3MjgAAR4Vug4KZspILIwqswOW8oyq6w33Xw0vrECcpGHA4PqlEBJO1Y08kmJKUyxomA_aem_AjytrD3tWUqBRDbMx3ephg&amp;campaign_id=120248254459350155&amp;ad_id=120248254459380155&amp;utm_id=120248254459350155" TargetMode="External"/><Relationship Id="rId188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2%5D+N%C3%A3o+%C3%A9+sobre+comida&amp;utm_term=Instagram_Feed&amp;utm_id=120248254459350155&amp;fbclid=PAZXh0bgNhZW0BMABhZGlkAas1Jn2kKgtzcnRjBmFwcF9pZA8xMjQwMjQ1NzQyODc0MTQAAadEO8nUcoq5acTmK8F8u1I9RQznXpmScxqs942CYumPsoZBG_1_I5NxIcsK3w_aem__c3hScc8zt40rDTpsRfF_g&amp;campaign_id=120248254459350155&amp;ad_id=120248254459380155" TargetMode="External"/><Relationship Id="rId31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6WOLrOPXnfYiyksmTBGYNaDAKqJ5-QSTjW0-BaeKjAR4hQeICzVlJ7CYBtgA_aem_rVGvF9I4taAyMROApCsCow&amp;campaign_id=120247452154580155&amp;ad_id=120247452938090155&amp;utm_id=120247452154580155" TargetMode="External"/><Relationship Id="rId30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1%5D+A+safra+come%C3%A7ou&amp;utm_term=Facebook_Mobile_Feed&amp;fbclid=IwZXh0bgNhZW0BMABhZGlkAas0a_chJvtzcnRjBmFwcF9pZAwzNTA2ODU1MzE3MjgAAR6EcW4KwQkvPDQw168P-NKhi-OG7DUh-hlnToKUGL7g57mEjwtnHqCR0cApzg_aem_m1GgtNyhBt04gOoDEn8ZDA&amp;campaign_id=120247452154580155&amp;ad_id=120247452154590155&amp;utm_id=120247452154580155" TargetMode="External"/><Relationship Id="rId33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fOj7tzcnRjBmFwcF9pZA81NjcwNjczNDMzNTI0MjcAAafeSKCjtmXj7sCjkaiE7HDHw04V12xI5oBJYYIrwQhIcvbNa7gkXkbWq4UANQ_aem_gpWdIfrNCAUgoQPoK2grVQ&amp;campaign_id=120247452154580155&amp;ad_id=120247452938090155" TargetMode="External"/><Relationship Id="rId183" Type="http://schemas.openxmlformats.org/officeDocument/2006/relationships/hyperlink" Target="https://lp.saibai.com.br/?utm_source=google-ads&amp;utm_medium=branding-terms&amp;utm_campaign=venda-direta&amp;utm_term=saibai&amp;utm_content=786538028159&amp;gad_source=1&amp;gad_campaignid=23319194144&amp;gbraid=0AAAAArClr9GaBihPMT2zlUuA2ozrow0U_&amp;gclid=EAIaIQobChMI6OvD9NyklAMVmEFIAB3vgh8cEAAYASAFEgKaV_D_BwE" TargetMode="External"/><Relationship Id="rId32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xMjQwMjQ1NzQyODc0MTQAAado_HsUkVrToCTLgI5OWkFw_iE_k_-sbGAhzbRxE4kfpyZMIDNUC2LWe2vJsw_aem_wzs0o74Ym8t2vWSwLvHUng&amp;campaign_id=120247452154580155&amp;ad_id=120247452938090155" TargetMode="External"/><Relationship Id="rId182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2%5D+N%C3%A3o+%C3%A9+sobre+comida&amp;utm_term=Instagram_Feed&amp;utm_id=120248254459350155&amp;fbclid=PAZXh0bgNhZW0BMABhZGlkAas1Jn2kKgtzcnRjBmFwcF9pZA8xMjQwMjQ1NzQyODc0MTQAAad_R45j3OMhWX6UdUw1RO2NeWUpik_4_u4QpJR3zeUeGj3HSZ2i-kCodVoaYA_aem_eNF-htJ82BhtGZQ04_C1eA&amp;campaign_id=120248254459350155&amp;ad_id=120248254459380155" TargetMode="External"/><Relationship Id="rId35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4%5D+Pedidos+abertos&amp;utm_term=Instagram_Stories&amp;utm_id=120248254459350155&amp;fbclid=PAZXh0bgNhZW0BMABhZGlkAas1g0M2JftzcnRjBmFwcF9pZA81NjcwNjczNDMzNTI0MjcAAae-Pi9C5ulqTw1avKSlCfTlAiaFlEjDorhtO4cBmGvSCiUKaU-KCcm7ipMffA_aem_qVPH0fA8b5aEFs-o7UHCZA&amp;campaign_id=120248254459350155&amp;ad_id=120248254459370155" TargetMode="External"/><Relationship Id="rId181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2%5D+N%C3%A3o+%C3%A9+sobre+comida&amp;utm_term=Facebook_Mobile_Feed&amp;fbclid=IwZXh0bgNhZW0BMABhZGlkAas1Jn2kKgtzcnRjBmFwcF9pZAo2NjI4NTY4Mzc5AAEeGfEUT90X7pwRdyKHuozzFy3q6ndGo3xXS39lPgGxEMHgiItf5lFolt_JgP8_aem_q1yk42JbezWimbwH-WBxDQ&amp;campaign_id=120248254459350155&amp;ad_id=120248254459380155&amp;utm_id=120248254459350155" TargetMode="External"/><Relationship Id="rId34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o2NjI4NTY4Mzc5AAEe9jK7CE_zajp1t-JFujpoG6LgAc8gfbKqAswpiGyT9KCIJ6gWLpNfPKkUvG8_aem_YT2FfFdmNthace4_CZf8Jw&amp;campaign_id=120247452154580155&amp;ad_id=120247452938090155&amp;utm_id=120247452154580155" TargetMode="External"/><Relationship Id="rId180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2%5D+N%C3%A3o+%C3%A9+sobre+comida&amp;utm_term=Instagram_Feed&amp;utm_id=120248254459350155&amp;fbclid=PAZXh0bgNhZW0BMABhZGlkAas1Jn2kKgtzcnRjBmFwcF9pZA8xMjQwMjQ1NzQyODc0MTQAAactKlDmulmiuGeeW0Hs7MsyNqL5F7yXFj7g9_Xi9OKQvs0PJ7mrFV4K2gkFJw_aem_uivLaNfwNM6omt9hmVE-xA&amp;campaign_id=120248254459350155&amp;ad_id=120248254459380155" TargetMode="External"/><Relationship Id="rId37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Reels&amp;fbclid=IwZXh0bgNhZW0BMABhZGlkAas0bAW7ZytzcnRjBmFwcF9pZAwzNTA2ODU1MzE3MjgAAR4YddERmVsRRNORRCPz8ke7GStFy4DVeNPUXpM9Ajm-0-phaNjOk5yy4m0Fcg_aem_-u2RCuZge2fUZBa611trSA&amp;campaign_id=120247452154580155&amp;ad_id=120247452938090155&amp;utm_id=120247452154580155" TargetMode="External"/><Relationship Id="rId176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4%5D+Pedidos+abertos&amp;utm_term=Instagram_Stories&amp;utm_id=120248254459350155&amp;fbclid=PAZXh0bgNhZW0BMABhZGlkAas1g0M2JftzcnRjBmFwcF9pZA81NjcwNjczNDMzNTI0MjcAAaclhV9F1gdYsRDI7hfW05QaNo-D1V4Itup5XTU09GKbdAq_-LHtREnsfCzw9Q_aem_y66OzBa3FhjPu23g4yp8qQ&amp;campaign_id=120248254459350155&amp;ad_id=120248254459370155" TargetMode="External"/><Relationship Id="rId297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Hxvk4tzcnRjBmFwcF9pZA8xMjQwMjQ1NzQyODc0MTQAAacNUnMHHOnWlEy_ZxKGrXiIYdXF6NFEKQZ4o8qTenVthrtoa7rMiNdRJOr2NA_aem_2dxJgdpFppZoPMbgGtwSJQ&amp;campaign_id=120248254459350155&amp;ad_id=120249883219710155" TargetMode="External"/><Relationship Id="rId36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1NjcwNjczNDMzNTI0MjcAAadp7gnYVGORL_tuQ_8n1nAAApwHuI-rh3sbQYYie1ktHqEyFxr5027YxMllXw_aem_QqPH-6EFmulWlz_hogOPSg&amp;campaign_id=120247452154580155&amp;ad_id=120247452938090155" TargetMode="External"/><Relationship Id="rId175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2%5D+N%C3%A3o+%C3%A9+sobre+comida&amp;utm_term=Facebook_Stories&amp;fbclid=IwZXh0bgNhZW0BMABhZGlkAas1JoT8MxtzcnRjBmFwcF9pZAo2NjI4NTY4Mzc5AAEezda0u0S2v0Q455fb-K3u6RxrKslnQVi6G-g6LImf7_01wDJ4fnp3HftgCo0_aem_sLFFrJwM3HJk0R0G-bmp7g&amp;campaign_id=120248254459350155&amp;ad_id=120248254459380155&amp;utm_id=120248254459350155" TargetMode="External"/><Relationship Id="rId296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Hxvk4tzcnRjBmFwcF9pZA81NjcwNjczNDMzNTI0MjcAAafnXtP5551Me8miw8d5corQ7nUvI9zIe2ojRQOsSuX1vIvWmxgU4wRIN1sqnA_aem_raH5Rr3Ayd9RnCOvK11vIg&amp;campaign_id=120248254459350155&amp;ad_id=120249883219710155" TargetMode="External"/><Relationship Id="rId39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4%5D+Pedidos+abertos&amp;utm_term=Instagram_Stories&amp;utm_id=120248254459350155&amp;fbclid=PAZXh0bgNhZW0BMABhZGlkAas1g0M2JftzcnRjBmFwcF9pZA81NjcwNjczNDMzNTI0MjcAAae-Pi9C5ulqTw1avKSlCfTlAiaFlEjDorhtO4cBmGvSCiUKaU-KCcm7ipMffA_aem_qVPH0fA8b5aEFs-o7UHCZA&amp;campaign_id=120248254459350155&amp;ad_id=120248254459370155" TargetMode="External"/><Relationship Id="rId174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Reels&amp;fbclid=IwZXh0bgNhZW0BMABhZGlkAas0bAW7ZytzcnRjBmFwcF9pZAo2NjI4NTY4Mzc5AAEeXWApn53DGPWAZUXZ7PInXIO8NvwN8ghnB-lpg7KjhbDCcEw9S8iVB6WOl68_aem_melm75ihQlVu4C46UVVzgw&amp;campaign_id=120247452154580155&amp;ad_id=120247452938090155&amp;utm_id=120247452154580155" TargetMode="External"/><Relationship Id="rId295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1NjcwNjczNDMzNTI0MjcAAacSi2MOlMAxvTu6z-qc8_aLzYKmw9hx93rsmZiPn3LGlRB933xs170A0elbGA_aem_P_5hsTyN1g1v_JEPyCQlpQ&amp;campaign_id=120248254459350155&amp;ad_id=120249883219710155" TargetMode="External"/><Relationship Id="rId38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7-OlI7WMw6oSGOmbzHIVFy6KZc3cpPC3b37cwOx63Ocg6NIYhTQzdWVAE42A_aem_R66TJY_Gu-VxZGmf_phaNg&amp;campaign_id=120247452154580155&amp;ad_id=120247452938090155&amp;utm_id=120247452154580155" TargetMode="External"/><Relationship Id="rId173" Type="http://schemas.openxmlformats.org/officeDocument/2006/relationships/hyperlink" Target="https://lp.saibai.com.br/?utm_source=google-ads&amp;utm_medium=branding-terms&amp;utm_campaign=venda-direta&amp;utm_term=saibai&amp;utm_content=786538028159&amp;gad_source=1&amp;gad_campaignid=23319194144&amp;gbraid=0AAAAArClr9HdbaFnaRur4fA_IA0QJ6bm-&amp;gclid=CjwKCAjwntHPBhAaEiwA_Xp6RgYFmTSKvGH7xCcolLqaPAvaHSbGT45uU7l9KF-tIOzds8s7tn67mhoCe0cQAvD_BwE" TargetMode="External"/><Relationship Id="rId294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3SHxvk4tzcnRjBmFwcF9pZAo2NjI4NTY4Mzc5AAEejIJU-uXShwI5WlhguM6DrIMun3YWe2lXll10UhUlGqt3prRDif8nCNG_IQw_aem_Uqk5mpzDH7PkpNdCzVCLvA&amp;campaign_id=120248254459350155&amp;ad_id=120249883219710155&amp;utm_id=120248254459350155" TargetMode="External"/><Relationship Id="rId179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Reels&amp;fbclid=IwZXh0bgNhZW0BMABhZGlkAas0bAW7ZytzcnRjBmFwcF9pZAo2NjI4NTY4Mzc5AAEeXWApn53DGPWAZUXZ7PInXIO8NvwN8ghnB-lpg7KjhbDCcEw9S8iVB6WOl68_aem_melm75ihQlVu4C46UVVzgw&amp;campaign_id=120247452154580155&amp;ad_id=120247452938090155&amp;utm_id=120247452154580155" TargetMode="External"/><Relationship Id="rId178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2%5D+N%C3%A3o+%C3%A9+sobre+comida&amp;utm_term=Facebook_Mobile_Feed&amp;fbclid=IwZXh0bgNhZW0BMABhZGlkAas1Jn2kKgtzcnRjBmFwcF9pZAwzNTA2ODU1MzE3MjgAAR7VgLnxS0GGJLK3UM_oeNUQAjVcwcL81yfpJx4uw5cfzRYhIPczx-9TkHMntQ_aem_c9fygREylSbzu-qyvoIcLQ&amp;campaign_id=120248254459350155&amp;ad_id=120248254459380155&amp;utm_id=120248254459350155" TargetMode="External"/><Relationship Id="rId299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Hxvk4tzcnRjBmFwcF9pZA81NjcwNjczNDMzNTI0MjcAAafLRcT3QnOW9v3wi2DA7IhvzedVLCwB9SfHDpvfvVYaRhJwIOHNzZIqClL_2A_aem_YWdncwAA6JT4wiYab71peYKszRcX&amp;brid=YWdncwEA6JT4wiYab71peYKszRcX&amp;campaign_id=120248254459350155&amp;ad_id=120249883219710155" TargetMode="External"/><Relationship Id="rId177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2%5D+N%C3%A3o+%C3%A9+sobre+comida&amp;utm_term=Facebook_Mobile_Feed&amp;fbclid=IwZXh0bgNhZW0BMABhZGlkAas1JoT8MxtzcnRjBmFwcF9pZAo2NjI4NTY4Mzc5AAEe0fNdc3GnnlTsZJykjGSqUfwBcRhd7esngndSb2sFpVeyLrO4IJMuwCfd0Y0_aem_w6yryjXHqogF0WhVUgco2Q&amp;campaign_id=120248254459350155&amp;ad_id=120248254459380155&amp;utm_id=120248254459350155" TargetMode="External"/><Relationship Id="rId298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3SIevXhtzcnRjBmFwcF9pZAwzNTA2ODU1MzE3MjgAAR7vBDGIZlEcV8Ir92GNBOESGxQPcK2jidgDylatspnFscPvlG9ojw-8nlTrGA_aem_sye8yyUxHL9sMkp6ZgTcHg&amp;campaign_id=120248254459350155&amp;ad_id=120249883219710155&amp;utm_id=120248254459350155" TargetMode="External"/><Relationship Id="rId20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4%5D+Pedidos+abertos&amp;utm_term=Instagram_Stories&amp;utm_id=120248254459350155&amp;fbclid=PAZXh0bgNhZW0BMABhZGlkAas1g0M2JftzcnRjBmFwcF9pZA81NjcwNjczNDMzNTI0MjcAAae-Pi9C5ulqTw1avKSlCfTlAiaFlEjDorhtO4cBmGvSCiUKaU-KCcm7ipMffA_aem_qVPH0fA8b5aEFs-o7UHCZA&amp;campaign_id=120248254459350155&amp;ad_id=120248254459370155" TargetMode="External"/><Relationship Id="rId22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W7ZytzcnRjBmFwcF9pZA81NjcwNjczNDMzNTI0MjcAAaf2PMnI02jF2DvJxBzra9hp8TYq2K4AR3kKRePi_cY_5YRyduph0lZXi5-i9A_aem_YZ9lMCmM6-MXXAoRyV5nbw&amp;campaign_id=120247452154580155&amp;ad_id=120247452938090155" TargetMode="External"/><Relationship Id="rId21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4CvRkqhDILzZPGlshiEbcAOWFjQj5UjRNL9-ML4APpZkL2U8r77NRAz2H0RQ_aem_sbI6x_6Q467Ds4gt-qqvXQ&amp;campaign_id=120247452154580155&amp;ad_id=120247452938090155&amp;utm_id=120247452154580155" TargetMode="External"/><Relationship Id="rId24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a_lii3tzcnRjBmFwcF9pZA81NjcwNjczNDMzNTI0MjcAAae-K-ywuFXkHPpcn5lIWZjVpFnHSAliaUgsyVFu7MPBd7NtGWxucH_zdNs26g_aem_V8pnN_tD-7Sd8qyolMoDew&amp;campaign_id=120247452154580155&amp;ad_id=120247452938090155" TargetMode="External"/><Relationship Id="rId23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fOj7tzcnRjBmFwcF9pZAwzNTA2ODU1MzE3MjgAAR4o0x0VZm88HbTlzU_bZzH_d-IXUDKHJV8aNjcrYdEI1jZl0xS7IFYIdOjuTA_aem_GdnH90_FI7_irV8br8itIA&amp;campaign_id=120247452154580155&amp;ad_id=120247452938090155&amp;utm_id=120247452154580155" TargetMode="External"/><Relationship Id="rId26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7w8SeqRb8h8EvmPYCA7gNfTn1K-lKEeGUPkD0_ZBStGWUp2RrqZ_T6RaEz9g_aem_nCmRvMh7BrM-_rsWkPmvmQ&amp;campaign_id=120247452154580155&amp;ad_id=120247452938090155&amp;utm_id=120247452154580155" TargetMode="External"/><Relationship Id="rId25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1NjcwNjczNDMzNTI0MjcAAadAxH3LT6FELi8bDGwd1vAmuhZ0tpf_dxifFPpTLpahm2EHVGei94hN4-wA8Q_aem_umlTAOYv8wHa8qH-QrvxkA&amp;campaign_id=120247452154580155&amp;ad_id=120247452938090155" TargetMode="External"/><Relationship Id="rId28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6v67-LuhXYM-RpYXTVFX4MMcZjvWW79d5VE5p-VmkBuPiWFbuD2AyYE1E9Xg_aem_fkRBUDx8LS4EAP6T7hYglA&amp;campaign_id=120247452154580155&amp;ad_id=120247452938090155&amp;utm_id=120247452154580155" TargetMode="External"/><Relationship Id="rId27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6v67-LuhXYM-RpYXTVFX4MMcZjvWW79d5VE5p-VmkBuPiWFbuD2AyYE1E9Xg_aem_fkRBUDx8LS4EAP6T7hYglA&amp;campaign_id=120247452154580155&amp;ad_id=120247452938090155&amp;utm_id=120247452154580155" TargetMode="External"/><Relationship Id="rId29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1%5D+A+safra+come%C3%A7ou&amp;utm_term=Facebook_Mobile_Feed&amp;fbclid=IwZXh0bgNhZW0BMABhZGlkAas0a_chJvtzcnRjBmFwcF9pZAwzNTA2ODU1MzE3MjgAAR6EcW4KwQkvPDQw168P-NKhi-OG7DUh-hlnToKUGL7g57mEjwtnHqCR0cApzg_aem_m1GgtNyhBt04gOoDEn8ZDA&amp;campaign_id=120247452154580155&amp;ad_id=120247452154590155&amp;utm_id=120247452154580155" TargetMode="External"/><Relationship Id="rId11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4%5D+Pedidos+abertos&amp;utm_term=Instagram_Stories&amp;utm_id=120248254459350155&amp;fbclid=PAZXh0bgNhZW0BMABhZGlkAas1g0M2JftzcnRjBmFwcF9pZA81NjcwNjczNDMzNTI0MjcAAae-Pi9C5ulqTw1avKSlCfTlAiaFlEjDorhtO4cBmGvSCiUKaU-KCcm7ipMffA_aem_qVPH0fA8b5aEFs-o7UHCZA&amp;campaign_id=120248254459350155&amp;ad_id=120248254459370155" TargetMode="External"/><Relationship Id="rId10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W7ZytzcnRjBmFwcF9pZA81NjcwNjczNDMzNTI0MjcAAafxyRYJv5YVi6CifZTmm9PDHuPEq1eWVJVRDRYd_BrqVy2ZKPmtaL_Dv5NSEA_aem_6CgVnOQ6Cl01jRgfKwTMPg&amp;campaign_id=120247452154580155&amp;ad_id=120247452938090155" TargetMode="External"/><Relationship Id="rId13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6g8AzhzvHcJQK1SOp1uFCRSyvd3MHHBZ8f9IGnRmrxu4mx_8AqQ6_KgP6BNQ_aem_k1pDRVarn87y__oJ77WQJg&amp;campaign_id=120247452154580155&amp;ad_id=120247452938090155&amp;utm_id=120247452154580155" TargetMode="External"/><Relationship Id="rId12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xMjQwMjQ1NzQyODc0MTQAAaf9HoTAkjFD5tL3oGfq3V2vAUSfWXAjWQtyelDOo5n9yRZWKbckaeEdc-D0QA_aem_5ljKjwEKKrb7uhuKqWsOAA&amp;campaign_id=120247452154580155&amp;ad_id=120247452938090155" TargetMode="External"/><Relationship Id="rId15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Reels&amp;utm_id=120247452154580155&amp;fbclid=PAZXh0bgNhZW0BMABhZGlkAas0bAfOj7tzcnRjBmFwcF9pZA81NjcwNjczNDMzNTI0MjcAAaely2c8bf5Z1R_xzdtshf9I8Pq7qlA2qC2r8-21ATM-5N_cyYY8dpWvnlwK_A_aem_o7S8fWG0vDPWXqUokMjr4w&amp;campaign_id=120247452154580155&amp;ad_id=120247452938090155" TargetMode="External"/><Relationship Id="rId198" Type="http://schemas.openxmlformats.org/officeDocument/2006/relationships/hyperlink" Target="https://lp.saibai.com.br/?utm_source=MetaAds&amp;utm_medium=ADV+-+%5BIG%5D+%5BFB%5D+%5B30%2B%5D+%5BPIEDADE+-+40KM%5D+V%C3%81RIOS&amp;utm_campaign=22.04.2026+%5BV4%5D+%5BWB%5D+%5BLEADS-GRUPO-WHATS%5D+02&amp;utm_content=07.04+%5BIMG%5D+%5BAD04%5D+Pedidos+abertos&amp;utm_term=Instagram_Stories&amp;utm_id=120248254459350155&amp;fbclid=PAZXh0bgNhZW0BMABhZGlkAas1g04I1ttzcnRjBmFwcF9pZA8xMjQwMjQ1NzQyODc0MTQAAae-OuiBKHUg_q-V80zuNWrHjSAbwWv1SBxxkBBPbNv5BSohQer5onn9j_k7iw_aem_exAkmSnk9RkVPMnyF48flQ&amp;campaign_id=120248254459350155&amp;ad_id=120248254459370155" TargetMode="External"/><Relationship Id="rId14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7oOS-K5DK8biC4NSQcjww51xnw6L40H33qaUuDsve2ZTcbINbSQWzhv2fb0w_aem_KtoMuAMvfgLLnhsIHNpLgw&amp;campaign_id=120247452154580155&amp;ad_id=120247452938090155&amp;utm_id=120247452154580155" TargetMode="External"/><Relationship Id="rId197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4%5D+Pedidos+abertos&amp;utm_term=Facebook_Mobile_Feed&amp;fbclid=IwZXh0bgNhZW0BMABhZGlkAas1g0M2JftzcnRjBmFwcF9pZAo2NjI4NTY4Mzc5AAEemmPp-h908ED4lzRNkZEgXLB2U85XpHnSU9S57f1hLetk3Q6mwRRlXwxJMss_aem_P4WdRxhyjFABka09Nz1wuw&amp;campaign_id=120248254459350155&amp;ad_id=120248254459370155&amp;utm_id=120248254459350155" TargetMode="External"/><Relationship Id="rId17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5Jqo986l2Sci96yOA4olFRL2HBhKuV40DXg7FUazU3UTpbOVoVyCSjXwRfGA_aem_B667vrz-6KHgh2qBxOzaYg&amp;campaign_id=120247452154580155&amp;ad_id=120247452938090155&amp;utm_id=120247452154580155" TargetMode="External"/><Relationship Id="rId196" Type="http://schemas.openxmlformats.org/officeDocument/2006/relationships/hyperlink" Target="https://lp.saibai.com.br/?utm_source=MetaAds&amp;utm_medium=ADV+-+%5BIG%5D+%5BFB%5D+%5B30%2B%5D+%5BPIEDADE+-+40KM%5D+V%C3%81RIOS&amp;utm_campaign=22.04.2026+%5BV4%5D+%5BWB%5D+%5BLEADS-GRUPO-WHATS%5D+02&amp;utm_content=07.04+%5BIMG%5D+%5BAD04%5D+Pedidos+abertos&amp;utm_term=Instagram_Stories&amp;utm_id=120248254459350155&amp;fbclid=PAZXh0bgNhZW0BMABhZGlkAas1g04I1ttzcnRjBmFwcF9pZA81NjcwNjczNDMzNTI0MjcAAafb7x_rxkXnyotbIYFDUCj-4s4hwIbdiBdiErV23TWaYdS23AqGrlwLOmMs9w_aem_DNw7rUBVFQgeulyimkC9nQ&amp;campaign_id=120248254459350155&amp;ad_id=120248254459370155" TargetMode="External"/><Relationship Id="rId16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5fMltPma27TiBvPk6GOBmzcvTbpVrbgAyqNnJOPolpeNUYS08HvvZYGf02Ng_aem_ANy7GA0S2VMWVJgxFfb-Mg&amp;campaign_id=120247452154580155&amp;ad_id=120247452938090155&amp;utm_id=120247452154580155" TargetMode="External"/><Relationship Id="rId195" Type="http://schemas.openxmlformats.org/officeDocument/2006/relationships/hyperlink" Target="https://lp.saibai.com.br/?utm_source=MetaAds&amp;utm_medium=ADV+-+%5BIG%5D+%5BFB%5D+%5B30%2B%5D+%5BPIEDADE+-+40KM%5D+V%C3%81RIOS&amp;utm_campaign=22.04.2026+%5BV4%5D+%5BWB%5D+%5BLEADS-GRUPO-WHATS%5D+02&amp;utm_content=07.04+%5BIMG%5D+%5BAD04%5D+Pedidos+abertos&amp;utm_term=Facebook_Mobile_Reels&amp;fbclid=IwZXh0bgNhZW0BMABhZGlkAas1g04I1ttzcnRjBmFwcF9pZAwzNTA2ODU1MzE3MjgAAR5XdFiakkfzfXQ0lEKm1fAq71h3zlpNp4MRx1MKmAnPAr2Npm_Xwu53rjFFiA_aem_NjdfhldL758MPxBVZrWIug&amp;campaign_id=120248254459350155&amp;ad_id=120248254459370155&amp;utm_id=120248254459350155" TargetMode="External"/><Relationship Id="rId19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Reels&amp;fbclid=IwZXh0bgNhZW0BMABhZGlkAas0bAW7ZytzcnRjBmFwcF9pZAwzNTA2ODU1MzE3MjgAAR7EuNGZkOXTRnrvcdFCcgaWIYD3wGDG7rRAAY71NSXZ2Pl_gqg3REC83fAwpA_aem_pnNhTBJcvTiYaZe86OJQgA&amp;campaign_id=120247452154580155&amp;ad_id=120247452938090155&amp;utm_id=120247452154580155" TargetMode="External"/><Relationship Id="rId18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4%5D+Pedidos+abertos&amp;utm_term=Instagram_Stories&amp;utm_id=120248254459350155&amp;fbclid=PAZXh0bgNhZW0BMABhZGlkAas1g0M2JftzcnRjBmFwcF9pZA81NjcwNjczNDMzNTI0MjcAAae-Pi9C5ulqTw1avKSlCfTlAiaFlEjDorhtO4cBmGvSCiUKaU-KCcm7ipMffA_aem_qVPH0fA8b5aEFs-o7UHCZA&amp;campaign_id=120248254459350155&amp;ad_id=120248254459370155" TargetMode="External"/><Relationship Id="rId199" Type="http://schemas.openxmlformats.org/officeDocument/2006/relationships/hyperlink" Target="https://lp.saibai.com.br/?utm_source=google-ads&amp;utm_medium=branding-terms&amp;utm_campaign=venda-direta&amp;utm_term=saibai&amp;utm_content=786538028159&amp;gad_source=1&amp;gad_campaignid=23319194144&amp;gclid=CjwKCAjwq6DQBhBVEiwA4ZD5XAJUnNJmfzqs0-GvFjLx1DIC_Wc7Nf3JuJ9YH43l6MErkzvJBzfoWBoC5FQQAvD_BwE" TargetMode="External"/><Relationship Id="rId84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1%5D+A+safra+come%C3%A7ou&amp;utm_term=Instagram_Feed&amp;utm_id=120247452154580155&amp;fbclid=PAZXh0bgNhZW0BMABhZGlkAas0a_chJvtzcnRjBmFwcF9pZA8xMjQwMjQ1NzQyODc0MTQAAacETyTRKNyJBz6meccYZ2ZlgmYPH1USnsFerEM8QWvDkfXvQTuuBzB6FI_ZnA_aem_kzjzUSzwegZlk7Uq0_RdSQ&amp;campaign_id=120247452154580155&amp;ad_id=120247452154590155" TargetMode="External"/><Relationship Id="rId83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1%5D+A+safra+come%C3%A7ou&amp;utm_term=Instagram_Feed&amp;utm_id=120247452154580155&amp;fbclid=PAZXh0bgNhZW0BMABhZGlkAas0a_chJvtzcnRjBmFwcF9pZA8xMjQwMjQ1NzQyODc0MTQAAadPzH6ltltSWldvAoin0S6Rc6acxjN2nsrxSyUHfKSQoE71GJriOj2GzED5xw_aem_IcP1Ibzh8BDpyWAtvYR0CA&amp;campaign_id=120247452154580155&amp;ad_id=120247452154590155" TargetMode="External"/><Relationship Id="rId86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a_lii3tzcnRjBmFwcF9pZA81NjcwNjczNDMzNTI0MjcAAadfiusuYMKofOgpz9KrPGQs2I-dczM2o_t6fAqbYu44Rss7i1Gy_ssD-eBpoA_aem_8FNCdPn_RrwlzmXtJzlm-Q&amp;campaign_id=120247452154580155&amp;ad_id=120247452938090155" TargetMode="External"/><Relationship Id="rId85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a_lii3tzcnRjBmFwcF9pZA81NjcwNjczNDMzNTI0MjcAAadfiusuYMKofOgpz9KrPGQs2I-dczM2o_t6fAqbYu44Rss7i1Gy_ssD-eBpoA_aem_8FNCdPn_RrwlzmXtJzlm-Q&amp;campaign_id=120247452154580155&amp;ad_id=120247452938090155" TargetMode="External"/><Relationship Id="rId88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1NjcwNjczNDMzNTI0MjcAAac-Qqpp4K1JiSQbIiHvkXKlMkg3fEfU7g0YyAqmmf1quN1Ei2Wf9rtkRWukhg_aem_QIrAAgJetpVQQzVf4pgWcQ&amp;campaign_id=120247452154580155&amp;ad_id=120247452938090155" TargetMode="External"/><Relationship Id="rId150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Facebook_Mobile_Feed&amp;fbclid=IwZXh0bgNhZW0BMABhZGlkAas0a_clbLtzcnRjBmFwcF9pZAwzNTA2ODU1MzE3MjgAAR7YOoQG4z5IU9J1G83yLxMS3795YaTiKdyZhV0GaEqO1wp_6OHlMoBZdcvwew_aem_fMbGPvSH_dz7rApFDkt2nA&amp;campaign_id=120247452154580155&amp;ad_id=120247452701970155&amp;utm_id=120247452154580155" TargetMode="External"/><Relationship Id="rId271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Stories&amp;fbclid=IwZXh0bgNhZW0BMABhZGlkAas2xZHJg-tzcnRjBmFwcF9pZAwzNTA2ODU1MzE3MjgAAR6mRZ6aCjJbbwXHPJtG_MqnEC4DM7QvD1wTcVG4TWURbMxVQssOJjJx4YE-pA_aem_k0wglrSsUsMgRffJcuf8ow&amp;campaign_id=120248254459350155&amp;ad_id=120249883219710155&amp;utm_id=120248254459350155" TargetMode="External"/><Relationship Id="rId87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1NjcwNjczNDMzNTI0MjcAAaenu_avnSZbwr-CO2z5uY1TJEXGvIkHOeBGKGe4tLq0uP7Dm6cupeC__BnqEA_aem_TCEQ99JmQr6ZKbkyDITarA&amp;campaign_id=120247452154580155&amp;ad_id=120247452938090155" TargetMode="External"/><Relationship Id="rId270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HJg-tzcnRjBmFwcF9pZAwzNTA2ODU1MzE3MjgAAR410BSRYETitzHyDajOzAIBwlVrCUGLMyBVGuDl4gofyVN2SLXsoy8WderrtA_aem_kPBvtMjviCnzFPazXWURUg&amp;campaign_id=120248254459350155&amp;ad_id=120249883219710155&amp;utm_id=120248254459350155" TargetMode="External"/><Relationship Id="rId89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Reels&amp;utm_id=120247452154580155&amp;fbclid=PAZXh0bgNhZW0BMABhZGlkAas0bAW7ZytzcnRjBmFwcF9pZA8xMjQwMjQ1NzQyODc0MTQAAacAdPYFn3jnrtBOZZpzTJGFhA3WJAGZ_PMriiE0b7Zpx7If4ZeM4nr1CUxWBA_aem_p2Kq_Hl3AqoU4IRpb7N60Q&amp;campaign_id=120247452154580155&amp;ad_id=120247452938090155" TargetMode="External"/><Relationship Id="rId80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1%5D+A+safra+come%C3%A7ou&amp;utm_term=Instagram_Stories&amp;utm_id=120247452154580155&amp;fbclid=PAZXh0bgNhZW0BMABhZGlkAas0a_chJvtzcnRjBmFwcF9pZA81NjcwNjczNDMzNTI0MjcAAaeZTbBtI_OZFij3b6bMqRAGfcOXq57RHCQ0X84AbvJjsH6iJm-kBKsZPSZ7YA_aem_8IRldGXI_ZjmFS1k0pSyLg&amp;campaign_id=120247452154580155&amp;ad_id=120247452154590155" TargetMode="External"/><Relationship Id="rId82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1%5D+A+safra+come%C3%A7ou&amp;utm_term=Facebook_Stories&amp;fbclid=IwZXh0bgNhZW0BMABhZGlkAas0a_chJvtzcnRjBmFwcF9pZAo2NjI4NTY4Mzc5AAEeRkl772lZ3QbAI8VhHR4Yv8e99IMtHsPvfZVapiW_Vjsjv57SPLANDpCx530_aem_O-vwG9kHcY7D3zOBCtgf_A&amp;campaign_id=120247452154580155&amp;ad_id=120247452154590155&amp;utm_id=120247452154580155" TargetMode="External"/><Relationship Id="rId81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1%5D+A+safra+come%C3%A7ou&amp;utm_term=Instagram_Reels&amp;utm_id=120247452154580155&amp;fbclid=PAZXh0bgNhZW0BMABhZGlkAas0a_chJvtzcnRjBmFwcF9pZA81NjcwNjczNDMzNTI0MjcAAacbr7KsffG4OHO2l5m7wFRif-LUSHbM5mg_T4wS0PMabj4CedkVLQ-i1NUpPw_aem_yzwjfrurTfLgWCn-YsQOsw&amp;campaign_id=120247452154580155&amp;ad_id=120247452154590155" TargetMode="External"/><Relationship Id="rId1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4%5D+Pedidos+abertos&amp;utm_term=Instagram_Stories&amp;utm_id=120248254459350155&amp;fbclid=PAZXh0bgNhZW0BMABhZGlkAas1g0M2JftzcnRjBmFwcF9pZA81NjcwNjczNDMzNTI0MjcAAae-Pi9C5ulqTw1avKSlCfTlAiaFlEjDorhtO4cBmGvSCiUKaU-KCcm7ipMffA_aem_qVPH0fA8b5aEFs-o7UHCZA&amp;campaign_id=120248254459350155&amp;ad_id=120248254459370155" TargetMode="External"/><Relationship Id="rId2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fOj7tzcnRjBmFwcF9pZA81NjcwNjczNDMzNTI0MjcAAafhAJfazzKXYAWRJ1dJ-3Yx8wr-kjkNLqLkYIgbyMCz1Rf1plENwmmd43T_YA_aem_KZY9Eo1RU3GvOgoqY-w8hw&amp;campaign_id=120247452154580155&amp;ad_id=120247452938090155" TargetMode="External"/><Relationship Id="rId3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fOj7tzcnRjBmFwcF9pZA81NjcwNjczNDMzNTI0MjcAAafhAJfazzKXYAWRJ1dJ-3Yx8wr-kjkNLqLkYIgbyMCz1Rf1plENwmmd43T_YA_aem_KZY9Eo1RU3GvOgoqY-w8hw&amp;campaign_id=120247452154580155&amp;ad_id=120247452938090155" TargetMode="External"/><Relationship Id="rId149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Facebook_Stories&amp;fbclid=IwZXh0bgNhZW0BMABhZGlkAas0a_clbLtzcnRjBmFwcF9pZAo2NjI4NTY4Mzc5AAEekMs6yGE28fOGcRlxkxs53MOBANBWWe-w8oHoPNfNHyvC5ZAOtduDg52jBGw_aem_OnYSVTAx5XGf48HdnbbJGQ&amp;campaign_id=120247452154580155&amp;ad_id=120247452701970155&amp;utm_id=120247452154580155" TargetMode="External"/><Relationship Id="rId4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xMjQwMjQ1NzQyODc0MTQAAaeEbScr7uc5Bw7yQlSg97yg1D1SgKabzfOnG166KAsAcqQyKH8mzWdxuDGDaA_aem_DqH-FubtkiHGvX0LGSaFzw&amp;campaign_id=120247452154580155&amp;ad_id=120247452938090155" TargetMode="External"/><Relationship Id="rId148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Instagram_Stories&amp;utm_id=120247452154580155&amp;fbclid=PAZXh0bgNhZW0BMABhZGlkAas0a_clbLtzcnRjBmFwcF9pZA81NjcwNjczNDMzNTI0MjcAAadSI5UFThWZFB_bJ3wZVyN5RxpFD7y8Vo9n1XPZhjysKSFEB_swJUAdKkhtxw_aem_zBwtc_XJPX7dEno3VUQCHg&amp;campaign_id=120247452154580155&amp;ad_id=120247452701970155" TargetMode="External"/><Relationship Id="rId269" Type="http://schemas.openxmlformats.org/officeDocument/2006/relationships/hyperlink" Target="https://lp.saibai.com.br/sao-paulo?fbclid=IwZXh0bgNhZW0CMTEAc3J0YwZhcHBfaWQKNjYyODU2ODM3OQABHi_SJ_EsH4Epkdktb2OLDlDVqamQUfjkwWts4uBaJ-fQmhRMqMtRDCEq69Dm_aem_8kusBOyhNPFWuw49chVIew&amp;utm_medium=paid&amp;utm_id=120248254459350155&amp;utm_content=120249883219710155&amp;utm_term=120249883219690155&amp;utm_campaign=120248254459350155" TargetMode="External"/><Relationship Id="rId9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xMjQwMjQ1NzQyODc0MTQAAad7D3Tpmc6ccGNpA-McIPCMZd0f9qVYEXWoYdN1W4ZFVotKQqsWKVDNYNCYpQ_aem_f_csxX1Gm0Or_AybL4W4YQ&amp;campaign_id=120247452154580155&amp;ad_id=120247452938090155" TargetMode="External"/><Relationship Id="rId143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o2NjI4NTY4Mzc5AAEetsmKX0uzYQwzViT90efDvM1YKmDnNSpjrxdADfy0bWwjDXwcJ4U8jjrxRiw_aem_t_LoFD3zg8MWIqpMv_1Jnw&amp;campaign_id=120247452154580155&amp;ad_id=120247452938090155&amp;utm_id=120247452154580155" TargetMode="External"/><Relationship Id="rId264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wzNTA2ODU1MzE3MjgAAR6p1nAieO5hogga4R5ZKUwbO1ydHSBUx79EymBDpN4-zIn7Tkx6ekeZJF_Rfg_aem__mH8koujxNd4lW-w2Rx6SA&amp;campaign_id=120248254459350155&amp;ad_id=120249883219710155&amp;utm_id=120248254459350155" TargetMode="External"/><Relationship Id="rId142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Reels&amp;fbclid=IwZXh0bgNhZW0BMABhZGlkAas0bAW7ZytzcnRjBmFwcF9pZAo2NjI4NTY4Mzc5AAEeXWApn53DGPWAZUXZ7PInXIO8NvwN8ghnB-lpg7KjhbDCcEw9S8iVB6WOl68_aem_melm75ihQlVu4C46UVVzgw&amp;campaign_id=120247452154580155&amp;ad_id=120247452938090155&amp;utm_id=120247452154580155" TargetMode="External"/><Relationship Id="rId263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UcpotzcnRjBmFwcF9pZA81NjcwNjczNDMzNTI0MjcAAaeTsMIkeQr_dDgP7GmKqvgIwvPb1LF6QUm62ZElpIKIN5rvd7VNX4jLQgTCoA_aem_Fa-iR7G0CQVsXllP5F09uw&amp;campaign_id=120248254459350155&amp;ad_id=120249883219710155" TargetMode="External"/><Relationship Id="rId141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a_lii3tzcnRjBmFwcF9pZA81NjcwNjczNDMzNTI0MjcAAaefpJMImHsxLY1AvqAT5tfmnm3RIUpy1eG0VbwJQn2kaGyxSg7s5U_aXgcLTg_aem_MXjNY1YvldrguqYMwEl9UA&amp;campaign_id=120247452154580155&amp;ad_id=120247452938090155" TargetMode="External"/><Relationship Id="rId262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Reels&amp;fbclid=IwZXh0bgNhZW0BMABhZGlkAas2xZHJg-tzcnRjBmFwcF9pZAwzNTA2ODU1MzE3MjgAAR4bvjradhmv8_xdetH0zQjBdn2ZmIOGnKbrLX4yCYXGrcrHwMddM__IbwpF-w_aem_bgchdh6y2wQZ2oHKnAmqVA&amp;campaign_id=120248254459350155&amp;ad_id=120249883219710155&amp;utm_id=120248254459350155" TargetMode="External"/><Relationship Id="rId140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W7ZytzcnRjBmFwcF9pZA8xMjQwMjQ1NzQyODc0MTQAAaffeP39fDv1j6pXvqcPeAsWlw82KckepEzNinZwYcdiaW86jrwX189UUA_4hg_aem_h4sELZYU92NBpsSGmRrycw&amp;campaign_id=120247452154580155&amp;ad_id=120247452938090155" TargetMode="External"/><Relationship Id="rId261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2xZHJg-tzcnRjBmFwcF9pZA8xMjQwMjQ1NzQyODc0MTQAAadaAKLNtT3mX-9toCM7psQ1HLUn7dwKV-_qWTzNuYyLCq3B8zJri7rfMeiOkA_aem_NNE1-OZgYO6UsYOWfemZiw&amp;campaign_id=120248254459350155&amp;ad_id=120249883219710155" TargetMode="External"/><Relationship Id="rId5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4%5D+Pedidos+abertos&amp;utm_term=Instagram_Stories&amp;utm_id=120248254459350155&amp;fbclid=PAZXh0bgNhZW0BMABhZGlkAas1g0M2JftzcnRjBmFwcF9pZA81NjcwNjczNDMzNTI0MjcAAae-Pi9C5ulqTw1avKSlCfTlAiaFlEjDorhtO4cBmGvSCiUKaU-KCcm7ipMffA_aem_qVPH0fA8b5aEFs-o7UHCZA&amp;campaign_id=120248254459350155&amp;ad_id=120248254459370155" TargetMode="External"/><Relationship Id="rId147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Instagram_Reels&amp;utm_id=120247452154580155&amp;fbclid=PAZXh0bgNhZW0BMABhZGlkAas0a_clbLtzcnRjBmFwcF9pZA8xMjQwMjQ1NzQyODc0MTQAAadjKKCsXu2pF_wBkKKl9AgSq0wuGaKFwOMaqBCIa4Im0M7Q5MdVF-vKkyvFEw_aem_X3DzJ_TdDzJ9tQVm45K04w&amp;campaign_id=120247452154580155&amp;ad_id=120247452701970155" TargetMode="External"/><Relationship Id="rId268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wzNTA2ODU1MzE3MjgAAR4_feOsWFDNZ90SPKa2c1px6SrzFuMPvvKmCtod9xiPFO3TcFffgs4LUYaauA_aem_M3zfXBwpQ35-QIxHmzFDFQ&amp;campaign_id=120248254459350155&amp;ad_id=120249883219710155&amp;utm_id=120248254459350155" TargetMode="External"/><Relationship Id="rId6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1NjcwNjczNDMzNTI0MjcAAafkHLECCqoGBZ18nJzv-QLbVeYATsNjV39JHPvcC8QjSrG8C4kR93mDt3Yv7w_aem_uFBmSIdVrdndo335G3WZYg&amp;campaign_id=120247452154580155&amp;ad_id=120247452938090155" TargetMode="External"/><Relationship Id="rId146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Facebook_Mobile_Feed&amp;fbclid=IwZXh0bgNhZW0BMABhZGlkAas0a_clbLtzcnRjBmFwcF9pZAwzNTA2ODU1MzE3MjgAAR5I-jzxwkCxvyGhZmHXFKSTvChyu9Iojky2bp1ZQ_YFI3t0N_bJBdc8jXA5Vg_aem_gdw5rns2rXQtRXU4PG1O2A&amp;campaign_id=120247452154580155&amp;ad_id=120247452701970155&amp;utm_id=120247452154580155" TargetMode="External"/><Relationship Id="rId267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HJg-tzcnRjBmFwcF9pZA81NjcwNjczNDMzNTI0MjcAAafRqpOGi6fbtdbc7GnwsS9mdTVX7NrrtnaG2GmSyBHtv-H61ig2G_MowQjuiA_aem_6OR7fOSBHbnJ7sDGvbIQMw&amp;campaign_id=120248254459350155&amp;ad_id=120249883219710155" TargetMode="External"/><Relationship Id="rId7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fOj7tzcnRjBmFwcF9pZA81NjcwNjczNDMzNTI0MjcAAafyRYo2_90IpooxKqGA8j9F7ok0lGg4kYeY5dFCdA92b9PibOmsDkGjC-ap0A_aem_uKOuzVKmqVAxU81O_pOA4w&amp;campaign_id=120247452154580155&amp;ad_id=120247452938090155" TargetMode="External"/><Relationship Id="rId145" Type="http://schemas.openxmlformats.org/officeDocument/2006/relationships/hyperlink" Target="https://lp.saibai.com.br/?utm_source=google-ads&amp;utm_medium=branding-terms&amp;utm_campaign=venda-direta&amp;utm_term=saibai&amp;utm_content=786538028159&amp;gad_source=1&amp;gad_campaignid=23319194144&amp;gbraid=0AAAAArClr9HF1F2LaL7Qxc5Cn-Or67bZQ&amp;gclid=CjwKCAjwnZfPBhAGEiwAzg-VzIpXKWMBfGCfFk9gl3zkfdOh_DvFBq6LBPQ1b987RSWk4cWyFdWk3BoChSIQAvD_BwE" TargetMode="External"/><Relationship Id="rId266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wzNTA2ODU1MzE3MjgAAR5kKFu89Zkn5kwsj2vn6Sk8SC6xTrQzaWqjlDCVLaTtpi8HTtG54S04B6z44A_aem_IWzq8OB-qI-VwEYTbYdhOA&amp;campaign_id=120248254459350155&amp;ad_id=120249883219710155&amp;utm_id=120248254459350155" TargetMode="External"/><Relationship Id="rId8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fOj7tzcnRjBmFwcF9pZA8xMjQwMjQ1NzQyODc0MTQAAafi41HK2ZIMpCodLrKzNuhsjsToZTCTU5UhLxL0mH24dy3pVPGEDwosjG7NdA_aem_lg2YQ_WXpZaScY1I4fUjVg&amp;campaign_id=120247452154580155&amp;ad_id=120247452938090155" TargetMode="External"/><Relationship Id="rId144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Stories&amp;fbclid=IwZXh0bgNhZW0BMABhZGlkAas0bAW7ZytzcnRjBmFwcF9pZAo2NjI4NTY4Mzc5AAEefHV8e5wYO1fNj7M9QncDph-9ZzjkYhbaQMFLGzMXpzh3c8Kj7ZPDIo6GR8w_aem_uSSHhM3xZnEkX6sg0hmQeA&amp;campaign_id=120247452154580155&amp;ad_id=120247452938090155&amp;utm_id=120247452154580155" TargetMode="External"/><Relationship Id="rId265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Reels&amp;fbclid=IwZXh0bgNhZW0BMABhZGlkAas2xZHJg-tzcnRjBmFwcF9pZA8xNzM4NDc2NDI2NzAzNzAAAR5ryQJF09mYuo9MP-c5Uc_sFvuo6KBArXdiOTS2A_MxEccAp9P413YYehIhJg_aem_UNa_oelZSvOv-0qX09r41A&amp;campaign_id=120248254459350155&amp;ad_id=120249883219710155&amp;utm_id=120248254459350155" TargetMode="External"/><Relationship Id="rId73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fOj7tzcnRjBmFwcF9pZAwzNTA2ODU1MzE3MjgAAR55cjfGr0QRByccS94IpGJk689izEU6Yaxb-s3nUy-gRp7nEHwZN9d7sdxBYg_aem_kTc55bjAhIaltCaAZWfmmg&amp;campaign_id=120247452154580155&amp;ad_id=120247452938090155&amp;utm_id=120247452154580155" TargetMode="External"/><Relationship Id="rId72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fOj7tzcnRjBmFwcF9pZA81NjcwNjczNDMzNTI0MjcAAafgofO-gOElnf6EG9-HTbB-88BJzDhUG8afcCpCTZAfVz878Cdl9oKFew-_3Q_aem_CP6-y1xzTRniRge5aIs4OA&amp;campaign_id=120247452154580155&amp;ad_id=120247452938090155" TargetMode="External"/><Relationship Id="rId75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o2NjI4NTY4Mzc5AAEeyCr_7Fy4HPsUjad5nVN3IZvkX0iFDb--fntI2zeSHuSneN6Q7l4KPcM4Ed0_aem_EehaTSCd3kY_8rZ3CN5PGw&amp;campaign_id=120247452154580155&amp;ad_id=120247452938090155&amp;utm_id=120247452154580155" TargetMode="External"/><Relationship Id="rId74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W7ZytzcnRjBmFwcF9pZA81NjcwNjczNDMzNTI0MjcAAacYEfUQ8yrgI5i2AdpEIiZJJTy7ixWHZMMxMZ2hBlaUg_EX_xo7KGHPD--iOA_aem_ac6IWjUJWVN4nxMrqNXuMA&amp;campaign_id=120247452154580155&amp;ad_id=120247452938090155" TargetMode="External"/><Relationship Id="rId77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1%5D+A+safra+come%C3%A7ou&amp;utm_term=Instagram_Feed&amp;utm_id=120247452154580155&amp;fbclid=PAZXh0bgNhZW0BMABhZGlkAas0a_chJvtzcnRjBmFwcF9pZA81NjcwNjczNDMzNTI0MjcAAad7h9cmEyMPPcKDt4bMofwuhNETFoIci_-U5p_5GCZZOCDvuWtpY1MJk__Stg_aem_ACtlyqU0Ds6QV7TpXlPv_Q&amp;campaign_id=120247452154580155&amp;ad_id=120247452154590155" TargetMode="External"/><Relationship Id="rId260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Stories&amp;fbclid=IwZXh0bgNhZW0BMABhZGlkAas2xZUcpotzcnRjBmFwcF9pZAo2NjI4NTY4Mzc5AAEe_z_jYm1RljX7xj-gmaokt_nGUiC3hnP4wYBjycfJbBgcmR_wmQvqZQpFbiw_aem_JZQCVvBPTfxtIKrzMtQwpA&amp;campaign_id=120248254459350155&amp;ad_id=120249883219710155&amp;utm_id=120248254459350155" TargetMode="External"/><Relationship Id="rId76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1NjcwNjczNDMzNTI0MjcAAadMv9p9gh3dewyfMy3V81zcWJqDbkRmrIc4n9UNgehO3PqEs7mrLdsgoZnpXw_aem_HyECITGkIk5dPdULEMC68g&amp;campaign_id=120247452154580155&amp;ad_id=120247452938090155" TargetMode="External"/><Relationship Id="rId79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1%5D+A+safra+come%C3%A7ou&amp;utm_term=Instagram_Reels&amp;utm_id=120247452154580155&amp;fbclid=PAZXh0bgNhZW0BMABhZGlkAas0a_chJvtzcnRjBmFwcF9pZA81NjcwNjczNDMzNTI0MjcAAacwvg1L2mHdSlpDRiNa_eT3N3g1z3feccGVxqqSqmLKsWJNE4KBADkmjNHTaw_aem_2mqxEC6gZsasyNI1zlecqA&amp;campaign_id=120247452154580155&amp;ad_id=120247452154590155" TargetMode="External"/><Relationship Id="rId78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1%5D+A+safra+come%C3%A7ou&amp;utm_term=Instagram_Feed&amp;utm_id=120247452154580155&amp;fbclid=PAZXh0bgNhZW0BMABhZGlkAas0a_chJvtzcnRjBmFwcF9pZA8xMjQwMjQ1NzQyODc0MTQAAadkwZfgLBTf27aueBE-Q3dSkUyYqjjBU_0_FEV1uE1QsQYIxjvUEJ_f8UknNw_aem_fBr295wtdPb0KlV9xXcjMQ&amp;campaign_id=120247452154580155&amp;ad_id=120247452154590155" TargetMode="External"/><Relationship Id="rId71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1NjcwNjczNDMzNTI0MjcAAacwFz6Y0xDip9ywb1DobT-HIr8TTOtkLB4wh4KLRzaiV0bKWMoWO5hcUlju_A_aem_QTtv4D7Qs1nTfhLjVbDt-g&amp;campaign_id=120247452154580155&amp;ad_id=120247452938090155" TargetMode="External"/><Relationship Id="rId70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W7ZytzcnRjBmFwcF9pZA8xMjQwMjQ1NzQyODc0MTQAAafnwzYTTRzJ1rO6r3Je1BQQxLaPCqMhyoBYjJ6KUhXTGsRCuYWrTgsrbJJOtg_aem_DGZgdM3R0u7igh1TaRXL9A&amp;campaign_id=120247452154580155&amp;ad_id=120247452938090155" TargetMode="External"/><Relationship Id="rId139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a_lii3tzcnRjBmFwcF9pZA81NjcwNjczNDMzNTI0MjcAAaflH0abaK9mP8POszdJjRpStvJSUw2Ne7GqaTcXx7ftBKlevkGxvtEV5e-gvA_aem_1pkDBrhxk9ntlQYKE2_bHg&amp;campaign_id=120247452154580155&amp;ad_id=120247452938090155" TargetMode="External"/><Relationship Id="rId138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a_lii3tzcnRjBmFwcF9pZA81NjcwNjczNDMzNTI0MjcAAaflH0abaK9mP8POszdJjRpStvJSUw2Ne7GqaTcXx7ftBKlevkGxvtEV5e-gvA_aem_1pkDBrhxk9ntlQYKE2_bHg&amp;campaign_id=120247452154580155&amp;ad_id=120247452938090155" TargetMode="External"/><Relationship Id="rId259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2xZUcpotzcnRjBmFwcF9pZA81NjcwNjczNDMzNTI0MjcAAacW1uztxOnzwUYGDpTx-MJrjwksOj_yCxEI3nsOrYydfQUgloA4mprQY1529A_aem_W0e_rwdocLuhFF23ubKdqw&amp;campaign_id=120248254459350155&amp;ad_id=120249883219710155" TargetMode="External"/><Relationship Id="rId137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Reels&amp;utm_id=120247452154580155&amp;fbclid=PAZXh0bgNhZW0BMABhZGlkAas0a_lii3tzcnRjBmFwcF9pZA81NjcwNjczNDMzNTI0MjcAAafXNxBUWf8R8Afssuwprtp-7koq4vVBhpvQuHPKUuxYSuFtLmgbNWWJEJRLPw_aem_WztQe9rlgrSrazUNkL4wiQ&amp;campaign_id=120247452154580155&amp;ad_id=120247452938090155" TargetMode="External"/><Relationship Id="rId258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HJg-tzcnRjBmFwcF9pZA81NjcwNjczNDMzNTI0MjcAAadD7sHkonuMuhXdIUVLD4oiO0tkYCsAI0veik9HRh3tj57VZOaK_yTSqO9r5A_aem_olJFf3PYTsuEs9CxsKpy6Q&amp;campaign_id=120248254459350155&amp;ad_id=120249883219710155" TargetMode="External"/><Relationship Id="rId132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Reels&amp;fbclid=IwZXh0bgNhZW0BMABhZGlkAas0bAW7ZytzcnRjBmFwcF9pZAo2NjI4NTY4Mzc5AAEeXWApn53DGPWAZUXZ7PInXIO8NvwN8ghnB-lpg7KjhbDCcEw9S8iVB6WOl68_aem_melm75ihQlVu4C46UVVzgw&amp;campaign_id=120247452154580155&amp;ad_id=120247452938090155&amp;utm_id=120247452154580155" TargetMode="External"/><Relationship Id="rId253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HJg-tzcnRjBmFwcF9pZAwzNTA2ODU1MzE3MjgAAR4OnrEmKqeQmsQsESBGGHb0b53hioPXmY5sS7tbp1rY84bFgddnpn5KZhX80g_aem_7UMD7hoKLVXyxjm7He3vgg&amp;campaign_id=120248254459350155&amp;ad_id=120249883219710155&amp;utm_id=120248254459350155" TargetMode="External"/><Relationship Id="rId131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fOj7tzcnRjBmFwcF9pZAwzNTA2ODU1MzE3MjgAAR7RQFHjEVIbG87A7KsifGNC_rHsBHJMo5Eau0Z03MopcFCOvXdHdwz1LXgemQ_aem_OctvqxuzRjooHmxtVSRJcw&amp;campaign_id=120247452154580155&amp;ad_id=120247452938090155&amp;utm_id=120247452154580155" TargetMode="External"/><Relationship Id="rId252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HJg-tzcnRjBmFwcF9pZA8xMjQwMjQ1NzQyODc0MTQAAaefzUBHMB6BSsc9-MrOMNVGNAqt0bwwVAYoFp6n4bRFj7tl6boe8-ZzXXClyQ_aem_Irq2mx6CNGDGuzRpMg7bLw&amp;campaign_id=120248254459350155&amp;ad_id=120249883219710155" TargetMode="External"/><Relationship Id="rId130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o2NjI4NTY4Mzc5AAEekzSBOZCEpFy7587SGIW6kVxw0LbT_GwbqP8kggX5Yb815bH-sCZ76C4oBSA_aem_ur_STl812qos3aCWq7eqhA&amp;campaign_id=120247452154580155&amp;ad_id=120247452938090155&amp;utm_id=120247452154580155" TargetMode="External"/><Relationship Id="rId251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Others&amp;utm_id=120248254459350155&amp;fbclid=PAaWdyZASCfmNleHRuA2FlbQEwAGFkaWQBqzbFlRymi3NydGMGYXBwX2lkDDI1NjI4MTA0MDU1OAABp5HL2V3q5SfVQB3s4Otp69LUtzKFu50pZPDfsrDsT-IhCIFh4hbdheUsSEki_aem_GyAWW2yExKnpra_mn-iy1A&amp;campaign_id=120248254459350155&amp;ad_id=120249883219710155" TargetMode="External"/><Relationship Id="rId250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2xZHJg-tzcnRjBmFwcF9pZA81NjcwNjczNDMzNTI0MjcAAadg2lj5LHK03tyWes3PyU15mzCZ7XKGJ-vtxhRfctyFtXswfYMTO3zlqrCptA_aem_pJIgmwQ5rzZSMsJ898BDPQ&amp;campaign_id=120248254459350155&amp;ad_id=120249883219710155" TargetMode="External"/><Relationship Id="rId136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Stories&amp;fbclid=IwZXh0bgNhZW0BMABhZGlkAas0bAW7ZytzcnRjBmFwcF9pZAwzNTA2ODU1MzE3MjgAAR7J27POsBLzISwWbipA1_Z_FEVgwB70PNkU3KbI1ROIvpGYjBJwrVx-IXn2VQ_aem_SypiuLcTwONTbf14Ahs-4g&amp;campaign_id=120247452154580155&amp;ad_id=120247452938090155&amp;utm_id=120247452154580155" TargetMode="External"/><Relationship Id="rId257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Reels&amp;utm_id=120248254459350155&amp;fbclid=PAZXh0bgNhZW0BMABhZGlkAas2xZHJg-tzcnRjBmFwcF9pZA81NjcwNjczNDMzNTI0MjcAAafGmU8RKTArsVdFE0lPjTHlks6zPB7PrSTDpT8HpnCcUNdNhVOOenN0kW1MRA_aem_yJzz0er8mLBEtCF279XzVQ&amp;campaign_id=120248254459350155&amp;ad_id=120249883219710155" TargetMode="External"/><Relationship Id="rId135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xMjQwMjQ1NzQyODc0MTQAAafL-6ZzOZDYBvQStmtc6ISozha6w1VMpy5618lucs-_WjtDx3GQS4Qu_UqS6Q_aem_oP8u8ytaffcYUaLi2K9iJA&amp;campaign_id=120247452154580155&amp;ad_id=120247452938090155" TargetMode="External"/><Relationship Id="rId256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wzNTA2ODU1MzE3MjgAAR7nmjq4dvfqfgItICes3tNOoxvtQobsB_dwfvbsaAvBKnIvphGAhA2qGMmWhQ_aem_IUrGpNwj8yP81fPVDqZXaA&amp;campaign_id=120248254459350155&amp;ad_id=120249883219710155&amp;utm_id=120248254459350155" TargetMode="External"/><Relationship Id="rId134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Reels&amp;fbclid=IwZXh0bgNhZW0BMABhZGlkAas0bAW7ZytzcnRjBmFwcF9pZAo2NjI4NTY4Mzc5AAEeXWApn53DGPWAZUXZ7PInXIO8NvwN8ghnB-lpg7KjhbDCcEw9S8iVB6WOl68_aem_melm75ihQlVu4C46UVVzgw&amp;campaign_id=120247452154580155&amp;ad_id=120247452938090155&amp;utm_id=120247452154580155" TargetMode="External"/><Relationship Id="rId255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o2NjI4NTY4Mzc5AAEeDxvpIdBRy1zsU-IlkWAp3UJ1VN1lYuhjKpjUBbHacuLp6GWxpvsxm8yKvVk_aem_eujBvh0M3MxHGvxPzxW3dQ&amp;campaign_id=120248254459350155&amp;ad_id=120249883219710155&amp;utm_id=120248254459350155" TargetMode="External"/><Relationship Id="rId133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Reels&amp;fbclid=IwZXh0bgNhZW0BMABhZGlkAas0bAW7ZytzcnRjBmFwcF9pZAo2NjI4NTY4Mzc5AAEeXWApn53DGPWAZUXZ7PInXIO8NvwN8ghnB-lpg7KjhbDCcEw9S8iVB6WOl68_aem_melm75ihQlVu4C46UVVzgw&amp;campaign_id=120247452154580155&amp;ad_id=120247452938090155&amp;utm_id=120247452154580155" TargetMode="External"/><Relationship Id="rId254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HJg-tzcnRjBmFwcF9pZAwzNTA2ODU1MzE3MjgAAR4OnrEmKqeQmsQsESBGGHb0b53hioPXmY5sS7tbp1rY84bFgddnpn5KZhX80g_aem_7UMD7hoKLVXyxjm7He3vgg&amp;campaign_id=120248254459350155&amp;ad_id=120249883219710155&amp;utm_id=120248254459350155" TargetMode="External"/><Relationship Id="rId62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1%5D+A+safra+come%C3%A7ou&amp;utm_term=Instagram_Feed&amp;utm_id=120247452154580155&amp;fbclid=PAZXh0bgNhZW0BMABhZGlkAas0a_chJvtzcnRjBmFwcF9pZA81NjcwNjczNDMzNTI0MjcAAaejFV20wgIV9EOqARug0sbVNGgLrYzf88TZtesUPZe5iAJgqfJ7TMfISbuJlA_aem_AKV61uG53jXpm90dRiKndg&amp;campaign_id=120247452154580155&amp;ad_id=120247452154590155" TargetMode="External"/><Relationship Id="rId61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W7ZytzcnRjBmFwcF9pZA8xMjQwMjQ1NzQyODc0MTQAAadwq1OGwfFlArwQdq8u5QBB1yGFQ22GDMk61MJ9Qz42jmYePZi7tgpsxRKsTw_aem_0a5XqFCOmKe651v3yV0tsA&amp;campaign_id=120247452154580155&amp;ad_id=120247452938090155" TargetMode="External"/><Relationship Id="rId64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o2NjI4NTY4Mzc5AAEerQJNGaBJ23JQimVZRbE3GlpLIlMPPAHGgb6jVUrVhtOt5ymhJjJGnpVTQlQ_aem_wrcpE4iZ3Ii9Dfe5hc6olg&amp;campaign_id=120247452154580155&amp;ad_id=120247452938090155&amp;utm_id=120247452154580155" TargetMode="External"/><Relationship Id="rId63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1%5D+A+safra+come%C3%A7ou&amp;utm_term=Instagram_Feed&amp;utm_id=120247452154580155&amp;fbclid=PAZXh0bgNhZW0BMABhZGlkAas0a_chJvtzcnRjBmFwcF9pZA81NjcwNjczNDMzNTI0MjcAAac4qHYEvhRrTvYOm4mGDkdpQtYnH4x7UZWXDgBoZHT2x8DH4OySE-nV3VwiuQ_aem_PtYsFw1aU2ZOHfYd0PpCVA&amp;campaign_id=120247452154580155&amp;ad_id=120247452154590155" TargetMode="External"/><Relationship Id="rId66" Type="http://schemas.openxmlformats.org/officeDocument/2006/relationships/hyperlink" Target="https://lp.saibai.com.br/?utm_source=google-ads&amp;utm_medium=branding-terms&amp;utm_campaign=venda-direta&amp;utm_term=saibai&amp;utm_content=786538028159&amp;gad_source=1&amp;gad_campaignid=23319194144&amp;gbraid=0AAAAArClr9HvST-AAT2q2FVedMNVp0cW7&amp;gclid=Cj0KCQjwy_fOBhC6ARIsAHKFB7-eTOgvuaDzCme5t4_KANOxAXasL-u4hOgfjLY57DG-eq6nXKWeRXEaAuXvEALw_wcB" TargetMode="External"/><Relationship Id="rId172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Reels&amp;fbclid=IwZXh0bgNhZW0BMABhZGlkAas0bAW7ZytzcnRjBmFwcF9pZAo2NjI4NTY4Mzc5AAEeXWApn53DGPWAZUXZ7PInXIO8NvwN8ghnB-lpg7KjhbDCcEw9S8iVB6WOl68_aem_melm75ihQlVu4C46UVVzgw&amp;campaign_id=120247452154580155&amp;ad_id=120247452938090155&amp;utm_id=120247452154580155" TargetMode="External"/><Relationship Id="rId293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1NjcwNjczNDMzNTI0MjcAAacPNrSBu_OZuFinCTu4k6KNiNqOTQ2s2ZtOwNOLLaSrnVySdL2cmcQwTgWYyQ_aem_mfUXG6fdvZan5slmD2Pi6g&amp;campaign_id=120248254459350155&amp;ad_id=120249883219710155" TargetMode="External"/><Relationship Id="rId65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1%5D+A+safra+come%C3%A7ou&amp;utm_term=Facebook_Mobile_Feed&amp;fbclid=IwZXh0bgNhZW0BMABhZGlkAas0a_chJvtzcnRjBmFwcF9pZAwzNTA2ODU1MzE3MjgAAR4u1jOOOTrZom4SWN0mGr2llfBbfkZ1epcQ3X_gdyrtfwhpquvKx264XH93sA_aem_O5nqCdaRDsb1AMqhlHRUcA&amp;campaign_id=120247452154580155&amp;ad_id=120247452154590155&amp;utm_id=120247452154580155" TargetMode="External"/><Relationship Id="rId171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2%5D+N%C3%A3o+%C3%A9+sobre+comida&amp;utm_term=Instagram_Stories&amp;utm_id=120248254459350155&amp;fbclid=PAZXh0bgNhZW0BMABhZGlkAas1Jn2kKgtzcnRjBmFwcF9pZA8xMjQwMjQ1NzQyODc0MTQAAadpk4PHNfIgQnmLpKdE8j7cJVKtBWUlfzCpZsXXg9GZrne41k_oYO8g3xpiGg_aem_DQ6Wc_ilYyuLCToAFt2VSA&amp;campaign_id=120248254459350155&amp;ad_id=120248254459380155" TargetMode="External"/><Relationship Id="rId292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3SIevXhtzcnRjBmFwcF9pZAo2NjI4NTY4Mzc5AAEeGs43xYZ8t_WdYgLbtfN6CAaLyfCUMKhOvrhEZhbiFTcyd6eQbGiGmFzGqhQ_aem_oao__wx2Th5nfVcLB0kfpA&amp;campaign_id=120248254459350155&amp;ad_id=120249883219710155&amp;utm_id=120248254459350155" TargetMode="External"/><Relationship Id="rId68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fOj7tzcnRjBmFwcF9pZA81NjcwNjczNDMzNTI0MjcAAaf0wmcdHYgPRGHy8lZaiV-EJdLrIIkSv56drEVhekIfAC3YGaNAzInhtYGtBQ_aem_DLsmoAgXedfkNRdS1HPGfg&amp;campaign_id=120247452154580155&amp;ad_id=120247452938090155" TargetMode="External"/><Relationship Id="rId170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Reels&amp;fbclid=IwZXh0bgNhZW0BMABhZGlkAas0bAW7ZytzcnRjBmFwcF9pZAo2NjI4NTY4Mzc5AAEeXWApn53DGPWAZUXZ7PInXIO8NvwN8ghnB-lpg7KjhbDCcEw9S8iVB6WOl68_aem_melm75ihQlVu4C46UVVzgw&amp;campaign_id=120247452154580155&amp;ad_id=120247452938090155&amp;utm_id=120247452154580155" TargetMode="External"/><Relationship Id="rId291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xMjQwMjQ1NzQyODc0MTQAAac8kZTTyOjty-UWNmYRqq_A-yjf0sx1wpfrkRsJGUDysxVIhoevE3Ru_SNeNQ_aem__BIuEr44g_f53hYWrNdfeA&amp;campaign_id=120248254459350155&amp;ad_id=120249883219710155" TargetMode="External"/><Relationship Id="rId67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Reels&amp;fbclid=IwZXh0bgNhZW0BMABhZGlkAas0bAW7ZytzcnRjBmFwcF9pZAo2NjI4NTY4Mzc5AAEeXWApn53DGPWAZUXZ7PInXIO8NvwN8ghnB-lpg7KjhbDCcEw9S8iVB6WOl68_aem_melm75ihQlVu4C46UVVzgw&amp;campaign_id=120247452154580155&amp;ad_id=120247452938090155&amp;utm_id=120247452154580155" TargetMode="External"/><Relationship Id="rId290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3SIevXhtzcnRjBmFwcF9pZAwzNTA2ODU1MzE3MjgAAR5YtJDA_VVK4vpZV5vFu0EzGGP94F1mubysT3X3Oa225ufPHCPgE6PlbfWgjw_aem_BEErRZVvFgrvEvN2AVk6lQ&amp;campaign_id=120248254459350155&amp;ad_id=120249883219710155&amp;utm_id=120248254459350155" TargetMode="External"/><Relationship Id="rId60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Reels&amp;fbclid=IwZXh0bgNhZW0BMABhZGlkAas0bAW7ZytzcnRjBmFwcF9pZAo2NjI4NTY4Mzc5AAEeXWApn53DGPWAZUXZ7PInXIO8NvwN8ghnB-lpg7KjhbDCcEw9S8iVB6WOl68_aem_melm75ihQlVu4C46UVVzgw&amp;campaign_id=120247452154580155&amp;ad_id=120247452938090155&amp;utm_id=120247452154580155" TargetMode="External"/><Relationship Id="rId165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Instagram_Feed&amp;utm_id=120247452154580155&amp;fbclid=PAZXh0bgNhZW0BMABhZGlkAas0a_clbLtzcnRjBmFwcF9pZA81NjcwNjczNDMzNTI0MjcAAac8xBVpmunnByOZvcXFzXkxp34jhArURLy64RA5j09cVaINBDayFjsrlFWIXw_aem_R835-5o5qvbevIPdXiIBPQ&amp;campaign_id=120247452154580155&amp;ad_id=120247452701970155" TargetMode="External"/><Relationship Id="rId286" Type="http://schemas.openxmlformats.org/officeDocument/2006/relationships/hyperlink" Target="https://lp.saibai.com.br/?utm_source=google-ads&amp;utm_medium=branding-terms&amp;utm_campaign=venda-direta&amp;utm_term=saibai&amp;utm_content=786538028159&amp;gad_source=1&amp;gad_campaignid=23319194144&amp;gbraid=0AAAAArClr9EL7-3CeIK28iTdt_AMJWDz1&amp;gclid=EAIaIQobChMI3vml3P3flAMVWUVIAB3fTTPLEAAYASADEgLva_D_BwE" TargetMode="External"/><Relationship Id="rId69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o2NjI4NTY4Mzc5AAEewHyAxJK4lz5CquXJWPVOibe4ZQiMiq4WgD6vTqhqzJc5dcffjUiAtJC8V3o_aem_nKbdQrcM-dc3ySx3i08AhQ&amp;campaign_id=120247452154580155&amp;ad_id=120247452938090155&amp;utm_id=120247452154580155" TargetMode="External"/><Relationship Id="rId164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4%5D+Pedidos+abertos&amp;utm_term=Instagram_Stories&amp;utm_id=120248254459350155&amp;fbclid=PAZXh0bgNhZW0BMABhZGlkAas1JoRDkXtzcnRjBmFwcF9pZA8xMjQwMjQ1NzQyODc0MTQAAacdq56cYHAIcsXXs-I-s0esKwwGkP-O5HusZtj1PWnoEmsVhSxHYlrioFsOGA_aem_vHwqWAaBrKCgESN8QVpsMA&amp;campaign_id=120248254459350155&amp;ad_id=120248254459370155" TargetMode="External"/><Relationship Id="rId285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Hxvk4tzcnRjBmFwcF9pZA81NjcwNjczNDMzNTI0MjcAAac3yzYFb4u6bP-6GGS5wVWaKCQvXw_lzUoLTlpZCX8Gz9stbNU4_P4Y-CKRMw_aem_YWdncwA1Qeyh6vcIXfNQJviRkjPr&amp;brid=YWdncwE1Qeyh6vcIXfNQJviRkjPr&amp;campaign_id=120248254459350155&amp;ad_id=120249883219710155" TargetMode="External"/><Relationship Id="rId163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Facebook_Mobile_Reels&amp;fbclid=IwZXh0bgNhZW0BMABhZGlkAas0a_clbLtzcnRjBmFwcF9pZAo2NjI4NTY4Mzc5AAEeFs8Ju3me0bp3L4YRAkEbZYkwQPATuYQo99pbdgQS8mjTs0U1CmRWEbT5Im0_aem_jRM3qnNXQBcQkk8zJULbzQ&amp;campaign_id=120247452154580155&amp;ad_id=120247452701970155&amp;utm_id=120247452154580155" TargetMode="External"/><Relationship Id="rId284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3SHxvk4tzcnRjBmFwcF9pZAwzNTA2ODU1MzE3MjgAAR74H3gCjS0TFJWQH2I4am6DECwl7RvKGQtQGucV444ETWESEPoOFMuGQdAYkA_aem_Kcx1YcWQ_oVv6oRquYi35w&amp;campaign_id=120248254459350155&amp;ad_id=120249883219710155&amp;utm_id=120248254459350155" TargetMode="External"/><Relationship Id="rId162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Instagram_Stories&amp;utm_id=120247452154580155&amp;fbclid=PAZXh0bgNhZW0BMABhZGlkAas0a_clbLtzcnRjBmFwcF9pZA8xMjQwMjQ1NzQyODc0MTQAAafxab5_akzbTaO56m860RCZ1KPjD6eAUToS4Tf2zeI54sg4ifySo9d2ipBq6Q_aem_3diglWdXKDB5MkhMBgOlzA&amp;campaign_id=120247452154580155&amp;ad_id=120247452701970155" TargetMode="External"/><Relationship Id="rId283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Hxvk4tzcnRjBmFwcF9pZA81NjcwNjczNDMzNTI0MjcAAaegXL6l2KnFJdJfAZLPsmYoNQIjst0hfrfFu7YdWsJXemQ067Tim2WSbfIxdg_aem_EJ-wjg1gmiWol0XDbYjw6A&amp;campaign_id=120248254459350155&amp;ad_id=120249883219710155" TargetMode="External"/><Relationship Id="rId169" Type="http://schemas.openxmlformats.org/officeDocument/2006/relationships/hyperlink" Target="https://lp.saibai.com.br/?utm_source=google-ads&amp;utm_medium=branding-terms&amp;utm_campaign=venda-direta&amp;utm_term=saibai&amp;utm_content=786538028159&amp;gad_source=1&amp;gad_campaignid=23319194144&amp;gbraid=0AAAAArClr9HA6EDffFX28W6voCsVrOSd9&amp;gclid=EAIaIQobChMIxPPfmouIlAMVQEVIAB2rlwYxEAAYASAAEgIG_vD_BwE" TargetMode="External"/><Relationship Id="rId168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Instagram_Reels&amp;utm_id=120247452154580155&amp;fbclid=PAZXh0bgNhZW0BMABhZGlkAas0a_clbLtzcnRjBmFwcF9pZA8xMjQwMjQ1NzQyODc0MTQAAadrMqngmOxlC6V2ILdXzR82j-4L23IUoUaseZSk2dt5C2FTcZ0F9cj5lZ6bPw_aem_wn_ZR6lCOtUChjchE7DrbA&amp;campaign_id=120247452154580155&amp;ad_id=120247452701970155" TargetMode="External"/><Relationship Id="rId289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1NjcwNjczNDMzNTI0MjcAAacTOANqewaw0V1PCD3rFSM5kSuERUF_PWSdoqVGMe8a9KMV3c8CEq5kI5flWg_aem_x2eJp4AdniJ33iLEaT9kiA&amp;campaign_id=120248254459350155&amp;ad_id=120249883219710155" TargetMode="External"/><Relationship Id="rId167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Instagram_Feed&amp;utm_id=120247452154580155&amp;fbclid=PAZXh0bgNhZW0BMABhZGlkAas0a_clbLtzcnRjBmFwcF9pZA81NjcwNjczNDMzNTI0MjcAAafkH6LP4TY_RG9WIj-lruurP4EYRX35f7DLqJ-Xlbs1a9P70bM9jYqNfTHjeQ_aem_fL6NTir7zz5AVEoW-Fytyg&amp;campaign_id=120247452154580155&amp;ad_id=120247452701970155" TargetMode="External"/><Relationship Id="rId288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1NjcwNjczNDMzNTI0MjcAAacTOANqewaw0V1PCD3rFSM5kSuERUF_PWSdoqVGMe8a9KMV3c8CEq5kI5flWg_aem_x2eJp4AdniJ33iLEaT9kiA&amp;campaign_id=120248254459350155&amp;ad_id=120249883219710155" TargetMode="External"/><Relationship Id="rId166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4%5D+Pedidos+abertos&amp;utm_term=Facebook_Mobile_Feed&amp;fbclid=IwZXh0bgNhZW0BMABhZGlkAas1JoRDkXtzcnRjBmFwcF9pZAwzNTA2ODU1MzE3MjgAAR6HjoyyEf6EcpYVEtjbpGyyWqtrE61lMsOVMe4lPMBvbvnbv3mYK6zo6f8KIg_aem_v88EbQrTBNYBgcrxesiBGQ&amp;campaign_id=120248254459350155&amp;ad_id=120248254459370155&amp;utm_id=120248254459350155" TargetMode="External"/><Relationship Id="rId287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1NjcwNjczNDMzNTI0MjcAAafCmeBKv9RSUyy3T1SIX_R3XxvML8cGS3ZFoAK5KbToBdAvbTGs_FzgrFIM0Q_aem_zMP-ep1vyr90jVnuJtEfeg&amp;campaign_id=120248254459350155&amp;ad_id=120249883219710155" TargetMode="External"/><Relationship Id="rId51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1NjcwNjczNDMzNTI0MjcAAacwO8J97U7cU9mk7zwoFFD0gyp4veL9C8LIAx6OE96bsTegkNBEtkYuqKw5Jw_aem_9o28ChwMB9uqwI6sv_YzBg&amp;campaign_id=120247452154580155&amp;ad_id=120247452938090155" TargetMode="External"/><Relationship Id="rId50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1%5D+A+safra+come%C3%A7ou&amp;utm_term=Facebook_Mobile_Feed&amp;fbclid=IwZXh0bgNhZW0BMABhZGlkAas0a_chJvtzcnRjBmFwcF9pZAwzNTA2ODU1MzE3MjgAAR4hHVEou0lg63dwm-4Lg7D2KiycFUKhhW7Dn7fhTCE0Tb5RigYJP787YAKAcg_aem_HbBu4Se0oSmxwQ7cuqRibA&amp;campaign_id=120247452154580155&amp;ad_id=120247452154590155&amp;utm_id=120247452154580155" TargetMode="External"/><Relationship Id="rId53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fOj7tzcnRjBmFwcF9pZAo2NjI4NTY4Mzc5AAEePI0L28IEBFobUPYjjKBqFiUXPij0W1Nudmg_wiXeH6LfMlicqV3sR9sAPZ0_aem_c56HwmHO7gpr96ZOghZx3A&amp;campaign_id=120247452154580155&amp;ad_id=120247452938090155&amp;utm_id=120247452154580155" TargetMode="External"/><Relationship Id="rId52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1%5D+A+safra+come%C3%A7ou&amp;utm_term=Instagram_Stories&amp;utm_id=120247452154580155&amp;fbclid=PAZXh0bgNhZW0BMABhZGlkAas0a_chJvtzcnRjBmFwcF9pZA81NjcwNjczNDMzNTI0MjcAAae2rBIaSNdCwQDAdyykNlbz550iIN12GNeZJlQ9ABfVZ592MPcG_LsnsoTsEg_aem__ypSRh2tzy_BkfWwpmqWqw&amp;campaign_id=120247452154580155&amp;ad_id=120247452154590155" TargetMode="External"/><Relationship Id="rId55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719o09HNfA9Mh94YVyghG7Nu870FlEkzKuWrj_7rGZk8lYGzPANRLpkDWAXA_aem_nGWl5qwp3kRgR-jub1wzew&amp;campaign_id=120247452154580155&amp;ad_id=120247452938090155&amp;utm_id=120247452154580155" TargetMode="External"/><Relationship Id="rId161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4%5D+Pedidos+abertos&amp;utm_term=Facebook_Mobile_Feed&amp;fbclid=IwZXh0bgNhZW0BMABhZGlkAas1JoRDkXtzcnRjBmFwcF9pZAwzNTA2ODU1MzE3MjgAAR6_rvFK4joTOPd_m6QIuJb28SQWqZZVeeBNyoNxoGcS14rTR2QrHl59bBElYg_aem_M1n7Y9xcQ1gIaneTm1ufIQ&amp;campaign_id=120248254459350155&amp;ad_id=120248254459370155&amp;utm_id=120248254459350155" TargetMode="External"/><Relationship Id="rId282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Hxvk4tzcnRjBmFwcF9pZA8xMjQwMjQ1NzQyODc0MTQAAaezlk7iyAtxR1IMKfyDLF4b-eOBzLvMUz4HgKr5eKuvw8k5_2KKwpYrMx4Jgg_aem_WQIvwBaSHcE7x-LX_u8BVA&amp;campaign_id=120248254459350155&amp;ad_id=120249883219710155" TargetMode="External"/><Relationship Id="rId54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o2NjI4NTY4Mzc5AAEe_Hiac9Mlo4bjmbifeG5sysMBn8TAoTZx3KZfjc0p13NmxyzwnYY5NxqQVzw_aem_ysr9Insn4d2lo-0imWUuAQ&amp;campaign_id=120247452154580155&amp;ad_id=120247452938090155&amp;utm_id=120247452154580155" TargetMode="External"/><Relationship Id="rId160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Facebook_Mobile_Feed&amp;fbclid=IwZXh0bgNhZW0BMABhZGlkAas0a_clbLtzcnRjBmFwcF9pZAwzNTA2ODU1MzE3MjgAAR4y5i-2HIkZAz8wPqDYYJkus8Ln8Oxm77f6i4sHUl7o5vlzQgucLSK8Ury2_w_aem_qT4Of13lBlDTAGSpdaAtyg&amp;campaign_id=120247452154580155&amp;ad_id=120247452701970155&amp;utm_id=120247452154580155" TargetMode="External"/><Relationship Id="rId281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Hxvk4tzcnRjBmFwcF9pZA8xMjQwMjQ1NzQyODc0MTQAAaeC4bLbda3JcvaSP5dw2-nK9RZRJtMSssiH4oPfh5tcTuGmmCpcWA6blC0JgA_aem_QPJWR7XDaxR4SvxcgavOaQ&amp;campaign_id=120248254459350155&amp;ad_id=120249883219710155" TargetMode="External"/><Relationship Id="rId57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76C-mhHNrO4bCs5Mu6Ek-Pqtx_Ff9aKIWR6rIfUngxrVS_Qi6EtnsVfNrtNA_aem_BXz2nXf21c2IfAxkmmoDyg&amp;campaign_id=120247452154580155&amp;ad_id=120247452938090155&amp;utm_id=120247452154580155" TargetMode="External"/><Relationship Id="rId280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Threads_Feed&amp;utm_id=120248254459350155&amp;fbclid=PAaWdyZASF23tleHRuA2FlbQEwAGFkaWQBqzbFlRymi3NydGMGYXBwX2lkEDE1NDYzMDY1MDkyMTE0NjEAAafoSBRY1gx-4qTVFFO18PXH3E2sRuWUnC2Lga0C9OTA6hPt2icFORPScYbvGg_aem_t1hviYmNuvIHHdQ4JId1uw&amp;campaign_id=120248254459350155&amp;ad_id=120249883219710155" TargetMode="External"/><Relationship Id="rId56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W7ZytzcnRjBmFwcF9pZA8xMjQwMjQ1NzQyODc0MTQAAafTjFGdkF_OzJjMrS_oLmLgOJSaFyPseWs_l2R7HNZJOrO4TNFLUMlZ_XwwBQ_aem_d2uQTqih9gmiIz08BxlQBA&amp;campaign_id=120247452154580155&amp;ad_id=120247452938090155" TargetMode="External"/><Relationship Id="rId159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4%5D+Pedidos+abertos&amp;utm_term=Instagram_Feed&amp;utm_id=120248254459350155&amp;fbclid=PAZXh0bgNhZW0BMABhZGlkAas1JoRDkXtzcnRjBmFwcF9pZA8xMjQwMjQ1NzQyODc0MTQAAachILTOXrvx3rqu_-PSo1MNrIVkp0nq0XpyBk1Bo3LYhaw0om3KG7d4EK4YPQ_aem_kC_xP76cce_jEWm8UCX76A&amp;campaign_id=120248254459350155&amp;ad_id=120248254459370155" TargetMode="External"/><Relationship Id="rId59" Type="http://schemas.openxmlformats.org/officeDocument/2006/relationships/hyperlink" Target="https://lp.saibai.com.br/?utm_source=MetaAds&amp;utm_medium=%7B%7Badset.name%7D%7D&amp;utm_campaign=%7B%7Bcampaign.name%7D%7D&amp;utm_content=%7B%7Bad.name%7D%7D&amp;utm_term=%7B%7Bplacement%7D%7D" TargetMode="External"/><Relationship Id="rId154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3%5D+Mais+de+50+anos&amp;utm_term=Facebook_Stories&amp;fbclid=IwZXh0bgNhZW0BMABhZGlkAas0a_c_XVtzcnRjBmFwcF9pZAwzNTA2ODU1MzE3MjgAAR7GYA8cM30ZRc76ccYbsL29oglcdwVEKlWzKaOaPWQpIL22my1e6fci-rFlFw_aem_LZleN5jYiei2CLLjWdXvgg&amp;campaign_id=120247452154580155&amp;ad_id=120247452872830155&amp;utm_id=120247452154580155" TargetMode="External"/><Relationship Id="rId275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UcpotzcnRjBmFwcF9pZA81NjcwNjczNDMzNTI0MjcAAacFu_WAQtvXedfYakWzDPtxVz65LVEX_E-LRBUdg3Mzmq0GWn0v3bHelEGCyg_aem_jUxB2cR_pRgqmFTAO3g6Pw&amp;campaign_id=120248254459350155&amp;ad_id=120249883219710155" TargetMode="External"/><Relationship Id="rId58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fOj7tzcnRjBmFwcF9pZAo2NjI4NTY4Mzc5AAEewbj_O5LTKXyh38wzpxT7K2EsRhsfxjY0AaRO73aS-ywlZxNbFRsezUyQNuU_aem_wfRirr_jwAfTvnNgi9rewA&amp;campaign_id=120247452154580155&amp;ad_id=120247452938090155&amp;utm_id=120247452154580155" TargetMode="External"/><Relationship Id="rId153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Facebook_Mobile_Reels&amp;fbclid=IwZXh0bgNhZW0BMABhZGlkAas0a_clbLtzcnRjBmFwcF9pZAo2NjI4NTY4Mzc5AAEegMeCiOV9edEu4kHqHxXaw_BwiNf9p3-MCcT6VoiptTV3MMxCcnmmtNWNSRo_aem_GXDqnTgAmnAHA9LfnaMh-A&amp;campaign_id=120247452154580155&amp;ad_id=120247452701970155&amp;utm_id=120247452154580155" TargetMode="External"/><Relationship Id="rId274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wzNTA2ODU1MzE3MjgAAR5ab-u7ffOGUZirZfMF5ra_usKPB5OcLPpTdfaAu-wx5UTGC3hq-GK0c16Q4w_aem_EG1jlEo2d8JEHkOs01bDnA&amp;campaign_id=120248254459350155&amp;ad_id=120249883219710155&amp;utm_id=120248254459350155" TargetMode="External"/><Relationship Id="rId152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Instagram_Feed&amp;utm_id=120247452154580155&amp;fbclid=PAZXh0bgNhZW0BMABhZGlkAas0a_clbLtzcnRjBmFwcF9pZA8xMjQwMjQ1NzQyODc0MTQAAadfwL7jb8edMmeVuTWHpOLHHZcMHRfAusSa6gS7-Ex6HfLCnogPZv6kow0BvQ_aem_dSYd1uH-BXrJNj9K2Dtxbw&amp;campaign_id=120247452154580155&amp;ad_id=120247452701970155" TargetMode="External"/><Relationship Id="rId273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o2NjI4NTY4Mzc5AAEeAVjrtWq9aWVhpPd37GCF0sccMEWai26Gx8zzlTsoKT3gFU8__KTnif9svog_aem_I-Ac572IY04MqstbHxDCPw&amp;campaign_id=120248254459350155&amp;ad_id=120249883219710155&amp;utm_id=120248254459350155" TargetMode="External"/><Relationship Id="rId151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an&amp;utm_id=120247452154580155&amp;fbclid=IwY2xjawRTrZBleHRuA2FlbQEwAGFkaWQBqzRr9yVsu3NydGMGYXBwX2lkDzI0NTc5MDgxODk1NTg2OAABHkoDxJQ1TnJjTS9WWladaEKl1RAxs0YhnJ-7g8BwSRrWGYuFx7ucwV5KCTj4_aem_vjdWPXiVPohHSkn2PwHoQg&amp;campaign_id=120247452154580155&amp;ad_id=120247452701970155" TargetMode="External"/><Relationship Id="rId272" Type="http://schemas.openxmlformats.org/officeDocument/2006/relationships/hyperlink" Target="https://lp.saibai.com.br/?utm_source=google-ads&amp;utm_medium=branding-terms&amp;utm_campaign=venda-direta&amp;utm_term=saibai&amp;utm_content=786538028159&amp;gad_source=1&amp;gad_campaignid=23319194144&amp;gbraid=0AAAAArClr9H_biM21_yuP6RODWz7gQ2NO&amp;gclid=Cj0KCQjwz9_QBhD_ARIsADnSCfA4Qud5ZK_OohxoCnhX0RXUWXKjKOnx_BIqaLTTJ4laOPzHGALBpiMaAgYMEALw_wcB" TargetMode="External"/><Relationship Id="rId158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Facebook_Mobile_Feed&amp;fbclid=IwZXh0bgNhZW0BMABhZGlkAas0a_clbLtzcnRjBmFwcF9pZAwzNTA2ODU1MzE3MjgAAR51CZocHmrvy7gtW0-K1xXrL30mHbnVo9nq1CGMZgcwBTbezZFazAyJtNpo7A_aem_1ArFy02axaEf79RfQrWDlg&amp;campaign_id=120247452154580155&amp;ad_id=120247452701970155&amp;utm_id=120247452154580155" TargetMode="External"/><Relationship Id="rId279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HJg-tzcnRjBmFwcF9pZAo2NjI4NTY4Mzc5AAEe4A7VDiuRtuFNNiHwROV_6rUcbbVgkyazjMhaI9-F-guhulnajgQmg4vpV80_aem_-TlLM9cNlzZ7Rfn80SBcWg&amp;campaign_id=120248254459350155&amp;ad_id=120249883219710155&amp;utm_id=120248254459350155" TargetMode="External"/><Relationship Id="rId157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Instagram_Feed&amp;utm_id=120247452154580155&amp;fbclid=PAZXh0bgNhZW0BMABhZGlkAas0a_clbLtzcnRjBmFwcF9pZA8xMjQwMjQ1NzQyODc0MTQAAadfwL7jb8edMmeVuTWHpOLHHZcMHRfAusSa6gS7-Ex6HfLCnogPZv6kow0BvQ_aem_dSYd1uH-BXrJNj9K2Dtxbw&amp;campaign_id=120247452154580155&amp;ad_id=120247452701970155" TargetMode="External"/><Relationship Id="rId278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HJg-tzcnRjBmFwcF9pZAo2NjI4NTY4Mzc5AAEe3kGosPE_TUdd7qogtxTC1KNi4AVGjrEmWQpl3ovTjItXbZMyQ8IbNE47kDs_aem_4gz6Qn2bhy6Jt792xtaMKw&amp;campaign_id=120248254459350155&amp;ad_id=120249883219710155&amp;utm_id=120248254459350155" TargetMode="External"/><Relationship Id="rId156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4%5D+Pedidos+abertos&amp;utm_term=Instagram_Feed&amp;utm_id=120248254459350155&amp;fbclid=PAZXh0bgNhZW0BMABhZGlkAas1JoRDkXtzcnRjBmFwcF9pZA8xMjQwMjQ1NzQyODc0MTQAAafqY-l1HYnSCKaHqdz8zzoswrTs4rbyeUN3JUiOtWJljMuzPy9PLAxARBjaxA_aem_kl-gnzNvplQLa2H6c-oWGA&amp;campaign_id=120248254459350155&amp;ad_id=120248254459370155" TargetMode="External"/><Relationship Id="rId277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UcpotzcnRjBmFwcF9pZA8xMjQwMjQ1NzQyODc0MTQAAafOZum8nMbyZiiqCnbSVY7VzQ14v_yhVu-RY57jZXqlIDF5CXDKxIvHsZsEvQ_aem_qoaWXYNTfS1vNLSiuO300g&amp;campaign_id=120248254459350155&amp;ad_id=120249883219710155" TargetMode="External"/><Relationship Id="rId155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2%5D+N%C3%A3o+%C3%A9+sobre+comida&amp;utm_term=Instagram_Feed&amp;utm_id=120247452154580155&amp;fbclid=PAZXh0bgNhZW0BMABhZGlkAas0a_clbLtzcnRjBmFwcF9pZA81NjcwNjczNDMzNTI0MjcAAaeJjnirEZ58CPqeNmcRC2F-U8TQca0J3kaXYICwZtpRAERsh-VvGU5N7gkYKw_aem_XHuWmoPJk9Hci3NRW9zLtQ&amp;campaign_id=120247452154580155&amp;ad_id=120247452701970155" TargetMode="External"/><Relationship Id="rId276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o2NjI4NTY4Mzc5AAEe2GUVMEEstKq2qvTJF5Cq8Fs-dDWPbTn-NJzwzkIP4IqRKGfdYvJF6-FDY_Q_aem_k3am7mG6it4TGCXcVIoGCw&amp;campaign_id=120248254459350155&amp;ad_id=120249883219710155&amp;utm_id=120248254459350155" TargetMode="External"/><Relationship Id="rId107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W7ZytzcnRjBmFwcF9pZA81NjcwNjczNDMzNTI0MjcAAafAoR0o2bHs7o0PY_tog9vxh7Gu3ZhkXPPGgw2lx5IvkkyQ4xThmDMiVWJvlA_aem_3Iz0ZQWNmu6idXXCwnUjRw&amp;campaign_id=120247452154580155&amp;ad_id=120247452938090155" TargetMode="External"/><Relationship Id="rId228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wzNTA2ODU1MzE3MjgAAR69cfrLHX4XzsgNZvDPXgEs2Zys2_zrmz1Bue1zSWhnKkRzdORITxAi7xqUeg_aem_CPsh2IS-rZ-iVWQigTkY7w&amp;campaign_id=120248254459350155&amp;ad_id=120249883219710155&amp;utm_id=120248254459350155" TargetMode="External"/><Relationship Id="rId106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xMjQwMjQ1NzQyODc0MTQAAadtA11zGj1sWunlWRfPdrGnOvgo2YNG4ivWdH-EER_iVl4mbkpOE63aX6rb0A_aem_hGRUPEgh9iyYIta3lCQFVw&amp;campaign_id=120247452154580155&amp;ad_id=120247452938090155" TargetMode="External"/><Relationship Id="rId227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wzNTA2ODU1MzE3MjgAAR5Zf0Y9SgOAR0s5puN6ITtfFjvZWexi3iwJOlg7aqM1XSjr-O3gAayw6nepMQ_aem_OLZgA7lUdgr6SQYJimRgkw&amp;campaign_id=120248254459350155&amp;ad_id=120249883219710155&amp;utm_id=120248254459350155" TargetMode="External"/><Relationship Id="rId105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41hX-QdDJ1saGyeJQx2RLanAIyj1i1D7cTg8PaSFTyQX3Q8-w08LUSvvCf-A_aem_2sJkedUlWHfurfpgjEkveQ&amp;campaign_id=120247452154580155&amp;ad_id=120247452938090155&amp;utm_id=120247452154580155" TargetMode="External"/><Relationship Id="rId226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HJg-tzcnRjBmFwcF9pZA8xMjQwMjQ1NzQyODc0MTQAAactrjPRXhY6dzQgwIDi1f9CC8XbGR7B0iqZKl7V4MPnozdgY3Lt2wUi_FxM_w_aem_8z83YCCiHwiLM1xekF0l2Q&amp;campaign_id=120248254459350155&amp;ad_id=120249883219710155" TargetMode="External"/><Relationship Id="rId104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Reels&amp;fbclid=IwZXh0bgNhZW0BMABhZGlkAas0bAW7ZytzcnRjBmFwcF9pZAo2NjI4NTY4Mzc5AAEeXWApn53DGPWAZUXZ7PInXIO8NvwN8ghnB-lpg7KjhbDCcEw9S8iVB6WOl68_aem_melm75ihQlVu4C46UVVzgw&amp;campaign_id=120247452154580155&amp;ad_id=120247452938090155&amp;utm_id=120247452154580155" TargetMode="External"/><Relationship Id="rId225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HJg-tzcnRjBmFwcF9pZA8xMjQwMjQ1NzQyODc0MTQAAac13m7sV-5ZmfqaQQCmGXx_RYH_UOJF35elbRt_ot4-inRvaRfezbNTGkuiYg_aem_LXcapTN_i4XlurlDM4jpxQ&amp;campaign_id=120248254459350155&amp;ad_id=120249883219710155" TargetMode="External"/><Relationship Id="rId109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xMjQwMjQ1NzQyODc0MTQAAafsWhf1l4yXBw11zn7SwYREnCS9629ih5zuyKVlkid2oi3LvnpNsb555nPqxg_aem_fJIBAlcTsPEJ2S2hEU4ezA&amp;campaign_id=120247452154580155&amp;ad_id=120247452938090155" TargetMode="External"/><Relationship Id="rId108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W7ZytzcnRjBmFwcF9pZA8xMjQwMjQ1NzQyODc0MTQAAac7rUjRb5ztaWaTTQUQYtmFURxHAoO81J6G6eVc9a_-86Sp9tMiB-FItDwQ-g_aem_yDCjc4czsjOfp0c0CunduQ&amp;campaign_id=120247452154580155&amp;ad_id=120247452938090155" TargetMode="External"/><Relationship Id="rId229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wzNTA2ODU1MzE3MjgAAR6J2_A0Sy1n1ajifPE4IJB8GeUubI8U7ReC6PVWXNOrMzTbMPtab44SEC3pwA_aem_9eqiKEGmHMs92a_FbUDYcg&amp;campaign_id=120248254459350155&amp;ad_id=120249883219710155&amp;utm_id=120248254459350155" TargetMode="External"/><Relationship Id="rId220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UcpotzcnRjBmFwcF9pZA81NjcwNjczNDMzNTI0MjcAAacdTWtY6w6wJnoS-2zW8d75wg-U5Kn20Z8ZIDUsDcuqXOlsswcs9JErVVYUGQ_aem_MMlE6X6R79AJGp6I4nRbMg&amp;campaign_id=120248254459350155&amp;ad_id=120249883219710155" TargetMode="External"/><Relationship Id="rId341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1NjcwNjczNDMzNTI0MjcAAaeoRRc4xKXBfuLzn5IE2r4YU7hM_tuQAbnHQYvKZqpn6WWp9RzTgagAq4h6dg_aem_3Dyvpq6Q8vcOhIyIZSydow&amp;campaign_id=120248254459350155&amp;ad_id=120249883219710155" TargetMode="External"/><Relationship Id="rId340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3SIevXhtzcnRjBmFwcF9pZAo2NjI4NTY4Mzc5AAEerEBVPQSRqO8oweok2JFfNLZ5vduaKTJtlT1pqOq0jIZZckH9I3ln8-0aAug_aem_z0106_xDf8l2eQcuA4nEGw&amp;campaign_id=120248254459350155&amp;ad_id=120249883219710155&amp;utm_id=120248254459350155" TargetMode="External"/><Relationship Id="rId103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1NjcwNjczNDMzNTI0MjcAAaeC5qYaLpwUoKbBRdnek_AJSJs8x3iw5tFWQbRzhn92IHshnQLxXNfegr2faA_aem_jylxounmRTBbRrG_uFkSAA&amp;campaign_id=120247452154580155&amp;ad_id=120247452938090155" TargetMode="External"/><Relationship Id="rId224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Reels&amp;utm_id=120248254459350155&amp;fbclid=PAZXh0bgNhZW0BMABhZGlkAas2xZUcpotzcnRjBmFwcF9pZA81NjcwNjczNDMzNTI0MjcAAacm18c6TwdzBhrtw3ADnwZWKOH1hObl9pQp3K3_RpS-oJQdgtNfyJPSBK9rMQ_aem_hkc1uIiy62ugf_F0uqfesg&amp;campaign_id=120248254459350155&amp;ad_id=120249883219710155" TargetMode="External"/><Relationship Id="rId102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o2NjI4NTY4Mzc5AAEeVYNlnV4btZfr5mTEdg10mrn1BPGD8JVEFqb5pb7XrerFXsXZLJ8KZXDt6TM_aem_459305V5O83yGFGGw0SGIg&amp;campaign_id=120247452154580155&amp;ad_id=120247452938090155&amp;utm_id=120247452154580155" TargetMode="External"/><Relationship Id="rId223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UcpotzcnRjBmFwcF9pZA8xMjQwMjQ1NzQyODc0MTQAAaf_pVVxdygtKqmde5W3JHnAgnGAJmta1Bq02TOfZKx5_Xvl99t5l5tf3VC2BQ_aem_rkp_hu4eVlrRy4aeW6P1VA&amp;campaign_id=120248254459350155&amp;ad_id=120249883219710155" TargetMode="External"/><Relationship Id="rId344" Type="http://schemas.openxmlformats.org/officeDocument/2006/relationships/drawing" Target="../drawings/drawing2.xml"/><Relationship Id="rId101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Reels&amp;fbclid=IwZXh0bgNhZW0BMABhZGlkAas0bAW7ZytzcnRjBmFwcF9pZAo2NjI4NTY4Mzc5AAEeXWApn53DGPWAZUXZ7PInXIO8NvwN8ghnB-lpg7KjhbDCcEw9S8iVB6WOl68_aem_melm75ihQlVu4C46UVVzgw&amp;campaign_id=120247452154580155&amp;ad_id=120247452938090155&amp;utm_id=120247452154580155" TargetMode="External"/><Relationship Id="rId222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HJg-tzcnRjBmFwcF9pZA8xMjQwMjQ1NzQyODc0MTQAAadeJ7g6_iaZh_9PJTT6U0gt4c6hKg4b2TNs6bkgF8UaBdrlj8udeF2wF2SNXg_aem_3JoPO_bCfuwcR56bbrY80Q&amp;campaign_id=120248254459350155&amp;ad_id=120249883219710155" TargetMode="External"/><Relationship Id="rId343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2%5D+N%C3%A3o+%C3%A9+sobre+comida&amp;utm_term=Facebook_Mobile_Feed&amp;fbclid=IwZXh0bgNhZW0BMABhZGlkAas3SHxp7jtzcnRjBmFwcF9pZAwzNTA2ODU1MzE3MjgAAR6y6GR05V3dUpPnGeYCpq-z0mqVB6-626ruBQ45ZAfu-MpvAIkXpDaNS8rm-A_aem_LUh_Z7GJHEjGU2cXSMOBmQ&amp;campaign_id=120248254459350155&amp;ad_id=120249883219700155&amp;utm_id=120248254459350155" TargetMode="External"/><Relationship Id="rId100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xMjQwMjQ1NzQyODc0MTQAAaeo0S1mxPk6NV1h283nMbW-l69o5X_LcukDJj5rT8uwEzrnqNXefPt80LYiiA_aem_BrDpjbnpNUoMZRK3d-qLhg&amp;campaign_id=120247452154580155&amp;ad_id=120247452938090155" TargetMode="External"/><Relationship Id="rId221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HJg-tzcnRjBmFwcF9pZAwzNTA2ODU1MzE3MjgAAR4OnrEmKqeQmsQsESBGGHb0b53hioPXmY5sS7tbp1rY84bFgddnpn5KZhX80g_aem_7UMD7hoKLVXyxjm7He3vgg&amp;campaign_id=120248254459350155&amp;ad_id=120249883219710155&amp;utm_id=120248254459350155" TargetMode="External"/><Relationship Id="rId342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1NjcwNjczNDMzNTI0MjcAAacHBpHW4nuu99XOjWgWl5CUcmffGtd0yADQRAeWQllVVPAHL0z6ZxGYa73kkg_aem_YWdncwAT1sREoHQy_VF3BoOElCDL&amp;brid=YWdncwET1sREoHQy_VF3BoOElCDL&amp;campaign_id=120248254459350155&amp;ad_id=120249883219710155" TargetMode="External"/><Relationship Id="rId217" Type="http://schemas.openxmlformats.org/officeDocument/2006/relationships/hyperlink" Target="https://lp.saibai.com.br/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ob8X6ftzcnRjBmFwcF9pZA8xMjQwMjQ1NzQyODc0MTQAAae5QLqQ9WaIICH_tb9qEk1Jv0M28VQ8AfNRQgbb71iBpqz3za2UYY-9UkThFg_aem_sHNmC43syTzaThw9HODUpw&amp;campaign_id=120248254459350155&amp;ad_id=120249883219710155" TargetMode="External"/><Relationship Id="rId338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Reels&amp;fbclid=IwZXh0bgNhZW0BMABhZGlkAas3SHxvk4tzcnRjBmFwcF9pZAwzNTA2ODU1MzE3MjgAAR7ZUxiP5-qWtkNb8Z69YCGYadzpz-y_qBwZdRlSG3_I3xyfInIvTOhQ_HHx5g_aem__TkQCDnK7VoAUudjNQqIvA&amp;campaign_id=120248254459350155&amp;ad_id=120249883219710155&amp;utm_id=120248254459350155" TargetMode="External"/><Relationship Id="rId216" Type="http://schemas.openxmlformats.org/officeDocument/2006/relationships/hyperlink" Target="https://lp.saibai.com.br/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2ob8X6ftzcnRjBmFwcF9pZA8xMjQwMjQ1NzQyODc0MTQAAafpv3--Na20AbSzqcNIgP1N9XUsWTBR9L7RdH7bL5il_tngniBEYt25kLzLrQ_aem_tq8hp7IEpp11BLeCadq6sg&amp;campaign_id=120248254459350155&amp;ad_id=120249883219710155" TargetMode="External"/><Relationship Id="rId337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Hxvk4tzcnRjBmFwcF9pZA81NjcwNjczNDMzNTI0MjcAAafdpN72lYk2geTbYyAacfBQiSquVr3lKelZni64CuK0gGXKzazvmsNpHMOREg_aem_YWdncwBfXQbT66k67wozmqpcOdvY&amp;brid=YWdncwFfXQbT66k67wozmqpcOdvY&amp;campaign_id=120248254459350155&amp;ad_id=120249883219710155" TargetMode="External"/><Relationship Id="rId215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HJg-tzcnRjBmFwcF9pZAwzNTA2ODU1MzE3MjgAAR4OnrEmKqeQmsQsESBGGHb0b53hioPXmY5sS7tbp1rY84bFgddnpn5KZhX80g_aem_7UMD7hoKLVXyxjm7He3vgg&amp;campaign_id=120248254459350155&amp;ad_id=120249883219710155&amp;utm_id=120248254459350155" TargetMode="External"/><Relationship Id="rId336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Hxvk4tzcnRjBmFwcF9pZA81NjcwNjczNDMzNTI0MjcAAafdpN72lYk2geTbYyAacfBQiSquVr3lKelZni64CuK0gGXKzazvmsNpHMOREg_aem_YWdncwBfXQbT66k67wozmqpcOdvY&amp;brid=YWdncwFfXQbT66k67wozmqpcOdvY&amp;campaign_id=120248254459350155&amp;ad_id=120249883219710155" TargetMode="External"/><Relationship Id="rId214" Type="http://schemas.openxmlformats.org/officeDocument/2006/relationships/hyperlink" Target="https://lp.saibai.com.br/?utm_source=MetaAds&amp;utm_medium=ADV+-+%5BIG%5D+%5BFB%5D+%5B30%2B%5D+%5BSP+METROPOLE%5D+V%C3%81RIOS&amp;utm_campaign=22.04.2026+%5BV4%5D+%5BWB%5D+%5BLEADS-GRUPO-WHATS%5D+02&amp;utm_content=07.04+%5BIMG%5D+%5BAD04%5D+Pedidos+abertos&amp;utm_term=Facebook_Mobile_Reels&amp;fbclid=IwZXh0bgNhZW0BMABhZGlkAas2ob8X6ftzcnRjBmFwcF9pZAwzNTA2ODU1MzE3MjgAAR7foY99xkubjVWQO7sTFeEtmBfhZed8AY_JGLsP3YxoiPrNlEKpQ6zzshvE1A_aem_MNKS1hd_Kofa1_-tvcN7kQ&amp;campaign_id=120248254459350155&amp;ad_id=120249883219710155&amp;utm_id=120248254459350155" TargetMode="External"/><Relationship Id="rId335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Hxvk4tzcnRjBmFwcF9pZA81NjcwNjczNDMzNTI0MjcAAafdpN72lYk2geTbYyAacfBQiSquVr3lKelZni64CuK0gGXKzazvmsNpHMOREg_aem_YWdncwBfXQbT66k67wozmqpcOdvY&amp;brid=YWdncwFfXQbT66k67wozmqpcOdvY&amp;campaign_id=120248254459350155&amp;ad_id=120249883219710155" TargetMode="External"/><Relationship Id="rId219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UcpotzcnRjBmFwcF9pZA8xMjQwMjQ1NzQyODc0MTQAAaeOikNl-k8DuqqDrxBxg_SxNQ54wWXIHHuWjmwsuVwRbwy5ASW3iuPLGQBGrw_aem_mEPGSfT4v_dI8I5ZaJZ51Q&amp;campaign_id=120248254459350155&amp;ad_id=120249883219710155" TargetMode="External"/><Relationship Id="rId218" Type="http://schemas.openxmlformats.org/officeDocument/2006/relationships/hyperlink" Target="https://lp.saibai.com.br/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ocfZvDtzcnRjBmFwcF9pZAwzNTA2ODU1MzE3MjgAAR5-qutwXIVOlJ5YE5m3cIUuzpsR7MkfPpIfeATCy4khUJvCQAKSbPXSvtmp_w_aem__3xZ62MsCxvN3AvTlSMODA&amp;campaign_id=120248254459350155&amp;ad_id=120249883219710155&amp;utm_id=120248254459350155" TargetMode="External"/><Relationship Id="rId339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Reels&amp;fbclid=IwZXh0bgNhZW0BMABhZGlkAas3SHxvk4tzcnRjBmFwcF9pZAwzNTA2ODU1MzE3MjgAAR7ZUxiP5-qWtkNb8Z69YCGYadzpz-y_qBwZdRlSG3_I3xyfInIvTOhQ_HHx5g_aem__TkQCDnK7VoAUudjNQqIvA&amp;campaign_id=120248254459350155&amp;ad_id=120249883219710155&amp;utm_id=120248254459350155" TargetMode="External"/><Relationship Id="rId330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Reels&amp;fbclid=IwZXh0bgNhZW0BMABhZGlkAas3SIevXhtzcnRjBmFwcF9pZAo2NjI4NTY4Mzc5AAEeOO7K9EcfnRRSYNkJJnxrny7N_1hXtv-sC4QvWUtVLpv_Gpf4mhD_lEzDyko_aem_ELAthwNIqK3jSEyrPcdtGg&amp;campaign_id=120248254459350155&amp;ad_id=120249883219710155&amp;utm_id=120248254459350155" TargetMode="External"/><Relationship Id="rId213" Type="http://schemas.openxmlformats.org/officeDocument/2006/relationships/hyperlink" Target="https://lp.saibai.com.br/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ob8X6ftzcnRjBmFwcF9pZA8xMjQwMjQ1NzQyODc0MTQAAafFWe8kxFa5LWrqqrPDyRuEIW7Z-VO7WocQInlUk663peYf8HsXwhRJtubiEQ_aem_YWdncwD0Eharbv8JmTMYuNt-Arsm&amp;brid=YWdncwH0Eharbv8JmTMYuNt-Arsm&amp;campaign_id=120248254459350155&amp;ad_id=120249883219710155" TargetMode="External"/><Relationship Id="rId334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1NjcwNjczNDMzNTI0MjcAAafMGDVCjfwpi-D2mGo2aNURhhumaPuKv6bc5auKc_XwzbKfgxg2wSOLORnxGQ_aem_YWdncwCJ85tNyQBHBCjw05QN6byq&amp;brid=YWdncwGJ85tNyQBHBCjw05QN6byq&amp;campaign_id=120248254459350155&amp;ad_id=120249883219710155" TargetMode="External"/><Relationship Id="rId212" Type="http://schemas.openxmlformats.org/officeDocument/2006/relationships/hyperlink" Target="https://lp.saibai.com.br/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ob8X6ftzcnRjBmFwcF9pZA8yNzUyNTQ2OTI1OTgyNzkAAR6gxXTDJLcXScRKT40NbJkIRsBrVn_1YbmuJBzazdQWVQKD95Jsezw_Cb1iCA_aem_8l7WB5UgQWDSvPZLVfnyow&amp;campaign_id=120248254459350155&amp;ad_id=120249883219710155&amp;utm_id=120248254459350155" TargetMode="External"/><Relationship Id="rId333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Reels&amp;utm_id=120248254459350155&amp;fbclid=PAZXh0bgNhZW0BMABhZGlkAas3SIevXhtzcnRjBmFwcF9pZA81NjcwNjczNDMzNTI0MjcAAafNBP_5jTtCj5P44Y6ayXxNhcXAcKvaLjZ9NMV7qSweyYhp_cWfWfY9Yu4h8A_aem_euc0bISWySdwr5HnewDxRw&amp;campaign_id=120248254459350155&amp;ad_id=120249883219710155" TargetMode="External"/><Relationship Id="rId211" Type="http://schemas.openxmlformats.org/officeDocument/2006/relationships/hyperlink" Target="https://lp.saibai.com.br/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ob8X6ftzcnRjBmFwcF9pZA81NjcwNjczNDMzNTI0MjcAAafm2PPM7SdfK6m5SX6UtXLG65QxxIjKUlzs2_YYwG3FW_uizMh8bWQB888tZQ_aem_kVjTNmB8SEEqta5AaVGP2Q&amp;campaign_id=120248254459350155&amp;ad_id=120249883219710155" TargetMode="External"/><Relationship Id="rId332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1NjcwNjczNDMzNTI0MjcAAadF34o_rtwu8TDXfwVomvPSvnBdan03ApGeEwgQSjvJMADn-H_6MZX-_56gbw_aem_G_gdbHdr6g32OCreq1OWFA&amp;campaign_id=120248254459350155&amp;ad_id=120249883219710155" TargetMode="External"/><Relationship Id="rId210" Type="http://schemas.openxmlformats.org/officeDocument/2006/relationships/hyperlink" Target="https://lp.saibai.com.br/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ob8X6ftzcnRjBmFwcF9pZA8xMjQwMjQ1NzQyODc0MTQAAaf-FsUAH5EixkVYY3F2oefPq06lciDd1SHk9zhwA_0Ydoi57Ib9LrQZdmG4fw_aem_QMuA7Gu6e-glY7xVepE_Xw&amp;campaign_id=120248254459350155&amp;ad_id=120249883219710155" TargetMode="External"/><Relationship Id="rId331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xMjQwMjQ1NzQyODc0MTQAAafyVnZSxAWFgXt3Q2gVxPbZ5cSvMxQbsbXkymVO0qlaVzqhmaOTt8odePZ9fQ_aem_TBkPE5POlHBPNm0zeUpSpQ&amp;campaign_id=120248254459350155&amp;ad_id=120249883219710155" TargetMode="External"/><Relationship Id="rId129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W7ZytzcnRjBmFwcF9pZA8xMjQwMjQ1NzQyODc0MTQAAadShy3BRZwob-inHqqBacisRfFiuCy3s4HbvOq6yHWJOCOd0WRGo0FHJ_5HgQ_aem_mulfi9XiB6zTJ-fMB2MAaA&amp;campaign_id=120247452154580155&amp;ad_id=120247452938090155" TargetMode="External"/><Relationship Id="rId128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Reels&amp;utm_id=120247452154580155&amp;fbclid=PAZXh0bgNhZW0BMABhZGlkAas0bAW7ZytzcnRjBmFwcF9pZA8xMjQwMjQ1NzQyODc0MTQAAadZY6n3q4llySqgxieKiikQqyq6tnQ1MCFt4e8W2HAuqlDO88Smo_kI4UE4aA_aem_1h6B3nt6dgJwBGYuX9zlqA&amp;campaign_id=120247452154580155&amp;ad_id=120247452938090155" TargetMode="External"/><Relationship Id="rId249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UcpotzcnRjBmFwcF9pZA8xMjQwMjQ1NzQyODc0MTQAAae9eNonxWff1BrGnpEBZKRgsllyHiUmqVHTcwa_pFFkug5PUOkR6U_uBS-tOw_aem_mw7f9ADH5njDVGuLaDxmlA&amp;campaign_id=120248254459350155&amp;ad_id=120249883219710155" TargetMode="External"/><Relationship Id="rId127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fOj7tzcnRjBmFwcF9pZA8xMjQwMjQ1NzQyODc0MTQAAacsWVogidXYgfNh532GDrg5GIf7dl715R6m0_ZfPup2Q0vpmY--FIEC5NhM6w_aem_AmKVkANkQs9jtJRdiUPmrA&amp;campaign_id=120247452154580155&amp;ad_id=120247452938090155" TargetMode="External"/><Relationship Id="rId248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8xNzM4NDc2NDI2NzAzNzAAAR7o6ny6jxxPRlFom1oReMp6iLWfM1G0GAdovba0BASspZG9yE0AleEJt1vvhQ_aem_Vmtoj0AiddKkF78Kf-T65Q&amp;campaign_id=120248254459350155&amp;ad_id=120249883219710155&amp;utm_id=120248254459350155" TargetMode="External"/><Relationship Id="rId126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fOj7tzcnRjBmFwcF9pZAwzNTA2ODU1MzE3MjgAAR4bjF2_FN4IqLSfAmx0cq3KKwl5kJaq54SyGMpDb0n9IH9L9A6tXR_WT9rwDg_aem_kU6hlEULUQQg7uy89za5AQ&amp;campaign_id=120247452154580155&amp;ad_id=120247452938090155&amp;utm_id=120247452154580155" TargetMode="External"/><Relationship Id="rId247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HJg-tzcnRjBmFwcF9pZAwzNTA2ODU1MzE3MjgAAR63ankMj6w_RKN8chm3txN8w0o3S7nuv7cQpXTa7DNua28K4q6_rAvx8XQVMQ_aem_mk_aGWQzizDKAl5ERpptlw&amp;campaign_id=120248254459350155&amp;ad_id=120249883219710155&amp;utm_id=120248254459350155" TargetMode="External"/><Relationship Id="rId121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Stories&amp;fbclid=IwZXh0bgNhZW0BMABhZGlkAas0bAW7ZytzcnRjBmFwcF9pZAwzNTA2ODU1MzE3MjgAAR55B9qMUwHIXZG9NA0a7kqcMhK4eN4SAE7iReF8D1_-UVyJKEtGDqlHxY8aaA_aem_Q4mIxSLKrVhBcKiiWMrcgw&amp;campaign_id=120247452154580155&amp;ad_id=120247452938090155&amp;utm_id=120247452154580155" TargetMode="External"/><Relationship Id="rId242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HJg-tzcnRjBmFwcF9pZAo2NjI4NTY4Mzc5AAEeaKpArhaedWsHO1WX58EiOh3On5KCncxXMik8rKsaCrIbknvqDi4W5CYEeDw_aem_YWdncwCOLpJXQpkjy9PC7OktQpGG&amp;brid=YWdncwGOLpJXQpkjy9PC7OktQpGG&amp;campaign_id=120248254459350155&amp;ad_id=120249883219710155&amp;utm_id=120248254459350155" TargetMode="External"/><Relationship Id="rId120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xMjQwMjQ1NzQyODc0MTQAAafhfechxaSBU2SR9h9qLxSfxgn0x7wSGJX0TuBtWnWwKqWF-Ofcy2VreQVA7A_aem_EJebjzvIqMSjv9UGfQ9QEw&amp;campaign_id=120247452154580155&amp;ad_id=120247452938090155" TargetMode="External"/><Relationship Id="rId241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HJg-tzcnRjBmFwcF9pZA8xMjQwMjQ1NzQyODc0MTQAAafyN0TzUt5vrXrRlUhyWnK52GVo8mHQWLE4ykS9haW_W1YTOwKJMf280ZXyHg_aem_se_krWo4f0uE4XHMtl31qQ&amp;campaign_id=120248254459350155&amp;ad_id=120249883219710155" TargetMode="External"/><Relationship Id="rId240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Reels&amp;fbclid=IwZXh0bgNhZW0BMABhZGlkAas2xZUcpotzcnRjBmFwcF9pZAo2NjI4NTY4Mzc5AAEejix1sFYH5f1I6_u_o31t2g2ezjTNm3YLT4WE_veDPcbBX7FEoVfHUIxRg78_aem_zaWj6VsF7t-PoElbAnc7cw&amp;campaign_id=120248254459350155&amp;ad_id=120249883219710155&amp;utm_id=120248254459350155" TargetMode="External"/><Relationship Id="rId125" Type="http://schemas.openxmlformats.org/officeDocument/2006/relationships/hyperlink" Target="https://lp.saibai.com.br/?utm_source=google-ads&amp;utm_medium=branding-terms&amp;utm_campaign=venda-direta&amp;utm_term=saibai%20saladas&amp;utm_content=786538028159&amp;gad_source=1&amp;gad_campaignid=23319194144&amp;gbraid=0AAAAArClr9FUY0gM4oNsmfkDw7Jktd7mI&amp;gclid=CjwKCAjw14zPBhAuEiwAP3-Eb0BPjmUJrdTvWxCx42MIdXhyOkYCAiUOOwZXY8mqbpIZOM9fEdV_cxoCwwkQAvD_BwE" TargetMode="External"/><Relationship Id="rId246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Reels&amp;fbclid=IwZXh0bgNhZW0BMABhZGlkAas2xZUcpotzcnRjBmFwcF9pZAo2NjI4NTY4Mzc5AAEei23r3tR0EC5w_oJYRm6GrutqZ1abiImx-79p15rwy6fWH3P0Bn0M-u3x7Sc_aem_m4FOhqsk7nIfvRSuPdluig&amp;campaign_id=120248254459350155&amp;ad_id=120249883219710155&amp;utm_id=120248254459350155" TargetMode="External"/><Relationship Id="rId124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xMjQwMjQ1NzQyODc0MTQAAaeb5xAx2-15vA4Qjpb8_yWCnsju-lp-ttXLAIXEYPJd0gtwMoQhd_Np3CxHHQ_aem_BgsOGemFk54JFGH_Ur1Fqg&amp;campaign_id=120247452154580155&amp;ad_id=120247452938090155" TargetMode="External"/><Relationship Id="rId245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o2NjI4NTY4Mzc5AAEekJVZ8mtBMczTdhxjBTMQGhQwGDYExrduuHZ0qqVSgr4hetS4Qyy3qmsrFIc_aem_tf3RwDPeeB5CvAMsCbH7Dg&amp;campaign_id=120248254459350155&amp;ad_id=120249883219710155&amp;utm_id=120248254459350155" TargetMode="External"/><Relationship Id="rId123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1NjcwNjczNDMzNTI0MjcAAafWmo0H1cAITsV33D1BpV7IdrH2dL6IyX8-fcQWWk4y94_x1wwaKsfnuzqqkw_aem_wz4S0oLlusAD3YxvkQHN8g&amp;campaign_id=120247452154580155&amp;ad_id=120247452938090155" TargetMode="External"/><Relationship Id="rId244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UcpotzcnRjBmFwcF9pZA81NjcwNjczNDMzNTI0MjcAAads4qWixbXHFhc0PcJztV8WjTDP98Wkf1Dwben3LiYPdHlsawaus88A_UiQ0A_aem_qVF9tmaE-vX_-cTG-F7TZQ&amp;campaign_id=120248254459350155&amp;ad_id=120249883219710155" TargetMode="External"/><Relationship Id="rId122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Stories&amp;fbclid=IwZXh0bgNhZW0BMABhZGlkAas0bAW7ZytzcnRjBmFwcF9pZAwzNTA2ODU1MzE3MjgAAR55B9qMUwHIXZG9NA0a7kqcMhK4eN4SAE7iReF8D1_-UVyJKEtGDqlHxY8aaA_aem_Q4mIxSLKrVhBcKiiWMrcgw&amp;campaign_id=120247452154580155&amp;ad_id=120247452938090155&amp;utm_id=120247452154580155" TargetMode="External"/><Relationship Id="rId243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wzNTA2ODU1MzE3MjgAAR4OzQafKGbaMPIYaRUsFt5vZn-aCkSnicMaKuRCqwLGiOhJryUSFmzPf_lK4w_aem_6oAhWr1On9M9_BWH9ojfkA&amp;campaign_id=120248254459350155&amp;ad_id=120249883219710155&amp;utm_id=120248254459350155" TargetMode="External"/><Relationship Id="rId95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Reels&amp;fbclid=IwZXh0bgNhZW0BMABhZGlkAas0bAW7ZytzcnRjBmFwcF9pZAwzNTA2ODU1MzE3MjgAAR4pXK_wpl_wZmGzjIw1CcgFabKIoq99_jBORlyBYm33WRpFkPZoy-wIsCkmYg_aem_agdXasLjJZ2CACGp3Y-0JQ&amp;campaign_id=120247452154580155&amp;ad_id=120247452938090155&amp;utm_id=120247452154580155" TargetMode="External"/><Relationship Id="rId94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Reels&amp;fbclid=IwZXh0bgNhZW0BMABhZGlkAas0bAW7ZytzcnRjBmFwcF9pZAwzNTA2ODU1MzE3MjgAAR7Y1qMagdntkYxn1qccooYa7Avr5o2mS0gO8cSc09o5fuv1_3D7G21FHum4qg_aem_7ungyuvQPmk9DSEyTns9hg&amp;campaign_id=120247452154580155&amp;ad_id=120247452938090155&amp;utm_id=120247452154580155" TargetMode="External"/><Relationship Id="rId97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1NjcwNjczNDMzNTI0MjcAAaeN7WFLBRVudwOreyz19iL2fAIlSvZrZskZMi6te5aSyle9KIv7hnpRcNepWQ_aem_IAHL2XCDr53yRQClOXOXFg&amp;campaign_id=120247452154580155&amp;ad_id=120247452938090155" TargetMode="External"/><Relationship Id="rId96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1%5D+A+safra+come%C3%A7ou&amp;utm_term=Instagram_Feed&amp;utm_id=120247452154580155&amp;fbclid=PAZXh0bgNhZW0BMABhZGlkAas0a_chJvtzcnRjBmFwcF9pZA8xMjQwMjQ1NzQyODc0MTQAAacxflx8UTX0yURjF5suut4ZPyHFrd9JfiojdcZcAkPjaN0ZH2jJNUcvaxky6A_aem_5YrGyrdeglwS28MvyqswdQ&amp;campaign_id=120247452154580155&amp;ad_id=120247452154590155" TargetMode="External"/><Relationship Id="rId99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7IPJ4XcKocLSZ5uX6fjcP_9GUN6d8zeoO9BkPiPknEUMBT26QH65dwuZoqyw_aem_4YtSSaKCDPosCg_gkAew2w&amp;campaign_id=120247452154580155&amp;ad_id=120247452938090155&amp;utm_id=120247452154580155" TargetMode="External"/><Relationship Id="rId98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Stories&amp;fbclid=IwZXh0bgNhZW0BMABhZGlkAas0bAW7ZytzcnRjBmFwcF9pZAo2NjI4NTY4Mzc5AAEewHCBCHDQnnVlB4LyT1brSOwMECLxDLxiqr2_Va44T5uXnDMI9c228DC0gKM_aem_3KCZW6zR3T62J3POWfLR4Q&amp;campaign_id=120247452154580155&amp;ad_id=120247452938090155&amp;utm_id=120247452154580155" TargetMode="External"/><Relationship Id="rId91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1%5D+A+safra+come%C3%A7ou&amp;utm_term=Instagram_Feed&amp;utm_id=120247452154580155&amp;fbclid=PAZXh0bgNhZW0BMABhZGlkAas0a_chJvtzcnRjBmFwcF9pZA81NjcwNjczNDMzNTI0MjcAAaestcpQj5FxfSZbKFJaFdusX1Omcc2zzXHOiSbhElXNwy-jZOAsoLvN4VKOtA_aem_bjs32XhKshPlES1ru45pWA&amp;campaign_id=120247452154580155&amp;ad_id=120247452154590155" TargetMode="External"/><Relationship Id="rId90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1%5D+A+safra+come%C3%A7ou&amp;utm_term=Facebook_Mobile_Reels&amp;fbclid=IwZXh0bgNhZW0BMABhZGlkAas0a_chJvtzcnRjBmFwcF9pZAwzNTA2ODU1MzE3MjgAAR6rzUMO2xRv5Y2ezBg5K1xzpEsdhQKlcCZCE6xApv4T-Ew_dY36-NyVncGnfg_aem_Nk0sg2VsDv6It-V_2WEkSQ&amp;campaign_id=120247452154580155&amp;ad_id=120247452154590155&amp;utm_id=120247452154580155" TargetMode="External"/><Relationship Id="rId93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Reels&amp;fbclid=IwZXh0bgNhZW0BMABhZGlkAas0bAW7ZytzcnRjBmFwcF9pZAwzNTA2ODU1MzE3MjgAAR6Qx0-Lwtbb_jayhZZOgRA9eJsyr6GdTXjhaU7xQIxxYPUd8j7Gk8BustDeZg_aem_-T2os2Yny1WSZbDsPt35mw&amp;campaign_id=120247452154580155&amp;ad_id=120247452938090155&amp;utm_id=120247452154580155" TargetMode="External"/><Relationship Id="rId92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1%5D+A+safra+come%C3%A7ou&amp;utm_term=Facebook_Mobile_Reels&amp;fbclid=IwZXh0bgNhZW0BMABhZGlkAas0a_chJvtzcnRjBmFwcF9pZAwzNTA2ODU1MzE3MjgAAR41CfyEzV6t0FSydi34NnyIE1cT5duuf2DHuwJEgciSz3527xee804NEvSmGA_aem_-6mhVgLgXAsK7ZiCkiJsSQ&amp;campaign_id=120247452154580155&amp;ad_id=120247452154590155&amp;utm_id=120247452154580155" TargetMode="External"/><Relationship Id="rId118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1NjcwNjczNDMzNTI0MjcAAacyjAls5a-4Kf96iLbAolKkQP_zWkxbivNqIH1ddGjqGiFcFTNx8zeuTQaXiw_aem_DElLNAe3mlG7rR3X2Q7kqQ&amp;campaign_id=120247452154580155&amp;ad_id=120247452938090155" TargetMode="External"/><Relationship Id="rId239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Stories&amp;fbclid=IwZXh0bgNhZW0BMABhZGlkAas2xZUcpotzcnRjBmFwcF9pZAwzNTA2ODU1MzE3MjgAAR6ZyetGUoQAH4-tIA_swAP3xgdSyEc5maIrDSDMJIjm0ECqd0Gmn73U6X-C5g_aem_2WEMq8j8c3TJBYQUDhCSnQ&amp;campaign_id=120248254459350155&amp;ad_id=120249883219710155&amp;utm_id=120248254459350155" TargetMode="External"/><Relationship Id="rId117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xMjQwMjQ1NzQyODc0MTQAAadCqutO4kqtTnkhX-cvQJVpuL6jwmbrtv0gxN7T33tde2PlbCYxXpUte1jIqg_aem_KINf3bDtN0pZ7Z_uL1I0oA&amp;campaign_id=120247452154580155&amp;ad_id=120247452938090155" TargetMode="External"/><Relationship Id="rId238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UcpotzcnRjBmFwcF9pZA8xMjQwMjQ1NzQyODc0MTQAAaeI2QT84ctrLhLpUw9DIAMqhXLtldTTft-D7NjFqHL41AmOCoYAqirFr22Evg_aem_18Gz903MLyJreYBw2By49g&amp;campaign_id=120248254459350155&amp;ad_id=120249883219710155" TargetMode="External"/><Relationship Id="rId116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xMjQwMjQ1NzQyODc0MTQAAafYNUfwhm5BDTudxK1hPMSdq7wz77xzW_XTDjNLZnDOETxYfASz6DF5nWsbdQ_aem_LfUyctHr2R6oaxLE59sIVw&amp;campaign_id=120247452154580155&amp;ad_id=120247452938090155" TargetMode="External"/><Relationship Id="rId237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wzNTA2ODU1MzE3MjgAAR7BiVYkQt-YkDAIBlaPVmPH-MSEEfKAb3qLTelEXvZh_M-7bUSw4iAgBGI-aA_aem_YWdncwADd6fb2w8GUQVP3VhHZj23&amp;brid=YWdncwEDd6fb2w8GUQVP3VhHZj23&amp;campaign_id=120248254459350155&amp;ad_id=120249883219710155&amp;utm_id=120248254459350155" TargetMode="External"/><Relationship Id="rId115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a_lii3tzcnRjBmFwcF9pZA8xMjQwMjQ1NzQyODc0MTQAAadEA3TU-pHvm7QpGThvEuzBU23zgzXr5dhUA_mN-7DphbITOhwtumh6vjRuQQ_aem_CfjFLiqKvhn7rtMSu3MWEA&amp;campaign_id=120247452154580155&amp;ad_id=120247452938090155" TargetMode="External"/><Relationship Id="rId236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wzNTA2ODU1MzE3MjgAAR6Eqtc0ugrIqhYTi2dxqZt8rwfHy9_5XW3IZxsXab9KbRYhqtXdVq-EIxZw4A_aem_G5GJZgVa8I_jw0cS54k__A&amp;campaign_id=120248254459350155&amp;ad_id=120249883219710155&amp;utm_id=120248254459350155" TargetMode="External"/><Relationship Id="rId119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fOj7tzcnRjBmFwcF9pZAwzNTA2ODU1MzE3MjgAAR5PGRoBzPYpEQkm4HPBq4k5HPoDypf20SreH5J1oCJkwFYTr51QpmWvRCGOgQ_aem_eLuOu9iWL4BAg7bNLz6LEQ&amp;campaign_id=120247452154580155&amp;ad_id=120247452938090155&amp;utm_id=120247452154580155" TargetMode="External"/><Relationship Id="rId110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6zKPFsbMsGOSUeJJ0WvdZO-ZXOh9fru3lEgM_4sC-jUBI7cuLl-f0R8DTz8Q_aem_dCm6A4U2TdFS4TObfOEDMA&amp;campaign_id=120247452154580155&amp;ad_id=120247452938090155&amp;utm_id=120247452154580155" TargetMode="External"/><Relationship Id="rId231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wzNTA2ODU1MzE3MjgAAR6JqGAGm-Z1rICy_mB8j6tXP6U-7FOr-v5Fs5SU7CRB61nGrS_eIh3DpZDUhg_aem_iQxkpsAhlV-1ec6tnyhWIw&amp;campaign_id=120248254459350155&amp;ad_id=120249883219710155&amp;utm_id=120248254459350155" TargetMode="External"/><Relationship Id="rId230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wzNTA2ODU1MzE3MjgAAR5qHfl7bPTwHOVqDPxDk75ZboqhsNMH91s936sdaYLoHbG0Sj-btYVaJNlF6A_aem_crzBFsSFlaVuKyOAhYNQAg&amp;campaign_id=120248254459350155&amp;ad_id=120249883219710155&amp;utm_id=120248254459350155" TargetMode="External"/><Relationship Id="rId114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W7ZytzcnRjBmFwcF9pZA8xMjQwMjQ1NzQyODc0MTQAAafJOn_h4Wwfn4vl052QiphsE5Yr4kUocVoO9dteNg15n4PPkDwqhbHcWpcz5g_aem_R-kjgEuYAo8JAsKiGwsl2Q&amp;campaign_id=120247452154580155&amp;ad_id=120247452938090155" TargetMode="External"/><Relationship Id="rId235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xZUcpotzcnRjBmFwcF9pZA8xMjQwMjQ1NzQyODc0MTQAAae8sKckhT_AyveXaBkoEwVRgyj8dz-WHoiPzSO26nhQ1l1OJoRakjI4TOkk0Q_aem_XU0Emn7L8mJEMD9VHWEcRA&amp;campaign_id=120248254459350155&amp;ad_id=120249883219710155" TargetMode="External"/><Relationship Id="rId113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Stories&amp;utm_id=120247452154580155&amp;fbclid=PAZXh0bgNhZW0BMABhZGlkAas0bAW7ZytzcnRjBmFwcF9pZA8xMjQwMjQ1NzQyODc0MTQAAaeF9cxNpYqBk1L0pGN25TfZyIGG42uYc6vSpV6q8QWBeEgw3JrNBMlKpK9WGg_aem_-T25bpATEjRdTVprpLbhvQ&amp;campaign_id=120247452154580155&amp;ad_id=120247452938090155" TargetMode="External"/><Relationship Id="rId234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Reels&amp;utm_id=120248254459350155&amp;fbclid=PAZXh0bgNhZW0BMABhZGlkAas2xZUcpotzcnRjBmFwcF9pZA81NjcwNjczNDMzNTI0MjcAAacERDW_zUXQ8ypCEBPQjCsrNllVqgoHQ3HsdpyQBC7VTRgA2HUR3Jarm4HD-w_aem_soOH8LdcuMFiiFR5SRs-iA&amp;campaign_id=120248254459350155&amp;ad_id=120249883219710155" TargetMode="External"/><Relationship Id="rId112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Instagram_Feed&amp;utm_id=120247452154580155&amp;fbclid=PAZXh0bgNhZW0BMABhZGlkAas0bAW7ZytzcnRjBmFwcF9pZA81NjcwNjczNDMzNTI0MjcAAafQCsP6fQ3OkUJB4ePXzBNgZsAe2AiukW_gc614q0ou8BPwUPM2KmeXLGrHiA_aem_aJ4m1WjyHso23nnRF-5wwg&amp;campaign_id=120247452154580155&amp;ad_id=120247452938090155" TargetMode="External"/><Relationship Id="rId233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wzNTA2ODU1MzE3MjgAAR61U3K51L6VcNrvKb-YhEq8LHpJFoccJI63fv1Y9kdMkV8U4Rk106i6IV4Mng_aem_gQpV8G-6A_QvhyIRMatmCw&amp;campaign_id=120248254459350155&amp;ad_id=120249883219710155&amp;utm_id=120248254459350155" TargetMode="External"/><Relationship Id="rId111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1&amp;utm_content=07.04+%5BIMG%5D+%5BAD04%5D+Pedidos+abertos&amp;utm_term=Facebook_Mobile_Feed&amp;fbclid=IwZXh0bgNhZW0BMABhZGlkAas0bAW7ZytzcnRjBmFwcF9pZAwzNTA2ODU1MzE3MjgAAR7kQK6bZUHJdszxljfGLwpJZ_wKL5hxzjNkYttUe2FeMcsz_y5XiKrT90MqUA_aem_3i9OGmspuWGROs3WcRKn3A&amp;campaign_id=120247452154580155&amp;ad_id=120247452938090155&amp;utm_id=120247452154580155" TargetMode="External"/><Relationship Id="rId232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UcpotzcnRjBmFwcF9pZAo2NjI4NTY4Mzc5AAEemuKlztGngI5C_TICKLNwL8EzGCb3YFLZDIer1-GMatpsjuUjas4pHW_Lutc_aem_ODHSpzwTpEX2pJRBKpmk6g&amp;campaign_id=120248254459350155&amp;ad_id=120249883219710155&amp;utm_id=120248254459350155" TargetMode="External"/><Relationship Id="rId305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1NjcwNjczNDMzNTI0MjcAAaefBMjAHEsd-hDA-IK5xfDUEnXsOiVtZRdjJTQ9vl2XxvsuHG4TCabM3ZxiBg_aem_SWO2cnr2CLiOiA7NPJeJBQ&amp;campaign_id=120248254459350155&amp;ad_id=120249883219710155" TargetMode="External"/><Relationship Id="rId304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1NjcwNjczNDMzNTI0MjcAAadNX6BJPF3yQyt4qyFSPD3WCOOCip3ymgtMgRrT3Cs5durt0NIgf5IIQuKswQ_aem_6MQrPtzSBWchRXylNdKDsg&amp;campaign_id=120248254459350155&amp;ad_id=120249883219710155" TargetMode="External"/><Relationship Id="rId303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1NjcwNjczNDMzNTI0MjcAAaeU4LdQ0RHIVHrpgHax6LDk4c3d-pTx3uisBZ75najjqzs43jpcRTzWmA4Lcg_aem_KObiFpHSpmUugEAFPdH9dg&amp;campaign_id=120248254459350155&amp;ad_id=120249883219710155" TargetMode="External"/><Relationship Id="rId302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Hxvk4tzcnRjBmFwcF9pZA81NjcwNjczNDMzNTI0MjcAAacVPKFQKqHv-mBkOKMt9dB6QV_RvmSaycwmYjKBuvOB50jHOr7ouHFAC0nmMw_aem_f6yfOz8j7gWcxuBQYLXQiw&amp;campaign_id=120248254459350155&amp;ad_id=120249883219710155" TargetMode="External"/><Relationship Id="rId309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xMjQwMjQ1NzQyODc0MTQAAafDETBMjmFK-tdu58p792BlHse3Z-YlhFfWzp47SPqRuWRIR21Zax5BHqxoJQ_aem_AjRny-WoWQ8PIpiN0W6P0g&amp;campaign_id=120248254459350155&amp;ad_id=120249883219710155" TargetMode="External"/><Relationship Id="rId308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Hxvk4tzcnRjBmFwcF9pZA8xMjQwMjQ1NzQyODc0MTQAAadQaJsb6O_GW6uPYYlATJI2jJidzYsbkEJLq0yGfqdEWdA-wQLntArgr-SDAw_aem_e6YdFl5eezGN8ocMY2ekaw&amp;campaign_id=120248254459350155&amp;ad_id=120249883219710155" TargetMode="External"/><Relationship Id="rId307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3SIevXhtzcnRjBmFwcF9pZAwzNTA2ODU1MzE3MjgAAR7WOPkGx3TDoorsFOYcww-Zp9RWb9t0Na6uvUs2mVicjdorE-_FlbMe5e0RBw_aem_b1jVelfwgRj5_LjPLW-wKg&amp;campaign_id=120248254459350155&amp;ad_id=120249883219710155&amp;utm_id=120248254459350155" TargetMode="External"/><Relationship Id="rId306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Threads_Feed&amp;utm_id=120248254459350155&amp;fbclid=PAZXh0bgNhZW0BMABhZGlkAas3SHxvk4tzcnRjBmFwcF9pZBAzNDE5NjI4MzA1MDI1OTE3AAGnkymre3ENUSSQEO3VPBsgexZciaoAPwcK4ve9g-x5qLN25CKKPGU1a9guAQU_aem_GVEb1ypAl773Cxhh4E_F6Q&amp;campaign_id=120248254459350155&amp;ad_id=120249883219710155" TargetMode="External"/><Relationship Id="rId301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xMjQwMjQ1NzQyODc0MTQAAadNY1qW04v3KVgHJ-6rm6dqc4R7675Jt0GEIXolAlVTYQgnNx33C9H4NOlC-A_aem_R2tj0E_5D8PAFTuLpI4-Wg&amp;campaign_id=120248254459350155&amp;ad_id=120249883219710155" TargetMode="External"/><Relationship Id="rId300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1NjcwNjczNDMzNTI0MjcAAadIySWjpJ_giqvZSC_uRG2y1SIthNviQg7r6QklO4WRAvqziAcWUsZGx1bdyA_aem_fTzAS13mswSIiJwlJqc4hw&amp;campaign_id=120248254459350155&amp;ad_id=120249883219710155" TargetMode="External"/><Relationship Id="rId206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4%5D+Pedidos+abertos&amp;utm_term=Facebook_Mobile_Reels&amp;fbclid=IwZXh0bgNhZW0BMABhZGlkAas1g0M2JftzcnRjBmFwcF9pZAo2NjI4NTY4Mzc5AAEe59NwpU3t_K43fNW0dMdr_RQv6JEZB-4MsZiCG6e6To7aHm1HUVJPekmBEgM_aem_MfmLtrDHdMPpRyk_vX4lfg&amp;campaign_id=120248254459350155&amp;ad_id=120248254459370155&amp;utm_id=120248254459350155" TargetMode="External"/><Relationship Id="rId327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xMjQwMjQ1NzQyODc0MTQAAad4qjQeoRxBX-EADg2h7o9jrjv5Ut7aPYhHRKjR_qpsR3ckI0s97wcLLo6CEw_aem_7rPouIPTIadZcJOGVzRCrA&amp;campaign_id=120248254459350155&amp;ad_id=120249883219710155" TargetMode="External"/><Relationship Id="rId205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xZHJg-tzcnRjBmFwcF9pZAwzNTA2ODU1MzE3MjgAAR4OnrEmKqeQmsQsESBGGHb0b53hioPXmY5sS7tbp1rY84bFgddnpn5KZhX80g_aem_7UMD7hoKLVXyxjm7He3vgg&amp;campaign_id=120248254459350155&amp;ad_id=120249883219710155&amp;utm_id=120248254459350155" TargetMode="External"/><Relationship Id="rId326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Hxvk4tzcnRjBmFwcF9pZA8xMjQwMjQ1NzQyODc0MTQAAadmS9pKJUyPK6rAMT54obG3fkZtyamm2Xn-hcKeXTozdu4FTxz613ROsTpSwg_aem_LBivRMDy9n9XjrJWjOvLrw&amp;campaign_id=120248254459350155&amp;ad_id=120249883219710155" TargetMode="External"/><Relationship Id="rId204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4%5D+Pedidos+abertos&amp;utm_term=Facebook_Mobile_Feed&amp;fbclid=IwZXh0bgNhZW0BMABhZGlkAas1g0M2JftzcnRjBmFwcF9pZAwzNTA2ODU1MzE3MjgAAR7p19AWs0m_-NwatHjYPYNvoEAK71LWMwsG6bYmx6e7MGGos6NqwnpbjtSO2g_aem_a4UG6yBc-Gl0PB28wfVO0A&amp;campaign_id=120248254459350155&amp;ad_id=120248254459370155&amp;utm_id=120248254459350155" TargetMode="External"/><Relationship Id="rId325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1NjcwNjczNDMzNTI0MjcAAaecXtUTUoEqosK2RgJ7gPWJ-zPI_PYhOVzMkCxHqMjK3AR2JNSi_RJqvXjnDQ_aem_0SMoburWfvlTtoM8ift76g&amp;campaign_id=120248254459350155&amp;ad_id=120249883219710155" TargetMode="External"/><Relationship Id="rId203" Type="http://schemas.openxmlformats.org/officeDocument/2006/relationships/hyperlink" Target="https://lp.saibai.com.br/?utm_source=MetaAds&amp;utm_medium=ADV+-+%5BIG%5D+%5BFB%5D+%5B30%2B%5D+%5BPIEDADE+-+40KM%5D+V%C3%81RIOS&amp;utm_campaign=22.04.2026+%5BV4%5D+%5BWB%5D+%5BLEADS-GRUPO-WHATS%5D+02&amp;utm_content=07.04+%5BIMG%5D+%5BAD04%5D+Pedidos+abertos&amp;utm_term=Facebook_Mobile_Feed&amp;fbclid=IwZXh0bgNhZW0BMABhZGlkAas1g04I1ttzcnRjBmFwcF9pZAwzNTA2ODU1MzE3MjgAAR7zBljx5bG95OE-UUPXX2Q_7T75C4SAZbM2n_zCfc1hR_nl09AbMddnvcr3YQ_aem_sJfm-lNBWE7YgNEtFNxZsg&amp;campaign_id=120248254459350155&amp;ad_id=120248254459370155&amp;utm_id=120248254459350155" TargetMode="External"/><Relationship Id="rId324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1NjcwNjczNDMzNTI0MjcAAac2EaNxoMpYm5UY_GF0199ojwsHxKw_AqdW6bpl8B_i7Z4v663NtUBAuav0Ag_aem_YYpyW0FWSQYacufFwrvKgQ&amp;campaign_id=120248254459350155&amp;ad_id=120249883219710155" TargetMode="External"/><Relationship Id="rId209" Type="http://schemas.openxmlformats.org/officeDocument/2006/relationships/hyperlink" Target="https://lp.saibai.com.br/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2ob8X6ftzcnRjBmFwcF9pZAwzNTA2ODU1MzE3MjgAAR5mh8osOy5IGP90bILHL9ObNG1yCJBkoLx-214Pgb6SQsl12y5hHkpq072UXA_aem_8l7WB5UgQWDSvPZLVfnyow&amp;campaign_id=120248254459350155&amp;ad_id=120249883219710155&amp;utm_id=120248254459350155" TargetMode="External"/><Relationship Id="rId208" Type="http://schemas.openxmlformats.org/officeDocument/2006/relationships/hyperlink" Target="https://lp.saibai.com.br/?utm_source=MetaAds&amp;utm_medium=ADV+-+%5BIG%5D+%5BFB%5D+%5B30%2B%5D+%5BSP+METROPOLE%5D+V%C3%81RIOS&amp;utm_campaign=22.04.2026+%5BV4%5D+%5BWB%5D+%5BLEADS-GRUPO-WHATS%5D+02&amp;utm_content=07.04+%5BIMG%5D+%5BAD04%5D+Pedidos+abertos&amp;utm_term=Instagram_Reels&amp;utm_id=120248254459350155&amp;fbclid=PAZXh0bgNhZW0BMABhZGlkAas2ob8X6ftzcnRjBmFwcF9pZA81NjcwNjczNDMzNTI0MjcAAafgDmiz9HCVQyHEZ7fkrGlqoYVozq6ZhBM7Yda-I5-82dxERGPMCIvH7zTfiw_aem_HOR7STLIouDxlGErgWFepA&amp;campaign_id=120248254459350155&amp;ad_id=120249883219710155" TargetMode="External"/><Relationship Id="rId329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3SIevXhtzcnRjBmFwcF9pZAo2NjI4NTY4Mzc5AAEez7f4is0_d1fw1BO4nSEJJhR2qcYMvK_1ExEdAaPLP-pDh7OyQHu31v6l7O0_aem_wZAtco-YYWR9NnaYJGMcew&amp;campaign_id=120248254459350155&amp;ad_id=120249883219710155&amp;utm_id=120248254459350155" TargetMode="External"/><Relationship Id="rId207" Type="http://schemas.openxmlformats.org/officeDocument/2006/relationships/hyperlink" Target="https://lp.saibai.com.br/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2ob8X6ftzcnRjBmFwcF9pZA81NjcwNjczNDMzNTI0MjcAAaecdB2agZ6Eo01ibiN63iQc39tFTg2X8NuIR9YzlNmQTsvsLS0mIgWALRGlmw_aem_VEk-ej5m31r1dxznvzZ_bg&amp;campaign_id=120248254459350155&amp;ad_id=120249883219710155" TargetMode="External"/><Relationship Id="rId328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xMjQwMjQ1NzQyODc0MTQAAaclBcabwcDk1WuX-kWQigXkIqwd1uFk7YCKLXaYhhRmLb-ntlp780dvLylFsw_aem_odP7zytTsQEl0VaLyVPhyA&amp;campaign_id=120248254459350155&amp;ad_id=120249883219710155" TargetMode="External"/><Relationship Id="rId202" Type="http://schemas.openxmlformats.org/officeDocument/2006/relationships/hyperlink" Target="https://lp.saibai.com.br/?utm_source=MetaAds&amp;utm_medium=ADV+-+%5BIG%5D+%5BFB%5D+%5B30%2B%5D+%5BPIEDADE+-+40KM%5D+V%C3%81RIOS&amp;utm_campaign=22.04.2026+%5BV4%5D+%5BWB%5D+%5BLEADS-GRUPO-WHATS%5D+02&amp;utm_content=07.04+%5BIMG%5D+%5BAD04%5D+Pedidos+abertos&amp;utm_term=Facebook_Mobile_Feed&amp;fbclid=IwZXh0bgNhZW0BMABhZGlkAas1g04I1ttzcnRjBmFwcF9pZAwzNTA2ODU1MzE3MjgAAR5V8M8okVsbneSmmItgM9Weuzoo7iJ2BZrVWgVGZHkUAYTmDLKrOryXWQTogA_aem_F7jWqrt-l2Lco9yKUenNww&amp;campaign_id=120248254459350155&amp;ad_id=120248254459370155&amp;utm_id=120248254459350155" TargetMode="External"/><Relationship Id="rId323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3SIevXhtzcnRjBmFwcF9pZAwzNTA2ODU1MzE3MjgAAR6kn-eQiWlaaJPA5U0pRz97rJ87DiA9vcW3kqNKAixAV8A6FNZEigkBqmgqBA_aem_M9xRB8SpK077fHYSvrrwnA&amp;campaign_id=120248254459350155&amp;ad_id=120249883219710155&amp;utm_id=120248254459350155" TargetMode="External"/><Relationship Id="rId201" Type="http://schemas.openxmlformats.org/officeDocument/2006/relationships/hyperlink" Target="https://lp.saibai.com.br/?utm_source=MetaAds&amp;utm_medium=ADV+-+%5BIG%5D+%5BFB%5D+%5B30%2B%5D+%5BPIEDADE+-+40KM%5D+V%C3%81RIOS&amp;utm_campaign=22.04.2026+%5BV4%5D+%5BWB%5D+%5BLEADS-GRUPO-WHATS%5D+02&amp;utm_content=07.04+%5BIMG%5D+%5BAD04%5D+Pedidos+abertos&amp;utm_term=Facebook_Mobile_Feed&amp;fbclid=IwZXh0bgNhZW0BMABhZGlkAas1g0zhbdtzcnRjBmFwcF9pZAwzNTA2ODU1MzE3MjgAAR65hMpfM09_qooPQicaA8DkkL9Q9lvS07tqr4C22E1zcUHZuUoQiocvuGiA3g_aem_aoV6cFrpEry9D5jMT4mCGw&amp;campaign_id=120248254459350155&amp;ad_id=120248254459370155&amp;utm_id=120248254459350155" TargetMode="External"/><Relationship Id="rId322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1NjcwNjczNDMzNTI0MjcAAaecXtUTUoEqosK2RgJ7gPWJ-zPI_PYhOVzMkCxHqMjK3AR2JNSi_RJqvXjnDQ_aem_0SMoburWfvlTtoM8ift76g&amp;campaign_id=120248254459350155&amp;ad_id=120249883219710155" TargetMode="External"/><Relationship Id="rId200" Type="http://schemas.openxmlformats.org/officeDocument/2006/relationships/hyperlink" Target="https://lp.saibai.com.br/?utm_source=MetaAds&amp;utm_medium=ADV+-+%5BIG%5D+%5BFB%5D+%5B30%2B%5D+%5BPIEDADE+-+40KM%5D+V%C3%81RIOS&amp;utm_campaign=07.04.2026+%5BV4%5D+%5BWB%5D+%5BLEADS-GRUPO-WHATS%5D+02&amp;utm_content=07.04+%5BIMG%5D+%5BAD04%5D+Pedidos+abertos&amp;utm_term=Facebook_Mobile_Reels&amp;fbclid=IwZXh0bgNhZW0BMABhZGlkAas1g0M2JftzcnRjBmFwcF9pZAwzNTA2ODU1MzE3MjgAAR5YLJ2z-YS8pzYMqNZ-CVCktrbpoT6NXjqxRWacevV7DWSYQZS2CUy5Bvb2jw_aem_RPvKtZit-FzWgf307pUKeg&amp;campaign_id=120248254459350155&amp;ad_id=120248254459370155&amp;utm_id=120248254459350155" TargetMode="External"/><Relationship Id="rId321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1NjcwNjczNDMzNTI0MjcAAaecXtUTUoEqosK2RgJ7gPWJ-zPI_PYhOVzMkCxHqMjK3AR2JNSi_RJqvXjnDQ_aem_0SMoburWfvlTtoM8ift76g&amp;campaign_id=120248254459350155&amp;ad_id=120249883219710155" TargetMode="External"/><Relationship Id="rId320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Facebook_Mobile_Feed&amp;fbclid=IwZXh0bgNhZW0BMABhZGlkAas3SIevXhtzcnRjBmFwcF9pZAwzNTA2ODU1MzE3MjgAAR4BBfyV_PFRbKcEwJcvr_3yG94I9zXdAHhRwDzLk_kEMk0ygUbCCXngtJsuzw_aem_x1sZhcAdLAK5BRuAw1uQqw&amp;campaign_id=120248254459350155&amp;ad_id=120249883219710155&amp;utm_id=120248254459350155" TargetMode="External"/><Relationship Id="rId316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xMjQwMjQ1NzQyODc0MTQAAadXUm5F1oY9eEHQN0gPfaXYWQe48hLH6gLsuLM2tND0SmiF7fkiI4Uu0URHzg_aem_z10Os2f1hj5BD4eYxdtF2g&amp;campaign_id=120248254459350155&amp;ad_id=120249883219710155" TargetMode="External"/><Relationship Id="rId315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Hxvk4tzcnRjBmFwcF9pZA81NjcwNjczNDMzNTI0MjcAAacbHvvBPaombWlrFb0FhRWeX3VrHeNHp7ummydsHPigM2EOPoC_wD2IzvL92A_aem_YWdncwDFHOFDEjRz6DrHNpYydjy7&amp;brid=YWdncwHFHOFDEjRz6DrHNpYydjy7&amp;campaign_id=120248254459350155&amp;ad_id=120249883219710155" TargetMode="External"/><Relationship Id="rId314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1NjcwNjczNDMzNTI0MjcAAadfSYrUyI0zzTgL5oag5wJZrMoP07qGI17HA7BLbdaZ1O3F0_h1CNNVxRIt2Q_aem_9xU-rCRf75RP6Zw_U5-Fjg&amp;campaign_id=120248254459350155&amp;ad_id=120249883219710155" TargetMode="External"/><Relationship Id="rId313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xMjQwMjQ1NzQyODc0MTQAAac1pdoS8U4OIr4nLMOVYa0usuueL5xtlcekuSOd7l7Zrr7TmChb-BZQatz2dA_aem_mGT6Fz77IivZKR6FRKuSJA&amp;campaign_id=120248254459350155&amp;ad_id=120249883219710155" TargetMode="External"/><Relationship Id="rId319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xMjQwMjQ1NzQyODc0MTQAAac0axcxQqe275yRGlVUsbP7Gp7jX9pAengjKDhbzy6T5lEwqTsQFIh_HnCICg_aem_Jut227pehm31pGTXYjs0hQ&amp;campaign_id=120248254459350155&amp;ad_id=120249883219710155" TargetMode="External"/><Relationship Id="rId318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1NjcwNjczNDMzNTI0MjcAAae95y1H2WijR7n-o7KTmEMI917BWrk458Frb3AbpGyScLhiXwmxGG5x5OiRvw_aem_mxP3px2LVP03z_XRt2OSVA&amp;campaign_id=120248254459350155&amp;ad_id=120249883219710155" TargetMode="External"/><Relationship Id="rId317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xMjQwMjQ1NzQyODc0MTQAAafOpTF6kmMU-RigSigGyFepTrHt3IP7xn8lKkXqItCrjJcCfzeWZPt5mNEGdw_aem_UH7cBMqGiU4xY9m0RbQPpw&amp;campaign_id=120248254459350155&amp;ad_id=120249883219710155" TargetMode="External"/><Relationship Id="rId312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Feed&amp;utm_id=120248254459350155&amp;fbclid=PAZXh0bgNhZW0BMABhZGlkAas3SIevXhtzcnRjBmFwcF9pZA8xMjQwMjQ1NzQyODc0MTQAAacuJ9Qd_GpQZju83ZL7MzD7eYmRbzJp_cxXkG3pivmv1RgNL0tTNHy3mN233w_aem_Bwxas05SLcHKiFP_Pw6bxw&amp;campaign_id=120248254459350155&amp;ad_id=120249883219710155" TargetMode="External"/><Relationship Id="rId311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1NjcwNjczNDMzNTI0MjcAAaez0yDLhcvdW5IassWHInqDrFnrNJRHmhO7gOqjmUmh3w7gGkYKxHsTU5hmMg_aem_LWWa2Fii2mFnVekByUxn9g&amp;campaign_id=120248254459350155&amp;ad_id=120249883219710155" TargetMode="External"/><Relationship Id="rId310" Type="http://schemas.openxmlformats.org/officeDocument/2006/relationships/hyperlink" Target="https://lp.saibai.com.br/sao-paulo?utm_source=MetaAds&amp;utm_medium=ADV+-+%5BIG%5D+%5BFB%5D+%5B30%2B%5D+%5BSP+METROPOLE%5D+V%C3%81RIOS&amp;utm_campaign=22.04.2026+%5BV4%5D+%5BWB%5D+%5BLEADS-GRUPO-WHATS%5D+02&amp;utm_content=07.04+%5BIMG%5D+%5BAD04%5D+Pedidos+abertos&amp;utm_term=Instagram_Stories&amp;utm_id=120248254459350155&amp;fbclid=PAZXh0bgNhZW0BMABhZGlkAas3SIevXhtzcnRjBmFwcF9pZA8xMjQwMjQ1NzQyODc0MTQAAadvjt8QIYV0bV0sBnym3C_FdhI8x4BJf12fe3FMyJl8qIBzyVnP17lxFHmJdQ_aem_2eKz6HqoI7eoukjBPf3m7A&amp;campaign_id=120248254459350155&amp;ad_id=120249883219710155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11.75"/>
    <col customWidth="1" min="3" max="11" width="9.38"/>
    <col customWidth="1" min="12" max="12" width="7.88"/>
    <col customWidth="1" min="13" max="14" width="11.5"/>
    <col customWidth="1" min="15" max="15" width="17.75"/>
    <col customWidth="1" min="16" max="26" width="9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3"/>
      <c r="D2" s="1"/>
      <c r="E2" s="1"/>
      <c r="F2" s="1"/>
      <c r="G2" s="1"/>
      <c r="H2" s="1"/>
      <c r="I2" s="1"/>
      <c r="J2" s="1"/>
      <c r="K2" s="1"/>
      <c r="L2" s="2"/>
      <c r="M2" s="4"/>
      <c r="N2" s="2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 t="s">
        <v>0</v>
      </c>
      <c r="G3" s="1"/>
      <c r="H3" s="1"/>
      <c r="I3" s="1"/>
      <c r="J3" s="1"/>
      <c r="K3" s="1"/>
      <c r="L3" s="2"/>
      <c r="M3" s="4"/>
      <c r="N3" s="2"/>
      <c r="O3" s="2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/>
      <c r="C4" s="3"/>
      <c r="D4" s="1"/>
      <c r="E4" s="1"/>
      <c r="F4" s="1"/>
      <c r="G4" s="1"/>
      <c r="H4" s="1"/>
      <c r="I4" s="1"/>
      <c r="J4" s="1"/>
      <c r="K4" s="1"/>
      <c r="L4" s="2"/>
      <c r="M4" s="4"/>
      <c r="N4" s="2"/>
      <c r="O4" s="2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3"/>
      <c r="D5" s="1"/>
      <c r="E5" s="1"/>
      <c r="F5" s="1"/>
      <c r="G5" s="1"/>
      <c r="H5" s="1"/>
      <c r="I5" s="1"/>
      <c r="J5" s="1"/>
      <c r="K5" s="1"/>
      <c r="L5" s="2" t="s">
        <v>1</v>
      </c>
      <c r="M5" s="6" t="s">
        <v>2</v>
      </c>
      <c r="N5" s="6" t="s">
        <v>3</v>
      </c>
      <c r="O5" s="2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3"/>
      <c r="D6" s="1"/>
      <c r="E6" s="1"/>
      <c r="F6" s="1"/>
      <c r="G6" s="1"/>
      <c r="H6" s="1"/>
      <c r="I6" s="1"/>
      <c r="J6" s="1"/>
      <c r="K6" s="1"/>
      <c r="L6" s="7">
        <f t="shared" ref="L6:L58" si="1">WEEKNUM(M6)</f>
        <v>1</v>
      </c>
      <c r="M6" s="8">
        <v>45292.0</v>
      </c>
      <c r="N6" s="8">
        <f t="shared" ref="N6:N58" si="2">M6+6</f>
        <v>45298</v>
      </c>
      <c r="O6" s="2" t="str">
        <f t="shared" ref="O6:O58" si="3">"De "&amp;DAY(M6)&amp;"/"&amp;MONTH(M6)&amp;" até "&amp;DAY(N6)&amp;"/"&amp;MONTH(N6)</f>
        <v>De 1/1 até 7/1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3"/>
      <c r="D7" s="1"/>
      <c r="E7" s="1"/>
      <c r="F7" s="1"/>
      <c r="G7" s="1"/>
      <c r="H7" s="1"/>
      <c r="I7" s="1"/>
      <c r="J7" s="1"/>
      <c r="K7" s="1"/>
      <c r="L7" s="7">
        <f t="shared" si="1"/>
        <v>2</v>
      </c>
      <c r="M7" s="8">
        <v>45298.0</v>
      </c>
      <c r="N7" s="8">
        <f t="shared" si="2"/>
        <v>45304</v>
      </c>
      <c r="O7" s="2" t="str">
        <f t="shared" si="3"/>
        <v>De 7/1 até 13/1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3"/>
      <c r="D8" s="1"/>
      <c r="E8" s="1"/>
      <c r="F8" s="1"/>
      <c r="G8" s="1"/>
      <c r="H8" s="1"/>
      <c r="I8" s="1"/>
      <c r="J8" s="1"/>
      <c r="K8" s="1"/>
      <c r="L8" s="7">
        <f t="shared" si="1"/>
        <v>3</v>
      </c>
      <c r="M8" s="8">
        <v>45305.0</v>
      </c>
      <c r="N8" s="8">
        <f t="shared" si="2"/>
        <v>45311</v>
      </c>
      <c r="O8" s="2" t="str">
        <f t="shared" si="3"/>
        <v>De 14/1 até 20/1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3"/>
      <c r="D9" s="1"/>
      <c r="E9" s="1"/>
      <c r="F9" s="1"/>
      <c r="G9" s="1"/>
      <c r="H9" s="1"/>
      <c r="I9" s="1"/>
      <c r="J9" s="1"/>
      <c r="K9" s="1"/>
      <c r="L9" s="7">
        <f t="shared" si="1"/>
        <v>4</v>
      </c>
      <c r="M9" s="8">
        <v>45312.0</v>
      </c>
      <c r="N9" s="8">
        <f t="shared" si="2"/>
        <v>45318</v>
      </c>
      <c r="O9" s="2" t="str">
        <f t="shared" si="3"/>
        <v>De 21/1 até 27/1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3"/>
      <c r="D10" s="1"/>
      <c r="E10" s="1"/>
      <c r="F10" s="1"/>
      <c r="G10" s="1"/>
      <c r="H10" s="1"/>
      <c r="I10" s="1"/>
      <c r="J10" s="1"/>
      <c r="K10" s="1"/>
      <c r="L10" s="7">
        <f t="shared" si="1"/>
        <v>5</v>
      </c>
      <c r="M10" s="8">
        <v>45319.0</v>
      </c>
      <c r="N10" s="8">
        <f t="shared" si="2"/>
        <v>45325</v>
      </c>
      <c r="O10" s="2" t="str">
        <f t="shared" si="3"/>
        <v>De 28/1 até 3/2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3"/>
      <c r="D11" s="1"/>
      <c r="E11" s="1"/>
      <c r="F11" s="1"/>
      <c r="G11" s="1"/>
      <c r="H11" s="1"/>
      <c r="I11" s="1"/>
      <c r="J11" s="1"/>
      <c r="K11" s="1"/>
      <c r="L11" s="7">
        <f t="shared" si="1"/>
        <v>6</v>
      </c>
      <c r="M11" s="8">
        <v>45326.0</v>
      </c>
      <c r="N11" s="8">
        <f t="shared" si="2"/>
        <v>45332</v>
      </c>
      <c r="O11" s="2" t="str">
        <f t="shared" si="3"/>
        <v>De 4/2 até 10/2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3"/>
      <c r="D12" s="1"/>
      <c r="E12" s="1"/>
      <c r="F12" s="1"/>
      <c r="G12" s="1"/>
      <c r="H12" s="1"/>
      <c r="I12" s="1"/>
      <c r="J12" s="1"/>
      <c r="K12" s="1"/>
      <c r="L12" s="7">
        <f t="shared" si="1"/>
        <v>7</v>
      </c>
      <c r="M12" s="8">
        <v>45333.0</v>
      </c>
      <c r="N12" s="8">
        <f t="shared" si="2"/>
        <v>45339</v>
      </c>
      <c r="O12" s="2" t="str">
        <f t="shared" si="3"/>
        <v>De 11/2 até 17/2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3"/>
      <c r="D13" s="1"/>
      <c r="E13" s="1"/>
      <c r="F13" s="1"/>
      <c r="G13" s="1"/>
      <c r="H13" s="1"/>
      <c r="I13" s="1"/>
      <c r="J13" s="1"/>
      <c r="K13" s="1"/>
      <c r="L13" s="7">
        <f t="shared" si="1"/>
        <v>8</v>
      </c>
      <c r="M13" s="8">
        <v>45340.0</v>
      </c>
      <c r="N13" s="8">
        <f t="shared" si="2"/>
        <v>45346</v>
      </c>
      <c r="O13" s="2" t="str">
        <f t="shared" si="3"/>
        <v>De 18/2 até 24/2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3"/>
      <c r="D14" s="1"/>
      <c r="E14" s="1"/>
      <c r="F14" s="1"/>
      <c r="G14" s="1"/>
      <c r="H14" s="1"/>
      <c r="I14" s="1"/>
      <c r="J14" s="1"/>
      <c r="K14" s="1"/>
      <c r="L14" s="7">
        <f t="shared" si="1"/>
        <v>9</v>
      </c>
      <c r="M14" s="8">
        <v>45347.0</v>
      </c>
      <c r="N14" s="8">
        <f t="shared" si="2"/>
        <v>45353</v>
      </c>
      <c r="O14" s="2" t="str">
        <f t="shared" si="3"/>
        <v>De 25/2 até 2/3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>
        <v>1.0</v>
      </c>
      <c r="C15" s="3" t="s">
        <v>4</v>
      </c>
      <c r="D15" s="1"/>
      <c r="E15" s="1"/>
      <c r="F15" s="1"/>
      <c r="G15" s="1"/>
      <c r="H15" s="1"/>
      <c r="I15" s="1"/>
      <c r="J15" s="1"/>
      <c r="K15" s="1"/>
      <c r="L15" s="7">
        <f t="shared" si="1"/>
        <v>10</v>
      </c>
      <c r="M15" s="8">
        <v>45354.0</v>
      </c>
      <c r="N15" s="8">
        <f t="shared" si="2"/>
        <v>45360</v>
      </c>
      <c r="O15" s="2" t="str">
        <f t="shared" si="3"/>
        <v>De 3/3 até 9/3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>
        <v>2.0</v>
      </c>
      <c r="C16" s="3" t="s">
        <v>5</v>
      </c>
      <c r="D16" s="1"/>
      <c r="E16" s="1"/>
      <c r="F16" s="5">
        <v>1.0</v>
      </c>
      <c r="G16" s="5" t="s">
        <v>6</v>
      </c>
      <c r="H16" s="1"/>
      <c r="I16" s="1"/>
      <c r="J16" s="1"/>
      <c r="K16" s="1"/>
      <c r="L16" s="7">
        <f t="shared" si="1"/>
        <v>11</v>
      </c>
      <c r="M16" s="8">
        <v>45361.0</v>
      </c>
      <c r="N16" s="8">
        <f t="shared" si="2"/>
        <v>45367</v>
      </c>
      <c r="O16" s="2" t="str">
        <f t="shared" si="3"/>
        <v>De 10/3 até 16/3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>
        <v>3.0</v>
      </c>
      <c r="C17" s="3" t="s">
        <v>7</v>
      </c>
      <c r="D17" s="1"/>
      <c r="E17" s="1"/>
      <c r="F17" s="5">
        <v>2.0</v>
      </c>
      <c r="G17" s="5" t="s">
        <v>8</v>
      </c>
      <c r="H17" s="1"/>
      <c r="I17" s="1"/>
      <c r="J17" s="1"/>
      <c r="K17" s="1"/>
      <c r="L17" s="7">
        <f t="shared" si="1"/>
        <v>12</v>
      </c>
      <c r="M17" s="8">
        <v>45368.0</v>
      </c>
      <c r="N17" s="8">
        <f t="shared" si="2"/>
        <v>45374</v>
      </c>
      <c r="O17" s="2" t="str">
        <f t="shared" si="3"/>
        <v>De 17/3 até 23/3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>
        <v>4.0</v>
      </c>
      <c r="C18" s="3" t="s">
        <v>9</v>
      </c>
      <c r="D18" s="1"/>
      <c r="E18" s="1"/>
      <c r="F18" s="5">
        <v>3.0</v>
      </c>
      <c r="G18" s="5" t="s">
        <v>10</v>
      </c>
      <c r="H18" s="1"/>
      <c r="I18" s="1"/>
      <c r="J18" s="1"/>
      <c r="K18" s="1"/>
      <c r="L18" s="7">
        <f t="shared" si="1"/>
        <v>13</v>
      </c>
      <c r="M18" s="8">
        <v>45375.0</v>
      </c>
      <c r="N18" s="8">
        <f t="shared" si="2"/>
        <v>45381</v>
      </c>
      <c r="O18" s="2" t="str">
        <f t="shared" si="3"/>
        <v>De 24/3 até 30/3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>
        <v>5.0</v>
      </c>
      <c r="C19" s="3" t="s">
        <v>11</v>
      </c>
      <c r="D19" s="1"/>
      <c r="E19" s="1"/>
      <c r="F19" s="5">
        <v>4.0</v>
      </c>
      <c r="G19" s="5" t="s">
        <v>12</v>
      </c>
      <c r="H19" s="1"/>
      <c r="I19" s="1"/>
      <c r="J19" s="1"/>
      <c r="K19" s="1"/>
      <c r="L19" s="7">
        <f t="shared" si="1"/>
        <v>14</v>
      </c>
      <c r="M19" s="8">
        <v>45382.0</v>
      </c>
      <c r="N19" s="8">
        <f t="shared" si="2"/>
        <v>45388</v>
      </c>
      <c r="O19" s="2" t="str">
        <f t="shared" si="3"/>
        <v>De 31/3 até 6/4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>
        <v>6.0</v>
      </c>
      <c r="C20" s="3" t="s">
        <v>13</v>
      </c>
      <c r="D20" s="1"/>
      <c r="E20" s="1"/>
      <c r="F20" s="5">
        <v>5.0</v>
      </c>
      <c r="G20" s="5" t="s">
        <v>14</v>
      </c>
      <c r="H20" s="1"/>
      <c r="I20" s="1"/>
      <c r="J20" s="1"/>
      <c r="K20" s="1"/>
      <c r="L20" s="7">
        <f t="shared" si="1"/>
        <v>15</v>
      </c>
      <c r="M20" s="8">
        <v>45389.0</v>
      </c>
      <c r="N20" s="8">
        <f t="shared" si="2"/>
        <v>45395</v>
      </c>
      <c r="O20" s="2" t="str">
        <f t="shared" si="3"/>
        <v>De 7/4 até 13/4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>
        <v>7.0</v>
      </c>
      <c r="C21" s="3" t="s">
        <v>15</v>
      </c>
      <c r="D21" s="1"/>
      <c r="E21" s="1"/>
      <c r="F21" s="5">
        <v>6.0</v>
      </c>
      <c r="G21" s="5" t="s">
        <v>16</v>
      </c>
      <c r="H21" s="1"/>
      <c r="I21" s="1"/>
      <c r="J21" s="1"/>
      <c r="K21" s="1"/>
      <c r="L21" s="7">
        <f t="shared" si="1"/>
        <v>16</v>
      </c>
      <c r="M21" s="8">
        <v>45396.0</v>
      </c>
      <c r="N21" s="8">
        <f t="shared" si="2"/>
        <v>45402</v>
      </c>
      <c r="O21" s="2" t="str">
        <f t="shared" si="3"/>
        <v>De 14/4 até 20/4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5">
        <v>7.0</v>
      </c>
      <c r="G22" s="5" t="s">
        <v>17</v>
      </c>
      <c r="H22" s="1"/>
      <c r="I22" s="1"/>
      <c r="J22" s="1"/>
      <c r="K22" s="1"/>
      <c r="L22" s="7">
        <f t="shared" si="1"/>
        <v>17</v>
      </c>
      <c r="M22" s="8">
        <v>45403.0</v>
      </c>
      <c r="N22" s="8">
        <f t="shared" si="2"/>
        <v>45409</v>
      </c>
      <c r="O22" s="2" t="str">
        <f t="shared" si="3"/>
        <v>De 21/4 até 27/4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5">
        <v>8.0</v>
      </c>
      <c r="G23" s="5" t="s">
        <v>18</v>
      </c>
      <c r="H23" s="1"/>
      <c r="I23" s="1"/>
      <c r="J23" s="1"/>
      <c r="K23" s="1"/>
      <c r="L23" s="7">
        <f t="shared" si="1"/>
        <v>18</v>
      </c>
      <c r="M23" s="8">
        <v>45410.0</v>
      </c>
      <c r="N23" s="8">
        <f t="shared" si="2"/>
        <v>45416</v>
      </c>
      <c r="O23" s="2" t="str">
        <f t="shared" si="3"/>
        <v>De 28/4 até 4/5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5">
        <v>9.0</v>
      </c>
      <c r="G24" s="5" t="s">
        <v>19</v>
      </c>
      <c r="H24" s="1"/>
      <c r="I24" s="1"/>
      <c r="J24" s="1"/>
      <c r="K24" s="1"/>
      <c r="L24" s="7">
        <f t="shared" si="1"/>
        <v>19</v>
      </c>
      <c r="M24" s="8">
        <v>45417.0</v>
      </c>
      <c r="N24" s="8">
        <f t="shared" si="2"/>
        <v>45423</v>
      </c>
      <c r="O24" s="2" t="str">
        <f t="shared" si="3"/>
        <v>De 5/5 até 11/5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5">
        <v>10.0</v>
      </c>
      <c r="G25" s="5" t="s">
        <v>20</v>
      </c>
      <c r="H25" s="1"/>
      <c r="I25" s="1"/>
      <c r="J25" s="1"/>
      <c r="K25" s="1"/>
      <c r="L25" s="7">
        <f t="shared" si="1"/>
        <v>20</v>
      </c>
      <c r="M25" s="8">
        <v>45424.0</v>
      </c>
      <c r="N25" s="8">
        <f t="shared" si="2"/>
        <v>45430</v>
      </c>
      <c r="O25" s="2" t="str">
        <f t="shared" si="3"/>
        <v>De 12/5 até 18/5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5">
        <v>11.0</v>
      </c>
      <c r="G26" s="5" t="s">
        <v>21</v>
      </c>
      <c r="H26" s="1"/>
      <c r="I26" s="1"/>
      <c r="J26" s="1"/>
      <c r="K26" s="1"/>
      <c r="L26" s="7">
        <f t="shared" si="1"/>
        <v>21</v>
      </c>
      <c r="M26" s="8">
        <v>45431.0</v>
      </c>
      <c r="N26" s="8">
        <f t="shared" si="2"/>
        <v>45437</v>
      </c>
      <c r="O26" s="2" t="str">
        <f t="shared" si="3"/>
        <v>De 19/5 até 25/5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5">
        <v>12.0</v>
      </c>
      <c r="G27" s="5" t="s">
        <v>22</v>
      </c>
      <c r="H27" s="1"/>
      <c r="I27" s="1"/>
      <c r="J27" s="1"/>
      <c r="K27" s="1"/>
      <c r="L27" s="7">
        <f t="shared" si="1"/>
        <v>22</v>
      </c>
      <c r="M27" s="8">
        <v>45438.0</v>
      </c>
      <c r="N27" s="8">
        <f t="shared" si="2"/>
        <v>45444</v>
      </c>
      <c r="O27" s="2" t="str">
        <f t="shared" si="3"/>
        <v>De 26/5 até 1/6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7">
        <f t="shared" si="1"/>
        <v>23</v>
      </c>
      <c r="M28" s="8">
        <v>45445.0</v>
      </c>
      <c r="N28" s="8">
        <f t="shared" si="2"/>
        <v>45451</v>
      </c>
      <c r="O28" s="2" t="str">
        <f t="shared" si="3"/>
        <v>De 2/6 até 8/6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7">
        <f t="shared" si="1"/>
        <v>24</v>
      </c>
      <c r="M29" s="8">
        <v>45452.0</v>
      </c>
      <c r="N29" s="8">
        <f t="shared" si="2"/>
        <v>45458</v>
      </c>
      <c r="O29" s="2" t="str">
        <f t="shared" si="3"/>
        <v>De 9/6 até 15/6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7">
        <f t="shared" si="1"/>
        <v>25</v>
      </c>
      <c r="M30" s="8">
        <v>45459.0</v>
      </c>
      <c r="N30" s="8">
        <f t="shared" si="2"/>
        <v>45465</v>
      </c>
      <c r="O30" s="2" t="str">
        <f t="shared" si="3"/>
        <v>De 16/6 até 22/6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7">
        <f t="shared" si="1"/>
        <v>26</v>
      </c>
      <c r="M31" s="8">
        <v>45466.0</v>
      </c>
      <c r="N31" s="8">
        <f t="shared" si="2"/>
        <v>45472</v>
      </c>
      <c r="O31" s="2" t="str">
        <f t="shared" si="3"/>
        <v>De 23/6 até 29/6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7">
        <f t="shared" si="1"/>
        <v>27</v>
      </c>
      <c r="M32" s="8">
        <v>45473.0</v>
      </c>
      <c r="N32" s="8">
        <f t="shared" si="2"/>
        <v>45479</v>
      </c>
      <c r="O32" s="2" t="str">
        <f t="shared" si="3"/>
        <v>De 30/6 até 6/7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7">
        <f t="shared" si="1"/>
        <v>28</v>
      </c>
      <c r="M33" s="8">
        <v>45480.0</v>
      </c>
      <c r="N33" s="8">
        <f t="shared" si="2"/>
        <v>45486</v>
      </c>
      <c r="O33" s="2" t="str">
        <f t="shared" si="3"/>
        <v>De 7/7 até 13/7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7">
        <f t="shared" si="1"/>
        <v>29</v>
      </c>
      <c r="M34" s="8">
        <v>45487.0</v>
      </c>
      <c r="N34" s="8">
        <f t="shared" si="2"/>
        <v>45493</v>
      </c>
      <c r="O34" s="2" t="str">
        <f t="shared" si="3"/>
        <v>De 14/7 até 20/7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7">
        <f t="shared" si="1"/>
        <v>30</v>
      </c>
      <c r="M35" s="8">
        <v>45494.0</v>
      </c>
      <c r="N35" s="8">
        <f t="shared" si="2"/>
        <v>45500</v>
      </c>
      <c r="O35" s="2" t="str">
        <f t="shared" si="3"/>
        <v>De 21/7 até 27/7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7">
        <f t="shared" si="1"/>
        <v>31</v>
      </c>
      <c r="M36" s="8">
        <v>45501.0</v>
      </c>
      <c r="N36" s="8">
        <f t="shared" si="2"/>
        <v>45507</v>
      </c>
      <c r="O36" s="2" t="str">
        <f t="shared" si="3"/>
        <v>De 28/7 até 3/8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7">
        <f t="shared" si="1"/>
        <v>32</v>
      </c>
      <c r="M37" s="8">
        <v>45508.0</v>
      </c>
      <c r="N37" s="8">
        <f t="shared" si="2"/>
        <v>45514</v>
      </c>
      <c r="O37" s="2" t="str">
        <f t="shared" si="3"/>
        <v>De 4/8 até 10/8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7">
        <f t="shared" si="1"/>
        <v>33</v>
      </c>
      <c r="M38" s="8">
        <v>45515.0</v>
      </c>
      <c r="N38" s="8">
        <f t="shared" si="2"/>
        <v>45521</v>
      </c>
      <c r="O38" s="2" t="str">
        <f t="shared" si="3"/>
        <v>De 11/8 até 17/8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7">
        <f t="shared" si="1"/>
        <v>34</v>
      </c>
      <c r="M39" s="8">
        <v>45522.0</v>
      </c>
      <c r="N39" s="8">
        <f t="shared" si="2"/>
        <v>45528</v>
      </c>
      <c r="O39" s="2" t="str">
        <f t="shared" si="3"/>
        <v>De 18/8 até 24/8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7">
        <f t="shared" si="1"/>
        <v>35</v>
      </c>
      <c r="M40" s="8">
        <v>45529.0</v>
      </c>
      <c r="N40" s="8">
        <f t="shared" si="2"/>
        <v>45535</v>
      </c>
      <c r="O40" s="2" t="str">
        <f t="shared" si="3"/>
        <v>De 25/8 até 31/8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7">
        <f t="shared" si="1"/>
        <v>36</v>
      </c>
      <c r="M41" s="8">
        <v>45536.0</v>
      </c>
      <c r="N41" s="8">
        <f t="shared" si="2"/>
        <v>45542</v>
      </c>
      <c r="O41" s="2" t="str">
        <f t="shared" si="3"/>
        <v>De 1/9 até 7/9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7">
        <f t="shared" si="1"/>
        <v>37</v>
      </c>
      <c r="M42" s="8">
        <v>45543.0</v>
      </c>
      <c r="N42" s="8">
        <f t="shared" si="2"/>
        <v>45549</v>
      </c>
      <c r="O42" s="2" t="str">
        <f t="shared" si="3"/>
        <v>De 8/9 até 14/9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7">
        <f t="shared" si="1"/>
        <v>38</v>
      </c>
      <c r="M43" s="8">
        <v>45550.0</v>
      </c>
      <c r="N43" s="8">
        <f t="shared" si="2"/>
        <v>45556</v>
      </c>
      <c r="O43" s="2" t="str">
        <f t="shared" si="3"/>
        <v>De 15/9 até 21/9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7">
        <f t="shared" si="1"/>
        <v>39</v>
      </c>
      <c r="M44" s="8">
        <v>45557.0</v>
      </c>
      <c r="N44" s="8">
        <f t="shared" si="2"/>
        <v>45563</v>
      </c>
      <c r="O44" s="2" t="str">
        <f t="shared" si="3"/>
        <v>De 22/9 até 28/9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7">
        <f t="shared" si="1"/>
        <v>40</v>
      </c>
      <c r="M45" s="8">
        <v>45564.0</v>
      </c>
      <c r="N45" s="8">
        <f t="shared" si="2"/>
        <v>45570</v>
      </c>
      <c r="O45" s="2" t="str">
        <f t="shared" si="3"/>
        <v>De 29/9 até 5/10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7">
        <f t="shared" si="1"/>
        <v>41</v>
      </c>
      <c r="M46" s="8">
        <v>45571.0</v>
      </c>
      <c r="N46" s="8">
        <f t="shared" si="2"/>
        <v>45577</v>
      </c>
      <c r="O46" s="2" t="str">
        <f t="shared" si="3"/>
        <v>De 6/10 até 12/10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7">
        <f t="shared" si="1"/>
        <v>42</v>
      </c>
      <c r="M47" s="8">
        <v>45578.0</v>
      </c>
      <c r="N47" s="8">
        <f t="shared" si="2"/>
        <v>45584</v>
      </c>
      <c r="O47" s="2" t="str">
        <f t="shared" si="3"/>
        <v>De 13/10 até 19/10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7">
        <f t="shared" si="1"/>
        <v>43</v>
      </c>
      <c r="M48" s="8">
        <v>45585.0</v>
      </c>
      <c r="N48" s="8">
        <f t="shared" si="2"/>
        <v>45591</v>
      </c>
      <c r="O48" s="2" t="str">
        <f t="shared" si="3"/>
        <v>De 20/10 até 26/10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7">
        <f t="shared" si="1"/>
        <v>44</v>
      </c>
      <c r="M49" s="8">
        <v>45592.0</v>
      </c>
      <c r="N49" s="8">
        <f t="shared" si="2"/>
        <v>45598</v>
      </c>
      <c r="O49" s="2" t="str">
        <f t="shared" si="3"/>
        <v>De 27/10 até 2/11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7">
        <f t="shared" si="1"/>
        <v>45</v>
      </c>
      <c r="M50" s="8">
        <v>45599.0</v>
      </c>
      <c r="N50" s="8">
        <f t="shared" si="2"/>
        <v>45605</v>
      </c>
      <c r="O50" s="2" t="str">
        <f t="shared" si="3"/>
        <v>De 3/11 até 9/11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7">
        <f t="shared" si="1"/>
        <v>46</v>
      </c>
      <c r="M51" s="8">
        <v>45606.0</v>
      </c>
      <c r="N51" s="8">
        <f t="shared" si="2"/>
        <v>45612</v>
      </c>
      <c r="O51" s="2" t="str">
        <f t="shared" si="3"/>
        <v>De 10/11 até 16/11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7">
        <f t="shared" si="1"/>
        <v>47</v>
      </c>
      <c r="M52" s="8">
        <v>45613.0</v>
      </c>
      <c r="N52" s="8">
        <f t="shared" si="2"/>
        <v>45619</v>
      </c>
      <c r="O52" s="2" t="str">
        <f t="shared" si="3"/>
        <v>De 17/11 até 23/11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7">
        <f t="shared" si="1"/>
        <v>48</v>
      </c>
      <c r="M53" s="8">
        <v>45620.0</v>
      </c>
      <c r="N53" s="8">
        <f t="shared" si="2"/>
        <v>45626</v>
      </c>
      <c r="O53" s="2" t="str">
        <f t="shared" si="3"/>
        <v>De 24/11 até 30/11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7">
        <f t="shared" si="1"/>
        <v>49</v>
      </c>
      <c r="M54" s="8">
        <v>45627.0</v>
      </c>
      <c r="N54" s="8">
        <f t="shared" si="2"/>
        <v>45633</v>
      </c>
      <c r="O54" s="2" t="str">
        <f t="shared" si="3"/>
        <v>De 1/12 até 7/12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7">
        <f t="shared" si="1"/>
        <v>50</v>
      </c>
      <c r="M55" s="8">
        <v>45634.0</v>
      </c>
      <c r="N55" s="8">
        <f t="shared" si="2"/>
        <v>45640</v>
      </c>
      <c r="O55" s="2" t="str">
        <f t="shared" si="3"/>
        <v>De 8/12 até 14/12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7">
        <f t="shared" si="1"/>
        <v>51</v>
      </c>
      <c r="M56" s="8">
        <v>45641.0</v>
      </c>
      <c r="N56" s="8">
        <f t="shared" si="2"/>
        <v>45647</v>
      </c>
      <c r="O56" s="2" t="str">
        <f t="shared" si="3"/>
        <v>De 15/12 até 21/12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7">
        <f t="shared" si="1"/>
        <v>52</v>
      </c>
      <c r="M57" s="8">
        <v>45648.0</v>
      </c>
      <c r="N57" s="8">
        <f t="shared" si="2"/>
        <v>45654</v>
      </c>
      <c r="O57" s="2" t="str">
        <f t="shared" si="3"/>
        <v>De 22/12 até 28/12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7">
        <f t="shared" si="1"/>
        <v>53</v>
      </c>
      <c r="M58" s="8">
        <v>45655.0</v>
      </c>
      <c r="N58" s="8">
        <f t="shared" si="2"/>
        <v>45661</v>
      </c>
      <c r="O58" s="2" t="str">
        <f t="shared" si="3"/>
        <v>De 29/12 até 4/1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4"/>
      <c r="N59" s="2"/>
      <c r="O59" s="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4"/>
      <c r="N60" s="2"/>
      <c r="O60" s="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4"/>
      <c r="N61" s="2"/>
      <c r="O61" s="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2"/>
      <c r="N62" s="2"/>
      <c r="O62" s="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2"/>
      <c r="N63" s="2"/>
      <c r="O63" s="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2"/>
      <c r="N64" s="2"/>
      <c r="O64" s="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2"/>
      <c r="N65" s="2"/>
      <c r="O65" s="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2"/>
      <c r="N66" s="2"/>
      <c r="O66" s="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2"/>
      <c r="N67" s="2"/>
      <c r="O67" s="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2"/>
      <c r="N68" s="2"/>
      <c r="O68" s="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2"/>
      <c r="N69" s="2"/>
      <c r="O69" s="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2"/>
      <c r="N70" s="2"/>
      <c r="O70" s="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2"/>
      <c r="N71" s="2"/>
      <c r="O71" s="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2"/>
      <c r="N72" s="2"/>
      <c r="O72" s="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2"/>
      <c r="N73" s="2"/>
      <c r="O73" s="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2"/>
      <c r="N74" s="2"/>
      <c r="O74" s="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2"/>
      <c r="N75" s="2"/>
      <c r="O75" s="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2"/>
      <c r="N76" s="2"/>
      <c r="O76" s="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2"/>
      <c r="N77" s="2"/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2"/>
      <c r="N78" s="2"/>
      <c r="O78" s="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2"/>
      <c r="N79" s="2"/>
      <c r="O79" s="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2"/>
      <c r="N80" s="2"/>
      <c r="O80" s="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2"/>
      <c r="N81" s="2"/>
      <c r="O81" s="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2"/>
      <c r="N82" s="2"/>
      <c r="O82" s="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2"/>
      <c r="N83" s="2"/>
      <c r="O83" s="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2"/>
      <c r="N84" s="2"/>
      <c r="O84" s="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2"/>
      <c r="N85" s="2"/>
      <c r="O85" s="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2"/>
      <c r="N86" s="2"/>
      <c r="O86" s="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2"/>
      <c r="N87" s="2"/>
      <c r="O87" s="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2"/>
      <c r="N88" s="2"/>
      <c r="O88" s="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2"/>
      <c r="N89" s="2"/>
      <c r="O89" s="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2"/>
      <c r="N90" s="2"/>
      <c r="O90" s="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2"/>
      <c r="N91" s="2"/>
      <c r="O91" s="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2"/>
      <c r="N92" s="2"/>
      <c r="O92" s="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2"/>
      <c r="N93" s="2"/>
      <c r="O93" s="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2"/>
      <c r="N94" s="2"/>
      <c r="O94" s="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2"/>
      <c r="N95" s="2"/>
      <c r="O95" s="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2"/>
      <c r="N96" s="2"/>
      <c r="O96" s="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2"/>
      <c r="N97" s="2"/>
      <c r="O97" s="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2"/>
      <c r="N98" s="2"/>
      <c r="O98" s="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2"/>
      <c r="N99" s="2"/>
      <c r="O99" s="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2"/>
      <c r="N100" s="2"/>
      <c r="O100" s="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2"/>
      <c r="N101" s="2"/>
      <c r="O101" s="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2"/>
      <c r="N102" s="2"/>
      <c r="O102" s="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2"/>
      <c r="N103" s="2"/>
      <c r="O103" s="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2"/>
      <c r="N104" s="2"/>
      <c r="O104" s="2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2"/>
      <c r="N105" s="2"/>
      <c r="O105" s="2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2"/>
      <c r="N106" s="2"/>
      <c r="O106" s="2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2"/>
      <c r="N107" s="2"/>
      <c r="O107" s="2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2"/>
      <c r="N108" s="2"/>
      <c r="O108" s="2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2"/>
      <c r="N109" s="2"/>
      <c r="O109" s="2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2"/>
      <c r="N110" s="2"/>
      <c r="O110" s="2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2"/>
      <c r="N111" s="2"/>
      <c r="O111" s="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2"/>
      <c r="N112" s="2"/>
      <c r="O112" s="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2"/>
      <c r="N113" s="2"/>
      <c r="O113" s="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2"/>
      <c r="N114" s="2"/>
      <c r="O114" s="2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2"/>
      <c r="N115" s="2"/>
      <c r="O115" s="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2"/>
      <c r="N116" s="2"/>
      <c r="O116" s="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2"/>
      <c r="N117" s="2"/>
      <c r="O117" s="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2"/>
      <c r="N118" s="2"/>
      <c r="O118" s="2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2"/>
      <c r="N119" s="2"/>
      <c r="O119" s="2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2"/>
      <c r="N120" s="2"/>
      <c r="O120" s="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2"/>
      <c r="N121" s="2"/>
      <c r="O121" s="2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2"/>
      <c r="N122" s="2"/>
      <c r="O122" s="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2"/>
      <c r="N123" s="2"/>
      <c r="O123" s="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2"/>
      <c r="N124" s="2"/>
      <c r="O124" s="2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2"/>
      <c r="N125" s="2"/>
      <c r="O125" s="2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2"/>
      <c r="N126" s="2"/>
      <c r="O126" s="2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2"/>
      <c r="N127" s="2"/>
      <c r="O127" s="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2"/>
      <c r="N128" s="2"/>
      <c r="O128" s="2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2"/>
      <c r="N129" s="2"/>
      <c r="O129" s="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2"/>
      <c r="N130" s="2"/>
      <c r="O130" s="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2"/>
      <c r="N131" s="2"/>
      <c r="O131" s="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2"/>
      <c r="N132" s="2"/>
      <c r="O132" s="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2"/>
      <c r="N133" s="2"/>
      <c r="O133" s="2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2"/>
      <c r="N134" s="2"/>
      <c r="O134" s="2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2"/>
      <c r="N135" s="2"/>
      <c r="O135" s="2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2"/>
      <c r="N136" s="2"/>
      <c r="O136" s="2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2"/>
      <c r="N137" s="2"/>
      <c r="O137" s="2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2"/>
      <c r="N138" s="2"/>
      <c r="O138" s="2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2"/>
      <c r="N139" s="2"/>
      <c r="O139" s="2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2"/>
      <c r="N140" s="2"/>
      <c r="O140" s="2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2"/>
      <c r="N141" s="2"/>
      <c r="O141" s="2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2"/>
      <c r="N142" s="2"/>
      <c r="O142" s="2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2"/>
      <c r="N143" s="2"/>
      <c r="O143" s="2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2"/>
      <c r="N144" s="2"/>
      <c r="O144" s="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2"/>
      <c r="N145" s="2"/>
      <c r="O145" s="2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2"/>
      <c r="N146" s="2"/>
      <c r="O146" s="2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2"/>
      <c r="N147" s="2"/>
      <c r="O147" s="2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2"/>
      <c r="N148" s="2"/>
      <c r="O148" s="2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2"/>
      <c r="N149" s="2"/>
      <c r="O149" s="2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2"/>
      <c r="N150" s="2"/>
      <c r="O150" s="2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2"/>
      <c r="N151" s="2"/>
      <c r="O151" s="2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2"/>
      <c r="N152" s="2"/>
      <c r="O152" s="2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2"/>
      <c r="N153" s="2"/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2"/>
      <c r="N154" s="2"/>
      <c r="O154" s="2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2"/>
      <c r="N155" s="2"/>
      <c r="O155" s="2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2"/>
      <c r="N156" s="2"/>
      <c r="O156" s="2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2"/>
      <c r="N157" s="2"/>
      <c r="O157" s="2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2"/>
      <c r="N158" s="2"/>
      <c r="O158" s="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2"/>
      <c r="N159" s="2"/>
      <c r="O159" s="2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2"/>
      <c r="N160" s="2"/>
      <c r="O160" s="2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2"/>
      <c r="N161" s="2"/>
      <c r="O161" s="2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2"/>
      <c r="N162" s="2"/>
      <c r="O162" s="2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2"/>
      <c r="N163" s="2"/>
      <c r="O163" s="2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2"/>
      <c r="N164" s="2"/>
      <c r="O164" s="2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2"/>
      <c r="N165" s="2"/>
      <c r="O165" s="2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2"/>
      <c r="N166" s="2"/>
      <c r="O166" s="2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2"/>
      <c r="N167" s="2"/>
      <c r="O167" s="2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2"/>
      <c r="N168" s="2"/>
      <c r="O168" s="2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2"/>
      <c r="N169" s="2"/>
      <c r="O169" s="2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2"/>
      <c r="N170" s="2"/>
      <c r="O170" s="2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2"/>
      <c r="N171" s="2"/>
      <c r="O171" s="2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2"/>
      <c r="N172" s="2"/>
      <c r="O172" s="2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2"/>
      <c r="N173" s="2"/>
      <c r="O173" s="2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2"/>
      <c r="N174" s="2"/>
      <c r="O174" s="2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2"/>
      <c r="N175" s="2"/>
      <c r="O175" s="2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2"/>
      <c r="N176" s="2"/>
      <c r="O176" s="2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2"/>
      <c r="N177" s="2"/>
      <c r="O177" s="2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2"/>
      <c r="N178" s="2"/>
      <c r="O178" s="2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2"/>
      <c r="N179" s="2"/>
      <c r="O179" s="2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2"/>
      <c r="N180" s="2"/>
      <c r="O180" s="2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2"/>
      <c r="N181" s="2"/>
      <c r="O181" s="2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2"/>
      <c r="N182" s="2"/>
      <c r="O182" s="2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2"/>
      <c r="N183" s="2"/>
      <c r="O183" s="2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2"/>
      <c r="N184" s="2"/>
      <c r="O184" s="2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2"/>
      <c r="N185" s="2"/>
      <c r="O185" s="2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2"/>
      <c r="N186" s="2"/>
      <c r="O186" s="2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2"/>
      <c r="N187" s="2"/>
      <c r="O187" s="2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2"/>
      <c r="N188" s="2"/>
      <c r="O188" s="2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2"/>
      <c r="N189" s="2"/>
      <c r="O189" s="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2"/>
      <c r="N190" s="2"/>
      <c r="O190" s="2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2"/>
      <c r="N191" s="2"/>
      <c r="O191" s="2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2"/>
      <c r="N192" s="2"/>
      <c r="O192" s="2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2"/>
      <c r="N193" s="2"/>
      <c r="O193" s="2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2"/>
      <c r="N194" s="2"/>
      <c r="O194" s="2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2"/>
      <c r="N195" s="2"/>
      <c r="O195" s="2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2"/>
      <c r="N196" s="2"/>
      <c r="O196" s="2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2"/>
      <c r="N197" s="2"/>
      <c r="O197" s="2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2"/>
      <c r="N198" s="2"/>
      <c r="O198" s="2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2"/>
      <c r="N199" s="2"/>
      <c r="O199" s="2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2"/>
      <c r="N200" s="2"/>
      <c r="O200" s="2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2"/>
      <c r="N201" s="2"/>
      <c r="O201" s="2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2"/>
      <c r="N202" s="2"/>
      <c r="O202" s="2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2"/>
      <c r="N203" s="2"/>
      <c r="O203" s="2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2"/>
      <c r="N204" s="2"/>
      <c r="O204" s="2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2"/>
      <c r="N205" s="2"/>
      <c r="O205" s="2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2"/>
      <c r="N206" s="2"/>
      <c r="O206" s="2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2"/>
      <c r="N207" s="2"/>
      <c r="O207" s="2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2"/>
      <c r="N208" s="2"/>
      <c r="O208" s="2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2"/>
      <c r="N209" s="2"/>
      <c r="O209" s="2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2"/>
      <c r="N210" s="2"/>
      <c r="O210" s="2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2"/>
      <c r="N211" s="2"/>
      <c r="O211" s="2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2"/>
      <c r="N212" s="2"/>
      <c r="O212" s="2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2"/>
      <c r="N213" s="2"/>
      <c r="O213" s="2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2"/>
      <c r="N214" s="2"/>
      <c r="O214" s="2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2"/>
      <c r="N215" s="2"/>
      <c r="O215" s="2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2"/>
      <c r="N216" s="2"/>
      <c r="O216" s="2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2"/>
      <c r="N217" s="2"/>
      <c r="O217" s="2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2"/>
      <c r="N218" s="2"/>
      <c r="O218" s="2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2"/>
      <c r="N219" s="2"/>
      <c r="O219" s="2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2"/>
      <c r="N220" s="2"/>
      <c r="O220" s="2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2"/>
      <c r="N221" s="2"/>
      <c r="O221" s="2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2"/>
      <c r="N222" s="2"/>
      <c r="O222" s="2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2"/>
      <c r="N223" s="2"/>
      <c r="O223" s="2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2"/>
      <c r="N224" s="2"/>
      <c r="O224" s="2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2"/>
      <c r="N225" s="2"/>
      <c r="O225" s="2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2"/>
      <c r="N226" s="2"/>
      <c r="O226" s="2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2"/>
      <c r="N227" s="2"/>
      <c r="O227" s="2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2"/>
      <c r="N228" s="2"/>
      <c r="O228" s="2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2"/>
      <c r="N229" s="2"/>
      <c r="O229" s="2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2"/>
      <c r="N230" s="2"/>
      <c r="O230" s="2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2"/>
      <c r="N231" s="2"/>
      <c r="O231" s="2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2"/>
      <c r="N232" s="2"/>
      <c r="O232" s="2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2"/>
      <c r="N233" s="2"/>
      <c r="O233" s="2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2"/>
      <c r="N234" s="2"/>
      <c r="O234" s="2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2"/>
      <c r="N235" s="2"/>
      <c r="O235" s="2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2"/>
      <c r="N236" s="2"/>
      <c r="O236" s="2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2"/>
      <c r="N237" s="2"/>
      <c r="O237" s="2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2"/>
      <c r="N238" s="2"/>
      <c r="O238" s="2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2"/>
      <c r="N239" s="2"/>
      <c r="O239" s="2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2"/>
      <c r="N240" s="2"/>
      <c r="O240" s="2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2"/>
      <c r="N241" s="2"/>
      <c r="O241" s="2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2"/>
      <c r="N242" s="2"/>
      <c r="O242" s="2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2"/>
      <c r="N243" s="2"/>
      <c r="O243" s="2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2"/>
      <c r="N244" s="2"/>
      <c r="O244" s="2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2"/>
      <c r="N245" s="2"/>
      <c r="O245" s="2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2"/>
      <c r="N246" s="2"/>
      <c r="O246" s="2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2"/>
      <c r="N247" s="2"/>
      <c r="O247" s="2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2"/>
      <c r="N248" s="2"/>
      <c r="O248" s="2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2"/>
      <c r="N249" s="2"/>
      <c r="O249" s="2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2"/>
      <c r="N250" s="2"/>
      <c r="O250" s="2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2"/>
      <c r="N251" s="2"/>
      <c r="O251" s="2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2"/>
      <c r="N252" s="2"/>
      <c r="O252" s="2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2"/>
      <c r="N253" s="2"/>
      <c r="O253" s="2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2"/>
      <c r="N254" s="2"/>
      <c r="O254" s="2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2"/>
      <c r="N255" s="2"/>
      <c r="O255" s="2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2"/>
      <c r="N256" s="2"/>
      <c r="O256" s="2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2"/>
      <c r="N257" s="2"/>
      <c r="O257" s="2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2"/>
      <c r="N258" s="2"/>
      <c r="O258" s="2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2"/>
      <c r="N259" s="2"/>
      <c r="O259" s="2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2"/>
      <c r="N260" s="2"/>
      <c r="O260" s="2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2"/>
      <c r="N261" s="2"/>
      <c r="O261" s="2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2"/>
      <c r="N262" s="2"/>
      <c r="O262" s="2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2"/>
      <c r="N263" s="2"/>
      <c r="O263" s="2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2"/>
      <c r="N264" s="2"/>
      <c r="O264" s="2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2"/>
      <c r="N265" s="2"/>
      <c r="O265" s="2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2"/>
      <c r="N266" s="2"/>
      <c r="O266" s="2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2"/>
      <c r="N267" s="2"/>
      <c r="O267" s="2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2"/>
      <c r="N268" s="2"/>
      <c r="O268" s="2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2"/>
      <c r="N269" s="2"/>
      <c r="O269" s="2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2"/>
      <c r="N270" s="2"/>
      <c r="O270" s="2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2"/>
      <c r="N271" s="2"/>
      <c r="O271" s="2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2"/>
      <c r="N272" s="2"/>
      <c r="O272" s="2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2"/>
      <c r="N273" s="2"/>
      <c r="O273" s="2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2"/>
      <c r="N274" s="2"/>
      <c r="O274" s="2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2"/>
      <c r="N275" s="2"/>
      <c r="O275" s="2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2"/>
      <c r="N276" s="2"/>
      <c r="O276" s="2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2"/>
      <c r="N277" s="2"/>
      <c r="O277" s="2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2"/>
      <c r="N278" s="2"/>
      <c r="O278" s="2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2"/>
      <c r="N279" s="2"/>
      <c r="O279" s="2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2"/>
      <c r="N280" s="2"/>
      <c r="O280" s="2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2"/>
      <c r="N281" s="2"/>
      <c r="O281" s="2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2"/>
      <c r="N282" s="2"/>
      <c r="O282" s="2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2"/>
      <c r="N283" s="2"/>
      <c r="O283" s="2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2"/>
      <c r="N284" s="2"/>
      <c r="O284" s="2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2"/>
      <c r="N285" s="2"/>
      <c r="O285" s="2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2"/>
      <c r="N286" s="2"/>
      <c r="O286" s="2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2"/>
      <c r="N287" s="2"/>
      <c r="O287" s="2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2"/>
      <c r="N288" s="2"/>
      <c r="O288" s="2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2"/>
      <c r="N289" s="2"/>
      <c r="O289" s="2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2"/>
      <c r="N290" s="2"/>
      <c r="O290" s="2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2"/>
      <c r="N291" s="2"/>
      <c r="O291" s="2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2"/>
      <c r="N292" s="2"/>
      <c r="O292" s="2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2"/>
      <c r="N293" s="2"/>
      <c r="O293" s="2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2"/>
      <c r="N294" s="2"/>
      <c r="O294" s="2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2"/>
      <c r="N295" s="2"/>
      <c r="O295" s="2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2"/>
      <c r="N296" s="2"/>
      <c r="O296" s="2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2"/>
      <c r="N297" s="2"/>
      <c r="O297" s="2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2"/>
      <c r="N298" s="2"/>
      <c r="O298" s="2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2"/>
      <c r="N299" s="2"/>
      <c r="O299" s="2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2"/>
      <c r="N300" s="2"/>
      <c r="O300" s="2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2"/>
      <c r="N301" s="2"/>
      <c r="O301" s="2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2"/>
      <c r="N302" s="2"/>
      <c r="O302" s="2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2"/>
      <c r="N303" s="2"/>
      <c r="O303" s="2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2"/>
      <c r="N304" s="2"/>
      <c r="O304" s="2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2"/>
      <c r="N305" s="2"/>
      <c r="O305" s="2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2"/>
      <c r="N306" s="2"/>
      <c r="O306" s="2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2"/>
      <c r="N307" s="2"/>
      <c r="O307" s="2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2"/>
      <c r="N308" s="2"/>
      <c r="O308" s="2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2"/>
      <c r="N309" s="2"/>
      <c r="O309" s="2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2"/>
      <c r="N310" s="2"/>
      <c r="O310" s="2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2"/>
      <c r="N311" s="2"/>
      <c r="O311" s="2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2"/>
      <c r="N312" s="2"/>
      <c r="O312" s="2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2"/>
      <c r="N313" s="2"/>
      <c r="O313" s="2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2"/>
      <c r="N314" s="2"/>
      <c r="O314" s="2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2"/>
      <c r="N315" s="2"/>
      <c r="O315" s="2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2"/>
      <c r="N316" s="2"/>
      <c r="O316" s="2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2"/>
      <c r="N317" s="2"/>
      <c r="O317" s="2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2"/>
      <c r="N318" s="2"/>
      <c r="O318" s="2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2"/>
      <c r="N319" s="2"/>
      <c r="O319" s="2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2"/>
      <c r="N320" s="2"/>
      <c r="O320" s="2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2"/>
      <c r="N321" s="2"/>
      <c r="O321" s="2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2"/>
      <c r="N322" s="2"/>
      <c r="O322" s="2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2"/>
      <c r="N323" s="2"/>
      <c r="O323" s="2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2"/>
      <c r="N324" s="2"/>
      <c r="O324" s="2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2"/>
      <c r="N325" s="2"/>
      <c r="O325" s="2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2"/>
      <c r="N326" s="2"/>
      <c r="O326" s="2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2"/>
      <c r="N327" s="2"/>
      <c r="O327" s="2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2"/>
      <c r="N328" s="2"/>
      <c r="O328" s="2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2"/>
      <c r="N329" s="2"/>
      <c r="O329" s="2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2"/>
      <c r="N330" s="2"/>
      <c r="O330" s="2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2"/>
      <c r="N331" s="2"/>
      <c r="O331" s="2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2"/>
      <c r="N332" s="2"/>
      <c r="O332" s="2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2"/>
      <c r="N333" s="2"/>
      <c r="O333" s="2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2"/>
      <c r="N334" s="2"/>
      <c r="O334" s="2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2"/>
      <c r="N335" s="2"/>
      <c r="O335" s="2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2"/>
      <c r="N336" s="2"/>
      <c r="O336" s="2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2"/>
      <c r="N337" s="2"/>
      <c r="O337" s="2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2"/>
      <c r="N338" s="2"/>
      <c r="O338" s="2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2"/>
      <c r="N339" s="2"/>
      <c r="O339" s="2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2"/>
      <c r="N340" s="2"/>
      <c r="O340" s="2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2"/>
      <c r="N341" s="2"/>
      <c r="O341" s="2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2"/>
      <c r="N342" s="2"/>
      <c r="O342" s="2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2"/>
      <c r="N343" s="2"/>
      <c r="O343" s="2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2"/>
      <c r="N344" s="2"/>
      <c r="O344" s="2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2"/>
      <c r="N345" s="2"/>
      <c r="O345" s="2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2"/>
      <c r="N346" s="2"/>
      <c r="O346" s="2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2"/>
      <c r="N347" s="2"/>
      <c r="O347" s="2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2"/>
      <c r="N348" s="2"/>
      <c r="O348" s="2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2"/>
      <c r="N349" s="2"/>
      <c r="O349" s="2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2"/>
      <c r="N350" s="2"/>
      <c r="O350" s="2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2"/>
      <c r="N351" s="2"/>
      <c r="O351" s="2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2"/>
      <c r="N352" s="2"/>
      <c r="O352" s="2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2"/>
      <c r="N353" s="2"/>
      <c r="O353" s="2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2"/>
      <c r="N354" s="2"/>
      <c r="O354" s="2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2"/>
      <c r="N355" s="2"/>
      <c r="O355" s="2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2"/>
      <c r="N356" s="2"/>
      <c r="O356" s="2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2"/>
      <c r="N357" s="2"/>
      <c r="O357" s="2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2"/>
      <c r="N358" s="2"/>
      <c r="O358" s="2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2"/>
      <c r="N359" s="2"/>
      <c r="O359" s="2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2"/>
      <c r="N360" s="2"/>
      <c r="O360" s="2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2"/>
      <c r="N361" s="2"/>
      <c r="O361" s="2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2"/>
      <c r="N362" s="2"/>
      <c r="O362" s="2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2"/>
      <c r="N363" s="2"/>
      <c r="O363" s="2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2"/>
      <c r="N364" s="2"/>
      <c r="O364" s="2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2"/>
      <c r="N365" s="2"/>
      <c r="O365" s="2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2"/>
      <c r="N366" s="2"/>
      <c r="O366" s="2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2"/>
      <c r="N367" s="2"/>
      <c r="O367" s="2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2"/>
      <c r="N368" s="2"/>
      <c r="O368" s="2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2"/>
      <c r="N369" s="2"/>
      <c r="O369" s="2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2"/>
      <c r="N370" s="2"/>
      <c r="O370" s="2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2"/>
      <c r="N371" s="2"/>
      <c r="O371" s="2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2"/>
      <c r="N372" s="2"/>
      <c r="O372" s="2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2"/>
      <c r="N373" s="2"/>
      <c r="O373" s="2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2"/>
      <c r="N374" s="2"/>
      <c r="O374" s="2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2"/>
      <c r="N375" s="2"/>
      <c r="O375" s="2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2"/>
      <c r="N376" s="2"/>
      <c r="O376" s="2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2"/>
      <c r="N377" s="2"/>
      <c r="O377" s="2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2"/>
      <c r="N378" s="2"/>
      <c r="O378" s="2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2"/>
      <c r="N379" s="2"/>
      <c r="O379" s="2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2"/>
      <c r="N380" s="2"/>
      <c r="O380" s="2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2"/>
      <c r="N381" s="2"/>
      <c r="O381" s="2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2"/>
      <c r="N382" s="2"/>
      <c r="O382" s="2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2"/>
      <c r="N383" s="2"/>
      <c r="O383" s="2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2"/>
      <c r="N384" s="2"/>
      <c r="O384" s="2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2"/>
      <c r="N385" s="2"/>
      <c r="O385" s="2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2"/>
      <c r="N386" s="2"/>
      <c r="O386" s="2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2"/>
      <c r="N387" s="2"/>
      <c r="O387" s="2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2"/>
      <c r="N388" s="2"/>
      <c r="O388" s="2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2"/>
      <c r="N389" s="2"/>
      <c r="O389" s="2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2"/>
      <c r="N390" s="2"/>
      <c r="O390" s="2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2"/>
      <c r="N391" s="2"/>
      <c r="O391" s="2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2"/>
      <c r="N392" s="2"/>
      <c r="O392" s="2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2"/>
      <c r="N393" s="2"/>
      <c r="O393" s="2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2"/>
      <c r="N394" s="2"/>
      <c r="O394" s="2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2"/>
      <c r="N395" s="2"/>
      <c r="O395" s="2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2"/>
      <c r="N396" s="2"/>
      <c r="O396" s="2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2"/>
      <c r="N397" s="2"/>
      <c r="O397" s="2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2"/>
      <c r="N398" s="2"/>
      <c r="O398" s="2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2"/>
      <c r="N399" s="2"/>
      <c r="O399" s="2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2"/>
      <c r="N400" s="2"/>
      <c r="O400" s="2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2"/>
      <c r="N401" s="2"/>
      <c r="O401" s="2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2"/>
      <c r="N402" s="2"/>
      <c r="O402" s="2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2"/>
      <c r="N403" s="2"/>
      <c r="O403" s="2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2"/>
      <c r="N404" s="2"/>
      <c r="O404" s="2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2"/>
      <c r="N405" s="2"/>
      <c r="O405" s="2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2"/>
      <c r="N406" s="2"/>
      <c r="O406" s="2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2"/>
      <c r="N407" s="2"/>
      <c r="O407" s="2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2"/>
      <c r="N408" s="2"/>
      <c r="O408" s="2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2"/>
      <c r="N409" s="2"/>
      <c r="O409" s="2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2"/>
      <c r="N410" s="2"/>
      <c r="O410" s="2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2"/>
      <c r="N411" s="2"/>
      <c r="O411" s="2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2"/>
      <c r="N412" s="2"/>
      <c r="O412" s="2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2"/>
      <c r="N413" s="2"/>
      <c r="O413" s="2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2"/>
      <c r="N414" s="2"/>
      <c r="O414" s="2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2"/>
      <c r="N415" s="2"/>
      <c r="O415" s="2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2"/>
      <c r="N416" s="2"/>
      <c r="O416" s="2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2"/>
      <c r="N417" s="2"/>
      <c r="O417" s="2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2"/>
      <c r="N418" s="2"/>
      <c r="O418" s="2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2"/>
      <c r="N419" s="2"/>
      <c r="O419" s="2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2"/>
      <c r="N420" s="2"/>
      <c r="O420" s="2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2"/>
      <c r="N421" s="2"/>
      <c r="O421" s="2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2"/>
      <c r="N422" s="2"/>
      <c r="O422" s="2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2"/>
      <c r="N423" s="2"/>
      <c r="O423" s="2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2"/>
      <c r="N424" s="2"/>
      <c r="O424" s="2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2"/>
      <c r="N425" s="2"/>
      <c r="O425" s="2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2"/>
      <c r="N426" s="2"/>
      <c r="O426" s="2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2"/>
      <c r="N427" s="2"/>
      <c r="O427" s="2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2"/>
      <c r="N428" s="2"/>
      <c r="O428" s="2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2"/>
      <c r="N429" s="2"/>
      <c r="O429" s="2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2"/>
      <c r="N430" s="2"/>
      <c r="O430" s="2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2"/>
      <c r="N431" s="2"/>
      <c r="O431" s="2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2"/>
      <c r="N432" s="2"/>
      <c r="O432" s="2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2"/>
      <c r="N433" s="2"/>
      <c r="O433" s="2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2"/>
      <c r="N434" s="2"/>
      <c r="O434" s="2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2"/>
      <c r="N435" s="2"/>
      <c r="O435" s="2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2"/>
      <c r="N436" s="2"/>
      <c r="O436" s="2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2"/>
      <c r="N437" s="2"/>
      <c r="O437" s="2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2"/>
      <c r="N438" s="2"/>
      <c r="O438" s="2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2"/>
      <c r="N439" s="2"/>
      <c r="O439" s="2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2"/>
      <c r="N440" s="2"/>
      <c r="O440" s="2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2"/>
      <c r="N441" s="2"/>
      <c r="O441" s="2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2"/>
      <c r="N442" s="2"/>
      <c r="O442" s="2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2"/>
      <c r="N443" s="2"/>
      <c r="O443" s="2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2"/>
      <c r="N444" s="2"/>
      <c r="O444" s="2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2"/>
      <c r="N445" s="2"/>
      <c r="O445" s="2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2"/>
      <c r="N446" s="2"/>
      <c r="O446" s="2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2"/>
      <c r="N447" s="2"/>
      <c r="O447" s="2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2"/>
      <c r="N448" s="2"/>
      <c r="O448" s="2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2"/>
      <c r="N449" s="2"/>
      <c r="O449" s="2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2"/>
      <c r="N450" s="2"/>
      <c r="O450" s="2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2"/>
      <c r="N451" s="2"/>
      <c r="O451" s="2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2"/>
      <c r="N452" s="2"/>
      <c r="O452" s="2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2"/>
      <c r="N453" s="2"/>
      <c r="O453" s="2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2"/>
      <c r="N454" s="2"/>
      <c r="O454" s="2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2"/>
      <c r="N455" s="2"/>
      <c r="O455" s="2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2"/>
      <c r="N456" s="2"/>
      <c r="O456" s="2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2"/>
      <c r="N457" s="2"/>
      <c r="O457" s="2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2"/>
      <c r="N458" s="2"/>
      <c r="O458" s="2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2"/>
      <c r="N459" s="2"/>
      <c r="O459" s="2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2"/>
      <c r="N460" s="2"/>
      <c r="O460" s="2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2"/>
      <c r="N461" s="2"/>
      <c r="O461" s="2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2"/>
      <c r="N462" s="2"/>
      <c r="O462" s="2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2"/>
      <c r="N463" s="2"/>
      <c r="O463" s="2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2"/>
      <c r="N464" s="2"/>
      <c r="O464" s="2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2"/>
      <c r="N465" s="2"/>
      <c r="O465" s="2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2"/>
      <c r="N466" s="2"/>
      <c r="O466" s="2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2"/>
      <c r="N467" s="2"/>
      <c r="O467" s="2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2"/>
      <c r="N468" s="2"/>
      <c r="O468" s="2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2"/>
      <c r="N469" s="2"/>
      <c r="O469" s="2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2"/>
      <c r="N470" s="2"/>
      <c r="O470" s="2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2"/>
      <c r="N471" s="2"/>
      <c r="O471" s="2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2"/>
      <c r="N472" s="2"/>
      <c r="O472" s="2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2"/>
      <c r="N473" s="2"/>
      <c r="O473" s="2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2"/>
      <c r="N474" s="2"/>
      <c r="O474" s="2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2"/>
      <c r="N475" s="2"/>
      <c r="O475" s="2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2"/>
      <c r="N476" s="2"/>
      <c r="O476" s="2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2"/>
      <c r="N477" s="2"/>
      <c r="O477" s="2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2"/>
      <c r="N478" s="2"/>
      <c r="O478" s="2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2"/>
      <c r="N479" s="2"/>
      <c r="O479" s="2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2"/>
      <c r="N480" s="2"/>
      <c r="O480" s="2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2"/>
      <c r="N481" s="2"/>
      <c r="O481" s="2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2"/>
      <c r="N482" s="2"/>
      <c r="O482" s="2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2"/>
      <c r="N483" s="2"/>
      <c r="O483" s="2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2"/>
      <c r="N484" s="2"/>
      <c r="O484" s="2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2"/>
      <c r="N485" s="2"/>
      <c r="O485" s="2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2"/>
      <c r="N486" s="2"/>
      <c r="O486" s="2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2"/>
      <c r="N487" s="2"/>
      <c r="O487" s="2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2"/>
      <c r="N488" s="2"/>
      <c r="O488" s="2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2"/>
      <c r="N489" s="2"/>
      <c r="O489" s="2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2"/>
      <c r="N490" s="2"/>
      <c r="O490" s="2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2"/>
      <c r="N491" s="2"/>
      <c r="O491" s="2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2"/>
      <c r="N492" s="2"/>
      <c r="O492" s="2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2"/>
      <c r="N493" s="2"/>
      <c r="O493" s="2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2"/>
      <c r="N494" s="2"/>
      <c r="O494" s="2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2"/>
      <c r="N495" s="2"/>
      <c r="O495" s="2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2"/>
      <c r="N496" s="2"/>
      <c r="O496" s="2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2"/>
      <c r="N497" s="2"/>
      <c r="O497" s="2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2"/>
      <c r="N498" s="2"/>
      <c r="O498" s="2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2"/>
      <c r="N499" s="2"/>
      <c r="O499" s="2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2"/>
      <c r="N500" s="2"/>
      <c r="O500" s="2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2"/>
      <c r="N501" s="2"/>
      <c r="O501" s="2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2"/>
      <c r="N502" s="2"/>
      <c r="O502" s="2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2"/>
      <c r="N503" s="2"/>
      <c r="O503" s="2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2"/>
      <c r="N504" s="2"/>
      <c r="O504" s="2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2"/>
      <c r="N505" s="2"/>
      <c r="O505" s="2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2"/>
      <c r="N506" s="2"/>
      <c r="O506" s="2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2"/>
      <c r="N507" s="2"/>
      <c r="O507" s="2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2"/>
      <c r="N508" s="2"/>
      <c r="O508" s="2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2"/>
      <c r="N509" s="2"/>
      <c r="O509" s="2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2"/>
      <c r="N510" s="2"/>
      <c r="O510" s="2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2"/>
      <c r="N511" s="2"/>
      <c r="O511" s="2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2"/>
      <c r="N512" s="2"/>
      <c r="O512" s="2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2"/>
      <c r="N513" s="2"/>
      <c r="O513" s="2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2"/>
      <c r="N514" s="2"/>
      <c r="O514" s="2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2"/>
      <c r="N515" s="2"/>
      <c r="O515" s="2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2"/>
      <c r="N516" s="2"/>
      <c r="O516" s="2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2"/>
      <c r="N517" s="2"/>
      <c r="O517" s="2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2"/>
      <c r="N518" s="2"/>
      <c r="O518" s="2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2"/>
      <c r="N519" s="2"/>
      <c r="O519" s="2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2"/>
      <c r="N520" s="2"/>
      <c r="O520" s="2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2"/>
      <c r="N521" s="2"/>
      <c r="O521" s="2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2"/>
      <c r="N522" s="2"/>
      <c r="O522" s="2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2"/>
      <c r="N523" s="2"/>
      <c r="O523" s="2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2"/>
      <c r="N524" s="2"/>
      <c r="O524" s="2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2"/>
      <c r="N525" s="2"/>
      <c r="O525" s="2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2"/>
      <c r="N526" s="2"/>
      <c r="O526" s="2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2"/>
      <c r="N527" s="2"/>
      <c r="O527" s="2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2"/>
      <c r="N528" s="2"/>
      <c r="O528" s="2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2"/>
      <c r="N529" s="2"/>
      <c r="O529" s="2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2"/>
      <c r="N530" s="2"/>
      <c r="O530" s="2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2"/>
      <c r="N531" s="2"/>
      <c r="O531" s="2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2"/>
      <c r="N532" s="2"/>
      <c r="O532" s="2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2"/>
      <c r="N533" s="2"/>
      <c r="O533" s="2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2"/>
      <c r="N534" s="2"/>
      <c r="O534" s="2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2"/>
      <c r="N535" s="2"/>
      <c r="O535" s="2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2"/>
      <c r="N536" s="2"/>
      <c r="O536" s="2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2"/>
      <c r="N537" s="2"/>
      <c r="O537" s="2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2"/>
      <c r="N538" s="2"/>
      <c r="O538" s="2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2"/>
      <c r="N539" s="2"/>
      <c r="O539" s="2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2"/>
      <c r="N540" s="2"/>
      <c r="O540" s="2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2"/>
      <c r="N541" s="2"/>
      <c r="O541" s="2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2"/>
      <c r="N542" s="2"/>
      <c r="O542" s="2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2"/>
      <c r="N543" s="2"/>
      <c r="O543" s="2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2"/>
      <c r="N544" s="2"/>
      <c r="O544" s="2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2"/>
      <c r="N545" s="2"/>
      <c r="O545" s="2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2"/>
      <c r="N546" s="2"/>
      <c r="O546" s="2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2"/>
      <c r="N547" s="2"/>
      <c r="O547" s="2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2"/>
      <c r="N548" s="2"/>
      <c r="O548" s="2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2"/>
      <c r="N549" s="2"/>
      <c r="O549" s="2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2"/>
      <c r="N550" s="2"/>
      <c r="O550" s="2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2"/>
      <c r="N551" s="2"/>
      <c r="O551" s="2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2"/>
      <c r="N552" s="2"/>
      <c r="O552" s="2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2"/>
      <c r="N553" s="2"/>
      <c r="O553" s="2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2"/>
      <c r="N554" s="2"/>
      <c r="O554" s="2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2"/>
      <c r="N555" s="2"/>
      <c r="O555" s="2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2"/>
      <c r="N556" s="2"/>
      <c r="O556" s="2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2"/>
      <c r="N557" s="2"/>
      <c r="O557" s="2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2"/>
      <c r="N558" s="2"/>
      <c r="O558" s="2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2"/>
      <c r="N559" s="2"/>
      <c r="O559" s="2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2"/>
      <c r="N560" s="2"/>
      <c r="O560" s="2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2"/>
      <c r="N561" s="2"/>
      <c r="O561" s="2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2"/>
      <c r="N562" s="2"/>
      <c r="O562" s="2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2"/>
      <c r="N563" s="2"/>
      <c r="O563" s="2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2"/>
      <c r="N564" s="2"/>
      <c r="O564" s="2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2"/>
      <c r="N565" s="2"/>
      <c r="O565" s="2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2"/>
      <c r="N566" s="2"/>
      <c r="O566" s="2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2"/>
      <c r="N567" s="2"/>
      <c r="O567" s="2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2"/>
      <c r="N568" s="2"/>
      <c r="O568" s="2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2"/>
      <c r="N569" s="2"/>
      <c r="O569" s="2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2"/>
      <c r="N570" s="2"/>
      <c r="O570" s="2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2"/>
      <c r="N571" s="2"/>
      <c r="O571" s="2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2"/>
      <c r="N572" s="2"/>
      <c r="O572" s="2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2"/>
      <c r="N573" s="2"/>
      <c r="O573" s="2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2"/>
      <c r="N574" s="2"/>
      <c r="O574" s="2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2"/>
      <c r="N575" s="2"/>
      <c r="O575" s="2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2"/>
      <c r="N576" s="2"/>
      <c r="O576" s="2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2"/>
      <c r="N577" s="2"/>
      <c r="O577" s="2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2"/>
      <c r="N578" s="2"/>
      <c r="O578" s="2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2"/>
      <c r="N579" s="2"/>
      <c r="O579" s="2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2"/>
      <c r="N580" s="2"/>
      <c r="O580" s="2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2"/>
      <c r="N581" s="2"/>
      <c r="O581" s="2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2"/>
      <c r="N582" s="2"/>
      <c r="O582" s="2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2"/>
      <c r="N583" s="2"/>
      <c r="O583" s="2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2"/>
      <c r="N584" s="2"/>
      <c r="O584" s="2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2"/>
      <c r="N585" s="2"/>
      <c r="O585" s="2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2"/>
      <c r="N586" s="2"/>
      <c r="O586" s="2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2"/>
      <c r="N587" s="2"/>
      <c r="O587" s="2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2"/>
      <c r="N588" s="2"/>
      <c r="O588" s="2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2"/>
      <c r="N589" s="2"/>
      <c r="O589" s="2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2"/>
      <c r="N590" s="2"/>
      <c r="O590" s="2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2"/>
      <c r="N591" s="2"/>
      <c r="O591" s="2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2"/>
      <c r="N592" s="2"/>
      <c r="O592" s="2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2"/>
      <c r="N593" s="2"/>
      <c r="O593" s="2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2"/>
      <c r="N594" s="2"/>
      <c r="O594" s="2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2"/>
      <c r="N595" s="2"/>
      <c r="O595" s="2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2"/>
      <c r="N596" s="2"/>
      <c r="O596" s="2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2"/>
      <c r="N597" s="2"/>
      <c r="O597" s="2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2"/>
      <c r="N598" s="2"/>
      <c r="O598" s="2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2"/>
      <c r="N599" s="2"/>
      <c r="O599" s="2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2"/>
      <c r="N600" s="2"/>
      <c r="O600" s="2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2"/>
      <c r="N601" s="2"/>
      <c r="O601" s="2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2"/>
      <c r="N602" s="2"/>
      <c r="O602" s="2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2"/>
      <c r="N603" s="2"/>
      <c r="O603" s="2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2"/>
      <c r="N604" s="2"/>
      <c r="O604" s="2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2"/>
      <c r="N605" s="2"/>
      <c r="O605" s="2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2"/>
      <c r="N606" s="2"/>
      <c r="O606" s="2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2"/>
      <c r="N607" s="2"/>
      <c r="O607" s="2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2"/>
      <c r="N608" s="2"/>
      <c r="O608" s="2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2"/>
      <c r="N609" s="2"/>
      <c r="O609" s="2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2"/>
      <c r="N610" s="2"/>
      <c r="O610" s="2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2"/>
      <c r="N611" s="2"/>
      <c r="O611" s="2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2"/>
      <c r="N612" s="2"/>
      <c r="O612" s="2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2"/>
      <c r="N613" s="2"/>
      <c r="O613" s="2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2"/>
      <c r="N614" s="2"/>
      <c r="O614" s="2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2"/>
      <c r="N615" s="2"/>
      <c r="O615" s="2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2"/>
      <c r="N616" s="2"/>
      <c r="O616" s="2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2"/>
      <c r="N617" s="2"/>
      <c r="O617" s="2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2"/>
      <c r="N618" s="2"/>
      <c r="O618" s="2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2"/>
      <c r="N619" s="2"/>
      <c r="O619" s="2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2"/>
      <c r="N620" s="2"/>
      <c r="O620" s="2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2"/>
      <c r="N621" s="2"/>
      <c r="O621" s="2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2"/>
      <c r="N622" s="2"/>
      <c r="O622" s="2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2"/>
      <c r="N623" s="2"/>
      <c r="O623" s="2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2"/>
      <c r="N624" s="2"/>
      <c r="O624" s="2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2"/>
      <c r="N625" s="2"/>
      <c r="O625" s="2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2"/>
      <c r="N626" s="2"/>
      <c r="O626" s="2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2"/>
      <c r="N627" s="2"/>
      <c r="O627" s="2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2"/>
      <c r="N628" s="2"/>
      <c r="O628" s="2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2"/>
      <c r="N629" s="2"/>
      <c r="O629" s="2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2"/>
      <c r="N630" s="2"/>
      <c r="O630" s="2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2"/>
      <c r="N631" s="2"/>
      <c r="O631" s="2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2"/>
      <c r="N632" s="2"/>
      <c r="O632" s="2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2"/>
      <c r="N633" s="2"/>
      <c r="O633" s="2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2"/>
      <c r="N634" s="2"/>
      <c r="O634" s="2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2"/>
      <c r="N635" s="2"/>
      <c r="O635" s="2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2"/>
      <c r="N636" s="2"/>
      <c r="O636" s="2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2"/>
      <c r="N637" s="2"/>
      <c r="O637" s="2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2"/>
      <c r="N638" s="2"/>
      <c r="O638" s="2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2"/>
      <c r="N639" s="2"/>
      <c r="O639" s="2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2"/>
      <c r="N640" s="2"/>
      <c r="O640" s="2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2"/>
      <c r="N641" s="2"/>
      <c r="O641" s="2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2"/>
      <c r="N642" s="2"/>
      <c r="O642" s="2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2"/>
      <c r="N643" s="2"/>
      <c r="O643" s="2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2"/>
      <c r="N644" s="2"/>
      <c r="O644" s="2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2"/>
      <c r="N645" s="2"/>
      <c r="O645" s="2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2"/>
      <c r="N646" s="2"/>
      <c r="O646" s="2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2"/>
      <c r="N647" s="2"/>
      <c r="O647" s="2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2"/>
      <c r="N648" s="2"/>
      <c r="O648" s="2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2"/>
      <c r="N649" s="2"/>
      <c r="O649" s="2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2"/>
      <c r="N650" s="2"/>
      <c r="O650" s="2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2"/>
      <c r="N651" s="2"/>
      <c r="O651" s="2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2"/>
      <c r="N652" s="2"/>
      <c r="O652" s="2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2"/>
      <c r="N653" s="2"/>
      <c r="O653" s="2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2"/>
      <c r="N654" s="2"/>
      <c r="O654" s="2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2"/>
      <c r="N655" s="2"/>
      <c r="O655" s="2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2"/>
      <c r="N656" s="2"/>
      <c r="O656" s="2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2"/>
      <c r="N657" s="2"/>
      <c r="O657" s="2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2"/>
      <c r="N658" s="2"/>
      <c r="O658" s="2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2"/>
      <c r="N659" s="2"/>
      <c r="O659" s="2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2"/>
      <c r="N660" s="2"/>
      <c r="O660" s="2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2"/>
      <c r="N661" s="2"/>
      <c r="O661" s="2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2"/>
      <c r="N662" s="2"/>
      <c r="O662" s="2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2"/>
      <c r="N663" s="2"/>
      <c r="O663" s="2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2"/>
      <c r="N664" s="2"/>
      <c r="O664" s="2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2"/>
      <c r="N665" s="2"/>
      <c r="O665" s="2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2"/>
      <c r="N666" s="2"/>
      <c r="O666" s="2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2"/>
      <c r="N667" s="2"/>
      <c r="O667" s="2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2"/>
      <c r="N668" s="2"/>
      <c r="O668" s="2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2"/>
      <c r="N669" s="2"/>
      <c r="O669" s="2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2"/>
      <c r="N670" s="2"/>
      <c r="O670" s="2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2"/>
      <c r="N671" s="2"/>
      <c r="O671" s="2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2"/>
      <c r="N672" s="2"/>
      <c r="O672" s="2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2"/>
      <c r="N673" s="2"/>
      <c r="O673" s="2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2"/>
      <c r="N674" s="2"/>
      <c r="O674" s="2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2"/>
      <c r="N675" s="2"/>
      <c r="O675" s="2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2"/>
      <c r="N676" s="2"/>
      <c r="O676" s="2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2"/>
      <c r="N677" s="2"/>
      <c r="O677" s="2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2"/>
      <c r="N678" s="2"/>
      <c r="O678" s="2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2"/>
      <c r="N679" s="2"/>
      <c r="O679" s="2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2"/>
      <c r="N680" s="2"/>
      <c r="O680" s="2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2"/>
      <c r="N681" s="2"/>
      <c r="O681" s="2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2"/>
      <c r="N682" s="2"/>
      <c r="O682" s="2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2"/>
      <c r="N683" s="2"/>
      <c r="O683" s="2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2"/>
      <c r="N684" s="2"/>
      <c r="O684" s="2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2"/>
      <c r="N685" s="2"/>
      <c r="O685" s="2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2"/>
      <c r="N686" s="2"/>
      <c r="O686" s="2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2"/>
      <c r="N687" s="2"/>
      <c r="O687" s="2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2"/>
      <c r="N688" s="2"/>
      <c r="O688" s="2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2"/>
      <c r="N689" s="2"/>
      <c r="O689" s="2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2"/>
      <c r="N690" s="2"/>
      <c r="O690" s="2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2"/>
      <c r="N691" s="2"/>
      <c r="O691" s="2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2"/>
      <c r="N692" s="2"/>
      <c r="O692" s="2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2"/>
      <c r="N693" s="2"/>
      <c r="O693" s="2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2"/>
      <c r="N694" s="2"/>
      <c r="O694" s="2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2"/>
      <c r="N695" s="2"/>
      <c r="O695" s="2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2"/>
      <c r="N696" s="2"/>
      <c r="O696" s="2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2"/>
      <c r="N697" s="2"/>
      <c r="O697" s="2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2"/>
      <c r="N698" s="2"/>
      <c r="O698" s="2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2"/>
      <c r="N699" s="2"/>
      <c r="O699" s="2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2"/>
      <c r="N700" s="2"/>
      <c r="O700" s="2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2"/>
      <c r="N701" s="2"/>
      <c r="O701" s="2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2"/>
      <c r="N702" s="2"/>
      <c r="O702" s="2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2"/>
      <c r="N703" s="2"/>
      <c r="O703" s="2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2"/>
      <c r="N704" s="2"/>
      <c r="O704" s="2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2"/>
      <c r="N705" s="2"/>
      <c r="O705" s="2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2"/>
      <c r="N706" s="2"/>
      <c r="O706" s="2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2"/>
      <c r="N707" s="2"/>
      <c r="O707" s="2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2"/>
      <c r="N708" s="2"/>
      <c r="O708" s="2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2"/>
      <c r="N709" s="2"/>
      <c r="O709" s="2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2"/>
      <c r="N710" s="2"/>
      <c r="O710" s="2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2"/>
      <c r="N711" s="2"/>
      <c r="O711" s="2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2"/>
      <c r="N712" s="2"/>
      <c r="O712" s="2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2"/>
      <c r="N713" s="2"/>
      <c r="O713" s="2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2"/>
      <c r="N714" s="2"/>
      <c r="O714" s="2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2"/>
      <c r="N715" s="2"/>
      <c r="O715" s="2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2"/>
      <c r="N716" s="2"/>
      <c r="O716" s="2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2"/>
      <c r="N717" s="2"/>
      <c r="O717" s="2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2"/>
      <c r="N718" s="2"/>
      <c r="O718" s="2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2"/>
      <c r="N719" s="2"/>
      <c r="O719" s="2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2"/>
      <c r="N720" s="2"/>
      <c r="O720" s="2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2"/>
      <c r="N721" s="2"/>
      <c r="O721" s="2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2"/>
      <c r="N722" s="2"/>
      <c r="O722" s="2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2"/>
      <c r="N723" s="2"/>
      <c r="O723" s="2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2"/>
      <c r="N724" s="2"/>
      <c r="O724" s="2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2"/>
      <c r="N725" s="2"/>
      <c r="O725" s="2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2"/>
      <c r="N726" s="2"/>
      <c r="O726" s="2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2"/>
      <c r="N727" s="2"/>
      <c r="O727" s="2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2"/>
      <c r="N728" s="2"/>
      <c r="O728" s="2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2"/>
      <c r="N729" s="2"/>
      <c r="O729" s="2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2"/>
      <c r="N730" s="2"/>
      <c r="O730" s="2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2"/>
      <c r="N731" s="2"/>
      <c r="O731" s="2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2"/>
      <c r="N732" s="2"/>
      <c r="O732" s="2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2"/>
      <c r="N733" s="2"/>
      <c r="O733" s="2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2"/>
      <c r="N734" s="2"/>
      <c r="O734" s="2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2"/>
      <c r="N735" s="2"/>
      <c r="O735" s="2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2"/>
      <c r="N736" s="2"/>
      <c r="O736" s="2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2"/>
      <c r="N737" s="2"/>
      <c r="O737" s="2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2"/>
      <c r="N738" s="2"/>
      <c r="O738" s="2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2"/>
      <c r="N739" s="2"/>
      <c r="O739" s="2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2"/>
      <c r="N740" s="2"/>
      <c r="O740" s="2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2"/>
      <c r="N741" s="2"/>
      <c r="O741" s="2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2"/>
      <c r="N742" s="2"/>
      <c r="O742" s="2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2"/>
      <c r="N743" s="2"/>
      <c r="O743" s="2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2"/>
      <c r="N744" s="2"/>
      <c r="O744" s="2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2"/>
      <c r="N745" s="2"/>
      <c r="O745" s="2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2"/>
      <c r="N746" s="2"/>
      <c r="O746" s="2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2"/>
      <c r="N747" s="2"/>
      <c r="O747" s="2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2"/>
      <c r="N748" s="2"/>
      <c r="O748" s="2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2"/>
      <c r="N749" s="2"/>
      <c r="O749" s="2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2"/>
      <c r="N750" s="2"/>
      <c r="O750" s="2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2"/>
      <c r="N751" s="2"/>
      <c r="O751" s="2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2"/>
      <c r="N752" s="2"/>
      <c r="O752" s="2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2"/>
      <c r="N753" s="2"/>
      <c r="O753" s="2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2"/>
      <c r="N754" s="2"/>
      <c r="O754" s="2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2"/>
      <c r="N755" s="2"/>
      <c r="O755" s="2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2"/>
      <c r="N756" s="2"/>
      <c r="O756" s="2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2"/>
      <c r="N757" s="2"/>
      <c r="O757" s="2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2"/>
      <c r="N758" s="2"/>
      <c r="O758" s="2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2"/>
      <c r="N759" s="2"/>
      <c r="O759" s="2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2"/>
      <c r="N760" s="2"/>
      <c r="O760" s="2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2"/>
      <c r="N761" s="2"/>
      <c r="O761" s="2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2"/>
      <c r="N762" s="2"/>
      <c r="O762" s="2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2"/>
      <c r="N763" s="2"/>
      <c r="O763" s="2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2"/>
      <c r="N764" s="2"/>
      <c r="O764" s="2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2"/>
      <c r="N765" s="2"/>
      <c r="O765" s="2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2"/>
      <c r="N766" s="2"/>
      <c r="O766" s="2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2"/>
      <c r="N767" s="2"/>
      <c r="O767" s="2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2"/>
      <c r="N768" s="2"/>
      <c r="O768" s="2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2"/>
      <c r="N769" s="2"/>
      <c r="O769" s="2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2"/>
      <c r="N770" s="2"/>
      <c r="O770" s="2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2"/>
      <c r="N771" s="2"/>
      <c r="O771" s="2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2"/>
      <c r="N772" s="2"/>
      <c r="O772" s="2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2"/>
      <c r="N773" s="2"/>
      <c r="O773" s="2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2"/>
      <c r="N774" s="2"/>
      <c r="O774" s="2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2"/>
      <c r="N775" s="2"/>
      <c r="O775" s="2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2"/>
      <c r="N776" s="2"/>
      <c r="O776" s="2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2"/>
      <c r="N777" s="2"/>
      <c r="O777" s="2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2"/>
      <c r="N778" s="2"/>
      <c r="O778" s="2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2"/>
      <c r="N779" s="2"/>
      <c r="O779" s="2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2"/>
      <c r="N780" s="2"/>
      <c r="O780" s="2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2"/>
      <c r="N781" s="2"/>
      <c r="O781" s="2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2"/>
      <c r="N782" s="2"/>
      <c r="O782" s="2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2"/>
      <c r="N783" s="2"/>
      <c r="O783" s="2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2"/>
      <c r="N784" s="2"/>
      <c r="O784" s="2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2"/>
      <c r="N785" s="2"/>
      <c r="O785" s="2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2"/>
      <c r="N786" s="2"/>
      <c r="O786" s="2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2"/>
      <c r="N787" s="2"/>
      <c r="O787" s="2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2"/>
      <c r="N788" s="2"/>
      <c r="O788" s="2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2"/>
      <c r="N789" s="2"/>
      <c r="O789" s="2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2"/>
      <c r="N790" s="2"/>
      <c r="O790" s="2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2"/>
      <c r="N791" s="2"/>
      <c r="O791" s="2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2"/>
      <c r="N792" s="2"/>
      <c r="O792" s="2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2"/>
      <c r="N793" s="2"/>
      <c r="O793" s="2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2"/>
      <c r="N794" s="2"/>
      <c r="O794" s="2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2"/>
      <c r="N795" s="2"/>
      <c r="O795" s="2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2"/>
      <c r="N796" s="2"/>
      <c r="O796" s="2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2"/>
      <c r="N797" s="2"/>
      <c r="O797" s="2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2"/>
      <c r="N798" s="2"/>
      <c r="O798" s="2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2"/>
      <c r="N799" s="2"/>
      <c r="O799" s="2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2"/>
      <c r="N800" s="2"/>
      <c r="O800" s="2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2"/>
      <c r="N801" s="2"/>
      <c r="O801" s="2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2"/>
      <c r="N802" s="2"/>
      <c r="O802" s="2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2"/>
      <c r="N803" s="2"/>
      <c r="O803" s="2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2"/>
      <c r="N804" s="2"/>
      <c r="O804" s="2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2"/>
      <c r="N805" s="2"/>
      <c r="O805" s="2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2"/>
      <c r="N806" s="2"/>
      <c r="O806" s="2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2"/>
      <c r="N807" s="2"/>
      <c r="O807" s="2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2"/>
      <c r="N808" s="2"/>
      <c r="O808" s="2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2"/>
      <c r="N809" s="2"/>
      <c r="O809" s="2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2"/>
      <c r="N810" s="2"/>
      <c r="O810" s="2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2"/>
      <c r="N811" s="2"/>
      <c r="O811" s="2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2"/>
      <c r="N812" s="2"/>
      <c r="O812" s="2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2"/>
      <c r="N813" s="2"/>
      <c r="O813" s="2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2"/>
      <c r="N814" s="2"/>
      <c r="O814" s="2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2"/>
      <c r="N815" s="2"/>
      <c r="O815" s="2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2"/>
      <c r="N816" s="2"/>
      <c r="O816" s="2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2"/>
      <c r="N817" s="2"/>
      <c r="O817" s="2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2"/>
      <c r="N818" s="2"/>
      <c r="O818" s="2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2"/>
      <c r="N819" s="2"/>
      <c r="O819" s="2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2"/>
      <c r="N820" s="2"/>
      <c r="O820" s="2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2"/>
      <c r="N821" s="2"/>
      <c r="O821" s="2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2"/>
      <c r="N822" s="2"/>
      <c r="O822" s="2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2"/>
      <c r="N823" s="2"/>
      <c r="O823" s="2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2"/>
      <c r="N824" s="2"/>
      <c r="O824" s="2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2"/>
      <c r="N825" s="2"/>
      <c r="O825" s="2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2"/>
      <c r="N826" s="2"/>
      <c r="O826" s="2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2"/>
      <c r="N827" s="2"/>
      <c r="O827" s="2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2"/>
      <c r="N828" s="2"/>
      <c r="O828" s="2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2"/>
      <c r="N829" s="2"/>
      <c r="O829" s="2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2"/>
      <c r="N830" s="2"/>
      <c r="O830" s="2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2"/>
      <c r="N831" s="2"/>
      <c r="O831" s="2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2"/>
      <c r="N832" s="2"/>
      <c r="O832" s="2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2"/>
      <c r="N833" s="2"/>
      <c r="O833" s="2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2"/>
      <c r="N834" s="2"/>
      <c r="O834" s="2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2"/>
      <c r="N835" s="2"/>
      <c r="O835" s="2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2"/>
      <c r="N836" s="2"/>
      <c r="O836" s="2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2"/>
      <c r="N837" s="2"/>
      <c r="O837" s="2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2"/>
      <c r="N838" s="2"/>
      <c r="O838" s="2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2"/>
      <c r="N839" s="2"/>
      <c r="O839" s="2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2"/>
      <c r="N840" s="2"/>
      <c r="O840" s="2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2"/>
      <c r="N841" s="2"/>
      <c r="O841" s="2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2"/>
      <c r="N842" s="2"/>
      <c r="O842" s="2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2"/>
      <c r="N843" s="2"/>
      <c r="O843" s="2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2"/>
      <c r="N844" s="2"/>
      <c r="O844" s="2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2"/>
      <c r="N845" s="2"/>
      <c r="O845" s="2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2"/>
      <c r="N846" s="2"/>
      <c r="O846" s="2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2"/>
      <c r="N847" s="2"/>
      <c r="O847" s="2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2"/>
      <c r="N848" s="2"/>
      <c r="O848" s="2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2"/>
      <c r="N849" s="2"/>
      <c r="O849" s="2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2"/>
      <c r="N850" s="2"/>
      <c r="O850" s="2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2"/>
      <c r="N851" s="2"/>
      <c r="O851" s="2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2"/>
      <c r="N852" s="2"/>
      <c r="O852" s="2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2"/>
      <c r="N853" s="2"/>
      <c r="O853" s="2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2"/>
      <c r="N854" s="2"/>
      <c r="O854" s="2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2"/>
      <c r="N855" s="2"/>
      <c r="O855" s="2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2"/>
      <c r="N856" s="2"/>
      <c r="O856" s="2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2"/>
      <c r="N857" s="2"/>
      <c r="O857" s="2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2"/>
      <c r="N858" s="2"/>
      <c r="O858" s="2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2"/>
      <c r="N859" s="2"/>
      <c r="O859" s="2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2"/>
      <c r="N860" s="2"/>
      <c r="O860" s="2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2"/>
      <c r="N861" s="2"/>
      <c r="O861" s="2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2"/>
      <c r="N862" s="2"/>
      <c r="O862" s="2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2"/>
      <c r="N863" s="2"/>
      <c r="O863" s="2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2"/>
      <c r="N864" s="2"/>
      <c r="O864" s="2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2"/>
      <c r="N865" s="2"/>
      <c r="O865" s="2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2"/>
      <c r="N866" s="2"/>
      <c r="O866" s="2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2"/>
      <c r="N867" s="2"/>
      <c r="O867" s="2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2"/>
      <c r="N868" s="2"/>
      <c r="O868" s="2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2"/>
      <c r="N869" s="2"/>
      <c r="O869" s="2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2"/>
      <c r="N870" s="2"/>
      <c r="O870" s="2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2"/>
      <c r="N871" s="2"/>
      <c r="O871" s="2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2"/>
      <c r="N872" s="2"/>
      <c r="O872" s="2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2"/>
      <c r="N873" s="2"/>
      <c r="O873" s="2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2"/>
      <c r="N874" s="2"/>
      <c r="O874" s="2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2"/>
      <c r="N875" s="2"/>
      <c r="O875" s="2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2"/>
      <c r="N876" s="2"/>
      <c r="O876" s="2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2"/>
      <c r="N877" s="2"/>
      <c r="O877" s="2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2"/>
      <c r="N878" s="2"/>
      <c r="O878" s="2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2"/>
      <c r="N879" s="2"/>
      <c r="O879" s="2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2"/>
      <c r="N880" s="2"/>
      <c r="O880" s="2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2"/>
      <c r="N881" s="2"/>
      <c r="O881" s="2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2"/>
      <c r="N882" s="2"/>
      <c r="O882" s="2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2"/>
      <c r="N883" s="2"/>
      <c r="O883" s="2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2"/>
      <c r="N884" s="2"/>
      <c r="O884" s="2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2"/>
      <c r="N885" s="2"/>
      <c r="O885" s="2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2"/>
      <c r="N886" s="2"/>
      <c r="O886" s="2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2"/>
      <c r="N887" s="2"/>
      <c r="O887" s="2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2"/>
      <c r="N888" s="2"/>
      <c r="O888" s="2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2"/>
      <c r="N889" s="2"/>
      <c r="O889" s="2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2"/>
      <c r="N890" s="2"/>
      <c r="O890" s="2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2"/>
      <c r="N891" s="2"/>
      <c r="O891" s="2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2"/>
      <c r="N892" s="2"/>
      <c r="O892" s="2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2"/>
      <c r="N893" s="2"/>
      <c r="O893" s="2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2"/>
      <c r="N894" s="2"/>
      <c r="O894" s="2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2"/>
      <c r="N895" s="2"/>
      <c r="O895" s="2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2"/>
      <c r="N896" s="2"/>
      <c r="O896" s="2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2"/>
      <c r="N897" s="2"/>
      <c r="O897" s="2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2"/>
      <c r="N898" s="2"/>
      <c r="O898" s="2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2"/>
      <c r="N899" s="2"/>
      <c r="O899" s="2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2"/>
      <c r="N900" s="2"/>
      <c r="O900" s="2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2"/>
      <c r="N901" s="2"/>
      <c r="O901" s="2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2"/>
      <c r="N902" s="2"/>
      <c r="O902" s="2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2"/>
      <c r="N903" s="2"/>
      <c r="O903" s="2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2"/>
      <c r="N904" s="2"/>
      <c r="O904" s="2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2"/>
      <c r="N905" s="2"/>
      <c r="O905" s="2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2"/>
      <c r="N906" s="2"/>
      <c r="O906" s="2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2"/>
      <c r="N907" s="2"/>
      <c r="O907" s="2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2"/>
      <c r="N908" s="2"/>
      <c r="O908" s="2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2"/>
      <c r="N909" s="2"/>
      <c r="O909" s="2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2"/>
      <c r="N910" s="2"/>
      <c r="O910" s="2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2"/>
      <c r="N911" s="2"/>
      <c r="O911" s="2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2"/>
      <c r="N912" s="2"/>
      <c r="O912" s="2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2"/>
      <c r="N913" s="2"/>
      <c r="O913" s="2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2"/>
      <c r="N914" s="2"/>
      <c r="O914" s="2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2"/>
      <c r="N915" s="2"/>
      <c r="O915" s="2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2"/>
      <c r="N916" s="2"/>
      <c r="O916" s="2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2"/>
      <c r="N917" s="2"/>
      <c r="O917" s="2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2"/>
      <c r="N918" s="2"/>
      <c r="O918" s="2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2"/>
      <c r="N919" s="2"/>
      <c r="O919" s="2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2"/>
      <c r="N920" s="2"/>
      <c r="O920" s="2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2"/>
      <c r="N921" s="2"/>
      <c r="O921" s="2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2"/>
      <c r="N922" s="2"/>
      <c r="O922" s="2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2"/>
      <c r="N923" s="2"/>
      <c r="O923" s="2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2"/>
      <c r="N924" s="2"/>
      <c r="O924" s="2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2"/>
      <c r="N925" s="2"/>
      <c r="O925" s="2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2"/>
      <c r="N926" s="2"/>
      <c r="O926" s="2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2"/>
      <c r="N927" s="2"/>
      <c r="O927" s="2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2"/>
      <c r="N928" s="2"/>
      <c r="O928" s="2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2"/>
      <c r="N929" s="2"/>
      <c r="O929" s="2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2"/>
      <c r="N930" s="2"/>
      <c r="O930" s="2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2"/>
      <c r="N931" s="2"/>
      <c r="O931" s="2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2"/>
      <c r="N932" s="2"/>
      <c r="O932" s="2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2"/>
      <c r="N933" s="2"/>
      <c r="O933" s="2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2"/>
      <c r="N934" s="2"/>
      <c r="O934" s="2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2"/>
      <c r="N935" s="2"/>
      <c r="O935" s="2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2"/>
      <c r="N936" s="2"/>
      <c r="O936" s="2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2"/>
      <c r="N937" s="2"/>
      <c r="O937" s="2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2"/>
      <c r="N938" s="2"/>
      <c r="O938" s="2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2"/>
      <c r="N939" s="2"/>
      <c r="O939" s="2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2"/>
      <c r="N940" s="2"/>
      <c r="O940" s="2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2"/>
      <c r="N941" s="2"/>
      <c r="O941" s="2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2"/>
      <c r="N942" s="2"/>
      <c r="O942" s="2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2"/>
      <c r="N943" s="2"/>
      <c r="O943" s="2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2"/>
      <c r="N944" s="2"/>
      <c r="O944" s="2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2"/>
      <c r="N945" s="2"/>
      <c r="O945" s="2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2"/>
      <c r="N946" s="2"/>
      <c r="O946" s="2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2"/>
      <c r="N947" s="2"/>
      <c r="O947" s="2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2"/>
      <c r="N948" s="2"/>
      <c r="O948" s="2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2"/>
      <c r="N949" s="2"/>
      <c r="O949" s="2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2"/>
      <c r="N950" s="2"/>
      <c r="O950" s="2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2"/>
      <c r="N951" s="2"/>
      <c r="O951" s="2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2"/>
      <c r="N952" s="2"/>
      <c r="O952" s="2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2"/>
      <c r="N953" s="2"/>
      <c r="O953" s="2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2"/>
      <c r="N954" s="2"/>
      <c r="O954" s="2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2"/>
      <c r="N955" s="2"/>
      <c r="O955" s="2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2"/>
      <c r="N956" s="2"/>
      <c r="O956" s="2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2"/>
      <c r="N957" s="2"/>
      <c r="O957" s="2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2"/>
      <c r="N958" s="2"/>
      <c r="O958" s="2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2"/>
      <c r="N959" s="2"/>
      <c r="O959" s="2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2"/>
      <c r="N960" s="2"/>
      <c r="O960" s="2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2"/>
      <c r="N961" s="2"/>
      <c r="O961" s="2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2"/>
      <c r="N962" s="2"/>
      <c r="O962" s="2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2"/>
      <c r="N963" s="2"/>
      <c r="O963" s="2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2"/>
      <c r="N964" s="2"/>
      <c r="O964" s="2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2"/>
      <c r="N965" s="2"/>
      <c r="O965" s="2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2"/>
      <c r="N966" s="2"/>
      <c r="O966" s="2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2"/>
      <c r="N967" s="2"/>
      <c r="O967" s="2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2"/>
      <c r="N968" s="2"/>
      <c r="O968" s="2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2"/>
      <c r="N969" s="2"/>
      <c r="O969" s="2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2"/>
      <c r="N970" s="2"/>
      <c r="O970" s="2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2"/>
      <c r="N971" s="2"/>
      <c r="O971" s="2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2"/>
      <c r="N972" s="2"/>
      <c r="O972" s="2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2"/>
      <c r="N973" s="2"/>
      <c r="O973" s="2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2"/>
      <c r="N974" s="2"/>
      <c r="O974" s="2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2"/>
      <c r="N975" s="2"/>
      <c r="O975" s="2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2"/>
      <c r="N976" s="2"/>
      <c r="O976" s="2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2"/>
      <c r="N977" s="2"/>
      <c r="O977" s="2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2"/>
      <c r="N978" s="2"/>
      <c r="O978" s="2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2"/>
      <c r="N979" s="2"/>
      <c r="O979" s="2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2"/>
      <c r="N980" s="2"/>
      <c r="O980" s="2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2"/>
      <c r="N981" s="2"/>
      <c r="O981" s="2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2"/>
      <c r="N982" s="2"/>
      <c r="O982" s="2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2"/>
      <c r="N983" s="2"/>
      <c r="O983" s="2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2"/>
      <c r="N984" s="2"/>
      <c r="O984" s="2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2"/>
      <c r="N985" s="2"/>
      <c r="O985" s="2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2"/>
      <c r="N986" s="2"/>
      <c r="O986" s="2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2"/>
      <c r="N987" s="2"/>
      <c r="O987" s="2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2"/>
      <c r="N988" s="2"/>
      <c r="O988" s="2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2"/>
      <c r="N989" s="2"/>
      <c r="O989" s="2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2"/>
      <c r="N990" s="2"/>
      <c r="O990" s="2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2"/>
      <c r="N991" s="2"/>
      <c r="O991" s="2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2"/>
      <c r="N992" s="2"/>
      <c r="O992" s="2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2"/>
      <c r="N993" s="2"/>
      <c r="O993" s="2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2"/>
      <c r="N994" s="2"/>
      <c r="O994" s="2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2"/>
      <c r="N995" s="2"/>
      <c r="O995" s="2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2"/>
      <c r="N996" s="2"/>
      <c r="O996" s="2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2"/>
      <c r="N997" s="2"/>
      <c r="O997" s="2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2"/>
      <c r="N998" s="2"/>
      <c r="O998" s="2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2"/>
      <c r="N999" s="2"/>
      <c r="O999" s="2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2"/>
      <c r="N1000" s="2"/>
      <c r="O1000" s="2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2"/>
      <c r="M1001" s="2"/>
      <c r="N1001" s="2"/>
      <c r="O1001" s="2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2"/>
      <c r="M1002" s="2"/>
      <c r="N1002" s="2"/>
      <c r="O1002" s="2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2"/>
      <c r="M1003" s="2"/>
      <c r="N1003" s="2"/>
      <c r="O1003" s="2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2"/>
      <c r="M1004" s="2"/>
      <c r="N1004" s="2"/>
      <c r="O1004" s="2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2"/>
      <c r="M1005" s="2"/>
      <c r="N1005" s="2"/>
      <c r="O1005" s="2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2"/>
      <c r="M1006" s="2"/>
      <c r="N1006" s="2"/>
      <c r="O1006" s="2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2"/>
      <c r="M1007" s="2"/>
      <c r="N1007" s="2"/>
      <c r="O1007" s="2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2"/>
      <c r="M1008" s="2"/>
      <c r="N1008" s="2"/>
      <c r="O1008" s="2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2"/>
      <c r="M1009" s="2"/>
      <c r="N1009" s="2"/>
      <c r="O1009" s="2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2"/>
      <c r="M1010" s="2"/>
      <c r="N1010" s="2"/>
      <c r="O1010" s="2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2"/>
      <c r="M1011" s="2"/>
      <c r="N1011" s="2"/>
      <c r="O1011" s="2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2"/>
      <c r="M1012" s="2"/>
      <c r="N1012" s="2"/>
      <c r="O1012" s="2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2"/>
      <c r="M1013" s="2"/>
      <c r="N1013" s="2"/>
      <c r="O1013" s="2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</sheetData>
  <mergeCells count="1">
    <mergeCell ref="B3:F3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30.63"/>
    <col customWidth="1" min="3" max="3" width="26.88"/>
    <col customWidth="1" min="4" max="4" width="34.38"/>
    <col customWidth="1" min="5" max="5" width="51.38"/>
    <col customWidth="1" min="6" max="6" width="26.88"/>
    <col customWidth="1" min="7" max="7" width="54.63"/>
    <col customWidth="1" min="8" max="8" width="26.88"/>
    <col customWidth="1" min="9" max="9" width="43.38"/>
    <col customWidth="1" min="10" max="10" width="67.25"/>
    <col customWidth="1" min="11" max="15" width="26.88"/>
  </cols>
  <sheetData>
    <row r="1">
      <c r="A1" s="9" t="s">
        <v>23</v>
      </c>
      <c r="B1" s="10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11" t="s">
        <v>30</v>
      </c>
      <c r="I1" s="9" t="s">
        <v>31</v>
      </c>
      <c r="J1" s="11" t="s">
        <v>32</v>
      </c>
      <c r="K1" s="12" t="s">
        <v>33</v>
      </c>
      <c r="L1" s="12" t="s">
        <v>34</v>
      </c>
      <c r="M1" s="12" t="s">
        <v>35</v>
      </c>
      <c r="N1" s="12" t="s">
        <v>36</v>
      </c>
      <c r="O1" s="13"/>
    </row>
    <row r="2">
      <c r="A2" s="14" t="s">
        <v>37</v>
      </c>
      <c r="B2" s="15" t="s">
        <v>38</v>
      </c>
      <c r="C2" s="16">
        <v>5.5199918096E10</v>
      </c>
      <c r="D2" s="16" t="s">
        <v>39</v>
      </c>
      <c r="E2" s="17" t="s">
        <v>40</v>
      </c>
      <c r="F2" s="14" t="str">
        <f>IFERROR(__xludf.DUMMYFUNCTION("ARRAYFORMULA(IF($E2:$E1351="""","""",IFERROR(REGEXEXTRACT($E2:$E1351,""[?&amp;]utm_source=([^&amp;]+)""),"""")))"),"MetaAds")</f>
        <v>MetaAds</v>
      </c>
      <c r="G2" s="18" t="str">
        <f>IFERROR(__xludf.DUMMYFUNCTION("ARRAYFORMULA(IF($E2:$E1351="""","""",IFERROR(
  REGEXREPLACE(
    REGEXREPLACE(
      SUBSTITUTE(REGEXEXTRACT($E2:$E1351,""[?&amp;]utm_medium=([^&amp;]+)""),""+"","" ""),
    ""(?i)%5B"",""[""),
  ""(?i)%5D"",""]"")
,"""")))
"),"ADV - [IG] [FB] [30%2B] [PIEDADE - 40KM] V%C3%81RIOS")</f>
        <v>ADV - [IG] [FB] [30%2B] [PIEDADE - 40KM] V%C3%81RIOS</v>
      </c>
      <c r="H2" s="18" t="str">
        <f>IFERROR(__xludf.DUMMYFUNCTION("ARRAYFORMULA(IF($E2:$E1351="""","""",IFERROR(
  REGEXREPLACE(
    REGEXREPLACE(
      SUBSTITUTE(REGEXEXTRACT($E2:$E1351,""[?&amp;]utm_term=([^&amp;]+)""),""+"","" ""),
    ""(?i)%5B"",""[""),
  ""(?i)%5D"",""]"")
,"""")))
"),"Instagram_Stories")</f>
        <v>Instagram_Stories</v>
      </c>
      <c r="I2" s="18" t="str">
        <f>IFERROR(__xludf.DUMMYFUNCTION("ARRAYFORMULA(IF($E2:$E1351="""","""",IFERROR(
  REGEXREPLACE(
    REGEXREPLACE(
      SUBSTITUTE(REGEXEXTRACT($E2:$E1351,""[?&amp;]utm_content=([^&amp;]+)""),""+"","" ""),
    ""(?i)%5B"",""[""),
  ""(?i)%5D"",""]"")
,"""")))
"),"07.04 [IMG] [AD04] Pedidos abertos")</f>
        <v>07.04 [IMG] [AD04] Pedidos abertos</v>
      </c>
      <c r="J2" s="18" t="str">
        <f>IFERROR(__xludf.DUMMYFUNCTION("ARRAYFORMULA(IF($E2:$E1351="""","""",IFERROR(
  REGEXREPLACE(
    REGEXREPLACE(
      SUBSTITUTE(REGEXEXTRACT($E2:$E1351,""[?&amp;]utm_campaign=([^&amp;]+)""),""+"","" ""),
    ""(?i)%5B"",""[""),
  ""(?i)%5D"",""]"")
,"""")))
"),"07.04.2026 [V4] [WB] [LEADS-GRUPO-WHATS] 02")</f>
        <v>07.04.2026 [V4] [WB] [LEADS-GRUPO-WHATS] 02</v>
      </c>
      <c r="K2" s="19" t="str">
        <f t="shared" ref="K2:K327" si="1">LEFT(A2,10)</f>
        <v>2026-04-07</v>
      </c>
      <c r="L2" s="20">
        <f t="shared" ref="L2:L327" si="2">DATE(YEAR(SUBSTITUTE(SUBSTITUTE(K2,"-","/",1),"-","/",1)),MONTH(SUBSTITUTE(SUBSTITUTE(K2,"-","/",1),"-","/",1)),DAY(SUBSTITUTE(SUBSTITUTE(K2,"-","/",1),"-","/",1)))</f>
        <v>46119</v>
      </c>
      <c r="M2" s="19" t="str">
        <f t="shared" ref="M2:M327" si="3">RIGHT(C2,8)</f>
        <v>99918096</v>
      </c>
      <c r="N2" s="19" t="str">
        <f>IFERROR(IF(VLOOKUP(M2,'Leads no grupo Saibai'!C:C,1,FALSE)=M2,"Sim"),"Não")</f>
        <v>Não</v>
      </c>
      <c r="O2" s="19"/>
    </row>
    <row r="3">
      <c r="A3" s="14" t="s">
        <v>41</v>
      </c>
      <c r="B3" s="15" t="s">
        <v>42</v>
      </c>
      <c r="C3" s="16">
        <v>5.598135501E10</v>
      </c>
      <c r="D3" s="16" t="s">
        <v>43</v>
      </c>
      <c r="E3" s="17" t="s">
        <v>44</v>
      </c>
      <c r="F3" s="18" t="str">
        <f>IFERROR(__xludf.DUMMYFUNCTION("""COMPUTED_VALUE"""),"MetaAds")</f>
        <v>MetaAds</v>
      </c>
      <c r="G3" s="18" t="str">
        <f>IFERROR(__xludf.DUMMYFUNCTION("""COMPUTED_VALUE"""),"ADV - [IG] [FB] [30%2B] [PIEDADE - 40KM] V%C3%81RIOS")</f>
        <v>ADV - [IG] [FB] [30%2B] [PIEDADE - 40KM] V%C3%81RIOS</v>
      </c>
      <c r="H3" s="18" t="str">
        <f>IFERROR(__xludf.DUMMYFUNCTION("""COMPUTED_VALUE"""),"Instagram_Stories")</f>
        <v>Instagram_Stories</v>
      </c>
      <c r="I3" s="18" t="str">
        <f>IFERROR(__xludf.DUMMYFUNCTION("""COMPUTED_VALUE"""),"07.04 [IMG] [AD04] Pedidos abertos")</f>
        <v>07.04 [IMG] [AD04] Pedidos abertos</v>
      </c>
      <c r="J3" s="18" t="str">
        <f>IFERROR(__xludf.DUMMYFUNCTION("""COMPUTED_VALUE"""),"07.04.2026 [V4] [WB] [LEADS-GRUPO-WHATS] 01")</f>
        <v>07.04.2026 [V4] [WB] [LEADS-GRUPO-WHATS] 01</v>
      </c>
      <c r="K3" s="19" t="str">
        <f t="shared" si="1"/>
        <v>2026-04-10</v>
      </c>
      <c r="L3" s="20">
        <f t="shared" si="2"/>
        <v>46122</v>
      </c>
      <c r="M3" s="19" t="str">
        <f t="shared" si="3"/>
        <v>81355010</v>
      </c>
      <c r="N3" s="19" t="str">
        <f>IFERROR(IF(VLOOKUP(M3,'Leads no grupo Saibai'!C:C,1,FALSE)=M3,"Sim"),"Não")</f>
        <v>Não</v>
      </c>
      <c r="O3" s="19"/>
    </row>
    <row r="4">
      <c r="A4" s="14" t="s">
        <v>45</v>
      </c>
      <c r="B4" s="15" t="s">
        <v>42</v>
      </c>
      <c r="C4" s="16">
        <v>5.598135501E10</v>
      </c>
      <c r="D4" s="16" t="s">
        <v>43</v>
      </c>
      <c r="E4" s="17" t="s">
        <v>44</v>
      </c>
      <c r="F4" s="18" t="str">
        <f>IFERROR(__xludf.DUMMYFUNCTION("""COMPUTED_VALUE"""),"MetaAds")</f>
        <v>MetaAds</v>
      </c>
      <c r="G4" s="18" t="str">
        <f>IFERROR(__xludf.DUMMYFUNCTION("""COMPUTED_VALUE"""),"ADV - [IG] [FB] [30%2B] [PIEDADE - 40KM] V%C3%81RIOS")</f>
        <v>ADV - [IG] [FB] [30%2B] [PIEDADE - 40KM] V%C3%81RIOS</v>
      </c>
      <c r="H4" s="18" t="str">
        <f>IFERROR(__xludf.DUMMYFUNCTION("""COMPUTED_VALUE"""),"Instagram_Stories")</f>
        <v>Instagram_Stories</v>
      </c>
      <c r="I4" s="18" t="str">
        <f>IFERROR(__xludf.DUMMYFUNCTION("""COMPUTED_VALUE"""),"07.04 [IMG] [AD04] Pedidos abertos")</f>
        <v>07.04 [IMG] [AD04] Pedidos abertos</v>
      </c>
      <c r="J4" s="18" t="str">
        <f>IFERROR(__xludf.DUMMYFUNCTION("""COMPUTED_VALUE"""),"07.04.2026 [V4] [WB] [LEADS-GRUPO-WHATS] 01")</f>
        <v>07.04.2026 [V4] [WB] [LEADS-GRUPO-WHATS] 01</v>
      </c>
      <c r="K4" s="19" t="str">
        <f t="shared" si="1"/>
        <v>2026-04-10</v>
      </c>
      <c r="L4" s="20">
        <f t="shared" si="2"/>
        <v>46122</v>
      </c>
      <c r="M4" s="19" t="str">
        <f t="shared" si="3"/>
        <v>81355010</v>
      </c>
      <c r="N4" s="19" t="str">
        <f>IFERROR(IF(VLOOKUP(M4,'Leads no grupo Saibai'!C:C,1,FALSE)=M4,"Sim"),"Não")</f>
        <v>Não</v>
      </c>
      <c r="O4" s="19"/>
    </row>
    <row r="5">
      <c r="A5" s="14" t="s">
        <v>46</v>
      </c>
      <c r="B5" s="15" t="s">
        <v>47</v>
      </c>
      <c r="C5" s="16">
        <v>1.5997577218E10</v>
      </c>
      <c r="D5" s="16" t="s">
        <v>48</v>
      </c>
      <c r="E5" s="17" t="s">
        <v>49</v>
      </c>
      <c r="F5" s="18" t="str">
        <f>IFERROR(__xludf.DUMMYFUNCTION("""COMPUTED_VALUE"""),"MetaAds")</f>
        <v>MetaAds</v>
      </c>
      <c r="G5" s="18" t="str">
        <f>IFERROR(__xludf.DUMMYFUNCTION("""COMPUTED_VALUE"""),"ADV - [IG] [FB] [30%2B] [PIEDADE - 40KM] V%C3%81RIOS")</f>
        <v>ADV - [IG] [FB] [30%2B] [PIEDADE - 40KM] V%C3%81RIOS</v>
      </c>
      <c r="H5" s="18" t="str">
        <f>IFERROR(__xludf.DUMMYFUNCTION("""COMPUTED_VALUE"""),"Instagram_Stories")</f>
        <v>Instagram_Stories</v>
      </c>
      <c r="I5" s="18" t="str">
        <f>IFERROR(__xludf.DUMMYFUNCTION("""COMPUTED_VALUE"""),"07.04 [IMG] [AD04] Pedidos abertos")</f>
        <v>07.04 [IMG] [AD04] Pedidos abertos</v>
      </c>
      <c r="J5" s="18" t="str">
        <f>IFERROR(__xludf.DUMMYFUNCTION("""COMPUTED_VALUE"""),"07.04.2026 [V4] [WB] [LEADS-GRUPO-WHATS] 01")</f>
        <v>07.04.2026 [V4] [WB] [LEADS-GRUPO-WHATS] 01</v>
      </c>
      <c r="K5" s="19" t="str">
        <f t="shared" si="1"/>
        <v>2026-04-10</v>
      </c>
      <c r="L5" s="20">
        <f t="shared" si="2"/>
        <v>46122</v>
      </c>
      <c r="M5" s="19" t="str">
        <f t="shared" si="3"/>
        <v>97577218</v>
      </c>
      <c r="N5" s="19" t="str">
        <f>IFERROR(IF(VLOOKUP(M5,'Leads no grupo Saibai'!C:C,1,FALSE)=M5,"Sim"),"Não")</f>
        <v>Sim</v>
      </c>
      <c r="O5" s="19"/>
    </row>
    <row r="6">
      <c r="A6" s="14" t="s">
        <v>50</v>
      </c>
      <c r="B6" s="15" t="s">
        <v>51</v>
      </c>
      <c r="C6" s="16">
        <v>1.5996014055E10</v>
      </c>
      <c r="D6" s="16" t="s">
        <v>52</v>
      </c>
      <c r="E6" s="17" t="s">
        <v>40</v>
      </c>
      <c r="F6" s="18" t="str">
        <f>IFERROR(__xludf.DUMMYFUNCTION("""COMPUTED_VALUE"""),"MetaAds")</f>
        <v>MetaAds</v>
      </c>
      <c r="G6" s="18" t="str">
        <f>IFERROR(__xludf.DUMMYFUNCTION("""COMPUTED_VALUE"""),"ADV - [IG] [FB] [30%2B] [PIEDADE - 40KM] V%C3%81RIOS")</f>
        <v>ADV - [IG] [FB] [30%2B] [PIEDADE - 40KM] V%C3%81RIOS</v>
      </c>
      <c r="H6" s="18" t="str">
        <f>IFERROR(__xludf.DUMMYFUNCTION("""COMPUTED_VALUE"""),"Instagram_Stories")</f>
        <v>Instagram_Stories</v>
      </c>
      <c r="I6" s="18" t="str">
        <f>IFERROR(__xludf.DUMMYFUNCTION("""COMPUTED_VALUE"""),"07.04 [IMG] [AD04] Pedidos abertos")</f>
        <v>07.04 [IMG] [AD04] Pedidos abertos</v>
      </c>
      <c r="J6" s="18" t="str">
        <f>IFERROR(__xludf.DUMMYFUNCTION("""COMPUTED_VALUE"""),"07.04.2026 [V4] [WB] [LEADS-GRUPO-WHATS] 02")</f>
        <v>07.04.2026 [V4] [WB] [LEADS-GRUPO-WHATS] 02</v>
      </c>
      <c r="K6" s="19" t="str">
        <f t="shared" si="1"/>
        <v>2026-04-10</v>
      </c>
      <c r="L6" s="20">
        <f t="shared" si="2"/>
        <v>46122</v>
      </c>
      <c r="M6" s="19" t="str">
        <f t="shared" si="3"/>
        <v>96014055</v>
      </c>
      <c r="N6" s="19" t="str">
        <f>IFERROR(IF(VLOOKUP(M6,'Leads no grupo Saibai'!C:C,1,FALSE)=M6,"Sim"),"Não")</f>
        <v>Sim</v>
      </c>
      <c r="O6" s="19"/>
    </row>
    <row r="7">
      <c r="A7" s="14" t="s">
        <v>53</v>
      </c>
      <c r="B7" s="15" t="s">
        <v>54</v>
      </c>
      <c r="C7" s="16">
        <v>1.5997000778E10</v>
      </c>
      <c r="D7" s="16" t="s">
        <v>55</v>
      </c>
      <c r="E7" s="17" t="s">
        <v>56</v>
      </c>
      <c r="F7" s="18" t="str">
        <f>IFERROR(__xludf.DUMMYFUNCTION("""COMPUTED_VALUE"""),"MetaAds")</f>
        <v>MetaAds</v>
      </c>
      <c r="G7" s="18" t="str">
        <f>IFERROR(__xludf.DUMMYFUNCTION("""COMPUTED_VALUE"""),"ADV - [IG] [FB] [30%2B] [PIEDADE - 40KM] V%C3%81RIOS")</f>
        <v>ADV - [IG] [FB] [30%2B] [PIEDADE - 40KM] V%C3%81RIOS</v>
      </c>
      <c r="H7" s="18" t="str">
        <f>IFERROR(__xludf.DUMMYFUNCTION("""COMPUTED_VALUE"""),"Instagram_Stories")</f>
        <v>Instagram_Stories</v>
      </c>
      <c r="I7" s="18" t="str">
        <f>IFERROR(__xludf.DUMMYFUNCTION("""COMPUTED_VALUE"""),"07.04 [IMG] [AD04] Pedidos abertos")</f>
        <v>07.04 [IMG] [AD04] Pedidos abertos</v>
      </c>
      <c r="J7" s="18" t="str">
        <f>IFERROR(__xludf.DUMMYFUNCTION("""COMPUTED_VALUE"""),"07.04.2026 [V4] [WB] [LEADS-GRUPO-WHATS] 01")</f>
        <v>07.04.2026 [V4] [WB] [LEADS-GRUPO-WHATS] 01</v>
      </c>
      <c r="K7" s="19" t="str">
        <f t="shared" si="1"/>
        <v>2026-04-10</v>
      </c>
      <c r="L7" s="20">
        <f t="shared" si="2"/>
        <v>46122</v>
      </c>
      <c r="M7" s="19" t="str">
        <f t="shared" si="3"/>
        <v>97000778</v>
      </c>
      <c r="N7" s="19" t="str">
        <f>IFERROR(IF(VLOOKUP(M7,'Leads no grupo Saibai'!C:C,1,FALSE)=M7,"Sim"),"Não")</f>
        <v>Sim</v>
      </c>
      <c r="O7" s="19"/>
    </row>
    <row r="8">
      <c r="A8" s="14" t="s">
        <v>57</v>
      </c>
      <c r="B8" s="15" t="s">
        <v>58</v>
      </c>
      <c r="C8" s="16">
        <v>1.1953038767E10</v>
      </c>
      <c r="D8" s="16" t="s">
        <v>59</v>
      </c>
      <c r="E8" s="17" t="s">
        <v>60</v>
      </c>
      <c r="F8" s="18" t="str">
        <f>IFERROR(__xludf.DUMMYFUNCTION("""COMPUTED_VALUE"""),"MetaAds")</f>
        <v>MetaAds</v>
      </c>
      <c r="G8" s="18" t="str">
        <f>IFERROR(__xludf.DUMMYFUNCTION("""COMPUTED_VALUE"""),"ADV - [IG] [FB] [30%2B] [PIEDADE - 40KM] V%C3%81RIOS")</f>
        <v>ADV - [IG] [FB] [30%2B] [PIEDADE - 40KM] V%C3%81RIOS</v>
      </c>
      <c r="H8" s="18" t="str">
        <f>IFERROR(__xludf.DUMMYFUNCTION("""COMPUTED_VALUE"""),"Instagram_Feed")</f>
        <v>Instagram_Feed</v>
      </c>
      <c r="I8" s="18" t="str">
        <f>IFERROR(__xludf.DUMMYFUNCTION("""COMPUTED_VALUE"""),"07.04 [IMG] [AD04] Pedidos abertos")</f>
        <v>07.04 [IMG] [AD04] Pedidos abertos</v>
      </c>
      <c r="J8" s="18" t="str">
        <f>IFERROR(__xludf.DUMMYFUNCTION("""COMPUTED_VALUE"""),"07.04.2026 [V4] [WB] [LEADS-GRUPO-WHATS] 01")</f>
        <v>07.04.2026 [V4] [WB] [LEADS-GRUPO-WHATS] 01</v>
      </c>
      <c r="K8" s="19" t="str">
        <f t="shared" si="1"/>
        <v>2026-04-10</v>
      </c>
      <c r="L8" s="20">
        <f t="shared" si="2"/>
        <v>46122</v>
      </c>
      <c r="M8" s="19" t="str">
        <f t="shared" si="3"/>
        <v>53038767</v>
      </c>
      <c r="N8" s="19" t="str">
        <f>IFERROR(IF(VLOOKUP(M8,'Leads no grupo Saibai'!C:C,1,FALSE)=M8,"Sim"),"Não")</f>
        <v>Sim</v>
      </c>
      <c r="O8" s="19"/>
    </row>
    <row r="9">
      <c r="A9" s="14" t="s">
        <v>61</v>
      </c>
      <c r="B9" s="15" t="s">
        <v>62</v>
      </c>
      <c r="C9" s="16">
        <v>1.5991920716E10</v>
      </c>
      <c r="D9" s="16" t="s">
        <v>63</v>
      </c>
      <c r="E9" s="17" t="s">
        <v>64</v>
      </c>
      <c r="F9" s="18" t="str">
        <f>IFERROR(__xludf.DUMMYFUNCTION("""COMPUTED_VALUE"""),"MetaAds")</f>
        <v>MetaAds</v>
      </c>
      <c r="G9" s="18" t="str">
        <f>IFERROR(__xludf.DUMMYFUNCTION("""COMPUTED_VALUE"""),"ADV - [IG] [FB] [30%2B] [PIEDADE - 40KM] V%C3%81RIOS")</f>
        <v>ADV - [IG] [FB] [30%2B] [PIEDADE - 40KM] V%C3%81RIOS</v>
      </c>
      <c r="H9" s="18" t="str">
        <f>IFERROR(__xludf.DUMMYFUNCTION("""COMPUTED_VALUE"""),"Instagram_Feed")</f>
        <v>Instagram_Feed</v>
      </c>
      <c r="I9" s="18" t="str">
        <f>IFERROR(__xludf.DUMMYFUNCTION("""COMPUTED_VALUE"""),"07.04 [IMG] [AD04] Pedidos abertos")</f>
        <v>07.04 [IMG] [AD04] Pedidos abertos</v>
      </c>
      <c r="J9" s="18" t="str">
        <f>IFERROR(__xludf.DUMMYFUNCTION("""COMPUTED_VALUE"""),"07.04.2026 [V4] [WB] [LEADS-GRUPO-WHATS] 01")</f>
        <v>07.04.2026 [V4] [WB] [LEADS-GRUPO-WHATS] 01</v>
      </c>
      <c r="K9" s="19" t="str">
        <f t="shared" si="1"/>
        <v>2026-04-10</v>
      </c>
      <c r="L9" s="20">
        <f t="shared" si="2"/>
        <v>46122</v>
      </c>
      <c r="M9" s="19" t="str">
        <f t="shared" si="3"/>
        <v>91920716</v>
      </c>
      <c r="N9" s="19" t="str">
        <f>IFERROR(IF(VLOOKUP(M9,'Leads no grupo Saibai'!C:C,1,FALSE)=M9,"Sim"),"Não")</f>
        <v>Sim</v>
      </c>
      <c r="O9" s="19"/>
    </row>
    <row r="10">
      <c r="A10" s="14" t="s">
        <v>65</v>
      </c>
      <c r="B10" s="15" t="s">
        <v>66</v>
      </c>
      <c r="C10" s="16">
        <v>1.5991729665E10</v>
      </c>
      <c r="D10" s="16" t="s">
        <v>67</v>
      </c>
      <c r="E10" s="17" t="s">
        <v>68</v>
      </c>
      <c r="F10" s="18" t="str">
        <f>IFERROR(__xludf.DUMMYFUNCTION("""COMPUTED_VALUE"""),"MetaAds")</f>
        <v>MetaAds</v>
      </c>
      <c r="G10" s="18" t="str">
        <f>IFERROR(__xludf.DUMMYFUNCTION("""COMPUTED_VALUE"""),"ADV - [IG] [FB] [30%2B] [PIEDADE - 40KM] V%C3%81RIOS")</f>
        <v>ADV - [IG] [FB] [30%2B] [PIEDADE - 40KM] V%C3%81RIOS</v>
      </c>
      <c r="H10" s="18" t="str">
        <f>IFERROR(__xludf.DUMMYFUNCTION("""COMPUTED_VALUE"""),"Instagram_Stories")</f>
        <v>Instagram_Stories</v>
      </c>
      <c r="I10" s="18" t="str">
        <f>IFERROR(__xludf.DUMMYFUNCTION("""COMPUTED_VALUE"""),"07.04 [IMG] [AD04] Pedidos abertos")</f>
        <v>07.04 [IMG] [AD04] Pedidos abertos</v>
      </c>
      <c r="J10" s="18" t="str">
        <f>IFERROR(__xludf.DUMMYFUNCTION("""COMPUTED_VALUE"""),"07.04.2026 [V4] [WB] [LEADS-GRUPO-WHATS] 01")</f>
        <v>07.04.2026 [V4] [WB] [LEADS-GRUPO-WHATS] 01</v>
      </c>
      <c r="K10" s="19" t="str">
        <f t="shared" si="1"/>
        <v>2026-04-10</v>
      </c>
      <c r="L10" s="20">
        <f t="shared" si="2"/>
        <v>46122</v>
      </c>
      <c r="M10" s="19" t="str">
        <f t="shared" si="3"/>
        <v>91729665</v>
      </c>
      <c r="N10" s="19" t="str">
        <f>IFERROR(IF(VLOOKUP(M10,'Leads no grupo Saibai'!C:C,1,FALSE)=M10,"Sim"),"Não")</f>
        <v>Sim</v>
      </c>
      <c r="O10" s="19"/>
    </row>
    <row r="11">
      <c r="A11" s="14" t="s">
        <v>69</v>
      </c>
      <c r="B11" s="15" t="s">
        <v>70</v>
      </c>
      <c r="C11" s="16">
        <v>5.5159815097E10</v>
      </c>
      <c r="D11" s="16" t="s">
        <v>71</v>
      </c>
      <c r="E11" s="17" t="s">
        <v>72</v>
      </c>
      <c r="F11" s="18" t="str">
        <f>IFERROR(__xludf.DUMMYFUNCTION("""COMPUTED_VALUE"""),"MetaAds")</f>
        <v>MetaAds</v>
      </c>
      <c r="G11" s="18" t="str">
        <f>IFERROR(__xludf.DUMMYFUNCTION("""COMPUTED_VALUE"""),"ADV - [IG] [FB] [30%2B] [PIEDADE - 40KM] V%C3%81RIOS")</f>
        <v>ADV - [IG] [FB] [30%2B] [PIEDADE - 40KM] V%C3%81RIOS</v>
      </c>
      <c r="H11" s="18" t="str">
        <f>IFERROR(__xludf.DUMMYFUNCTION("""COMPUTED_VALUE"""),"Instagram_Feed")</f>
        <v>Instagram_Feed</v>
      </c>
      <c r="I11" s="18" t="str">
        <f>IFERROR(__xludf.DUMMYFUNCTION("""COMPUTED_VALUE"""),"07.04 [IMG] [AD04] Pedidos abertos")</f>
        <v>07.04 [IMG] [AD04] Pedidos abertos</v>
      </c>
      <c r="J11" s="18" t="str">
        <f>IFERROR(__xludf.DUMMYFUNCTION("""COMPUTED_VALUE"""),"07.04.2026 [V4] [WB] [LEADS-GRUPO-WHATS] 01")</f>
        <v>07.04.2026 [V4] [WB] [LEADS-GRUPO-WHATS] 01</v>
      </c>
      <c r="K11" s="19" t="str">
        <f t="shared" si="1"/>
        <v>2026-04-10</v>
      </c>
      <c r="L11" s="20">
        <f t="shared" si="2"/>
        <v>46122</v>
      </c>
      <c r="M11" s="19" t="str">
        <f t="shared" si="3"/>
        <v>59815097</v>
      </c>
      <c r="N11" s="19" t="str">
        <f>IFERROR(IF(VLOOKUP(M11,'Leads no grupo Saibai'!C:C,1,FALSE)=M11,"Sim"),"Não")</f>
        <v>Não</v>
      </c>
      <c r="O11" s="19"/>
    </row>
    <row r="12">
      <c r="A12" s="14" t="s">
        <v>73</v>
      </c>
      <c r="B12" s="15" t="s">
        <v>74</v>
      </c>
      <c r="C12" s="16">
        <v>5.515997827E10</v>
      </c>
      <c r="D12" s="16" t="s">
        <v>75</v>
      </c>
      <c r="E12" s="17" t="s">
        <v>40</v>
      </c>
      <c r="F12" s="18" t="str">
        <f>IFERROR(__xludf.DUMMYFUNCTION("""COMPUTED_VALUE"""),"MetaAds")</f>
        <v>MetaAds</v>
      </c>
      <c r="G12" s="18" t="str">
        <f>IFERROR(__xludf.DUMMYFUNCTION("""COMPUTED_VALUE"""),"ADV - [IG] [FB] [30%2B] [PIEDADE - 40KM] V%C3%81RIOS")</f>
        <v>ADV - [IG] [FB] [30%2B] [PIEDADE - 40KM] V%C3%81RIOS</v>
      </c>
      <c r="H12" s="18" t="str">
        <f>IFERROR(__xludf.DUMMYFUNCTION("""COMPUTED_VALUE"""),"Instagram_Stories")</f>
        <v>Instagram_Stories</v>
      </c>
      <c r="I12" s="18" t="str">
        <f>IFERROR(__xludf.DUMMYFUNCTION("""COMPUTED_VALUE"""),"07.04 [IMG] [AD04] Pedidos abertos")</f>
        <v>07.04 [IMG] [AD04] Pedidos abertos</v>
      </c>
      <c r="J12" s="18" t="str">
        <f>IFERROR(__xludf.DUMMYFUNCTION("""COMPUTED_VALUE"""),"07.04.2026 [V4] [WB] [LEADS-GRUPO-WHATS] 02")</f>
        <v>07.04.2026 [V4] [WB] [LEADS-GRUPO-WHATS] 02</v>
      </c>
      <c r="K12" s="19" t="str">
        <f t="shared" si="1"/>
        <v>2026-04-10</v>
      </c>
      <c r="L12" s="20">
        <f t="shared" si="2"/>
        <v>46122</v>
      </c>
      <c r="M12" s="19" t="str">
        <f t="shared" si="3"/>
        <v>59978270</v>
      </c>
      <c r="N12" s="19" t="str">
        <f>IFERROR(IF(VLOOKUP(M12,'Leads no grupo Saibai'!C:C,1,FALSE)=M12,"Sim"),"Não")</f>
        <v>Não</v>
      </c>
      <c r="O12" s="19"/>
    </row>
    <row r="13">
      <c r="A13" s="14" t="s">
        <v>76</v>
      </c>
      <c r="B13" s="15" t="s">
        <v>77</v>
      </c>
      <c r="C13" s="16">
        <v>1.5996081643E10</v>
      </c>
      <c r="D13" s="16" t="s">
        <v>78</v>
      </c>
      <c r="E13" s="17" t="s">
        <v>79</v>
      </c>
      <c r="F13" s="18" t="str">
        <f>IFERROR(__xludf.DUMMYFUNCTION("""COMPUTED_VALUE"""),"MetaAds")</f>
        <v>MetaAds</v>
      </c>
      <c r="G13" s="18" t="str">
        <f>IFERROR(__xludf.DUMMYFUNCTION("""COMPUTED_VALUE"""),"ADV - [IG] [FB] [30%2B] [PIEDADE - 40KM] V%C3%81RIOS")</f>
        <v>ADV - [IG] [FB] [30%2B] [PIEDADE - 40KM] V%C3%81RIOS</v>
      </c>
      <c r="H13" s="18" t="str">
        <f>IFERROR(__xludf.DUMMYFUNCTION("""COMPUTED_VALUE"""),"Instagram_Stories")</f>
        <v>Instagram_Stories</v>
      </c>
      <c r="I13" s="18" t="str">
        <f>IFERROR(__xludf.DUMMYFUNCTION("""COMPUTED_VALUE"""),"07.04 [IMG] [AD04] Pedidos abertos")</f>
        <v>07.04 [IMG] [AD04] Pedidos abertos</v>
      </c>
      <c r="J13" s="18" t="str">
        <f>IFERROR(__xludf.DUMMYFUNCTION("""COMPUTED_VALUE"""),"07.04.2026 [V4] [WB] [LEADS-GRUPO-WHATS] 01")</f>
        <v>07.04.2026 [V4] [WB] [LEADS-GRUPO-WHATS] 01</v>
      </c>
      <c r="K13" s="19" t="str">
        <f t="shared" si="1"/>
        <v>2026-04-10</v>
      </c>
      <c r="L13" s="20">
        <f t="shared" si="2"/>
        <v>46122</v>
      </c>
      <c r="M13" s="19" t="str">
        <f t="shared" si="3"/>
        <v>96081643</v>
      </c>
      <c r="N13" s="19" t="str">
        <f>IFERROR(IF(VLOOKUP(M13,'Leads no grupo Saibai'!C:C,1,FALSE)=M13,"Sim"),"Não")</f>
        <v>Sim</v>
      </c>
      <c r="O13" s="19"/>
    </row>
    <row r="14">
      <c r="A14" s="14" t="s">
        <v>80</v>
      </c>
      <c r="B14" s="15" t="s">
        <v>81</v>
      </c>
      <c r="C14" s="16">
        <v>1.5998141671E10</v>
      </c>
      <c r="D14" s="16" t="s">
        <v>82</v>
      </c>
      <c r="E14" s="17" t="s">
        <v>83</v>
      </c>
      <c r="F14" s="18" t="str">
        <f>IFERROR(__xludf.DUMMYFUNCTION("""COMPUTED_VALUE"""),"MetaAds")</f>
        <v>MetaAds</v>
      </c>
      <c r="G14" s="18" t="str">
        <f>IFERROR(__xludf.DUMMYFUNCTION("""COMPUTED_VALUE"""),"ADV - [IG] [FB] [30%2B] [PIEDADE - 40KM] V%C3%81RIOS")</f>
        <v>ADV - [IG] [FB] [30%2B] [PIEDADE - 40KM] V%C3%81RIOS</v>
      </c>
      <c r="H14" s="18" t="str">
        <f>IFERROR(__xludf.DUMMYFUNCTION("""COMPUTED_VALUE"""),"Facebook_Mobile_Feed")</f>
        <v>Facebook_Mobile_Feed</v>
      </c>
      <c r="I14" s="18" t="str">
        <f>IFERROR(__xludf.DUMMYFUNCTION("""COMPUTED_VALUE"""),"07.04 [IMG] [AD04] Pedidos abertos")</f>
        <v>07.04 [IMG] [AD04] Pedidos abertos</v>
      </c>
      <c r="J14" s="18" t="str">
        <f>IFERROR(__xludf.DUMMYFUNCTION("""COMPUTED_VALUE"""),"07.04.2026 [V4] [WB] [LEADS-GRUPO-WHATS] 01")</f>
        <v>07.04.2026 [V4] [WB] [LEADS-GRUPO-WHATS] 01</v>
      </c>
      <c r="K14" s="19" t="str">
        <f t="shared" si="1"/>
        <v>2026-04-10</v>
      </c>
      <c r="L14" s="20">
        <f t="shared" si="2"/>
        <v>46122</v>
      </c>
      <c r="M14" s="19" t="str">
        <f t="shared" si="3"/>
        <v>98141671</v>
      </c>
      <c r="N14" s="19" t="str">
        <f>IFERROR(IF(VLOOKUP(M14,'Leads no grupo Saibai'!C:C,1,FALSE)=M14,"Sim"),"Não")</f>
        <v>Sim</v>
      </c>
      <c r="O14" s="19"/>
    </row>
    <row r="15">
      <c r="A15" s="14" t="s">
        <v>84</v>
      </c>
      <c r="B15" s="15" t="s">
        <v>85</v>
      </c>
      <c r="C15" s="16">
        <v>1.5981773711E10</v>
      </c>
      <c r="D15" s="16" t="s">
        <v>86</v>
      </c>
      <c r="E15" s="17" t="s">
        <v>87</v>
      </c>
      <c r="F15" s="18" t="str">
        <f>IFERROR(__xludf.DUMMYFUNCTION("""COMPUTED_VALUE"""),"MetaAds")</f>
        <v>MetaAds</v>
      </c>
      <c r="G15" s="18" t="str">
        <f>IFERROR(__xludf.DUMMYFUNCTION("""COMPUTED_VALUE"""),"ADV - [IG] [FB] [30%2B] [PIEDADE - 40KM] V%C3%81RIOS")</f>
        <v>ADV - [IG] [FB] [30%2B] [PIEDADE - 40KM] V%C3%81RIOS</v>
      </c>
      <c r="H15" s="18" t="str">
        <f>IFERROR(__xludf.DUMMYFUNCTION("""COMPUTED_VALUE"""),"Facebook_Mobile_Feed")</f>
        <v>Facebook_Mobile_Feed</v>
      </c>
      <c r="I15" s="18" t="str">
        <f>IFERROR(__xludf.DUMMYFUNCTION("""COMPUTED_VALUE"""),"07.04 [IMG] [AD04] Pedidos abertos")</f>
        <v>07.04 [IMG] [AD04] Pedidos abertos</v>
      </c>
      <c r="J15" s="18" t="str">
        <f>IFERROR(__xludf.DUMMYFUNCTION("""COMPUTED_VALUE"""),"07.04.2026 [V4] [WB] [LEADS-GRUPO-WHATS] 01")</f>
        <v>07.04.2026 [V4] [WB] [LEADS-GRUPO-WHATS] 01</v>
      </c>
      <c r="K15" s="19" t="str">
        <f t="shared" si="1"/>
        <v>2026-04-11</v>
      </c>
      <c r="L15" s="20">
        <f t="shared" si="2"/>
        <v>46123</v>
      </c>
      <c r="M15" s="19" t="str">
        <f t="shared" si="3"/>
        <v>81773711</v>
      </c>
      <c r="N15" s="19" t="str">
        <f>IFERROR(IF(VLOOKUP(M15,'Leads no grupo Saibai'!C:C,1,FALSE)=M15,"Sim"),"Não")</f>
        <v>Sim</v>
      </c>
      <c r="O15" s="19"/>
    </row>
    <row r="16">
      <c r="A16" s="14" t="s">
        <v>88</v>
      </c>
      <c r="B16" s="15" t="s">
        <v>89</v>
      </c>
      <c r="C16" s="16">
        <v>1.1984977222E10</v>
      </c>
      <c r="D16" s="16" t="s">
        <v>90</v>
      </c>
      <c r="E16" s="17" t="s">
        <v>91</v>
      </c>
      <c r="F16" s="18" t="str">
        <f>IFERROR(__xludf.DUMMYFUNCTION("""COMPUTED_VALUE"""),"MetaAds")</f>
        <v>MetaAds</v>
      </c>
      <c r="G16" s="18" t="str">
        <f>IFERROR(__xludf.DUMMYFUNCTION("""COMPUTED_VALUE"""),"ADV - [IG] [FB] [30%2B] [PIEDADE - 40KM] V%C3%81RIOS")</f>
        <v>ADV - [IG] [FB] [30%2B] [PIEDADE - 40KM] V%C3%81RIOS</v>
      </c>
      <c r="H16" s="18" t="str">
        <f>IFERROR(__xludf.DUMMYFUNCTION("""COMPUTED_VALUE"""),"Instagram_Reels")</f>
        <v>Instagram_Reels</v>
      </c>
      <c r="I16" s="18" t="str">
        <f>IFERROR(__xludf.DUMMYFUNCTION("""COMPUTED_VALUE"""),"07.04 [IMG] [AD04] Pedidos abertos")</f>
        <v>07.04 [IMG] [AD04] Pedidos abertos</v>
      </c>
      <c r="J16" s="18" t="str">
        <f>IFERROR(__xludf.DUMMYFUNCTION("""COMPUTED_VALUE"""),"07.04.2026 [V4] [WB] [LEADS-GRUPO-WHATS] 01")</f>
        <v>07.04.2026 [V4] [WB] [LEADS-GRUPO-WHATS] 01</v>
      </c>
      <c r="K16" s="19" t="str">
        <f t="shared" si="1"/>
        <v>2026-04-11</v>
      </c>
      <c r="L16" s="20">
        <f t="shared" si="2"/>
        <v>46123</v>
      </c>
      <c r="M16" s="19" t="str">
        <f t="shared" si="3"/>
        <v>84977222</v>
      </c>
      <c r="N16" s="19" t="str">
        <f>IFERROR(IF(VLOOKUP(M16,'Leads no grupo Saibai'!C:C,1,FALSE)=M16,"Sim"),"Não")</f>
        <v>Sim</v>
      </c>
      <c r="O16" s="19"/>
    </row>
    <row r="17">
      <c r="A17" s="14" t="s">
        <v>92</v>
      </c>
      <c r="B17" s="15" t="s">
        <v>93</v>
      </c>
      <c r="C17" s="16">
        <v>5.5159914599E10</v>
      </c>
      <c r="D17" s="16" t="s">
        <v>94</v>
      </c>
      <c r="E17" s="17" t="s">
        <v>95</v>
      </c>
      <c r="F17" s="18" t="str">
        <f>IFERROR(__xludf.DUMMYFUNCTION("""COMPUTED_VALUE"""),"MetaAds")</f>
        <v>MetaAds</v>
      </c>
      <c r="G17" s="18" t="str">
        <f>IFERROR(__xludf.DUMMYFUNCTION("""COMPUTED_VALUE"""),"ADV - [IG] [FB] [30%2B] [PIEDADE - 40KM] V%C3%81RIOS")</f>
        <v>ADV - [IG] [FB] [30%2B] [PIEDADE - 40KM] V%C3%81RIOS</v>
      </c>
      <c r="H17" s="18" t="str">
        <f>IFERROR(__xludf.DUMMYFUNCTION("""COMPUTED_VALUE"""),"Facebook_Mobile_Feed")</f>
        <v>Facebook_Mobile_Feed</v>
      </c>
      <c r="I17" s="18" t="str">
        <f>IFERROR(__xludf.DUMMYFUNCTION("""COMPUTED_VALUE"""),"07.04 [IMG] [AD04] Pedidos abertos")</f>
        <v>07.04 [IMG] [AD04] Pedidos abertos</v>
      </c>
      <c r="J17" s="18" t="str">
        <f>IFERROR(__xludf.DUMMYFUNCTION("""COMPUTED_VALUE"""),"07.04.2026 [V4] [WB] [LEADS-GRUPO-WHATS] 01")</f>
        <v>07.04.2026 [V4] [WB] [LEADS-GRUPO-WHATS] 01</v>
      </c>
      <c r="K17" s="19" t="str">
        <f t="shared" si="1"/>
        <v>2026-04-11</v>
      </c>
      <c r="L17" s="20">
        <f t="shared" si="2"/>
        <v>46123</v>
      </c>
      <c r="M17" s="19" t="str">
        <f t="shared" si="3"/>
        <v>59914599</v>
      </c>
      <c r="N17" s="19" t="str">
        <f>IFERROR(IF(VLOOKUP(M17,'Leads no grupo Saibai'!C:C,1,FALSE)=M17,"Sim"),"Não")</f>
        <v>Não</v>
      </c>
      <c r="O17" s="19"/>
    </row>
    <row r="18">
      <c r="A18" s="14" t="s">
        <v>96</v>
      </c>
      <c r="B18" s="15" t="s">
        <v>97</v>
      </c>
      <c r="C18" s="16">
        <v>5.5159912266E10</v>
      </c>
      <c r="D18" s="16" t="s">
        <v>98</v>
      </c>
      <c r="E18" s="17" t="s">
        <v>99</v>
      </c>
      <c r="F18" s="18" t="str">
        <f>IFERROR(__xludf.DUMMYFUNCTION("""COMPUTED_VALUE"""),"MetaAds")</f>
        <v>MetaAds</v>
      </c>
      <c r="G18" s="18" t="str">
        <f>IFERROR(__xludf.DUMMYFUNCTION("""COMPUTED_VALUE"""),"ADV - [IG] [FB] [30%2B] [PIEDADE - 40KM] V%C3%81RIOS")</f>
        <v>ADV - [IG] [FB] [30%2B] [PIEDADE - 40KM] V%C3%81RIOS</v>
      </c>
      <c r="H18" s="18" t="str">
        <f>IFERROR(__xludf.DUMMYFUNCTION("""COMPUTED_VALUE"""),"Facebook_Mobile_Feed")</f>
        <v>Facebook_Mobile_Feed</v>
      </c>
      <c r="I18" s="18" t="str">
        <f>IFERROR(__xludf.DUMMYFUNCTION("""COMPUTED_VALUE"""),"07.04 [IMG] [AD04] Pedidos abertos")</f>
        <v>07.04 [IMG] [AD04] Pedidos abertos</v>
      </c>
      <c r="J18" s="18" t="str">
        <f>IFERROR(__xludf.DUMMYFUNCTION("""COMPUTED_VALUE"""),"07.04.2026 [V4] [WB] [LEADS-GRUPO-WHATS] 01")</f>
        <v>07.04.2026 [V4] [WB] [LEADS-GRUPO-WHATS] 01</v>
      </c>
      <c r="K18" s="19" t="str">
        <f t="shared" si="1"/>
        <v>2026-04-11</v>
      </c>
      <c r="L18" s="20">
        <f t="shared" si="2"/>
        <v>46123</v>
      </c>
      <c r="M18" s="19" t="str">
        <f t="shared" si="3"/>
        <v>59912266</v>
      </c>
      <c r="N18" s="19" t="str">
        <f>IFERROR(IF(VLOOKUP(M18,'Leads no grupo Saibai'!C:C,1,FALSE)=M18,"Sim"),"Não")</f>
        <v>Não</v>
      </c>
      <c r="O18" s="19"/>
    </row>
    <row r="19">
      <c r="A19" s="14" t="s">
        <v>100</v>
      </c>
      <c r="B19" s="15" t="s">
        <v>101</v>
      </c>
      <c r="C19" s="16">
        <v>1.1974751568E10</v>
      </c>
      <c r="D19" s="16" t="s">
        <v>102</v>
      </c>
      <c r="E19" s="17" t="s">
        <v>40</v>
      </c>
      <c r="F19" s="18" t="str">
        <f>IFERROR(__xludf.DUMMYFUNCTION("""COMPUTED_VALUE"""),"MetaAds")</f>
        <v>MetaAds</v>
      </c>
      <c r="G19" s="18" t="str">
        <f>IFERROR(__xludf.DUMMYFUNCTION("""COMPUTED_VALUE"""),"ADV - [IG] [FB] [30%2B] [PIEDADE - 40KM] V%C3%81RIOS")</f>
        <v>ADV - [IG] [FB] [30%2B] [PIEDADE - 40KM] V%C3%81RIOS</v>
      </c>
      <c r="H19" s="18" t="str">
        <f>IFERROR(__xludf.DUMMYFUNCTION("""COMPUTED_VALUE"""),"Instagram_Stories")</f>
        <v>Instagram_Stories</v>
      </c>
      <c r="I19" s="18" t="str">
        <f>IFERROR(__xludf.DUMMYFUNCTION("""COMPUTED_VALUE"""),"07.04 [IMG] [AD04] Pedidos abertos")</f>
        <v>07.04 [IMG] [AD04] Pedidos abertos</v>
      </c>
      <c r="J19" s="18" t="str">
        <f>IFERROR(__xludf.DUMMYFUNCTION("""COMPUTED_VALUE"""),"07.04.2026 [V4] [WB] [LEADS-GRUPO-WHATS] 02")</f>
        <v>07.04.2026 [V4] [WB] [LEADS-GRUPO-WHATS] 02</v>
      </c>
      <c r="K19" s="19" t="str">
        <f t="shared" si="1"/>
        <v>2026-04-11</v>
      </c>
      <c r="L19" s="20">
        <f t="shared" si="2"/>
        <v>46123</v>
      </c>
      <c r="M19" s="19" t="str">
        <f t="shared" si="3"/>
        <v>74751568</v>
      </c>
      <c r="N19" s="19" t="str">
        <f>IFERROR(IF(VLOOKUP(M19,'Leads no grupo Saibai'!C:C,1,FALSE)=M19,"Sim"),"Não")</f>
        <v>Sim</v>
      </c>
      <c r="O19" s="19"/>
    </row>
    <row r="20">
      <c r="A20" s="14" t="s">
        <v>103</v>
      </c>
      <c r="B20" s="15" t="s">
        <v>104</v>
      </c>
      <c r="C20" s="16">
        <v>1.5991039369E10</v>
      </c>
      <c r="D20" s="16" t="s">
        <v>105</v>
      </c>
      <c r="E20" s="17" t="s">
        <v>106</v>
      </c>
      <c r="F20" s="18" t="str">
        <f>IFERROR(__xludf.DUMMYFUNCTION("""COMPUTED_VALUE"""),"MetaAds")</f>
        <v>MetaAds</v>
      </c>
      <c r="G20" s="18" t="str">
        <f>IFERROR(__xludf.DUMMYFUNCTION("""COMPUTED_VALUE"""),"ADV - [IG] [FB] [30%2B] [PIEDADE - 40KM] V%C3%81RIOS")</f>
        <v>ADV - [IG] [FB] [30%2B] [PIEDADE - 40KM] V%C3%81RIOS</v>
      </c>
      <c r="H20" s="18" t="str">
        <f>IFERROR(__xludf.DUMMYFUNCTION("""COMPUTED_VALUE"""),"Facebook_Mobile_Reels")</f>
        <v>Facebook_Mobile_Reels</v>
      </c>
      <c r="I20" s="18" t="str">
        <f>IFERROR(__xludf.DUMMYFUNCTION("""COMPUTED_VALUE"""),"07.04 [IMG] [AD04] Pedidos abertos")</f>
        <v>07.04 [IMG] [AD04] Pedidos abertos</v>
      </c>
      <c r="J20" s="18" t="str">
        <f>IFERROR(__xludf.DUMMYFUNCTION("""COMPUTED_VALUE"""),"07.04.2026 [V4] [WB] [LEADS-GRUPO-WHATS] 01")</f>
        <v>07.04.2026 [V4] [WB] [LEADS-GRUPO-WHATS] 01</v>
      </c>
      <c r="K20" s="19" t="str">
        <f t="shared" si="1"/>
        <v>2026-04-11</v>
      </c>
      <c r="L20" s="20">
        <f t="shared" si="2"/>
        <v>46123</v>
      </c>
      <c r="M20" s="19" t="str">
        <f t="shared" si="3"/>
        <v>91039369</v>
      </c>
      <c r="N20" s="19" t="str">
        <f>IFERROR(IF(VLOOKUP(M20,'Leads no grupo Saibai'!C:C,1,FALSE)=M20,"Sim"),"Não")</f>
        <v>Não</v>
      </c>
      <c r="O20" s="19"/>
    </row>
    <row r="21">
      <c r="A21" s="14" t="s">
        <v>107</v>
      </c>
      <c r="B21" s="15" t="s">
        <v>108</v>
      </c>
      <c r="C21" s="16">
        <v>1.5996313568E10</v>
      </c>
      <c r="D21" s="16" t="s">
        <v>109</v>
      </c>
      <c r="E21" s="17" t="s">
        <v>40</v>
      </c>
      <c r="F21" s="18" t="str">
        <f>IFERROR(__xludf.DUMMYFUNCTION("""COMPUTED_VALUE"""),"MetaAds")</f>
        <v>MetaAds</v>
      </c>
      <c r="G21" s="18" t="str">
        <f>IFERROR(__xludf.DUMMYFUNCTION("""COMPUTED_VALUE"""),"ADV - [IG] [FB] [30%2B] [PIEDADE - 40KM] V%C3%81RIOS")</f>
        <v>ADV - [IG] [FB] [30%2B] [PIEDADE - 40KM] V%C3%81RIOS</v>
      </c>
      <c r="H21" s="18" t="str">
        <f>IFERROR(__xludf.DUMMYFUNCTION("""COMPUTED_VALUE"""),"Instagram_Stories")</f>
        <v>Instagram_Stories</v>
      </c>
      <c r="I21" s="18" t="str">
        <f>IFERROR(__xludf.DUMMYFUNCTION("""COMPUTED_VALUE"""),"07.04 [IMG] [AD04] Pedidos abertos")</f>
        <v>07.04 [IMG] [AD04] Pedidos abertos</v>
      </c>
      <c r="J21" s="18" t="str">
        <f>IFERROR(__xludf.DUMMYFUNCTION("""COMPUTED_VALUE"""),"07.04.2026 [V4] [WB] [LEADS-GRUPO-WHATS] 02")</f>
        <v>07.04.2026 [V4] [WB] [LEADS-GRUPO-WHATS] 02</v>
      </c>
      <c r="K21" s="19" t="str">
        <f t="shared" si="1"/>
        <v>2026-04-11</v>
      </c>
      <c r="L21" s="20">
        <f t="shared" si="2"/>
        <v>46123</v>
      </c>
      <c r="M21" s="19" t="str">
        <f t="shared" si="3"/>
        <v>96313568</v>
      </c>
      <c r="N21" s="19" t="str">
        <f>IFERROR(IF(VLOOKUP(M21,'Leads no grupo Saibai'!C:C,1,FALSE)=M21,"Sim"),"Não")</f>
        <v>Sim</v>
      </c>
      <c r="O21" s="19"/>
    </row>
    <row r="22">
      <c r="A22" s="14" t="s">
        <v>110</v>
      </c>
      <c r="B22" s="15" t="s">
        <v>111</v>
      </c>
      <c r="C22" s="16">
        <v>1.5996291515E10</v>
      </c>
      <c r="D22" s="16" t="s">
        <v>112</v>
      </c>
      <c r="E22" s="17" t="s">
        <v>113</v>
      </c>
      <c r="F22" s="18" t="str">
        <f>IFERROR(__xludf.DUMMYFUNCTION("""COMPUTED_VALUE"""),"MetaAds")</f>
        <v>MetaAds</v>
      </c>
      <c r="G22" s="18" t="str">
        <f>IFERROR(__xludf.DUMMYFUNCTION("""COMPUTED_VALUE"""),"ADV - [IG] [FB] [30%2B] [PIEDADE - 40KM] V%C3%81RIOS")</f>
        <v>ADV - [IG] [FB] [30%2B] [PIEDADE - 40KM] V%C3%81RIOS</v>
      </c>
      <c r="H22" s="18" t="str">
        <f>IFERROR(__xludf.DUMMYFUNCTION("""COMPUTED_VALUE"""),"Facebook_Mobile_Feed")</f>
        <v>Facebook_Mobile_Feed</v>
      </c>
      <c r="I22" s="18" t="str">
        <f>IFERROR(__xludf.DUMMYFUNCTION("""COMPUTED_VALUE"""),"07.04 [IMG] [AD04] Pedidos abertos")</f>
        <v>07.04 [IMG] [AD04] Pedidos abertos</v>
      </c>
      <c r="J22" s="18" t="str">
        <f>IFERROR(__xludf.DUMMYFUNCTION("""COMPUTED_VALUE"""),"07.04.2026 [V4] [WB] [LEADS-GRUPO-WHATS] 01")</f>
        <v>07.04.2026 [V4] [WB] [LEADS-GRUPO-WHATS] 01</v>
      </c>
      <c r="K22" s="19" t="str">
        <f t="shared" si="1"/>
        <v>2026-04-11</v>
      </c>
      <c r="L22" s="20">
        <f t="shared" si="2"/>
        <v>46123</v>
      </c>
      <c r="M22" s="19" t="str">
        <f t="shared" si="3"/>
        <v>96291515</v>
      </c>
      <c r="N22" s="19" t="str">
        <f>IFERROR(IF(VLOOKUP(M22,'Leads no grupo Saibai'!C:C,1,FALSE)=M22,"Sim"),"Não")</f>
        <v>Não</v>
      </c>
      <c r="O22" s="19"/>
    </row>
    <row r="23">
      <c r="A23" s="14" t="s">
        <v>114</v>
      </c>
      <c r="B23" s="15" t="s">
        <v>115</v>
      </c>
      <c r="C23" s="16">
        <v>1.5996667904E10</v>
      </c>
      <c r="D23" s="16" t="s">
        <v>116</v>
      </c>
      <c r="E23" s="17" t="s">
        <v>117</v>
      </c>
      <c r="F23" s="18" t="str">
        <f>IFERROR(__xludf.DUMMYFUNCTION("""COMPUTED_VALUE"""),"MetaAds")</f>
        <v>MetaAds</v>
      </c>
      <c r="G23" s="18" t="str">
        <f>IFERROR(__xludf.DUMMYFUNCTION("""COMPUTED_VALUE"""),"ADV - [IG] [FB] [30%2B] [PIEDADE - 40KM] V%C3%81RIOS")</f>
        <v>ADV - [IG] [FB] [30%2B] [PIEDADE - 40KM] V%C3%81RIOS</v>
      </c>
      <c r="H23" s="18" t="str">
        <f>IFERROR(__xludf.DUMMYFUNCTION("""COMPUTED_VALUE"""),"Instagram_Feed")</f>
        <v>Instagram_Feed</v>
      </c>
      <c r="I23" s="18" t="str">
        <f>IFERROR(__xludf.DUMMYFUNCTION("""COMPUTED_VALUE"""),"07.04 [IMG] [AD04] Pedidos abertos")</f>
        <v>07.04 [IMG] [AD04] Pedidos abertos</v>
      </c>
      <c r="J23" s="18" t="str">
        <f>IFERROR(__xludf.DUMMYFUNCTION("""COMPUTED_VALUE"""),"07.04.2026 [V4] [WB] [LEADS-GRUPO-WHATS] 01")</f>
        <v>07.04.2026 [V4] [WB] [LEADS-GRUPO-WHATS] 01</v>
      </c>
      <c r="K23" s="19" t="str">
        <f t="shared" si="1"/>
        <v>2026-04-11</v>
      </c>
      <c r="L23" s="20">
        <f t="shared" si="2"/>
        <v>46123</v>
      </c>
      <c r="M23" s="19" t="str">
        <f t="shared" si="3"/>
        <v>96667904</v>
      </c>
      <c r="N23" s="19" t="str">
        <f>IFERROR(IF(VLOOKUP(M23,'Leads no grupo Saibai'!C:C,1,FALSE)=M23,"Sim"),"Não")</f>
        <v>Sim</v>
      </c>
      <c r="O23" s="19"/>
    </row>
    <row r="24">
      <c r="A24" s="14" t="s">
        <v>118</v>
      </c>
      <c r="B24" s="15" t="s">
        <v>119</v>
      </c>
      <c r="C24" s="16">
        <v>1.5997321884E10</v>
      </c>
      <c r="D24" s="16" t="s">
        <v>120</v>
      </c>
      <c r="E24" s="17" t="s">
        <v>121</v>
      </c>
      <c r="F24" s="18" t="str">
        <f>IFERROR(__xludf.DUMMYFUNCTION("""COMPUTED_VALUE"""),"MetaAds")</f>
        <v>MetaAds</v>
      </c>
      <c r="G24" s="18" t="str">
        <f>IFERROR(__xludf.DUMMYFUNCTION("""COMPUTED_VALUE"""),"ADV - [IG] [FB] [30%2B] [PIEDADE - 40KM] V%C3%81RIOS")</f>
        <v>ADV - [IG] [FB] [30%2B] [PIEDADE - 40KM] V%C3%81RIOS</v>
      </c>
      <c r="H24" s="18" t="str">
        <f>IFERROR(__xludf.DUMMYFUNCTION("""COMPUTED_VALUE"""),"Facebook_Mobile_Feed")</f>
        <v>Facebook_Mobile_Feed</v>
      </c>
      <c r="I24" s="18" t="str">
        <f>IFERROR(__xludf.DUMMYFUNCTION("""COMPUTED_VALUE"""),"07.04 [IMG] [AD04] Pedidos abertos")</f>
        <v>07.04 [IMG] [AD04] Pedidos abertos</v>
      </c>
      <c r="J24" s="18" t="str">
        <f>IFERROR(__xludf.DUMMYFUNCTION("""COMPUTED_VALUE"""),"07.04.2026 [V4] [WB] [LEADS-GRUPO-WHATS] 01")</f>
        <v>07.04.2026 [V4] [WB] [LEADS-GRUPO-WHATS] 01</v>
      </c>
      <c r="K24" s="19" t="str">
        <f t="shared" si="1"/>
        <v>2026-04-11</v>
      </c>
      <c r="L24" s="20">
        <f t="shared" si="2"/>
        <v>46123</v>
      </c>
      <c r="M24" s="19" t="str">
        <f t="shared" si="3"/>
        <v>97321884</v>
      </c>
      <c r="N24" s="19" t="str">
        <f>IFERROR(IF(VLOOKUP(M24,'Leads no grupo Saibai'!C:C,1,FALSE)=M24,"Sim"),"Não")</f>
        <v>Não</v>
      </c>
      <c r="O24" s="19"/>
    </row>
    <row r="25">
      <c r="A25" s="14" t="s">
        <v>122</v>
      </c>
      <c r="B25" s="15" t="s">
        <v>123</v>
      </c>
      <c r="C25" s="16">
        <v>1.5991143109E10</v>
      </c>
      <c r="D25" s="16" t="s">
        <v>124</v>
      </c>
      <c r="E25" s="17" t="s">
        <v>125</v>
      </c>
      <c r="F25" s="18" t="str">
        <f>IFERROR(__xludf.DUMMYFUNCTION("""COMPUTED_VALUE"""),"MetaAds")</f>
        <v>MetaAds</v>
      </c>
      <c r="G25" s="18" t="str">
        <f>IFERROR(__xludf.DUMMYFUNCTION("""COMPUTED_VALUE"""),"ADV - [IG] [FB] [30%2B] [PIEDADE - 40KM] V%C3%81RIOS")</f>
        <v>ADV - [IG] [FB] [30%2B] [PIEDADE - 40KM] V%C3%81RIOS</v>
      </c>
      <c r="H25" s="18" t="str">
        <f>IFERROR(__xludf.DUMMYFUNCTION("""COMPUTED_VALUE"""),"Instagram_Stories")</f>
        <v>Instagram_Stories</v>
      </c>
      <c r="I25" s="18" t="str">
        <f>IFERROR(__xludf.DUMMYFUNCTION("""COMPUTED_VALUE"""),"07.04 [IMG] [AD04] Pedidos abertos")</f>
        <v>07.04 [IMG] [AD04] Pedidos abertos</v>
      </c>
      <c r="J25" s="18" t="str">
        <f>IFERROR(__xludf.DUMMYFUNCTION("""COMPUTED_VALUE"""),"07.04.2026 [V4] [WB] [LEADS-GRUPO-WHATS] 01")</f>
        <v>07.04.2026 [V4] [WB] [LEADS-GRUPO-WHATS] 01</v>
      </c>
      <c r="K25" s="19" t="str">
        <f t="shared" si="1"/>
        <v>2026-04-11</v>
      </c>
      <c r="L25" s="20">
        <f t="shared" si="2"/>
        <v>46123</v>
      </c>
      <c r="M25" s="19" t="str">
        <f t="shared" si="3"/>
        <v>91143109</v>
      </c>
      <c r="N25" s="19" t="str">
        <f>IFERROR(IF(VLOOKUP(M25,'Leads no grupo Saibai'!C:C,1,FALSE)=M25,"Sim"),"Não")</f>
        <v>Sim</v>
      </c>
      <c r="O25" s="19"/>
    </row>
    <row r="26">
      <c r="A26" s="14" t="s">
        <v>126</v>
      </c>
      <c r="B26" s="15" t="s">
        <v>127</v>
      </c>
      <c r="C26" s="16">
        <v>1.1917539658E10</v>
      </c>
      <c r="D26" s="16" t="s">
        <v>128</v>
      </c>
      <c r="E26" s="17" t="s">
        <v>129</v>
      </c>
      <c r="F26" s="18" t="str">
        <f>IFERROR(__xludf.DUMMYFUNCTION("""COMPUTED_VALUE"""),"MetaAds")</f>
        <v>MetaAds</v>
      </c>
      <c r="G26" s="18" t="str">
        <f>IFERROR(__xludf.DUMMYFUNCTION("""COMPUTED_VALUE"""),"ADV - [IG] [FB] [30%2B] [PIEDADE - 40KM] V%C3%81RIOS")</f>
        <v>ADV - [IG] [FB] [30%2B] [PIEDADE - 40KM] V%C3%81RIOS</v>
      </c>
      <c r="H26" s="18" t="str">
        <f>IFERROR(__xludf.DUMMYFUNCTION("""COMPUTED_VALUE"""),"Instagram_Stories")</f>
        <v>Instagram_Stories</v>
      </c>
      <c r="I26" s="18" t="str">
        <f>IFERROR(__xludf.DUMMYFUNCTION("""COMPUTED_VALUE"""),"07.04 [IMG] [AD04] Pedidos abertos")</f>
        <v>07.04 [IMG] [AD04] Pedidos abertos</v>
      </c>
      <c r="J26" s="18" t="str">
        <f>IFERROR(__xludf.DUMMYFUNCTION("""COMPUTED_VALUE"""),"07.04.2026 [V4] [WB] [LEADS-GRUPO-WHATS] 01")</f>
        <v>07.04.2026 [V4] [WB] [LEADS-GRUPO-WHATS] 01</v>
      </c>
      <c r="K26" s="19" t="str">
        <f t="shared" si="1"/>
        <v>2026-04-11</v>
      </c>
      <c r="L26" s="20">
        <f t="shared" si="2"/>
        <v>46123</v>
      </c>
      <c r="M26" s="19" t="str">
        <f t="shared" si="3"/>
        <v>17539658</v>
      </c>
      <c r="N26" s="19" t="str">
        <f>IFERROR(IF(VLOOKUP(M26,'Leads no grupo Saibai'!C:C,1,FALSE)=M26,"Sim"),"Não")</f>
        <v>Sim</v>
      </c>
      <c r="O26" s="19"/>
    </row>
    <row r="27">
      <c r="A27" s="14" t="s">
        <v>130</v>
      </c>
      <c r="B27" s="15" t="s">
        <v>131</v>
      </c>
      <c r="C27" s="16">
        <v>1.5988211837E10</v>
      </c>
      <c r="D27" s="16" t="s">
        <v>132</v>
      </c>
      <c r="E27" s="17" t="s">
        <v>133</v>
      </c>
      <c r="F27" s="18" t="str">
        <f>IFERROR(__xludf.DUMMYFUNCTION("""COMPUTED_VALUE"""),"MetaAds")</f>
        <v>MetaAds</v>
      </c>
      <c r="G27" s="18" t="str">
        <f>IFERROR(__xludf.DUMMYFUNCTION("""COMPUTED_VALUE"""),"ADV - [IG] [FB] [30%2B] [PIEDADE - 40KM] V%C3%81RIOS")</f>
        <v>ADV - [IG] [FB] [30%2B] [PIEDADE - 40KM] V%C3%81RIOS</v>
      </c>
      <c r="H27" s="18" t="str">
        <f>IFERROR(__xludf.DUMMYFUNCTION("""COMPUTED_VALUE"""),"Facebook_Mobile_Feed")</f>
        <v>Facebook_Mobile_Feed</v>
      </c>
      <c r="I27" s="18" t="str">
        <f>IFERROR(__xludf.DUMMYFUNCTION("""COMPUTED_VALUE"""),"07.04 [IMG] [AD04] Pedidos abertos")</f>
        <v>07.04 [IMG] [AD04] Pedidos abertos</v>
      </c>
      <c r="J27" s="18" t="str">
        <f>IFERROR(__xludf.DUMMYFUNCTION("""COMPUTED_VALUE"""),"07.04.2026 [V4] [WB] [LEADS-GRUPO-WHATS] 01")</f>
        <v>07.04.2026 [V4] [WB] [LEADS-GRUPO-WHATS] 01</v>
      </c>
      <c r="K27" s="19" t="str">
        <f t="shared" si="1"/>
        <v>2026-04-12</v>
      </c>
      <c r="L27" s="20">
        <f t="shared" si="2"/>
        <v>46124</v>
      </c>
      <c r="M27" s="19" t="str">
        <f t="shared" si="3"/>
        <v>88211837</v>
      </c>
      <c r="N27" s="19" t="str">
        <f>IFERROR(IF(VLOOKUP(M27,'Leads no grupo Saibai'!C:C,1,FALSE)=M27,"Sim"),"Não")</f>
        <v>Sim</v>
      </c>
      <c r="O27" s="19"/>
    </row>
    <row r="28">
      <c r="A28" s="14" t="s">
        <v>134</v>
      </c>
      <c r="B28" s="15" t="s">
        <v>135</v>
      </c>
      <c r="C28" s="16">
        <v>1.5988030611E10</v>
      </c>
      <c r="D28" s="16" t="s">
        <v>136</v>
      </c>
      <c r="E28" s="17" t="s">
        <v>137</v>
      </c>
      <c r="F28" s="18" t="str">
        <f>IFERROR(__xludf.DUMMYFUNCTION("""COMPUTED_VALUE"""),"MetaAds")</f>
        <v>MetaAds</v>
      </c>
      <c r="G28" s="18" t="str">
        <f>IFERROR(__xludf.DUMMYFUNCTION("""COMPUTED_VALUE"""),"ADV - [IG] [FB] [30%2B] [PIEDADE - 40KM] V%C3%81RIOS")</f>
        <v>ADV - [IG] [FB] [30%2B] [PIEDADE - 40KM] V%C3%81RIOS</v>
      </c>
      <c r="H28" s="18" t="str">
        <f>IFERROR(__xludf.DUMMYFUNCTION("""COMPUTED_VALUE"""),"Facebook_Mobile_Feed")</f>
        <v>Facebook_Mobile_Feed</v>
      </c>
      <c r="I28" s="18" t="str">
        <f>IFERROR(__xludf.DUMMYFUNCTION("""COMPUTED_VALUE"""),"07.04 [IMG] [AD04] Pedidos abertos")</f>
        <v>07.04 [IMG] [AD04] Pedidos abertos</v>
      </c>
      <c r="J28" s="18" t="str">
        <f>IFERROR(__xludf.DUMMYFUNCTION("""COMPUTED_VALUE"""),"07.04.2026 [V4] [WB] [LEADS-GRUPO-WHATS] 01")</f>
        <v>07.04.2026 [V4] [WB] [LEADS-GRUPO-WHATS] 01</v>
      </c>
      <c r="K28" s="19" t="str">
        <f t="shared" si="1"/>
        <v>2026-04-12</v>
      </c>
      <c r="L28" s="20">
        <f t="shared" si="2"/>
        <v>46124</v>
      </c>
      <c r="M28" s="19" t="str">
        <f t="shared" si="3"/>
        <v>88030611</v>
      </c>
      <c r="N28" s="19" t="str">
        <f>IFERROR(IF(VLOOKUP(M28,'Leads no grupo Saibai'!C:C,1,FALSE)=M28,"Sim"),"Não")</f>
        <v>Sim</v>
      </c>
      <c r="O28" s="19"/>
    </row>
    <row r="29">
      <c r="A29" s="14" t="s">
        <v>138</v>
      </c>
      <c r="B29" s="15" t="s">
        <v>135</v>
      </c>
      <c r="C29" s="16">
        <v>1.5988030611E10</v>
      </c>
      <c r="D29" s="16" t="s">
        <v>136</v>
      </c>
      <c r="E29" s="17" t="s">
        <v>137</v>
      </c>
      <c r="F29" s="18" t="str">
        <f>IFERROR(__xludf.DUMMYFUNCTION("""COMPUTED_VALUE"""),"MetaAds")</f>
        <v>MetaAds</v>
      </c>
      <c r="G29" s="18" t="str">
        <f>IFERROR(__xludf.DUMMYFUNCTION("""COMPUTED_VALUE"""),"ADV - [IG] [FB] [30%2B] [PIEDADE - 40KM] V%C3%81RIOS")</f>
        <v>ADV - [IG] [FB] [30%2B] [PIEDADE - 40KM] V%C3%81RIOS</v>
      </c>
      <c r="H29" s="18" t="str">
        <f>IFERROR(__xludf.DUMMYFUNCTION("""COMPUTED_VALUE"""),"Facebook_Mobile_Feed")</f>
        <v>Facebook_Mobile_Feed</v>
      </c>
      <c r="I29" s="18" t="str">
        <f>IFERROR(__xludf.DUMMYFUNCTION("""COMPUTED_VALUE"""),"07.04 [IMG] [AD04] Pedidos abertos")</f>
        <v>07.04 [IMG] [AD04] Pedidos abertos</v>
      </c>
      <c r="J29" s="18" t="str">
        <f>IFERROR(__xludf.DUMMYFUNCTION("""COMPUTED_VALUE"""),"07.04.2026 [V4] [WB] [LEADS-GRUPO-WHATS] 01")</f>
        <v>07.04.2026 [V4] [WB] [LEADS-GRUPO-WHATS] 01</v>
      </c>
      <c r="K29" s="19" t="str">
        <f t="shared" si="1"/>
        <v>2026-04-12</v>
      </c>
      <c r="L29" s="20">
        <f t="shared" si="2"/>
        <v>46124</v>
      </c>
      <c r="M29" s="19" t="str">
        <f t="shared" si="3"/>
        <v>88030611</v>
      </c>
      <c r="N29" s="19" t="str">
        <f>IFERROR(IF(VLOOKUP(M29,'Leads no grupo Saibai'!C:C,1,FALSE)=M29,"Sim"),"Não")</f>
        <v>Sim</v>
      </c>
      <c r="O29" s="19"/>
    </row>
    <row r="30">
      <c r="A30" s="14" t="s">
        <v>139</v>
      </c>
      <c r="B30" s="15" t="s">
        <v>140</v>
      </c>
      <c r="C30" s="16">
        <v>1.1985843932E10</v>
      </c>
      <c r="D30" s="16" t="s">
        <v>141</v>
      </c>
      <c r="E30" s="17" t="s">
        <v>142</v>
      </c>
      <c r="F30" s="18" t="str">
        <f>IFERROR(__xludf.DUMMYFUNCTION("""COMPUTED_VALUE"""),"MetaAds")</f>
        <v>MetaAds</v>
      </c>
      <c r="G30" s="18" t="str">
        <f>IFERROR(__xludf.DUMMYFUNCTION("""COMPUTED_VALUE"""),"ADV - [IG] [FB] [30%2B] [PIEDADE - 40KM] V%C3%81RIOS")</f>
        <v>ADV - [IG] [FB] [30%2B] [PIEDADE - 40KM] V%C3%81RIOS</v>
      </c>
      <c r="H30" s="18" t="str">
        <f>IFERROR(__xludf.DUMMYFUNCTION("""COMPUTED_VALUE"""),"Facebook_Mobile_Feed")</f>
        <v>Facebook_Mobile_Feed</v>
      </c>
      <c r="I30" s="18" t="str">
        <f>IFERROR(__xludf.DUMMYFUNCTION("""COMPUTED_VALUE"""),"07.04 [IMG] [AD01] A safra come%C3%A7ou")</f>
        <v>07.04 [IMG] [AD01] A safra come%C3%A7ou</v>
      </c>
      <c r="J30" s="18" t="str">
        <f>IFERROR(__xludf.DUMMYFUNCTION("""COMPUTED_VALUE"""),"07.04.2026 [V4] [WB] [LEADS-GRUPO-WHATS] 01")</f>
        <v>07.04.2026 [V4] [WB] [LEADS-GRUPO-WHATS] 01</v>
      </c>
      <c r="K30" s="19" t="str">
        <f t="shared" si="1"/>
        <v>2026-04-12</v>
      </c>
      <c r="L30" s="20">
        <f t="shared" si="2"/>
        <v>46124</v>
      </c>
      <c r="M30" s="19" t="str">
        <f t="shared" si="3"/>
        <v>85843932</v>
      </c>
      <c r="N30" s="19" t="str">
        <f>IFERROR(IF(VLOOKUP(M30,'Leads no grupo Saibai'!C:C,1,FALSE)=M30,"Sim"),"Não")</f>
        <v>Sim</v>
      </c>
      <c r="O30" s="19"/>
    </row>
    <row r="31">
      <c r="A31" s="14" t="s">
        <v>143</v>
      </c>
      <c r="B31" s="15" t="s">
        <v>140</v>
      </c>
      <c r="C31" s="16">
        <v>1.1985843932E10</v>
      </c>
      <c r="D31" s="16" t="s">
        <v>141</v>
      </c>
      <c r="E31" s="17" t="s">
        <v>142</v>
      </c>
      <c r="F31" s="18" t="str">
        <f>IFERROR(__xludf.DUMMYFUNCTION("""COMPUTED_VALUE"""),"MetaAds")</f>
        <v>MetaAds</v>
      </c>
      <c r="G31" s="18" t="str">
        <f>IFERROR(__xludf.DUMMYFUNCTION("""COMPUTED_VALUE"""),"ADV - [IG] [FB] [30%2B] [PIEDADE - 40KM] V%C3%81RIOS")</f>
        <v>ADV - [IG] [FB] [30%2B] [PIEDADE - 40KM] V%C3%81RIOS</v>
      </c>
      <c r="H31" s="18" t="str">
        <f>IFERROR(__xludf.DUMMYFUNCTION("""COMPUTED_VALUE"""),"Facebook_Mobile_Feed")</f>
        <v>Facebook_Mobile_Feed</v>
      </c>
      <c r="I31" s="18" t="str">
        <f>IFERROR(__xludf.DUMMYFUNCTION("""COMPUTED_VALUE"""),"07.04 [IMG] [AD01] A safra come%C3%A7ou")</f>
        <v>07.04 [IMG] [AD01] A safra come%C3%A7ou</v>
      </c>
      <c r="J31" s="18" t="str">
        <f>IFERROR(__xludf.DUMMYFUNCTION("""COMPUTED_VALUE"""),"07.04.2026 [V4] [WB] [LEADS-GRUPO-WHATS] 01")</f>
        <v>07.04.2026 [V4] [WB] [LEADS-GRUPO-WHATS] 01</v>
      </c>
      <c r="K31" s="19" t="str">
        <f t="shared" si="1"/>
        <v>2026-04-12</v>
      </c>
      <c r="L31" s="20">
        <f t="shared" si="2"/>
        <v>46124</v>
      </c>
      <c r="M31" s="19" t="str">
        <f t="shared" si="3"/>
        <v>85843932</v>
      </c>
      <c r="N31" s="19" t="str">
        <f>IFERROR(IF(VLOOKUP(M31,'Leads no grupo Saibai'!C:C,1,FALSE)=M31,"Sim"),"Não")</f>
        <v>Sim</v>
      </c>
      <c r="O31" s="19"/>
    </row>
    <row r="32">
      <c r="A32" s="14" t="s">
        <v>144</v>
      </c>
      <c r="B32" s="15" t="s">
        <v>140</v>
      </c>
      <c r="C32" s="16">
        <v>1.1985843932E10</v>
      </c>
      <c r="D32" s="16" t="s">
        <v>141</v>
      </c>
      <c r="E32" s="17" t="s">
        <v>145</v>
      </c>
      <c r="F32" s="18" t="str">
        <f>IFERROR(__xludf.DUMMYFUNCTION("""COMPUTED_VALUE"""),"MetaAds")</f>
        <v>MetaAds</v>
      </c>
      <c r="G32" s="18" t="str">
        <f>IFERROR(__xludf.DUMMYFUNCTION("""COMPUTED_VALUE"""),"ADV - [IG] [FB] [30%2B] [PIEDADE - 40KM] V%C3%81RIOS")</f>
        <v>ADV - [IG] [FB] [30%2B] [PIEDADE - 40KM] V%C3%81RIOS</v>
      </c>
      <c r="H32" s="18" t="str">
        <f>IFERROR(__xludf.DUMMYFUNCTION("""COMPUTED_VALUE"""),"Facebook_Mobile_Feed")</f>
        <v>Facebook_Mobile_Feed</v>
      </c>
      <c r="I32" s="18" t="str">
        <f>IFERROR(__xludf.DUMMYFUNCTION("""COMPUTED_VALUE"""),"07.04 [IMG] [AD04] Pedidos abertos")</f>
        <v>07.04 [IMG] [AD04] Pedidos abertos</v>
      </c>
      <c r="J32" s="18" t="str">
        <f>IFERROR(__xludf.DUMMYFUNCTION("""COMPUTED_VALUE"""),"07.04.2026 [V4] [WB] [LEADS-GRUPO-WHATS] 01")</f>
        <v>07.04.2026 [V4] [WB] [LEADS-GRUPO-WHATS] 01</v>
      </c>
      <c r="K32" s="19" t="str">
        <f t="shared" si="1"/>
        <v>2026-04-12</v>
      </c>
      <c r="L32" s="20">
        <f t="shared" si="2"/>
        <v>46124</v>
      </c>
      <c r="M32" s="19" t="str">
        <f t="shared" si="3"/>
        <v>85843932</v>
      </c>
      <c r="N32" s="19" t="str">
        <f>IFERROR(IF(VLOOKUP(M32,'Leads no grupo Saibai'!C:C,1,FALSE)=M32,"Sim"),"Não")</f>
        <v>Sim</v>
      </c>
      <c r="O32" s="19"/>
    </row>
    <row r="33">
      <c r="A33" s="14" t="s">
        <v>146</v>
      </c>
      <c r="B33" s="15" t="s">
        <v>147</v>
      </c>
      <c r="C33" s="16">
        <v>1.5981595553E10</v>
      </c>
      <c r="D33" s="16" t="s">
        <v>148</v>
      </c>
      <c r="E33" s="17" t="s">
        <v>149</v>
      </c>
      <c r="F33" s="18" t="str">
        <f>IFERROR(__xludf.DUMMYFUNCTION("""COMPUTED_VALUE"""),"MetaAds")</f>
        <v>MetaAds</v>
      </c>
      <c r="G33" s="18" t="str">
        <f>IFERROR(__xludf.DUMMYFUNCTION("""COMPUTED_VALUE"""),"ADV - [IG] [FB] [30%2B] [PIEDADE - 40KM] V%C3%81RIOS")</f>
        <v>ADV - [IG] [FB] [30%2B] [PIEDADE - 40KM] V%C3%81RIOS</v>
      </c>
      <c r="H33" s="18" t="str">
        <f>IFERROR(__xludf.DUMMYFUNCTION("""COMPUTED_VALUE"""),"Instagram_Stories")</f>
        <v>Instagram_Stories</v>
      </c>
      <c r="I33" s="18" t="str">
        <f>IFERROR(__xludf.DUMMYFUNCTION("""COMPUTED_VALUE"""),"07.04 [IMG] [AD04] Pedidos abertos")</f>
        <v>07.04 [IMG] [AD04] Pedidos abertos</v>
      </c>
      <c r="J33" s="18" t="str">
        <f>IFERROR(__xludf.DUMMYFUNCTION("""COMPUTED_VALUE"""),"07.04.2026 [V4] [WB] [LEADS-GRUPO-WHATS] 01")</f>
        <v>07.04.2026 [V4] [WB] [LEADS-GRUPO-WHATS] 01</v>
      </c>
      <c r="K33" s="19" t="str">
        <f t="shared" si="1"/>
        <v>2026-04-12</v>
      </c>
      <c r="L33" s="20">
        <f t="shared" si="2"/>
        <v>46124</v>
      </c>
      <c r="M33" s="19" t="str">
        <f t="shared" si="3"/>
        <v>81595553</v>
      </c>
      <c r="N33" s="19" t="str">
        <f>IFERROR(IF(VLOOKUP(M33,'Leads no grupo Saibai'!C:C,1,FALSE)=M33,"Sim"),"Não")</f>
        <v>Sim</v>
      </c>
      <c r="O33" s="19"/>
    </row>
    <row r="34">
      <c r="A34" s="14" t="s">
        <v>150</v>
      </c>
      <c r="B34" s="15" t="s">
        <v>151</v>
      </c>
      <c r="C34" s="16">
        <v>1.5997442004E10</v>
      </c>
      <c r="D34" s="16" t="s">
        <v>152</v>
      </c>
      <c r="E34" s="17" t="s">
        <v>153</v>
      </c>
      <c r="F34" s="18" t="str">
        <f>IFERROR(__xludf.DUMMYFUNCTION("""COMPUTED_VALUE"""),"MetaAds")</f>
        <v>MetaAds</v>
      </c>
      <c r="G34" s="18" t="str">
        <f>IFERROR(__xludf.DUMMYFUNCTION("""COMPUTED_VALUE"""),"ADV - [IG] [FB] [30%2B] [PIEDADE - 40KM] V%C3%81RIOS")</f>
        <v>ADV - [IG] [FB] [30%2B] [PIEDADE - 40KM] V%C3%81RIOS</v>
      </c>
      <c r="H34" s="18" t="str">
        <f>IFERROR(__xludf.DUMMYFUNCTION("""COMPUTED_VALUE"""),"Instagram_Feed")</f>
        <v>Instagram_Feed</v>
      </c>
      <c r="I34" s="18" t="str">
        <f>IFERROR(__xludf.DUMMYFUNCTION("""COMPUTED_VALUE"""),"07.04 [IMG] [AD04] Pedidos abertos")</f>
        <v>07.04 [IMG] [AD04] Pedidos abertos</v>
      </c>
      <c r="J34" s="18" t="str">
        <f>IFERROR(__xludf.DUMMYFUNCTION("""COMPUTED_VALUE"""),"07.04.2026 [V4] [WB] [LEADS-GRUPO-WHATS] 01")</f>
        <v>07.04.2026 [V4] [WB] [LEADS-GRUPO-WHATS] 01</v>
      </c>
      <c r="K34" s="19" t="str">
        <f t="shared" si="1"/>
        <v>2026-04-12</v>
      </c>
      <c r="L34" s="20">
        <f t="shared" si="2"/>
        <v>46124</v>
      </c>
      <c r="M34" s="19" t="str">
        <f t="shared" si="3"/>
        <v>97442004</v>
      </c>
      <c r="N34" s="19" t="str">
        <f>IFERROR(IF(VLOOKUP(M34,'Leads no grupo Saibai'!C:C,1,FALSE)=M34,"Sim"),"Não")</f>
        <v>Sim</v>
      </c>
      <c r="O34" s="19"/>
    </row>
    <row r="35">
      <c r="A35" s="14" t="s">
        <v>154</v>
      </c>
      <c r="B35" s="15" t="s">
        <v>155</v>
      </c>
      <c r="C35" s="16">
        <v>1.5991956401E10</v>
      </c>
      <c r="D35" s="16" t="s">
        <v>156</v>
      </c>
      <c r="E35" s="17" t="s">
        <v>157</v>
      </c>
      <c r="F35" s="18" t="str">
        <f>IFERROR(__xludf.DUMMYFUNCTION("""COMPUTED_VALUE"""),"MetaAds")</f>
        <v>MetaAds</v>
      </c>
      <c r="G35" s="18" t="str">
        <f>IFERROR(__xludf.DUMMYFUNCTION("""COMPUTED_VALUE"""),"ADV - [IG] [FB] [30%2B] [PIEDADE - 40KM] V%C3%81RIOS")</f>
        <v>ADV - [IG] [FB] [30%2B] [PIEDADE - 40KM] V%C3%81RIOS</v>
      </c>
      <c r="H35" s="18" t="str">
        <f>IFERROR(__xludf.DUMMYFUNCTION("""COMPUTED_VALUE"""),"Facebook_Mobile_Feed")</f>
        <v>Facebook_Mobile_Feed</v>
      </c>
      <c r="I35" s="18" t="str">
        <f>IFERROR(__xludf.DUMMYFUNCTION("""COMPUTED_VALUE"""),"07.04 [IMG] [AD04] Pedidos abertos")</f>
        <v>07.04 [IMG] [AD04] Pedidos abertos</v>
      </c>
      <c r="J35" s="18" t="str">
        <f>IFERROR(__xludf.DUMMYFUNCTION("""COMPUTED_VALUE"""),"07.04.2026 [V4] [WB] [LEADS-GRUPO-WHATS] 01")</f>
        <v>07.04.2026 [V4] [WB] [LEADS-GRUPO-WHATS] 01</v>
      </c>
      <c r="K35" s="19" t="str">
        <f t="shared" si="1"/>
        <v>2026-04-12</v>
      </c>
      <c r="L35" s="20">
        <f t="shared" si="2"/>
        <v>46124</v>
      </c>
      <c r="M35" s="19" t="str">
        <f t="shared" si="3"/>
        <v>91956401</v>
      </c>
      <c r="N35" s="19" t="str">
        <f>IFERROR(IF(VLOOKUP(M35,'Leads no grupo Saibai'!C:C,1,FALSE)=M35,"Sim"),"Não")</f>
        <v>Sim</v>
      </c>
      <c r="O35" s="19"/>
    </row>
    <row r="36">
      <c r="A36" s="14" t="s">
        <v>158</v>
      </c>
      <c r="B36" s="15" t="s">
        <v>159</v>
      </c>
      <c r="C36" s="16">
        <v>5.5119923986E10</v>
      </c>
      <c r="D36" s="16" t="s">
        <v>160</v>
      </c>
      <c r="E36" s="17" t="s">
        <v>40</v>
      </c>
      <c r="F36" s="18" t="str">
        <f>IFERROR(__xludf.DUMMYFUNCTION("""COMPUTED_VALUE"""),"MetaAds")</f>
        <v>MetaAds</v>
      </c>
      <c r="G36" s="18" t="str">
        <f>IFERROR(__xludf.DUMMYFUNCTION("""COMPUTED_VALUE"""),"ADV - [IG] [FB] [30%2B] [PIEDADE - 40KM] V%C3%81RIOS")</f>
        <v>ADV - [IG] [FB] [30%2B] [PIEDADE - 40KM] V%C3%81RIOS</v>
      </c>
      <c r="H36" s="18" t="str">
        <f>IFERROR(__xludf.DUMMYFUNCTION("""COMPUTED_VALUE"""),"Instagram_Stories")</f>
        <v>Instagram_Stories</v>
      </c>
      <c r="I36" s="18" t="str">
        <f>IFERROR(__xludf.DUMMYFUNCTION("""COMPUTED_VALUE"""),"07.04 [IMG] [AD04] Pedidos abertos")</f>
        <v>07.04 [IMG] [AD04] Pedidos abertos</v>
      </c>
      <c r="J36" s="18" t="str">
        <f>IFERROR(__xludf.DUMMYFUNCTION("""COMPUTED_VALUE"""),"07.04.2026 [V4] [WB] [LEADS-GRUPO-WHATS] 02")</f>
        <v>07.04.2026 [V4] [WB] [LEADS-GRUPO-WHATS] 02</v>
      </c>
      <c r="K36" s="19" t="str">
        <f t="shared" si="1"/>
        <v>2026-04-12</v>
      </c>
      <c r="L36" s="20">
        <f t="shared" si="2"/>
        <v>46124</v>
      </c>
      <c r="M36" s="19" t="str">
        <f t="shared" si="3"/>
        <v>19923986</v>
      </c>
      <c r="N36" s="19" t="str">
        <f>IFERROR(IF(VLOOKUP(M36,'Leads no grupo Saibai'!C:C,1,FALSE)=M36,"Sim"),"Não")</f>
        <v>Não</v>
      </c>
      <c r="O36" s="19"/>
    </row>
    <row r="37">
      <c r="A37" s="14" t="s">
        <v>161</v>
      </c>
      <c r="B37" s="15" t="s">
        <v>162</v>
      </c>
      <c r="C37" s="16">
        <v>1.1992292684E10</v>
      </c>
      <c r="D37" s="16" t="s">
        <v>163</v>
      </c>
      <c r="E37" s="17" t="s">
        <v>164</v>
      </c>
      <c r="F37" s="18" t="str">
        <f>IFERROR(__xludf.DUMMYFUNCTION("""COMPUTED_VALUE"""),"MetaAds")</f>
        <v>MetaAds</v>
      </c>
      <c r="G37" s="18" t="str">
        <f>IFERROR(__xludf.DUMMYFUNCTION("""COMPUTED_VALUE"""),"ADV - [IG] [FB] [30%2B] [PIEDADE - 40KM] V%C3%81RIOS")</f>
        <v>ADV - [IG] [FB] [30%2B] [PIEDADE - 40KM] V%C3%81RIOS</v>
      </c>
      <c r="H37" s="18" t="str">
        <f>IFERROR(__xludf.DUMMYFUNCTION("""COMPUTED_VALUE"""),"Instagram_Stories")</f>
        <v>Instagram_Stories</v>
      </c>
      <c r="I37" s="18" t="str">
        <f>IFERROR(__xludf.DUMMYFUNCTION("""COMPUTED_VALUE"""),"07.04 [IMG] [AD04] Pedidos abertos")</f>
        <v>07.04 [IMG] [AD04] Pedidos abertos</v>
      </c>
      <c r="J37" s="18" t="str">
        <f>IFERROR(__xludf.DUMMYFUNCTION("""COMPUTED_VALUE"""),"07.04.2026 [V4] [WB] [LEADS-GRUPO-WHATS] 01")</f>
        <v>07.04.2026 [V4] [WB] [LEADS-GRUPO-WHATS] 01</v>
      </c>
      <c r="K37" s="19" t="str">
        <f t="shared" si="1"/>
        <v>2026-04-12</v>
      </c>
      <c r="L37" s="20">
        <f t="shared" si="2"/>
        <v>46124</v>
      </c>
      <c r="M37" s="19" t="str">
        <f t="shared" si="3"/>
        <v>92292684</v>
      </c>
      <c r="N37" s="19" t="str">
        <f>IFERROR(IF(VLOOKUP(M37,'Leads no grupo Saibai'!C:C,1,FALSE)=M37,"Sim"),"Não")</f>
        <v>Sim</v>
      </c>
      <c r="O37" s="19"/>
    </row>
    <row r="38">
      <c r="A38" s="14" t="s">
        <v>165</v>
      </c>
      <c r="B38" s="15" t="s">
        <v>166</v>
      </c>
      <c r="C38" s="16">
        <v>1.5997789191E10</v>
      </c>
      <c r="D38" s="16" t="s">
        <v>167</v>
      </c>
      <c r="E38" s="17" t="s">
        <v>168</v>
      </c>
      <c r="F38" s="18" t="str">
        <f>IFERROR(__xludf.DUMMYFUNCTION("""COMPUTED_VALUE"""),"MetaAds")</f>
        <v>MetaAds</v>
      </c>
      <c r="G38" s="18" t="str">
        <f>IFERROR(__xludf.DUMMYFUNCTION("""COMPUTED_VALUE"""),"ADV - [IG] [FB] [30%2B] [PIEDADE - 40KM] V%C3%81RIOS")</f>
        <v>ADV - [IG] [FB] [30%2B] [PIEDADE - 40KM] V%C3%81RIOS</v>
      </c>
      <c r="H38" s="18" t="str">
        <f>IFERROR(__xludf.DUMMYFUNCTION("""COMPUTED_VALUE"""),"Facebook_Mobile_Reels")</f>
        <v>Facebook_Mobile_Reels</v>
      </c>
      <c r="I38" s="18" t="str">
        <f>IFERROR(__xludf.DUMMYFUNCTION("""COMPUTED_VALUE"""),"07.04 [IMG] [AD04] Pedidos abertos")</f>
        <v>07.04 [IMG] [AD04] Pedidos abertos</v>
      </c>
      <c r="J38" s="18" t="str">
        <f>IFERROR(__xludf.DUMMYFUNCTION("""COMPUTED_VALUE"""),"07.04.2026 [V4] [WB] [LEADS-GRUPO-WHATS] 01")</f>
        <v>07.04.2026 [V4] [WB] [LEADS-GRUPO-WHATS] 01</v>
      </c>
      <c r="K38" s="19" t="str">
        <f t="shared" si="1"/>
        <v>2026-04-12</v>
      </c>
      <c r="L38" s="20">
        <f t="shared" si="2"/>
        <v>46124</v>
      </c>
      <c r="M38" s="19" t="str">
        <f t="shared" si="3"/>
        <v>97789191</v>
      </c>
      <c r="N38" s="19" t="str">
        <f>IFERROR(IF(VLOOKUP(M38,'Leads no grupo Saibai'!C:C,1,FALSE)=M38,"Sim"),"Não")</f>
        <v>Sim</v>
      </c>
      <c r="O38" s="19"/>
    </row>
    <row r="39">
      <c r="A39" s="14" t="s">
        <v>169</v>
      </c>
      <c r="B39" s="15" t="s">
        <v>170</v>
      </c>
      <c r="C39" s="16">
        <v>5.5159911523E10</v>
      </c>
      <c r="D39" s="16" t="s">
        <v>171</v>
      </c>
      <c r="E39" s="17" t="s">
        <v>172</v>
      </c>
      <c r="F39" s="18" t="str">
        <f>IFERROR(__xludf.DUMMYFUNCTION("""COMPUTED_VALUE"""),"MetaAds")</f>
        <v>MetaAds</v>
      </c>
      <c r="G39" s="18" t="str">
        <f>IFERROR(__xludf.DUMMYFUNCTION("""COMPUTED_VALUE"""),"ADV - [IG] [FB] [30%2B] [PIEDADE - 40KM] V%C3%81RIOS")</f>
        <v>ADV - [IG] [FB] [30%2B] [PIEDADE - 40KM] V%C3%81RIOS</v>
      </c>
      <c r="H39" s="18" t="str">
        <f>IFERROR(__xludf.DUMMYFUNCTION("""COMPUTED_VALUE"""),"Facebook_Mobile_Feed")</f>
        <v>Facebook_Mobile_Feed</v>
      </c>
      <c r="I39" s="18" t="str">
        <f>IFERROR(__xludf.DUMMYFUNCTION("""COMPUTED_VALUE"""),"07.04 [IMG] [AD04] Pedidos abertos")</f>
        <v>07.04 [IMG] [AD04] Pedidos abertos</v>
      </c>
      <c r="J39" s="18" t="str">
        <f>IFERROR(__xludf.DUMMYFUNCTION("""COMPUTED_VALUE"""),"07.04.2026 [V4] [WB] [LEADS-GRUPO-WHATS] 01")</f>
        <v>07.04.2026 [V4] [WB] [LEADS-GRUPO-WHATS] 01</v>
      </c>
      <c r="K39" s="19" t="str">
        <f t="shared" si="1"/>
        <v>2026-04-12</v>
      </c>
      <c r="L39" s="20">
        <f t="shared" si="2"/>
        <v>46124</v>
      </c>
      <c r="M39" s="19" t="str">
        <f t="shared" si="3"/>
        <v>59911523</v>
      </c>
      <c r="N39" s="19" t="str">
        <f>IFERROR(IF(VLOOKUP(M39,'Leads no grupo Saibai'!C:C,1,FALSE)=M39,"Sim"),"Não")</f>
        <v>Não</v>
      </c>
      <c r="O39" s="19"/>
    </row>
    <row r="40">
      <c r="A40" s="14" t="s">
        <v>173</v>
      </c>
      <c r="B40" s="15" t="s">
        <v>174</v>
      </c>
      <c r="C40" s="16">
        <v>1.199988559E10</v>
      </c>
      <c r="D40" s="16" t="s">
        <v>175</v>
      </c>
      <c r="E40" s="17" t="s">
        <v>40</v>
      </c>
      <c r="F40" s="18" t="str">
        <f>IFERROR(__xludf.DUMMYFUNCTION("""COMPUTED_VALUE"""),"MetaAds")</f>
        <v>MetaAds</v>
      </c>
      <c r="G40" s="18" t="str">
        <f>IFERROR(__xludf.DUMMYFUNCTION("""COMPUTED_VALUE"""),"ADV - [IG] [FB] [30%2B] [PIEDADE - 40KM] V%C3%81RIOS")</f>
        <v>ADV - [IG] [FB] [30%2B] [PIEDADE - 40KM] V%C3%81RIOS</v>
      </c>
      <c r="H40" s="18" t="str">
        <f>IFERROR(__xludf.DUMMYFUNCTION("""COMPUTED_VALUE"""),"Instagram_Stories")</f>
        <v>Instagram_Stories</v>
      </c>
      <c r="I40" s="18" t="str">
        <f>IFERROR(__xludf.DUMMYFUNCTION("""COMPUTED_VALUE"""),"07.04 [IMG] [AD04] Pedidos abertos")</f>
        <v>07.04 [IMG] [AD04] Pedidos abertos</v>
      </c>
      <c r="J40" s="18" t="str">
        <f>IFERROR(__xludf.DUMMYFUNCTION("""COMPUTED_VALUE"""),"07.04.2026 [V4] [WB] [LEADS-GRUPO-WHATS] 02")</f>
        <v>07.04.2026 [V4] [WB] [LEADS-GRUPO-WHATS] 02</v>
      </c>
      <c r="K40" s="19" t="str">
        <f t="shared" si="1"/>
        <v>2026-04-12</v>
      </c>
      <c r="L40" s="20">
        <f t="shared" si="2"/>
        <v>46124</v>
      </c>
      <c r="M40" s="19" t="str">
        <f t="shared" si="3"/>
        <v>99885590</v>
      </c>
      <c r="N40" s="19" t="str">
        <f>IFERROR(IF(VLOOKUP(M40,'Leads no grupo Saibai'!C:C,1,FALSE)=M40,"Sim"),"Não")</f>
        <v>Sim</v>
      </c>
      <c r="O40" s="19"/>
    </row>
    <row r="41">
      <c r="A41" s="14" t="s">
        <v>176</v>
      </c>
      <c r="B41" s="15" t="s">
        <v>177</v>
      </c>
      <c r="C41" s="16">
        <v>1.5988052505E10</v>
      </c>
      <c r="D41" s="16" t="s">
        <v>178</v>
      </c>
      <c r="E41" s="17" t="s">
        <v>179</v>
      </c>
      <c r="F41" s="18" t="str">
        <f>IFERROR(__xludf.DUMMYFUNCTION("""COMPUTED_VALUE"""),"MetaAds")</f>
        <v>MetaAds</v>
      </c>
      <c r="G41" s="18" t="str">
        <f>IFERROR(__xludf.DUMMYFUNCTION("""COMPUTED_VALUE"""),"ADV - [IG] [FB] [30%2B] [PIEDADE - 40KM] V%C3%81RIOS")</f>
        <v>ADV - [IG] [FB] [30%2B] [PIEDADE - 40KM] V%C3%81RIOS</v>
      </c>
      <c r="H41" s="18" t="str">
        <f>IFERROR(__xludf.DUMMYFUNCTION("""COMPUTED_VALUE"""),"Facebook_Mobile_Feed")</f>
        <v>Facebook_Mobile_Feed</v>
      </c>
      <c r="I41" s="18" t="str">
        <f>IFERROR(__xludf.DUMMYFUNCTION("""COMPUTED_VALUE"""),"07.04 [IMG] [AD04] Pedidos abertos")</f>
        <v>07.04 [IMG] [AD04] Pedidos abertos</v>
      </c>
      <c r="J41" s="18" t="str">
        <f>IFERROR(__xludf.DUMMYFUNCTION("""COMPUTED_VALUE"""),"07.04.2026 [V4] [WB] [LEADS-GRUPO-WHATS] 01")</f>
        <v>07.04.2026 [V4] [WB] [LEADS-GRUPO-WHATS] 01</v>
      </c>
      <c r="K41" s="19" t="str">
        <f t="shared" si="1"/>
        <v>2026-04-12</v>
      </c>
      <c r="L41" s="20">
        <f t="shared" si="2"/>
        <v>46124</v>
      </c>
      <c r="M41" s="19" t="str">
        <f t="shared" si="3"/>
        <v>88052505</v>
      </c>
      <c r="N41" s="19" t="str">
        <f>IFERROR(IF(VLOOKUP(M41,'Leads no grupo Saibai'!C:C,1,FALSE)=M41,"Sim"),"Não")</f>
        <v>Sim</v>
      </c>
      <c r="O41" s="19"/>
    </row>
    <row r="42">
      <c r="A42" s="14" t="s">
        <v>180</v>
      </c>
      <c r="B42" s="15" t="s">
        <v>181</v>
      </c>
      <c r="C42" s="16">
        <v>1.5997662422E10</v>
      </c>
      <c r="D42" s="16" t="s">
        <v>182</v>
      </c>
      <c r="E42" s="17" t="s">
        <v>183</v>
      </c>
      <c r="F42" s="18" t="str">
        <f>IFERROR(__xludf.DUMMYFUNCTION("""COMPUTED_VALUE"""),"MetaAds")</f>
        <v>MetaAds</v>
      </c>
      <c r="G42" s="18" t="str">
        <f>IFERROR(__xludf.DUMMYFUNCTION("""COMPUTED_VALUE"""),"ADV - [IG] [FB] [30%2B] [PIEDADE - 40KM] V%C3%81RIOS")</f>
        <v>ADV - [IG] [FB] [30%2B] [PIEDADE - 40KM] V%C3%81RIOS</v>
      </c>
      <c r="H42" s="18" t="str">
        <f>IFERROR(__xludf.DUMMYFUNCTION("""COMPUTED_VALUE"""),"Facebook_Mobile_Feed")</f>
        <v>Facebook_Mobile_Feed</v>
      </c>
      <c r="I42" s="18" t="str">
        <f>IFERROR(__xludf.DUMMYFUNCTION("""COMPUTED_VALUE"""),"07.04 [IMG] [AD04] Pedidos abertos")</f>
        <v>07.04 [IMG] [AD04] Pedidos abertos</v>
      </c>
      <c r="J42" s="18" t="str">
        <f>IFERROR(__xludf.DUMMYFUNCTION("""COMPUTED_VALUE"""),"07.04.2026 [V4] [WB] [LEADS-GRUPO-WHATS] 01")</f>
        <v>07.04.2026 [V4] [WB] [LEADS-GRUPO-WHATS] 01</v>
      </c>
      <c r="K42" s="19" t="str">
        <f t="shared" si="1"/>
        <v>2026-04-12</v>
      </c>
      <c r="L42" s="20">
        <f t="shared" si="2"/>
        <v>46124</v>
      </c>
      <c r="M42" s="19" t="str">
        <f t="shared" si="3"/>
        <v>97662422</v>
      </c>
      <c r="N42" s="19" t="str">
        <f>IFERROR(IF(VLOOKUP(M42,'Leads no grupo Saibai'!C:C,1,FALSE)=M42,"Sim"),"Não")</f>
        <v>Não</v>
      </c>
      <c r="O42" s="19"/>
    </row>
    <row r="43">
      <c r="A43" s="14" t="s">
        <v>184</v>
      </c>
      <c r="B43" s="15" t="s">
        <v>185</v>
      </c>
      <c r="C43" s="16">
        <v>1.6999934108E10</v>
      </c>
      <c r="D43" s="16" t="s">
        <v>186</v>
      </c>
      <c r="E43" s="17" t="s">
        <v>187</v>
      </c>
      <c r="F43" s="18" t="str">
        <f>IFERROR(__xludf.DUMMYFUNCTION("""COMPUTED_VALUE"""),"MetaAds")</f>
        <v>MetaAds</v>
      </c>
      <c r="G43" s="18" t="str">
        <f>IFERROR(__xludf.DUMMYFUNCTION("""COMPUTED_VALUE"""),"ADV - [IG] [FB] [30%2B] [PIEDADE - 40KM] V%C3%81RIOS")</f>
        <v>ADV - [IG] [FB] [30%2B] [PIEDADE - 40KM] V%C3%81RIOS</v>
      </c>
      <c r="H43" s="18" t="str">
        <f>IFERROR(__xludf.DUMMYFUNCTION("""COMPUTED_VALUE"""),"Facebook_Mobile_Reels")</f>
        <v>Facebook_Mobile_Reels</v>
      </c>
      <c r="I43" s="18" t="str">
        <f>IFERROR(__xludf.DUMMYFUNCTION("""COMPUTED_VALUE"""),"07.04 [IMG] [AD04] Pedidos abertos")</f>
        <v>07.04 [IMG] [AD04] Pedidos abertos</v>
      </c>
      <c r="J43" s="18" t="str">
        <f>IFERROR(__xludf.DUMMYFUNCTION("""COMPUTED_VALUE"""),"07.04.2026 [V4] [WB] [LEADS-GRUPO-WHATS] 01")</f>
        <v>07.04.2026 [V4] [WB] [LEADS-GRUPO-WHATS] 01</v>
      </c>
      <c r="K43" s="19" t="str">
        <f t="shared" si="1"/>
        <v>2026-04-12</v>
      </c>
      <c r="L43" s="20">
        <f t="shared" si="2"/>
        <v>46124</v>
      </c>
      <c r="M43" s="19" t="str">
        <f t="shared" si="3"/>
        <v>99934108</v>
      </c>
      <c r="N43" s="19" t="str">
        <f>IFERROR(IF(VLOOKUP(M43,'Leads no grupo Saibai'!C:C,1,FALSE)=M43,"Sim"),"Não")</f>
        <v>Sim</v>
      </c>
      <c r="O43" s="19"/>
    </row>
    <row r="44">
      <c r="A44" s="14" t="s">
        <v>188</v>
      </c>
      <c r="B44" s="15" t="s">
        <v>189</v>
      </c>
      <c r="C44" s="16">
        <v>9.5991136088E10</v>
      </c>
      <c r="D44" s="16" t="s">
        <v>190</v>
      </c>
      <c r="E44" s="17" t="s">
        <v>191</v>
      </c>
      <c r="F44" s="18" t="str">
        <f>IFERROR(__xludf.DUMMYFUNCTION("""COMPUTED_VALUE"""),"MetaAds")</f>
        <v>MetaAds</v>
      </c>
      <c r="G44" s="18" t="str">
        <f>IFERROR(__xludf.DUMMYFUNCTION("""COMPUTED_VALUE"""),"ADV - [IG] [FB] [30%2B] [PIEDADE - 40KM] V%C3%81RIOS")</f>
        <v>ADV - [IG] [FB] [30%2B] [PIEDADE - 40KM] V%C3%81RIOS</v>
      </c>
      <c r="H44" s="18" t="str">
        <f>IFERROR(__xludf.DUMMYFUNCTION("""COMPUTED_VALUE"""),"Facebook_Mobile_Feed")</f>
        <v>Facebook_Mobile_Feed</v>
      </c>
      <c r="I44" s="18" t="str">
        <f>IFERROR(__xludf.DUMMYFUNCTION("""COMPUTED_VALUE"""),"07.04 [IMG] [AD04] Pedidos abertos")</f>
        <v>07.04 [IMG] [AD04] Pedidos abertos</v>
      </c>
      <c r="J44" s="18" t="str">
        <f>IFERROR(__xludf.DUMMYFUNCTION("""COMPUTED_VALUE"""),"07.04.2026 [V4] [WB] [LEADS-GRUPO-WHATS] 01")</f>
        <v>07.04.2026 [V4] [WB] [LEADS-GRUPO-WHATS] 01</v>
      </c>
      <c r="K44" s="19" t="str">
        <f t="shared" si="1"/>
        <v>2026-04-12</v>
      </c>
      <c r="L44" s="20">
        <f t="shared" si="2"/>
        <v>46124</v>
      </c>
      <c r="M44" s="19" t="str">
        <f t="shared" si="3"/>
        <v>91136088</v>
      </c>
      <c r="N44" s="19" t="str">
        <f>IFERROR(IF(VLOOKUP(M44,'Leads no grupo Saibai'!C:C,1,FALSE)=M44,"Sim"),"Não")</f>
        <v>Sim</v>
      </c>
      <c r="O44" s="19"/>
    </row>
    <row r="45">
      <c r="A45" s="14" t="s">
        <v>192</v>
      </c>
      <c r="B45" s="15" t="s">
        <v>193</v>
      </c>
      <c r="C45" s="16">
        <v>1.5981147296E10</v>
      </c>
      <c r="D45" s="16" t="s">
        <v>194</v>
      </c>
      <c r="E45" s="17" t="s">
        <v>195</v>
      </c>
      <c r="F45" s="18" t="str">
        <f>IFERROR(__xludf.DUMMYFUNCTION("""COMPUTED_VALUE"""),"MetaAds")</f>
        <v>MetaAds</v>
      </c>
      <c r="G45" s="18" t="str">
        <f>IFERROR(__xludf.DUMMYFUNCTION("""COMPUTED_VALUE"""),"ADV - [IG] [FB] [30%2B] [PIEDADE - 40KM] V%C3%81RIOS")</f>
        <v>ADV - [IG] [FB] [30%2B] [PIEDADE - 40KM] V%C3%81RIOS</v>
      </c>
      <c r="H45" s="18" t="str">
        <f>IFERROR(__xludf.DUMMYFUNCTION("""COMPUTED_VALUE"""),"Instagram_Feed")</f>
        <v>Instagram_Feed</v>
      </c>
      <c r="I45" s="18" t="str">
        <f>IFERROR(__xludf.DUMMYFUNCTION("""COMPUTED_VALUE"""),"07.04 [IMG] [AD04] Pedidos abertos")</f>
        <v>07.04 [IMG] [AD04] Pedidos abertos</v>
      </c>
      <c r="J45" s="18" t="str">
        <f>IFERROR(__xludf.DUMMYFUNCTION("""COMPUTED_VALUE"""),"07.04.2026 [V4] [WB] [LEADS-GRUPO-WHATS] 01")</f>
        <v>07.04.2026 [V4] [WB] [LEADS-GRUPO-WHATS] 01</v>
      </c>
      <c r="K45" s="19" t="str">
        <f t="shared" si="1"/>
        <v>2026-04-12</v>
      </c>
      <c r="L45" s="20">
        <f t="shared" si="2"/>
        <v>46124</v>
      </c>
      <c r="M45" s="19" t="str">
        <f t="shared" si="3"/>
        <v>81147296</v>
      </c>
      <c r="N45" s="19" t="str">
        <f>IFERROR(IF(VLOOKUP(M45,'Leads no grupo Saibai'!C:C,1,FALSE)=M45,"Sim"),"Não")</f>
        <v>Sim</v>
      </c>
      <c r="O45" s="19"/>
    </row>
    <row r="46">
      <c r="A46" s="14" t="s">
        <v>196</v>
      </c>
      <c r="B46" s="15" t="s">
        <v>197</v>
      </c>
      <c r="C46" s="16">
        <v>1.5997476861E10</v>
      </c>
      <c r="D46" s="16" t="s">
        <v>198</v>
      </c>
      <c r="E46" s="17" t="s">
        <v>199</v>
      </c>
      <c r="F46" s="18" t="str">
        <f>IFERROR(__xludf.DUMMYFUNCTION("""COMPUTED_VALUE"""),"MetaAds")</f>
        <v>MetaAds</v>
      </c>
      <c r="G46" s="18" t="str">
        <f>IFERROR(__xludf.DUMMYFUNCTION("""COMPUTED_VALUE"""),"ADV - [IG] [FB] [30%2B] [PIEDADE - 40KM] V%C3%81RIOS")</f>
        <v>ADV - [IG] [FB] [30%2B] [PIEDADE - 40KM] V%C3%81RIOS</v>
      </c>
      <c r="H46" s="18" t="str">
        <f>IFERROR(__xludf.DUMMYFUNCTION("""COMPUTED_VALUE"""),"Instagram_Reels")</f>
        <v>Instagram_Reels</v>
      </c>
      <c r="I46" s="18" t="str">
        <f>IFERROR(__xludf.DUMMYFUNCTION("""COMPUTED_VALUE"""),"07.04 [IMG] [AD04] Pedidos abertos")</f>
        <v>07.04 [IMG] [AD04] Pedidos abertos</v>
      </c>
      <c r="J46" s="18" t="str">
        <f>IFERROR(__xludf.DUMMYFUNCTION("""COMPUTED_VALUE"""),"07.04.2026 [V4] [WB] [LEADS-GRUPO-WHATS] 01")</f>
        <v>07.04.2026 [V4] [WB] [LEADS-GRUPO-WHATS] 01</v>
      </c>
      <c r="K46" s="19" t="str">
        <f t="shared" si="1"/>
        <v>2026-04-12</v>
      </c>
      <c r="L46" s="20">
        <f t="shared" si="2"/>
        <v>46124</v>
      </c>
      <c r="M46" s="19" t="str">
        <f t="shared" si="3"/>
        <v>97476861</v>
      </c>
      <c r="N46" s="19" t="str">
        <f>IFERROR(IF(VLOOKUP(M46,'Leads no grupo Saibai'!C:C,1,FALSE)=M46,"Sim"),"Não")</f>
        <v>Sim</v>
      </c>
      <c r="O46" s="19"/>
    </row>
    <row r="47">
      <c r="A47" s="14" t="s">
        <v>200</v>
      </c>
      <c r="B47" s="15" t="s">
        <v>201</v>
      </c>
      <c r="C47" s="16">
        <v>1.5996897606E10</v>
      </c>
      <c r="D47" s="16" t="s">
        <v>202</v>
      </c>
      <c r="E47" s="17" t="s">
        <v>203</v>
      </c>
      <c r="F47" s="18" t="str">
        <f>IFERROR(__xludf.DUMMYFUNCTION("""COMPUTED_VALUE"""),"MetaAds")</f>
        <v>MetaAds</v>
      </c>
      <c r="G47" s="18" t="str">
        <f>IFERROR(__xludf.DUMMYFUNCTION("""COMPUTED_VALUE"""),"ADV - [IG] [FB] [30%2B] [PIEDADE - 40KM] V%C3%81RIOS")</f>
        <v>ADV - [IG] [FB] [30%2B] [PIEDADE - 40KM] V%C3%81RIOS</v>
      </c>
      <c r="H47" s="18" t="str">
        <f>IFERROR(__xludf.DUMMYFUNCTION("""COMPUTED_VALUE"""),"Facebook_Mobile_Feed")</f>
        <v>Facebook_Mobile_Feed</v>
      </c>
      <c r="I47" s="18" t="str">
        <f>IFERROR(__xludf.DUMMYFUNCTION("""COMPUTED_VALUE"""),"07.04 [IMG] [AD04] Pedidos abertos")</f>
        <v>07.04 [IMG] [AD04] Pedidos abertos</v>
      </c>
      <c r="J47" s="18" t="str">
        <f>IFERROR(__xludf.DUMMYFUNCTION("""COMPUTED_VALUE"""),"07.04.2026 [V4] [WB] [LEADS-GRUPO-WHATS] 01")</f>
        <v>07.04.2026 [V4] [WB] [LEADS-GRUPO-WHATS] 01</v>
      </c>
      <c r="K47" s="19" t="str">
        <f t="shared" si="1"/>
        <v>2026-04-12</v>
      </c>
      <c r="L47" s="20">
        <f t="shared" si="2"/>
        <v>46124</v>
      </c>
      <c r="M47" s="19" t="str">
        <f t="shared" si="3"/>
        <v>96897606</v>
      </c>
      <c r="N47" s="19" t="str">
        <f>IFERROR(IF(VLOOKUP(M47,'Leads no grupo Saibai'!C:C,1,FALSE)=M47,"Sim"),"Não")</f>
        <v>Sim</v>
      </c>
      <c r="O47" s="19"/>
    </row>
    <row r="48">
      <c r="A48" s="14" t="s">
        <v>204</v>
      </c>
      <c r="B48" s="15" t="s">
        <v>205</v>
      </c>
      <c r="C48" s="16">
        <v>1.5997855858E10</v>
      </c>
      <c r="D48" s="16" t="s">
        <v>206</v>
      </c>
      <c r="E48" s="17" t="s">
        <v>207</v>
      </c>
      <c r="F48" s="18" t="str">
        <f>IFERROR(__xludf.DUMMYFUNCTION("""COMPUTED_VALUE"""),"MetaAds")</f>
        <v>MetaAds</v>
      </c>
      <c r="G48" s="18" t="str">
        <f>IFERROR(__xludf.DUMMYFUNCTION("""COMPUTED_VALUE"""),"ADV - [IG] [FB] [30%2B] [PIEDADE - 40KM] V%C3%81RIOS")</f>
        <v>ADV - [IG] [FB] [30%2B] [PIEDADE - 40KM] V%C3%81RIOS</v>
      </c>
      <c r="H48" s="18" t="str">
        <f>IFERROR(__xludf.DUMMYFUNCTION("""COMPUTED_VALUE"""),"Facebook_Mobile_Feed")</f>
        <v>Facebook_Mobile_Feed</v>
      </c>
      <c r="I48" s="18" t="str">
        <f>IFERROR(__xludf.DUMMYFUNCTION("""COMPUTED_VALUE"""),"07.04 [IMG] [AD04] Pedidos abertos")</f>
        <v>07.04 [IMG] [AD04] Pedidos abertos</v>
      </c>
      <c r="J48" s="18" t="str">
        <f>IFERROR(__xludf.DUMMYFUNCTION("""COMPUTED_VALUE"""),"07.04.2026 [V4] [WB] [LEADS-GRUPO-WHATS] 01")</f>
        <v>07.04.2026 [V4] [WB] [LEADS-GRUPO-WHATS] 01</v>
      </c>
      <c r="K48" s="19" t="str">
        <f t="shared" si="1"/>
        <v>2026-04-12</v>
      </c>
      <c r="L48" s="20">
        <f t="shared" si="2"/>
        <v>46124</v>
      </c>
      <c r="M48" s="19" t="str">
        <f t="shared" si="3"/>
        <v>97855858</v>
      </c>
      <c r="N48" s="19" t="str">
        <f>IFERROR(IF(VLOOKUP(M48,'Leads no grupo Saibai'!C:C,1,FALSE)=M48,"Sim"),"Não")</f>
        <v>Sim</v>
      </c>
      <c r="O48" s="19"/>
    </row>
    <row r="49">
      <c r="A49" s="14" t="s">
        <v>208</v>
      </c>
      <c r="B49" s="15" t="s">
        <v>209</v>
      </c>
      <c r="C49" s="16">
        <v>1.5991012121E10</v>
      </c>
      <c r="D49" s="16" t="s">
        <v>210</v>
      </c>
      <c r="E49" s="17" t="s">
        <v>211</v>
      </c>
      <c r="F49" s="18" t="str">
        <f>IFERROR(__xludf.DUMMYFUNCTION("""COMPUTED_VALUE"""),"MetaAds")</f>
        <v>MetaAds</v>
      </c>
      <c r="G49" s="18" t="str">
        <f>IFERROR(__xludf.DUMMYFUNCTION("""COMPUTED_VALUE"""),"ADV - [IG] [FB] [30%2B] [PIEDADE - 40KM] V%C3%81RIOS")</f>
        <v>ADV - [IG] [FB] [30%2B] [PIEDADE - 40KM] V%C3%81RIOS</v>
      </c>
      <c r="H49" s="18" t="str">
        <f>IFERROR(__xludf.DUMMYFUNCTION("""COMPUTED_VALUE"""),"Facebook_Mobile_Feed")</f>
        <v>Facebook_Mobile_Feed</v>
      </c>
      <c r="I49" s="18" t="str">
        <f>IFERROR(__xludf.DUMMYFUNCTION("""COMPUTED_VALUE"""),"07.04 [IMG] [AD04] Pedidos abertos")</f>
        <v>07.04 [IMG] [AD04] Pedidos abertos</v>
      </c>
      <c r="J49" s="18" t="str">
        <f>IFERROR(__xludf.DUMMYFUNCTION("""COMPUTED_VALUE"""),"07.04.2026 [V4] [WB] [LEADS-GRUPO-WHATS] 01")</f>
        <v>07.04.2026 [V4] [WB] [LEADS-GRUPO-WHATS] 01</v>
      </c>
      <c r="K49" s="19" t="str">
        <f t="shared" si="1"/>
        <v>2026-04-12</v>
      </c>
      <c r="L49" s="20">
        <f t="shared" si="2"/>
        <v>46124</v>
      </c>
      <c r="M49" s="19" t="str">
        <f t="shared" si="3"/>
        <v>91012121</v>
      </c>
      <c r="N49" s="19" t="str">
        <f>IFERROR(IF(VLOOKUP(M49,'Leads no grupo Saibai'!C:C,1,FALSE)=M49,"Sim"),"Não")</f>
        <v>Sim</v>
      </c>
      <c r="O49" s="19"/>
    </row>
    <row r="50">
      <c r="A50" s="14" t="s">
        <v>212</v>
      </c>
      <c r="B50" s="15" t="s">
        <v>213</v>
      </c>
      <c r="C50" s="16">
        <v>1.5991268656E10</v>
      </c>
      <c r="D50" s="16" t="s">
        <v>214</v>
      </c>
      <c r="E50" s="17" t="s">
        <v>215</v>
      </c>
      <c r="F50" s="18" t="str">
        <f>IFERROR(__xludf.DUMMYFUNCTION("""COMPUTED_VALUE"""),"MetaAds")</f>
        <v>MetaAds</v>
      </c>
      <c r="G50" s="18" t="str">
        <f>IFERROR(__xludf.DUMMYFUNCTION("""COMPUTED_VALUE"""),"ADV - [IG] [FB] [30%2B] [PIEDADE - 40KM] V%C3%81RIOS")</f>
        <v>ADV - [IG] [FB] [30%2B] [PIEDADE - 40KM] V%C3%81RIOS</v>
      </c>
      <c r="H50" s="18" t="str">
        <f>IFERROR(__xludf.DUMMYFUNCTION("""COMPUTED_VALUE"""),"Instagram_Feed")</f>
        <v>Instagram_Feed</v>
      </c>
      <c r="I50" s="18" t="str">
        <f>IFERROR(__xludf.DUMMYFUNCTION("""COMPUTED_VALUE"""),"07.04 [IMG] [AD04] Pedidos abertos")</f>
        <v>07.04 [IMG] [AD04] Pedidos abertos</v>
      </c>
      <c r="J50" s="18" t="str">
        <f>IFERROR(__xludf.DUMMYFUNCTION("""COMPUTED_VALUE"""),"07.04.2026 [V4] [WB] [LEADS-GRUPO-WHATS] 01")</f>
        <v>07.04.2026 [V4] [WB] [LEADS-GRUPO-WHATS] 01</v>
      </c>
      <c r="K50" s="19" t="str">
        <f t="shared" si="1"/>
        <v>2026-04-13</v>
      </c>
      <c r="L50" s="20">
        <f t="shared" si="2"/>
        <v>46125</v>
      </c>
      <c r="M50" s="19" t="str">
        <f t="shared" si="3"/>
        <v>91268656</v>
      </c>
      <c r="N50" s="19" t="str">
        <f>IFERROR(IF(VLOOKUP(M50,'Leads no grupo Saibai'!C:C,1,FALSE)=M50,"Sim"),"Não")</f>
        <v>Sim</v>
      </c>
      <c r="O50" s="19"/>
    </row>
    <row r="51">
      <c r="A51" s="14" t="s">
        <v>216</v>
      </c>
      <c r="B51" s="15" t="s">
        <v>85</v>
      </c>
      <c r="C51" s="16">
        <v>1.5981773711E10</v>
      </c>
      <c r="D51" s="16" t="s">
        <v>86</v>
      </c>
      <c r="E51" s="17" t="s">
        <v>217</v>
      </c>
      <c r="F51" s="18" t="str">
        <f>IFERROR(__xludf.DUMMYFUNCTION("""COMPUTED_VALUE"""),"MetaAds")</f>
        <v>MetaAds</v>
      </c>
      <c r="G51" s="18" t="str">
        <f>IFERROR(__xludf.DUMMYFUNCTION("""COMPUTED_VALUE"""),"ADV - [IG] [FB] [30%2B] [PIEDADE - 40KM] V%C3%81RIOS")</f>
        <v>ADV - [IG] [FB] [30%2B] [PIEDADE - 40KM] V%C3%81RIOS</v>
      </c>
      <c r="H51" s="18" t="str">
        <f>IFERROR(__xludf.DUMMYFUNCTION("""COMPUTED_VALUE"""),"Facebook_Mobile_Feed")</f>
        <v>Facebook_Mobile_Feed</v>
      </c>
      <c r="I51" s="18" t="str">
        <f>IFERROR(__xludf.DUMMYFUNCTION("""COMPUTED_VALUE"""),"07.04 [IMG] [AD01] A safra come%C3%A7ou")</f>
        <v>07.04 [IMG] [AD01] A safra come%C3%A7ou</v>
      </c>
      <c r="J51" s="18" t="str">
        <f>IFERROR(__xludf.DUMMYFUNCTION("""COMPUTED_VALUE"""),"07.04.2026 [V4] [WB] [LEADS-GRUPO-WHATS] 01")</f>
        <v>07.04.2026 [V4] [WB] [LEADS-GRUPO-WHATS] 01</v>
      </c>
      <c r="K51" s="19" t="str">
        <f t="shared" si="1"/>
        <v>2026-04-13</v>
      </c>
      <c r="L51" s="20">
        <f t="shared" si="2"/>
        <v>46125</v>
      </c>
      <c r="M51" s="19" t="str">
        <f t="shared" si="3"/>
        <v>81773711</v>
      </c>
      <c r="N51" s="19" t="str">
        <f>IFERROR(IF(VLOOKUP(M51,'Leads no grupo Saibai'!C:C,1,FALSE)=M51,"Sim"),"Não")</f>
        <v>Sim</v>
      </c>
      <c r="O51" s="19"/>
    </row>
    <row r="52">
      <c r="A52" s="14" t="s">
        <v>218</v>
      </c>
      <c r="B52" s="15" t="s">
        <v>219</v>
      </c>
      <c r="C52" s="16">
        <v>1.5998386011E10</v>
      </c>
      <c r="D52" s="16" t="s">
        <v>220</v>
      </c>
      <c r="E52" s="17" t="s">
        <v>221</v>
      </c>
      <c r="F52" s="18" t="str">
        <f>IFERROR(__xludf.DUMMYFUNCTION("""COMPUTED_VALUE"""),"MetaAds")</f>
        <v>MetaAds</v>
      </c>
      <c r="G52" s="18" t="str">
        <f>IFERROR(__xludf.DUMMYFUNCTION("""COMPUTED_VALUE"""),"ADV - [IG] [FB] [30%2B] [PIEDADE - 40KM] V%C3%81RIOS")</f>
        <v>ADV - [IG] [FB] [30%2B] [PIEDADE - 40KM] V%C3%81RIOS</v>
      </c>
      <c r="H52" s="18" t="str">
        <f>IFERROR(__xludf.DUMMYFUNCTION("""COMPUTED_VALUE"""),"Instagram_Stories")</f>
        <v>Instagram_Stories</v>
      </c>
      <c r="I52" s="18" t="str">
        <f>IFERROR(__xludf.DUMMYFUNCTION("""COMPUTED_VALUE"""),"07.04 [IMG] [AD04] Pedidos abertos")</f>
        <v>07.04 [IMG] [AD04] Pedidos abertos</v>
      </c>
      <c r="J52" s="18" t="str">
        <f>IFERROR(__xludf.DUMMYFUNCTION("""COMPUTED_VALUE"""),"07.04.2026 [V4] [WB] [LEADS-GRUPO-WHATS] 01")</f>
        <v>07.04.2026 [V4] [WB] [LEADS-GRUPO-WHATS] 01</v>
      </c>
      <c r="K52" s="19" t="str">
        <f t="shared" si="1"/>
        <v>2026-04-13</v>
      </c>
      <c r="L52" s="20">
        <f t="shared" si="2"/>
        <v>46125</v>
      </c>
      <c r="M52" s="19" t="str">
        <f t="shared" si="3"/>
        <v>98386011</v>
      </c>
      <c r="N52" s="19" t="str">
        <f>IFERROR(IF(VLOOKUP(M52,'Leads no grupo Saibai'!C:C,1,FALSE)=M52,"Sim"),"Não")</f>
        <v>Sim</v>
      </c>
      <c r="O52" s="19"/>
    </row>
    <row r="53">
      <c r="A53" s="14" t="s">
        <v>222</v>
      </c>
      <c r="B53" s="15" t="s">
        <v>223</v>
      </c>
      <c r="C53" s="16">
        <v>1.1992506864E10</v>
      </c>
      <c r="D53" s="16" t="s">
        <v>224</v>
      </c>
      <c r="E53" s="17" t="s">
        <v>225</v>
      </c>
      <c r="F53" s="18" t="str">
        <f>IFERROR(__xludf.DUMMYFUNCTION("""COMPUTED_VALUE"""),"MetaAds")</f>
        <v>MetaAds</v>
      </c>
      <c r="G53" s="18" t="str">
        <f>IFERROR(__xludf.DUMMYFUNCTION("""COMPUTED_VALUE"""),"ADV - [IG] [FB] [30%2B] [PIEDADE - 40KM] V%C3%81RIOS")</f>
        <v>ADV - [IG] [FB] [30%2B] [PIEDADE - 40KM] V%C3%81RIOS</v>
      </c>
      <c r="H53" s="18" t="str">
        <f>IFERROR(__xludf.DUMMYFUNCTION("""COMPUTED_VALUE"""),"Instagram_Stories")</f>
        <v>Instagram_Stories</v>
      </c>
      <c r="I53" s="18" t="str">
        <f>IFERROR(__xludf.DUMMYFUNCTION("""COMPUTED_VALUE"""),"07.04 [IMG] [AD01] A safra come%C3%A7ou")</f>
        <v>07.04 [IMG] [AD01] A safra come%C3%A7ou</v>
      </c>
      <c r="J53" s="18" t="str">
        <f>IFERROR(__xludf.DUMMYFUNCTION("""COMPUTED_VALUE"""),"07.04.2026 [V4] [WB] [LEADS-GRUPO-WHATS] 01")</f>
        <v>07.04.2026 [V4] [WB] [LEADS-GRUPO-WHATS] 01</v>
      </c>
      <c r="K53" s="19" t="str">
        <f t="shared" si="1"/>
        <v>2026-04-13</v>
      </c>
      <c r="L53" s="20">
        <f t="shared" si="2"/>
        <v>46125</v>
      </c>
      <c r="M53" s="19" t="str">
        <f t="shared" si="3"/>
        <v>92506864</v>
      </c>
      <c r="N53" s="19" t="str">
        <f>IFERROR(IF(VLOOKUP(M53,'Leads no grupo Saibai'!C:C,1,FALSE)=M53,"Sim"),"Não")</f>
        <v>Sim</v>
      </c>
      <c r="O53" s="19"/>
    </row>
    <row r="54">
      <c r="A54" s="14" t="s">
        <v>226</v>
      </c>
      <c r="B54" s="15" t="s">
        <v>227</v>
      </c>
      <c r="C54" s="16">
        <v>1.5981118262E10</v>
      </c>
      <c r="D54" s="16" t="s">
        <v>228</v>
      </c>
      <c r="E54" s="17" t="s">
        <v>229</v>
      </c>
      <c r="F54" s="18" t="str">
        <f>IFERROR(__xludf.DUMMYFUNCTION("""COMPUTED_VALUE"""),"MetaAds")</f>
        <v>MetaAds</v>
      </c>
      <c r="G54" s="18" t="str">
        <f>IFERROR(__xludf.DUMMYFUNCTION("""COMPUTED_VALUE"""),"ADV - [IG] [FB] [30%2B] [PIEDADE - 40KM] V%C3%81RIOS")</f>
        <v>ADV - [IG] [FB] [30%2B] [PIEDADE - 40KM] V%C3%81RIOS</v>
      </c>
      <c r="H54" s="18" t="str">
        <f>IFERROR(__xludf.DUMMYFUNCTION("""COMPUTED_VALUE"""),"Facebook_Mobile_Feed")</f>
        <v>Facebook_Mobile_Feed</v>
      </c>
      <c r="I54" s="18" t="str">
        <f>IFERROR(__xludf.DUMMYFUNCTION("""COMPUTED_VALUE"""),"07.04 [IMG] [AD04] Pedidos abertos")</f>
        <v>07.04 [IMG] [AD04] Pedidos abertos</v>
      </c>
      <c r="J54" s="18" t="str">
        <f>IFERROR(__xludf.DUMMYFUNCTION("""COMPUTED_VALUE"""),"07.04.2026 [V4] [WB] [LEADS-GRUPO-WHATS] 01")</f>
        <v>07.04.2026 [V4] [WB] [LEADS-GRUPO-WHATS] 01</v>
      </c>
      <c r="K54" s="19" t="str">
        <f t="shared" si="1"/>
        <v>2026-04-13</v>
      </c>
      <c r="L54" s="20">
        <f t="shared" si="2"/>
        <v>46125</v>
      </c>
      <c r="M54" s="19" t="str">
        <f t="shared" si="3"/>
        <v>81118262</v>
      </c>
      <c r="N54" s="19" t="str">
        <f>IFERROR(IF(VLOOKUP(M54,'Leads no grupo Saibai'!C:C,1,FALSE)=M54,"Sim"),"Não")</f>
        <v>Sim</v>
      </c>
      <c r="O54" s="19"/>
    </row>
    <row r="55">
      <c r="A55" s="14" t="s">
        <v>230</v>
      </c>
      <c r="B55" s="15" t="s">
        <v>231</v>
      </c>
      <c r="C55" s="16">
        <v>1.5991097562E10</v>
      </c>
      <c r="D55" s="16" t="s">
        <v>232</v>
      </c>
      <c r="E55" s="17" t="s">
        <v>233</v>
      </c>
      <c r="F55" s="18" t="str">
        <f>IFERROR(__xludf.DUMMYFUNCTION("""COMPUTED_VALUE"""),"MetaAds")</f>
        <v>MetaAds</v>
      </c>
      <c r="G55" s="18" t="str">
        <f>IFERROR(__xludf.DUMMYFUNCTION("""COMPUTED_VALUE"""),"ADV - [IG] [FB] [30%2B] [PIEDADE - 40KM] V%C3%81RIOS")</f>
        <v>ADV - [IG] [FB] [30%2B] [PIEDADE - 40KM] V%C3%81RIOS</v>
      </c>
      <c r="H55" s="18" t="str">
        <f>IFERROR(__xludf.DUMMYFUNCTION("""COMPUTED_VALUE"""),"Facebook_Mobile_Feed")</f>
        <v>Facebook_Mobile_Feed</v>
      </c>
      <c r="I55" s="18" t="str">
        <f>IFERROR(__xludf.DUMMYFUNCTION("""COMPUTED_VALUE"""),"07.04 [IMG] [AD04] Pedidos abertos")</f>
        <v>07.04 [IMG] [AD04] Pedidos abertos</v>
      </c>
      <c r="J55" s="18" t="str">
        <f>IFERROR(__xludf.DUMMYFUNCTION("""COMPUTED_VALUE"""),"07.04.2026 [V4] [WB] [LEADS-GRUPO-WHATS] 01")</f>
        <v>07.04.2026 [V4] [WB] [LEADS-GRUPO-WHATS] 01</v>
      </c>
      <c r="K55" s="19" t="str">
        <f t="shared" si="1"/>
        <v>2026-04-13</v>
      </c>
      <c r="L55" s="20">
        <f t="shared" si="2"/>
        <v>46125</v>
      </c>
      <c r="M55" s="19" t="str">
        <f t="shared" si="3"/>
        <v>91097562</v>
      </c>
      <c r="N55" s="19" t="str">
        <f>IFERROR(IF(VLOOKUP(M55,'Leads no grupo Saibai'!C:C,1,FALSE)=M55,"Sim"),"Não")</f>
        <v>Sim</v>
      </c>
      <c r="O55" s="19"/>
    </row>
    <row r="56">
      <c r="A56" s="14" t="s">
        <v>234</v>
      </c>
      <c r="B56" s="15" t="s">
        <v>235</v>
      </c>
      <c r="C56" s="16">
        <v>1.5997034757E10</v>
      </c>
      <c r="D56" s="16" t="s">
        <v>236</v>
      </c>
      <c r="E56" s="17" t="s">
        <v>237</v>
      </c>
      <c r="F56" s="18" t="str">
        <f>IFERROR(__xludf.DUMMYFUNCTION("""COMPUTED_VALUE"""),"MetaAds")</f>
        <v>MetaAds</v>
      </c>
      <c r="G56" s="18" t="str">
        <f>IFERROR(__xludf.DUMMYFUNCTION("""COMPUTED_VALUE"""),"ADV - [IG] [FB] [30%2B] [PIEDADE - 40KM] V%C3%81RIOS")</f>
        <v>ADV - [IG] [FB] [30%2B] [PIEDADE - 40KM] V%C3%81RIOS</v>
      </c>
      <c r="H56" s="18" t="str">
        <f>IFERROR(__xludf.DUMMYFUNCTION("""COMPUTED_VALUE"""),"Facebook_Mobile_Feed")</f>
        <v>Facebook_Mobile_Feed</v>
      </c>
      <c r="I56" s="18" t="str">
        <f>IFERROR(__xludf.DUMMYFUNCTION("""COMPUTED_VALUE"""),"07.04 [IMG] [AD04] Pedidos abertos")</f>
        <v>07.04 [IMG] [AD04] Pedidos abertos</v>
      </c>
      <c r="J56" s="18" t="str">
        <f>IFERROR(__xludf.DUMMYFUNCTION("""COMPUTED_VALUE"""),"07.04.2026 [V4] [WB] [LEADS-GRUPO-WHATS] 01")</f>
        <v>07.04.2026 [V4] [WB] [LEADS-GRUPO-WHATS] 01</v>
      </c>
      <c r="K56" s="19" t="str">
        <f t="shared" si="1"/>
        <v>2026-04-13</v>
      </c>
      <c r="L56" s="20">
        <f t="shared" si="2"/>
        <v>46125</v>
      </c>
      <c r="M56" s="19" t="str">
        <f t="shared" si="3"/>
        <v>97034757</v>
      </c>
      <c r="N56" s="19" t="str">
        <f>IFERROR(IF(VLOOKUP(M56,'Leads no grupo Saibai'!C:C,1,FALSE)=M56,"Sim"),"Não")</f>
        <v>Sim</v>
      </c>
      <c r="O56" s="19"/>
    </row>
    <row r="57">
      <c r="A57" s="14" t="s">
        <v>238</v>
      </c>
      <c r="B57" s="15" t="s">
        <v>239</v>
      </c>
      <c r="C57" s="16">
        <v>1.6999934108E10</v>
      </c>
      <c r="D57" s="16" t="s">
        <v>186</v>
      </c>
      <c r="E57" s="17" t="s">
        <v>240</v>
      </c>
      <c r="F57" s="18" t="str">
        <f>IFERROR(__xludf.DUMMYFUNCTION("""COMPUTED_VALUE"""),"MetaAds")</f>
        <v>MetaAds</v>
      </c>
      <c r="G57" s="18" t="str">
        <f>IFERROR(__xludf.DUMMYFUNCTION("""COMPUTED_VALUE"""),"ADV - [IG] [FB] [30%2B] [PIEDADE - 40KM] V%C3%81RIOS")</f>
        <v>ADV - [IG] [FB] [30%2B] [PIEDADE - 40KM] V%C3%81RIOS</v>
      </c>
      <c r="H57" s="18" t="str">
        <f>IFERROR(__xludf.DUMMYFUNCTION("""COMPUTED_VALUE"""),"Instagram_Feed")</f>
        <v>Instagram_Feed</v>
      </c>
      <c r="I57" s="18" t="str">
        <f>IFERROR(__xludf.DUMMYFUNCTION("""COMPUTED_VALUE"""),"07.04 [IMG] [AD04] Pedidos abertos")</f>
        <v>07.04 [IMG] [AD04] Pedidos abertos</v>
      </c>
      <c r="J57" s="18" t="str">
        <f>IFERROR(__xludf.DUMMYFUNCTION("""COMPUTED_VALUE"""),"07.04.2026 [V4] [WB] [LEADS-GRUPO-WHATS] 01")</f>
        <v>07.04.2026 [V4] [WB] [LEADS-GRUPO-WHATS] 01</v>
      </c>
      <c r="K57" s="19" t="str">
        <f t="shared" si="1"/>
        <v>2026-04-13</v>
      </c>
      <c r="L57" s="20">
        <f t="shared" si="2"/>
        <v>46125</v>
      </c>
      <c r="M57" s="19" t="str">
        <f t="shared" si="3"/>
        <v>99934108</v>
      </c>
      <c r="N57" s="19" t="str">
        <f>IFERROR(IF(VLOOKUP(M57,'Leads no grupo Saibai'!C:C,1,FALSE)=M57,"Sim"),"Não")</f>
        <v>Sim</v>
      </c>
      <c r="O57" s="19"/>
    </row>
    <row r="58">
      <c r="A58" s="14" t="s">
        <v>241</v>
      </c>
      <c r="B58" s="15" t="s">
        <v>242</v>
      </c>
      <c r="C58" s="16">
        <v>1.5997086431E10</v>
      </c>
      <c r="D58" s="16" t="s">
        <v>243</v>
      </c>
      <c r="E58" s="17" t="s">
        <v>244</v>
      </c>
      <c r="F58" s="18" t="str">
        <f>IFERROR(__xludf.DUMMYFUNCTION("""COMPUTED_VALUE"""),"MetaAds")</f>
        <v>MetaAds</v>
      </c>
      <c r="G58" s="18" t="str">
        <f>IFERROR(__xludf.DUMMYFUNCTION("""COMPUTED_VALUE"""),"ADV - [IG] [FB] [30%2B] [PIEDADE - 40KM] V%C3%81RIOS")</f>
        <v>ADV - [IG] [FB] [30%2B] [PIEDADE - 40KM] V%C3%81RIOS</v>
      </c>
      <c r="H58" s="18" t="str">
        <f>IFERROR(__xludf.DUMMYFUNCTION("""COMPUTED_VALUE"""),"Facebook_Mobile_Feed")</f>
        <v>Facebook_Mobile_Feed</v>
      </c>
      <c r="I58" s="18" t="str">
        <f>IFERROR(__xludf.DUMMYFUNCTION("""COMPUTED_VALUE"""),"07.04 [IMG] [AD04] Pedidos abertos")</f>
        <v>07.04 [IMG] [AD04] Pedidos abertos</v>
      </c>
      <c r="J58" s="18" t="str">
        <f>IFERROR(__xludf.DUMMYFUNCTION("""COMPUTED_VALUE"""),"07.04.2026 [V4] [WB] [LEADS-GRUPO-WHATS] 01")</f>
        <v>07.04.2026 [V4] [WB] [LEADS-GRUPO-WHATS] 01</v>
      </c>
      <c r="K58" s="19" t="str">
        <f t="shared" si="1"/>
        <v>2026-04-13</v>
      </c>
      <c r="L58" s="20">
        <f t="shared" si="2"/>
        <v>46125</v>
      </c>
      <c r="M58" s="19" t="str">
        <f t="shared" si="3"/>
        <v>97086431</v>
      </c>
      <c r="N58" s="19" t="str">
        <f>IFERROR(IF(VLOOKUP(M58,'Leads no grupo Saibai'!C:C,1,FALSE)=M58,"Sim"),"Não")</f>
        <v>Sim</v>
      </c>
      <c r="O58" s="19"/>
    </row>
    <row r="59">
      <c r="A59" s="14" t="s">
        <v>245</v>
      </c>
      <c r="B59" s="15" t="s">
        <v>227</v>
      </c>
      <c r="C59" s="16">
        <v>1.5981118262E10</v>
      </c>
      <c r="D59" s="16" t="s">
        <v>228</v>
      </c>
      <c r="E59" s="17" t="s">
        <v>246</v>
      </c>
      <c r="F59" s="18" t="str">
        <f>IFERROR(__xludf.DUMMYFUNCTION("""COMPUTED_VALUE"""),"MetaAds")</f>
        <v>MetaAds</v>
      </c>
      <c r="G59" s="18" t="str">
        <f>IFERROR(__xludf.DUMMYFUNCTION("""COMPUTED_VALUE"""),"ADV - [IG] [FB] [30%2B] [PIEDADE - 40KM] V%C3%81RIOS")</f>
        <v>ADV - [IG] [FB] [30%2B] [PIEDADE - 40KM] V%C3%81RIOS</v>
      </c>
      <c r="H59" s="18" t="str">
        <f>IFERROR(__xludf.DUMMYFUNCTION("""COMPUTED_VALUE"""),"Facebook_Mobile_Feed")</f>
        <v>Facebook_Mobile_Feed</v>
      </c>
      <c r="I59" s="18" t="str">
        <f>IFERROR(__xludf.DUMMYFUNCTION("""COMPUTED_VALUE"""),"07.04 [IMG] [AD04] Pedidos abertos")</f>
        <v>07.04 [IMG] [AD04] Pedidos abertos</v>
      </c>
      <c r="J59" s="18" t="str">
        <f>IFERROR(__xludf.DUMMYFUNCTION("""COMPUTED_VALUE"""),"07.04.2026 [V4] [WB] [LEADS-GRUPO-WHATS] 01")</f>
        <v>07.04.2026 [V4] [WB] [LEADS-GRUPO-WHATS] 01</v>
      </c>
      <c r="K59" s="19" t="str">
        <f t="shared" si="1"/>
        <v>2026-04-13</v>
      </c>
      <c r="L59" s="20">
        <f t="shared" si="2"/>
        <v>46125</v>
      </c>
      <c r="M59" s="19" t="str">
        <f t="shared" si="3"/>
        <v>81118262</v>
      </c>
      <c r="N59" s="19" t="str">
        <f>IFERROR(IF(VLOOKUP(M59,'Leads no grupo Saibai'!C:C,1,FALSE)=M59,"Sim"),"Não")</f>
        <v>Sim</v>
      </c>
      <c r="O59" s="19"/>
    </row>
    <row r="60">
      <c r="A60" s="14" t="s">
        <v>247</v>
      </c>
      <c r="B60" s="15" t="s">
        <v>248</v>
      </c>
      <c r="C60" s="16">
        <v>1.9996015972E10</v>
      </c>
      <c r="D60" s="16" t="s">
        <v>249</v>
      </c>
      <c r="E60" s="17" t="s">
        <v>250</v>
      </c>
      <c r="F60" s="18" t="str">
        <f>IFERROR(__xludf.DUMMYFUNCTION("""COMPUTED_VALUE"""),"MetaAds")</f>
        <v>MetaAds</v>
      </c>
      <c r="G60" s="18" t="str">
        <f>IFERROR(__xludf.DUMMYFUNCTION("""COMPUTED_VALUE"""),"%7B%7Badset.name%7D%7D")</f>
        <v>%7B%7Badset.name%7D%7D</v>
      </c>
      <c r="H60" s="18" t="str">
        <f>IFERROR(__xludf.DUMMYFUNCTION("""COMPUTED_VALUE"""),"%7B%7Bplacement%7D%7D")</f>
        <v>%7B%7Bplacement%7D%7D</v>
      </c>
      <c r="I60" s="18" t="str">
        <f>IFERROR(__xludf.DUMMYFUNCTION("""COMPUTED_VALUE"""),"%7B%7Bad.name%7D%7D")</f>
        <v>%7B%7Bad.name%7D%7D</v>
      </c>
      <c r="J60" s="18" t="str">
        <f>IFERROR(__xludf.DUMMYFUNCTION("""COMPUTED_VALUE"""),"%7B%7Bcampaign.name%7D%7D")</f>
        <v>%7B%7Bcampaign.name%7D%7D</v>
      </c>
      <c r="K60" s="19" t="str">
        <f t="shared" si="1"/>
        <v>2026-04-13</v>
      </c>
      <c r="L60" s="20">
        <f t="shared" si="2"/>
        <v>46125</v>
      </c>
      <c r="M60" s="19" t="str">
        <f t="shared" si="3"/>
        <v>96015972</v>
      </c>
      <c r="N60" s="19" t="str">
        <f>IFERROR(IF(VLOOKUP(M60,'Leads no grupo Saibai'!C:C,1,FALSE)=M60,"Sim"),"Não")</f>
        <v>Sim</v>
      </c>
      <c r="O60" s="19"/>
    </row>
    <row r="61">
      <c r="A61" s="14" t="s">
        <v>251</v>
      </c>
      <c r="B61" s="15" t="s">
        <v>252</v>
      </c>
      <c r="C61" s="16">
        <v>1.5998337833E10</v>
      </c>
      <c r="D61" s="16" t="s">
        <v>253</v>
      </c>
      <c r="E61" s="17" t="s">
        <v>254</v>
      </c>
      <c r="F61" s="18" t="str">
        <f>IFERROR(__xludf.DUMMYFUNCTION("""COMPUTED_VALUE"""),"MetaAds")</f>
        <v>MetaAds</v>
      </c>
      <c r="G61" s="18" t="str">
        <f>IFERROR(__xludf.DUMMYFUNCTION("""COMPUTED_VALUE"""),"ADV - [IG] [FB] [30%2B] [PIEDADE - 40KM] V%C3%81RIOS")</f>
        <v>ADV - [IG] [FB] [30%2B] [PIEDADE - 40KM] V%C3%81RIOS</v>
      </c>
      <c r="H61" s="18" t="str">
        <f>IFERROR(__xludf.DUMMYFUNCTION("""COMPUTED_VALUE"""),"Facebook_Mobile_Reels")</f>
        <v>Facebook_Mobile_Reels</v>
      </c>
      <c r="I61" s="18" t="str">
        <f>IFERROR(__xludf.DUMMYFUNCTION("""COMPUTED_VALUE"""),"07.04 [IMG] [AD04] Pedidos abertos")</f>
        <v>07.04 [IMG] [AD04] Pedidos abertos</v>
      </c>
      <c r="J61" s="18" t="str">
        <f>IFERROR(__xludf.DUMMYFUNCTION("""COMPUTED_VALUE"""),"07.04.2026 [V4] [WB] [LEADS-GRUPO-WHATS] 01")</f>
        <v>07.04.2026 [V4] [WB] [LEADS-GRUPO-WHATS] 01</v>
      </c>
      <c r="K61" s="19" t="str">
        <f t="shared" si="1"/>
        <v>2026-04-13</v>
      </c>
      <c r="L61" s="20">
        <f t="shared" si="2"/>
        <v>46125</v>
      </c>
      <c r="M61" s="19" t="str">
        <f t="shared" si="3"/>
        <v>98337833</v>
      </c>
      <c r="N61" s="19" t="str">
        <f>IFERROR(IF(VLOOKUP(M61,'Leads no grupo Saibai'!C:C,1,FALSE)=M61,"Sim"),"Não")</f>
        <v>Sim</v>
      </c>
      <c r="O61" s="19"/>
    </row>
    <row r="62">
      <c r="A62" s="14" t="s">
        <v>255</v>
      </c>
      <c r="B62" s="15" t="s">
        <v>256</v>
      </c>
      <c r="C62" s="16">
        <v>5.5159977742E10</v>
      </c>
      <c r="D62" s="16" t="s">
        <v>257</v>
      </c>
      <c r="E62" s="17" t="s">
        <v>258</v>
      </c>
      <c r="F62" s="18" t="str">
        <f>IFERROR(__xludf.DUMMYFUNCTION("""COMPUTED_VALUE"""),"MetaAds")</f>
        <v>MetaAds</v>
      </c>
      <c r="G62" s="18" t="str">
        <f>IFERROR(__xludf.DUMMYFUNCTION("""COMPUTED_VALUE"""),"ADV - [IG] [FB] [30%2B] [PIEDADE - 40KM] V%C3%81RIOS")</f>
        <v>ADV - [IG] [FB] [30%2B] [PIEDADE - 40KM] V%C3%81RIOS</v>
      </c>
      <c r="H62" s="18" t="str">
        <f>IFERROR(__xludf.DUMMYFUNCTION("""COMPUTED_VALUE"""),"Instagram_Feed")</f>
        <v>Instagram_Feed</v>
      </c>
      <c r="I62" s="18" t="str">
        <f>IFERROR(__xludf.DUMMYFUNCTION("""COMPUTED_VALUE"""),"07.04 [IMG] [AD04] Pedidos abertos")</f>
        <v>07.04 [IMG] [AD04] Pedidos abertos</v>
      </c>
      <c r="J62" s="18" t="str">
        <f>IFERROR(__xludf.DUMMYFUNCTION("""COMPUTED_VALUE"""),"07.04.2026 [V4] [WB] [LEADS-GRUPO-WHATS] 01")</f>
        <v>07.04.2026 [V4] [WB] [LEADS-GRUPO-WHATS] 01</v>
      </c>
      <c r="K62" s="19" t="str">
        <f t="shared" si="1"/>
        <v>2026-04-14</v>
      </c>
      <c r="L62" s="20">
        <f t="shared" si="2"/>
        <v>46126</v>
      </c>
      <c r="M62" s="19" t="str">
        <f t="shared" si="3"/>
        <v>59977742</v>
      </c>
      <c r="N62" s="19" t="str">
        <f>IFERROR(IF(VLOOKUP(M62,'Leads no grupo Saibai'!C:C,1,FALSE)=M62,"Sim"),"Não")</f>
        <v>Não</v>
      </c>
      <c r="O62" s="19"/>
    </row>
    <row r="63">
      <c r="A63" s="14" t="s">
        <v>259</v>
      </c>
      <c r="B63" s="15" t="s">
        <v>260</v>
      </c>
      <c r="C63" s="16">
        <v>1.5981131732E10</v>
      </c>
      <c r="D63" s="16" t="s">
        <v>261</v>
      </c>
      <c r="E63" s="17" t="s">
        <v>262</v>
      </c>
      <c r="F63" s="18" t="str">
        <f>IFERROR(__xludf.DUMMYFUNCTION("""COMPUTED_VALUE"""),"MetaAds")</f>
        <v>MetaAds</v>
      </c>
      <c r="G63" s="18" t="str">
        <f>IFERROR(__xludf.DUMMYFUNCTION("""COMPUTED_VALUE"""),"ADV - [IG] [FB] [30%2B] [PIEDADE - 40KM] V%C3%81RIOS")</f>
        <v>ADV - [IG] [FB] [30%2B] [PIEDADE - 40KM] V%C3%81RIOS</v>
      </c>
      <c r="H63" s="18" t="str">
        <f>IFERROR(__xludf.DUMMYFUNCTION("""COMPUTED_VALUE"""),"Instagram_Feed")</f>
        <v>Instagram_Feed</v>
      </c>
      <c r="I63" s="18" t="str">
        <f>IFERROR(__xludf.DUMMYFUNCTION("""COMPUTED_VALUE"""),"07.04 [IMG] [AD01] A safra come%C3%A7ou")</f>
        <v>07.04 [IMG] [AD01] A safra come%C3%A7ou</v>
      </c>
      <c r="J63" s="18" t="str">
        <f>IFERROR(__xludf.DUMMYFUNCTION("""COMPUTED_VALUE"""),"07.04.2026 [V4] [WB] [LEADS-GRUPO-WHATS] 01")</f>
        <v>07.04.2026 [V4] [WB] [LEADS-GRUPO-WHATS] 01</v>
      </c>
      <c r="K63" s="19" t="str">
        <f t="shared" si="1"/>
        <v>2026-04-14</v>
      </c>
      <c r="L63" s="20">
        <f t="shared" si="2"/>
        <v>46126</v>
      </c>
      <c r="M63" s="19" t="str">
        <f t="shared" si="3"/>
        <v>81131732</v>
      </c>
      <c r="N63" s="19" t="str">
        <f>IFERROR(IF(VLOOKUP(M63,'Leads no grupo Saibai'!C:C,1,FALSE)=M63,"Sim"),"Não")</f>
        <v>Não</v>
      </c>
      <c r="O63" s="19"/>
    </row>
    <row r="64">
      <c r="A64" s="14" t="s">
        <v>263</v>
      </c>
      <c r="B64" s="15" t="s">
        <v>264</v>
      </c>
      <c r="C64" s="16">
        <v>5.5159817737E10</v>
      </c>
      <c r="D64" s="16" t="s">
        <v>86</v>
      </c>
      <c r="E64" s="17" t="s">
        <v>265</v>
      </c>
      <c r="F64" s="18" t="str">
        <f>IFERROR(__xludf.DUMMYFUNCTION("""COMPUTED_VALUE"""),"MetaAds")</f>
        <v>MetaAds</v>
      </c>
      <c r="G64" s="18" t="str">
        <f>IFERROR(__xludf.DUMMYFUNCTION("""COMPUTED_VALUE"""),"ADV - [IG] [FB] [30%2B] [PIEDADE - 40KM] V%C3%81RIOS")</f>
        <v>ADV - [IG] [FB] [30%2B] [PIEDADE - 40KM] V%C3%81RIOS</v>
      </c>
      <c r="H64" s="18" t="str">
        <f>IFERROR(__xludf.DUMMYFUNCTION("""COMPUTED_VALUE"""),"Instagram_Feed")</f>
        <v>Instagram_Feed</v>
      </c>
      <c r="I64" s="18" t="str">
        <f>IFERROR(__xludf.DUMMYFUNCTION("""COMPUTED_VALUE"""),"07.04 [IMG] [AD01] A safra come%C3%A7ou")</f>
        <v>07.04 [IMG] [AD01] A safra come%C3%A7ou</v>
      </c>
      <c r="J64" s="18" t="str">
        <f>IFERROR(__xludf.DUMMYFUNCTION("""COMPUTED_VALUE"""),"07.04.2026 [V4] [WB] [LEADS-GRUPO-WHATS] 01")</f>
        <v>07.04.2026 [V4] [WB] [LEADS-GRUPO-WHATS] 01</v>
      </c>
      <c r="K64" s="19" t="str">
        <f t="shared" si="1"/>
        <v>2026-04-14</v>
      </c>
      <c r="L64" s="20">
        <f t="shared" si="2"/>
        <v>46126</v>
      </c>
      <c r="M64" s="19" t="str">
        <f t="shared" si="3"/>
        <v>59817737</v>
      </c>
      <c r="N64" s="19" t="str">
        <f>IFERROR(IF(VLOOKUP(M64,'Leads no grupo Saibai'!C:C,1,FALSE)=M64,"Sim"),"Não")</f>
        <v>Não</v>
      </c>
      <c r="O64" s="19"/>
    </row>
    <row r="65">
      <c r="A65" s="14" t="s">
        <v>266</v>
      </c>
      <c r="B65" s="15" t="s">
        <v>267</v>
      </c>
      <c r="C65" s="16">
        <v>1.5998302019E10</v>
      </c>
      <c r="D65" s="16" t="s">
        <v>268</v>
      </c>
      <c r="E65" s="17" t="s">
        <v>269</v>
      </c>
      <c r="F65" s="18" t="str">
        <f>IFERROR(__xludf.DUMMYFUNCTION("""COMPUTED_VALUE"""),"MetaAds")</f>
        <v>MetaAds</v>
      </c>
      <c r="G65" s="18" t="str">
        <f>IFERROR(__xludf.DUMMYFUNCTION("""COMPUTED_VALUE"""),"ADV - [IG] [FB] [30%2B] [PIEDADE - 40KM] V%C3%81RIOS")</f>
        <v>ADV - [IG] [FB] [30%2B] [PIEDADE - 40KM] V%C3%81RIOS</v>
      </c>
      <c r="H65" s="18" t="str">
        <f>IFERROR(__xludf.DUMMYFUNCTION("""COMPUTED_VALUE"""),"Facebook_Mobile_Feed")</f>
        <v>Facebook_Mobile_Feed</v>
      </c>
      <c r="I65" s="18" t="str">
        <f>IFERROR(__xludf.DUMMYFUNCTION("""COMPUTED_VALUE"""),"07.04 [IMG] [AD04] Pedidos abertos")</f>
        <v>07.04 [IMG] [AD04] Pedidos abertos</v>
      </c>
      <c r="J65" s="18" t="str">
        <f>IFERROR(__xludf.DUMMYFUNCTION("""COMPUTED_VALUE"""),"07.04.2026 [V4] [WB] [LEADS-GRUPO-WHATS] 01")</f>
        <v>07.04.2026 [V4] [WB] [LEADS-GRUPO-WHATS] 01</v>
      </c>
      <c r="K65" s="19" t="str">
        <f t="shared" si="1"/>
        <v>2026-04-14</v>
      </c>
      <c r="L65" s="20">
        <f t="shared" si="2"/>
        <v>46126</v>
      </c>
      <c r="M65" s="19" t="str">
        <f t="shared" si="3"/>
        <v>98302019</v>
      </c>
      <c r="N65" s="19" t="str">
        <f>IFERROR(IF(VLOOKUP(M65,'Leads no grupo Saibai'!C:C,1,FALSE)=M65,"Sim"),"Não")</f>
        <v>Sim</v>
      </c>
      <c r="O65" s="19"/>
    </row>
    <row r="66">
      <c r="A66" s="14" t="s">
        <v>270</v>
      </c>
      <c r="B66" s="15" t="s">
        <v>271</v>
      </c>
      <c r="C66" s="16">
        <v>1.5988215521E10</v>
      </c>
      <c r="D66" s="16" t="s">
        <v>272</v>
      </c>
      <c r="E66" s="17" t="s">
        <v>273</v>
      </c>
      <c r="F66" s="18" t="str">
        <f>IFERROR(__xludf.DUMMYFUNCTION("""COMPUTED_VALUE"""),"MetaAds")</f>
        <v>MetaAds</v>
      </c>
      <c r="G66" s="18" t="str">
        <f>IFERROR(__xludf.DUMMYFUNCTION("""COMPUTED_VALUE"""),"ADV - [IG] [FB] [30%2B] [PIEDADE - 40KM] V%C3%81RIOS")</f>
        <v>ADV - [IG] [FB] [30%2B] [PIEDADE - 40KM] V%C3%81RIOS</v>
      </c>
      <c r="H66" s="18" t="str">
        <f>IFERROR(__xludf.DUMMYFUNCTION("""COMPUTED_VALUE"""),"Facebook_Mobile_Feed")</f>
        <v>Facebook_Mobile_Feed</v>
      </c>
      <c r="I66" s="18" t="str">
        <f>IFERROR(__xludf.DUMMYFUNCTION("""COMPUTED_VALUE"""),"07.04 [IMG] [AD01] A safra come%C3%A7ou")</f>
        <v>07.04 [IMG] [AD01] A safra come%C3%A7ou</v>
      </c>
      <c r="J66" s="18" t="str">
        <f>IFERROR(__xludf.DUMMYFUNCTION("""COMPUTED_VALUE"""),"07.04.2026 [V4] [WB] [LEADS-GRUPO-WHATS] 01")</f>
        <v>07.04.2026 [V4] [WB] [LEADS-GRUPO-WHATS] 01</v>
      </c>
      <c r="K66" s="19" t="str">
        <f t="shared" si="1"/>
        <v>2026-04-14</v>
      </c>
      <c r="L66" s="20">
        <f t="shared" si="2"/>
        <v>46126</v>
      </c>
      <c r="M66" s="19" t="str">
        <f t="shared" si="3"/>
        <v>88215521</v>
      </c>
      <c r="N66" s="19" t="str">
        <f>IFERROR(IF(VLOOKUP(M66,'Leads no grupo Saibai'!C:C,1,FALSE)=M66,"Sim"),"Não")</f>
        <v>Não</v>
      </c>
      <c r="O66" s="19"/>
    </row>
    <row r="67">
      <c r="A67" s="14" t="s">
        <v>274</v>
      </c>
      <c r="B67" s="15" t="s">
        <v>275</v>
      </c>
      <c r="C67" s="16">
        <v>1.59974254E10</v>
      </c>
      <c r="D67" s="16" t="s">
        <v>276</v>
      </c>
      <c r="E67" s="17" t="s">
        <v>277</v>
      </c>
      <c r="F67" s="18" t="str">
        <f>IFERROR(__xludf.DUMMYFUNCTION("""COMPUTED_VALUE"""),"google-ads")</f>
        <v>google-ads</v>
      </c>
      <c r="G67" s="18" t="str">
        <f>IFERROR(__xludf.DUMMYFUNCTION("""COMPUTED_VALUE"""),"branding-terms")</f>
        <v>branding-terms</v>
      </c>
      <c r="H67" s="18" t="str">
        <f>IFERROR(__xludf.DUMMYFUNCTION("""COMPUTED_VALUE"""),"saibai")</f>
        <v>saibai</v>
      </c>
      <c r="I67" s="18" t="str">
        <f>IFERROR(__xludf.DUMMYFUNCTION("""COMPUTED_VALUE"""),"786538028159")</f>
        <v>786538028159</v>
      </c>
      <c r="J67" s="18" t="str">
        <f>IFERROR(__xludf.DUMMYFUNCTION("""COMPUTED_VALUE"""),"venda-direta")</f>
        <v>venda-direta</v>
      </c>
      <c r="K67" s="19" t="str">
        <f t="shared" si="1"/>
        <v>2026-04-14</v>
      </c>
      <c r="L67" s="20">
        <f t="shared" si="2"/>
        <v>46126</v>
      </c>
      <c r="M67" s="19" t="str">
        <f t="shared" si="3"/>
        <v>97425400</v>
      </c>
      <c r="N67" s="19" t="str">
        <f>IFERROR(IF(VLOOKUP(M67,'Leads no grupo Saibai'!C:C,1,FALSE)=M67,"Sim"),"Não")</f>
        <v>Não</v>
      </c>
      <c r="O67" s="19"/>
    </row>
    <row r="68">
      <c r="A68" s="14" t="s">
        <v>278</v>
      </c>
      <c r="B68" s="15" t="s">
        <v>279</v>
      </c>
      <c r="C68" s="16">
        <v>1.1964273383E10</v>
      </c>
      <c r="D68" s="16" t="s">
        <v>280</v>
      </c>
      <c r="E68" s="17" t="s">
        <v>254</v>
      </c>
      <c r="F68" s="18" t="str">
        <f>IFERROR(__xludf.DUMMYFUNCTION("""COMPUTED_VALUE"""),"MetaAds")</f>
        <v>MetaAds</v>
      </c>
      <c r="G68" s="18" t="str">
        <f>IFERROR(__xludf.DUMMYFUNCTION("""COMPUTED_VALUE"""),"ADV - [IG] [FB] [30%2B] [PIEDADE - 40KM] V%C3%81RIOS")</f>
        <v>ADV - [IG] [FB] [30%2B] [PIEDADE - 40KM] V%C3%81RIOS</v>
      </c>
      <c r="H68" s="18" t="str">
        <f>IFERROR(__xludf.DUMMYFUNCTION("""COMPUTED_VALUE"""),"Facebook_Mobile_Reels")</f>
        <v>Facebook_Mobile_Reels</v>
      </c>
      <c r="I68" s="18" t="str">
        <f>IFERROR(__xludf.DUMMYFUNCTION("""COMPUTED_VALUE"""),"07.04 [IMG] [AD04] Pedidos abertos")</f>
        <v>07.04 [IMG] [AD04] Pedidos abertos</v>
      </c>
      <c r="J68" s="18" t="str">
        <f>IFERROR(__xludf.DUMMYFUNCTION("""COMPUTED_VALUE"""),"07.04.2026 [V4] [WB] [LEADS-GRUPO-WHATS] 01")</f>
        <v>07.04.2026 [V4] [WB] [LEADS-GRUPO-WHATS] 01</v>
      </c>
      <c r="K68" s="19" t="str">
        <f t="shared" si="1"/>
        <v>2026-04-14</v>
      </c>
      <c r="L68" s="20">
        <f t="shared" si="2"/>
        <v>46126</v>
      </c>
      <c r="M68" s="19" t="str">
        <f t="shared" si="3"/>
        <v>64273383</v>
      </c>
      <c r="N68" s="19" t="str">
        <f>IFERROR(IF(VLOOKUP(M68,'Leads no grupo Saibai'!C:C,1,FALSE)=M68,"Sim"),"Não")</f>
        <v>Não</v>
      </c>
      <c r="O68" s="19"/>
    </row>
    <row r="69">
      <c r="A69" s="14" t="s">
        <v>281</v>
      </c>
      <c r="B69" s="15" t="s">
        <v>282</v>
      </c>
      <c r="C69" s="16">
        <v>1.5997089265E10</v>
      </c>
      <c r="D69" s="16" t="s">
        <v>283</v>
      </c>
      <c r="E69" s="17" t="s">
        <v>284</v>
      </c>
      <c r="F69" s="18" t="str">
        <f>IFERROR(__xludf.DUMMYFUNCTION("""COMPUTED_VALUE"""),"MetaAds")</f>
        <v>MetaAds</v>
      </c>
      <c r="G69" s="18" t="str">
        <f>IFERROR(__xludf.DUMMYFUNCTION("""COMPUTED_VALUE"""),"ADV - [IG] [FB] [30%2B] [PIEDADE - 40KM] V%C3%81RIOS")</f>
        <v>ADV - [IG] [FB] [30%2B] [PIEDADE - 40KM] V%C3%81RIOS</v>
      </c>
      <c r="H69" s="18" t="str">
        <f>IFERROR(__xludf.DUMMYFUNCTION("""COMPUTED_VALUE"""),"Instagram_Stories")</f>
        <v>Instagram_Stories</v>
      </c>
      <c r="I69" s="18" t="str">
        <f>IFERROR(__xludf.DUMMYFUNCTION("""COMPUTED_VALUE"""),"07.04 [IMG] [AD04] Pedidos abertos")</f>
        <v>07.04 [IMG] [AD04] Pedidos abertos</v>
      </c>
      <c r="J69" s="18" t="str">
        <f>IFERROR(__xludf.DUMMYFUNCTION("""COMPUTED_VALUE"""),"07.04.2026 [V4] [WB] [LEADS-GRUPO-WHATS] 01")</f>
        <v>07.04.2026 [V4] [WB] [LEADS-GRUPO-WHATS] 01</v>
      </c>
      <c r="K69" s="19" t="str">
        <f t="shared" si="1"/>
        <v>2026-04-14</v>
      </c>
      <c r="L69" s="20">
        <f t="shared" si="2"/>
        <v>46126</v>
      </c>
      <c r="M69" s="19" t="str">
        <f t="shared" si="3"/>
        <v>97089265</v>
      </c>
      <c r="N69" s="19" t="str">
        <f>IFERROR(IF(VLOOKUP(M69,'Leads no grupo Saibai'!C:C,1,FALSE)=M69,"Sim"),"Não")</f>
        <v>Sim</v>
      </c>
      <c r="O69" s="19"/>
    </row>
    <row r="70">
      <c r="A70" s="14" t="s">
        <v>285</v>
      </c>
      <c r="B70" s="15" t="s">
        <v>286</v>
      </c>
      <c r="C70" s="16">
        <v>1.5997811443E10</v>
      </c>
      <c r="D70" s="16" t="s">
        <v>287</v>
      </c>
      <c r="E70" s="17" t="s">
        <v>288</v>
      </c>
      <c r="F70" s="18" t="str">
        <f>IFERROR(__xludf.DUMMYFUNCTION("""COMPUTED_VALUE"""),"MetaAds")</f>
        <v>MetaAds</v>
      </c>
      <c r="G70" s="18" t="str">
        <f>IFERROR(__xludf.DUMMYFUNCTION("""COMPUTED_VALUE"""),"ADV - [IG] [FB] [30%2B] [PIEDADE - 40KM] V%C3%81RIOS")</f>
        <v>ADV - [IG] [FB] [30%2B] [PIEDADE - 40KM] V%C3%81RIOS</v>
      </c>
      <c r="H70" s="18" t="str">
        <f>IFERROR(__xludf.DUMMYFUNCTION("""COMPUTED_VALUE"""),"Facebook_Mobile_Feed")</f>
        <v>Facebook_Mobile_Feed</v>
      </c>
      <c r="I70" s="18" t="str">
        <f>IFERROR(__xludf.DUMMYFUNCTION("""COMPUTED_VALUE"""),"07.04 [IMG] [AD04] Pedidos abertos")</f>
        <v>07.04 [IMG] [AD04] Pedidos abertos</v>
      </c>
      <c r="J70" s="18" t="str">
        <f>IFERROR(__xludf.DUMMYFUNCTION("""COMPUTED_VALUE"""),"07.04.2026 [V4] [WB] [LEADS-GRUPO-WHATS] 01")</f>
        <v>07.04.2026 [V4] [WB] [LEADS-GRUPO-WHATS] 01</v>
      </c>
      <c r="K70" s="19" t="str">
        <f t="shared" si="1"/>
        <v>2026-04-14</v>
      </c>
      <c r="L70" s="20">
        <f t="shared" si="2"/>
        <v>46126</v>
      </c>
      <c r="M70" s="19" t="str">
        <f t="shared" si="3"/>
        <v>97811443</v>
      </c>
      <c r="N70" s="19" t="str">
        <f>IFERROR(IF(VLOOKUP(M70,'Leads no grupo Saibai'!C:C,1,FALSE)=M70,"Sim"),"Não")</f>
        <v>Sim</v>
      </c>
      <c r="O70" s="19"/>
    </row>
    <row r="71">
      <c r="A71" s="14" t="s">
        <v>289</v>
      </c>
      <c r="B71" s="15" t="s">
        <v>290</v>
      </c>
      <c r="C71" s="16">
        <v>1.599142868E10</v>
      </c>
      <c r="D71" s="16" t="s">
        <v>291</v>
      </c>
      <c r="E71" s="17" t="s">
        <v>292</v>
      </c>
      <c r="F71" s="18" t="str">
        <f>IFERROR(__xludf.DUMMYFUNCTION("""COMPUTED_VALUE"""),"MetaAds")</f>
        <v>MetaAds</v>
      </c>
      <c r="G71" s="18" t="str">
        <f>IFERROR(__xludf.DUMMYFUNCTION("""COMPUTED_VALUE"""),"ADV - [IG] [FB] [30%2B] [PIEDADE - 40KM] V%C3%81RIOS")</f>
        <v>ADV - [IG] [FB] [30%2B] [PIEDADE - 40KM] V%C3%81RIOS</v>
      </c>
      <c r="H71" s="18" t="str">
        <f>IFERROR(__xludf.DUMMYFUNCTION("""COMPUTED_VALUE"""),"Instagram_Feed")</f>
        <v>Instagram_Feed</v>
      </c>
      <c r="I71" s="18" t="str">
        <f>IFERROR(__xludf.DUMMYFUNCTION("""COMPUTED_VALUE"""),"07.04 [IMG] [AD04] Pedidos abertos")</f>
        <v>07.04 [IMG] [AD04] Pedidos abertos</v>
      </c>
      <c r="J71" s="18" t="str">
        <f>IFERROR(__xludf.DUMMYFUNCTION("""COMPUTED_VALUE"""),"07.04.2026 [V4] [WB] [LEADS-GRUPO-WHATS] 01")</f>
        <v>07.04.2026 [V4] [WB] [LEADS-GRUPO-WHATS] 01</v>
      </c>
      <c r="K71" s="19" t="str">
        <f t="shared" si="1"/>
        <v>2026-04-14</v>
      </c>
      <c r="L71" s="20">
        <f t="shared" si="2"/>
        <v>46126</v>
      </c>
      <c r="M71" s="19" t="str">
        <f t="shared" si="3"/>
        <v>91428680</v>
      </c>
      <c r="N71" s="19" t="str">
        <f>IFERROR(IF(VLOOKUP(M71,'Leads no grupo Saibai'!C:C,1,FALSE)=M71,"Sim"),"Não")</f>
        <v>Sim</v>
      </c>
      <c r="O71" s="19"/>
    </row>
    <row r="72">
      <c r="A72" s="14" t="s">
        <v>293</v>
      </c>
      <c r="B72" s="15" t="s">
        <v>252</v>
      </c>
      <c r="C72" s="16">
        <v>1.5998337833E10</v>
      </c>
      <c r="D72" s="16" t="s">
        <v>253</v>
      </c>
      <c r="E72" s="17" t="s">
        <v>294</v>
      </c>
      <c r="F72" s="18" t="str">
        <f>IFERROR(__xludf.DUMMYFUNCTION("""COMPUTED_VALUE"""),"MetaAds")</f>
        <v>MetaAds</v>
      </c>
      <c r="G72" s="18" t="str">
        <f>IFERROR(__xludf.DUMMYFUNCTION("""COMPUTED_VALUE"""),"ADV - [IG] [FB] [30%2B] [PIEDADE - 40KM] V%C3%81RIOS")</f>
        <v>ADV - [IG] [FB] [30%2B] [PIEDADE - 40KM] V%C3%81RIOS</v>
      </c>
      <c r="H72" s="18" t="str">
        <f>IFERROR(__xludf.DUMMYFUNCTION("""COMPUTED_VALUE"""),"Instagram_Stories")</f>
        <v>Instagram_Stories</v>
      </c>
      <c r="I72" s="18" t="str">
        <f>IFERROR(__xludf.DUMMYFUNCTION("""COMPUTED_VALUE"""),"07.04 [IMG] [AD04] Pedidos abertos")</f>
        <v>07.04 [IMG] [AD04] Pedidos abertos</v>
      </c>
      <c r="J72" s="18" t="str">
        <f>IFERROR(__xludf.DUMMYFUNCTION("""COMPUTED_VALUE"""),"07.04.2026 [V4] [WB] [LEADS-GRUPO-WHATS] 01")</f>
        <v>07.04.2026 [V4] [WB] [LEADS-GRUPO-WHATS] 01</v>
      </c>
      <c r="K72" s="19" t="str">
        <f t="shared" si="1"/>
        <v>2026-04-14</v>
      </c>
      <c r="L72" s="20">
        <f t="shared" si="2"/>
        <v>46126</v>
      </c>
      <c r="M72" s="19" t="str">
        <f t="shared" si="3"/>
        <v>98337833</v>
      </c>
      <c r="N72" s="19" t="str">
        <f>IFERROR(IF(VLOOKUP(M72,'Leads no grupo Saibai'!C:C,1,FALSE)=M72,"Sim"),"Não")</f>
        <v>Sim</v>
      </c>
      <c r="O72" s="19"/>
    </row>
    <row r="73">
      <c r="A73" s="14" t="s">
        <v>295</v>
      </c>
      <c r="B73" s="15" t="s">
        <v>296</v>
      </c>
      <c r="C73" s="16">
        <v>1.5997710142E10</v>
      </c>
      <c r="D73" s="16" t="s">
        <v>297</v>
      </c>
      <c r="E73" s="17" t="s">
        <v>298</v>
      </c>
      <c r="F73" s="18" t="str">
        <f>IFERROR(__xludf.DUMMYFUNCTION("""COMPUTED_VALUE"""),"MetaAds")</f>
        <v>MetaAds</v>
      </c>
      <c r="G73" s="18" t="str">
        <f>IFERROR(__xludf.DUMMYFUNCTION("""COMPUTED_VALUE"""),"ADV - [IG] [FB] [30%2B] [PIEDADE - 40KM] V%C3%81RIOS")</f>
        <v>ADV - [IG] [FB] [30%2B] [PIEDADE - 40KM] V%C3%81RIOS</v>
      </c>
      <c r="H73" s="18" t="str">
        <f>IFERROR(__xludf.DUMMYFUNCTION("""COMPUTED_VALUE"""),"Instagram_Feed")</f>
        <v>Instagram_Feed</v>
      </c>
      <c r="I73" s="18" t="str">
        <f>IFERROR(__xludf.DUMMYFUNCTION("""COMPUTED_VALUE"""),"07.04 [IMG] [AD04] Pedidos abertos")</f>
        <v>07.04 [IMG] [AD04] Pedidos abertos</v>
      </c>
      <c r="J73" s="18" t="str">
        <f>IFERROR(__xludf.DUMMYFUNCTION("""COMPUTED_VALUE"""),"07.04.2026 [V4] [WB] [LEADS-GRUPO-WHATS] 01")</f>
        <v>07.04.2026 [V4] [WB] [LEADS-GRUPO-WHATS] 01</v>
      </c>
      <c r="K73" s="19" t="str">
        <f t="shared" si="1"/>
        <v>2026-04-14</v>
      </c>
      <c r="L73" s="20">
        <f t="shared" si="2"/>
        <v>46126</v>
      </c>
      <c r="M73" s="19" t="str">
        <f t="shared" si="3"/>
        <v>97710142</v>
      </c>
      <c r="N73" s="19" t="str">
        <f>IFERROR(IF(VLOOKUP(M73,'Leads no grupo Saibai'!C:C,1,FALSE)=M73,"Sim"),"Não")</f>
        <v>Sim</v>
      </c>
      <c r="O73" s="19"/>
    </row>
    <row r="74">
      <c r="A74" s="14" t="s">
        <v>299</v>
      </c>
      <c r="B74" s="15" t="s">
        <v>300</v>
      </c>
      <c r="C74" s="16">
        <v>1.5991351222E10</v>
      </c>
      <c r="D74" s="16" t="s">
        <v>301</v>
      </c>
      <c r="E74" s="17" t="s">
        <v>302</v>
      </c>
      <c r="F74" s="18" t="str">
        <f>IFERROR(__xludf.DUMMYFUNCTION("""COMPUTED_VALUE"""),"MetaAds")</f>
        <v>MetaAds</v>
      </c>
      <c r="G74" s="18" t="str">
        <f>IFERROR(__xludf.DUMMYFUNCTION("""COMPUTED_VALUE"""),"ADV - [IG] [FB] [30%2B] [PIEDADE - 40KM] V%C3%81RIOS")</f>
        <v>ADV - [IG] [FB] [30%2B] [PIEDADE - 40KM] V%C3%81RIOS</v>
      </c>
      <c r="H74" s="18" t="str">
        <f>IFERROR(__xludf.DUMMYFUNCTION("""COMPUTED_VALUE"""),"Facebook_Mobile_Feed")</f>
        <v>Facebook_Mobile_Feed</v>
      </c>
      <c r="I74" s="18" t="str">
        <f>IFERROR(__xludf.DUMMYFUNCTION("""COMPUTED_VALUE"""),"07.04 [IMG] [AD04] Pedidos abertos")</f>
        <v>07.04 [IMG] [AD04] Pedidos abertos</v>
      </c>
      <c r="J74" s="18" t="str">
        <f>IFERROR(__xludf.DUMMYFUNCTION("""COMPUTED_VALUE"""),"07.04.2026 [V4] [WB] [LEADS-GRUPO-WHATS] 01")</f>
        <v>07.04.2026 [V4] [WB] [LEADS-GRUPO-WHATS] 01</v>
      </c>
      <c r="K74" s="19" t="str">
        <f t="shared" si="1"/>
        <v>2026-04-14</v>
      </c>
      <c r="L74" s="20">
        <f t="shared" si="2"/>
        <v>46126</v>
      </c>
      <c r="M74" s="19" t="str">
        <f t="shared" si="3"/>
        <v>91351222</v>
      </c>
      <c r="N74" s="19" t="str">
        <f>IFERROR(IF(VLOOKUP(M74,'Leads no grupo Saibai'!C:C,1,FALSE)=M74,"Sim"),"Não")</f>
        <v>Sim</v>
      </c>
      <c r="O74" s="19"/>
    </row>
    <row r="75">
      <c r="A75" s="14" t="s">
        <v>303</v>
      </c>
      <c r="B75" s="15" t="s">
        <v>304</v>
      </c>
      <c r="C75" s="16">
        <v>1.1983402086E10</v>
      </c>
      <c r="D75" s="16" t="s">
        <v>305</v>
      </c>
      <c r="E75" s="17" t="s">
        <v>306</v>
      </c>
      <c r="F75" s="18" t="str">
        <f>IFERROR(__xludf.DUMMYFUNCTION("""COMPUTED_VALUE"""),"MetaAds")</f>
        <v>MetaAds</v>
      </c>
      <c r="G75" s="18" t="str">
        <f>IFERROR(__xludf.DUMMYFUNCTION("""COMPUTED_VALUE"""),"ADV - [IG] [FB] [30%2B] [PIEDADE - 40KM] V%C3%81RIOS")</f>
        <v>ADV - [IG] [FB] [30%2B] [PIEDADE - 40KM] V%C3%81RIOS</v>
      </c>
      <c r="H75" s="18" t="str">
        <f>IFERROR(__xludf.DUMMYFUNCTION("""COMPUTED_VALUE"""),"Instagram_Feed")</f>
        <v>Instagram_Feed</v>
      </c>
      <c r="I75" s="18" t="str">
        <f>IFERROR(__xludf.DUMMYFUNCTION("""COMPUTED_VALUE"""),"07.04 [IMG] [AD04] Pedidos abertos")</f>
        <v>07.04 [IMG] [AD04] Pedidos abertos</v>
      </c>
      <c r="J75" s="18" t="str">
        <f>IFERROR(__xludf.DUMMYFUNCTION("""COMPUTED_VALUE"""),"07.04.2026 [V4] [WB] [LEADS-GRUPO-WHATS] 01")</f>
        <v>07.04.2026 [V4] [WB] [LEADS-GRUPO-WHATS] 01</v>
      </c>
      <c r="K75" s="19" t="str">
        <f t="shared" si="1"/>
        <v>2026-04-14</v>
      </c>
      <c r="L75" s="20">
        <f t="shared" si="2"/>
        <v>46126</v>
      </c>
      <c r="M75" s="19" t="str">
        <f t="shared" si="3"/>
        <v>83402086</v>
      </c>
      <c r="N75" s="19" t="str">
        <f>IFERROR(IF(VLOOKUP(M75,'Leads no grupo Saibai'!C:C,1,FALSE)=M75,"Sim"),"Não")</f>
        <v>Sim</v>
      </c>
      <c r="O75" s="19"/>
    </row>
    <row r="76">
      <c r="A76" s="14" t="s">
        <v>307</v>
      </c>
      <c r="B76" s="15" t="s">
        <v>308</v>
      </c>
      <c r="C76" s="16">
        <v>1.5998047496E10</v>
      </c>
      <c r="D76" s="16" t="s">
        <v>309</v>
      </c>
      <c r="E76" s="17" t="s">
        <v>310</v>
      </c>
      <c r="F76" s="18" t="str">
        <f>IFERROR(__xludf.DUMMYFUNCTION("""COMPUTED_VALUE"""),"MetaAds")</f>
        <v>MetaAds</v>
      </c>
      <c r="G76" s="18" t="str">
        <f>IFERROR(__xludf.DUMMYFUNCTION("""COMPUTED_VALUE"""),"ADV - [IG] [FB] [30%2B] [PIEDADE - 40KM] V%C3%81RIOS")</f>
        <v>ADV - [IG] [FB] [30%2B] [PIEDADE - 40KM] V%C3%81RIOS</v>
      </c>
      <c r="H76" s="18" t="str">
        <f>IFERROR(__xludf.DUMMYFUNCTION("""COMPUTED_VALUE"""),"Facebook_Mobile_Feed")</f>
        <v>Facebook_Mobile_Feed</v>
      </c>
      <c r="I76" s="18" t="str">
        <f>IFERROR(__xludf.DUMMYFUNCTION("""COMPUTED_VALUE"""),"07.04 [IMG] [AD04] Pedidos abertos")</f>
        <v>07.04 [IMG] [AD04] Pedidos abertos</v>
      </c>
      <c r="J76" s="18" t="str">
        <f>IFERROR(__xludf.DUMMYFUNCTION("""COMPUTED_VALUE"""),"07.04.2026 [V4] [WB] [LEADS-GRUPO-WHATS] 01")</f>
        <v>07.04.2026 [V4] [WB] [LEADS-GRUPO-WHATS] 01</v>
      </c>
      <c r="K76" s="19" t="str">
        <f t="shared" si="1"/>
        <v>2026-04-15</v>
      </c>
      <c r="L76" s="20">
        <f t="shared" si="2"/>
        <v>46127</v>
      </c>
      <c r="M76" s="19" t="str">
        <f t="shared" si="3"/>
        <v>98047496</v>
      </c>
      <c r="N76" s="19" t="str">
        <f>IFERROR(IF(VLOOKUP(M76,'Leads no grupo Saibai'!C:C,1,FALSE)=M76,"Sim"),"Não")</f>
        <v>Sim</v>
      </c>
      <c r="O76" s="19"/>
    </row>
    <row r="77">
      <c r="A77" s="14" t="s">
        <v>311</v>
      </c>
      <c r="B77" s="15" t="s">
        <v>312</v>
      </c>
      <c r="C77" s="16">
        <v>1.5997474704E10</v>
      </c>
      <c r="D77" s="16" t="s">
        <v>313</v>
      </c>
      <c r="E77" s="17" t="s">
        <v>314</v>
      </c>
      <c r="F77" s="18" t="str">
        <f>IFERROR(__xludf.DUMMYFUNCTION("""COMPUTED_VALUE"""),"MetaAds")</f>
        <v>MetaAds</v>
      </c>
      <c r="G77" s="18" t="str">
        <f>IFERROR(__xludf.DUMMYFUNCTION("""COMPUTED_VALUE"""),"ADV - [IG] [FB] [30%2B] [PIEDADE - 40KM] V%C3%81RIOS")</f>
        <v>ADV - [IG] [FB] [30%2B] [PIEDADE - 40KM] V%C3%81RIOS</v>
      </c>
      <c r="H77" s="18" t="str">
        <f>IFERROR(__xludf.DUMMYFUNCTION("""COMPUTED_VALUE"""),"Instagram_Stories")</f>
        <v>Instagram_Stories</v>
      </c>
      <c r="I77" s="18" t="str">
        <f>IFERROR(__xludf.DUMMYFUNCTION("""COMPUTED_VALUE"""),"07.04 [IMG] [AD04] Pedidos abertos")</f>
        <v>07.04 [IMG] [AD04] Pedidos abertos</v>
      </c>
      <c r="J77" s="18" t="str">
        <f>IFERROR(__xludf.DUMMYFUNCTION("""COMPUTED_VALUE"""),"07.04.2026 [V4] [WB] [LEADS-GRUPO-WHATS] 01")</f>
        <v>07.04.2026 [V4] [WB] [LEADS-GRUPO-WHATS] 01</v>
      </c>
      <c r="K77" s="19" t="str">
        <f t="shared" si="1"/>
        <v>2026-04-15</v>
      </c>
      <c r="L77" s="20">
        <f t="shared" si="2"/>
        <v>46127</v>
      </c>
      <c r="M77" s="19" t="str">
        <f t="shared" si="3"/>
        <v>97474704</v>
      </c>
      <c r="N77" s="19" t="str">
        <f>IFERROR(IF(VLOOKUP(M77,'Leads no grupo Saibai'!C:C,1,FALSE)=M77,"Sim"),"Não")</f>
        <v>Sim</v>
      </c>
      <c r="O77" s="19"/>
    </row>
    <row r="78">
      <c r="A78" s="14" t="s">
        <v>315</v>
      </c>
      <c r="B78" s="15" t="s">
        <v>316</v>
      </c>
      <c r="C78" s="16">
        <v>1.1950501768E10</v>
      </c>
      <c r="D78" s="16" t="s">
        <v>317</v>
      </c>
      <c r="E78" s="17" t="s">
        <v>318</v>
      </c>
      <c r="F78" s="18" t="str">
        <f>IFERROR(__xludf.DUMMYFUNCTION("""COMPUTED_VALUE"""),"MetaAds")</f>
        <v>MetaAds</v>
      </c>
      <c r="G78" s="18" t="str">
        <f>IFERROR(__xludf.DUMMYFUNCTION("""COMPUTED_VALUE"""),"ADV - [IG] [FB] [30%2B] [PIEDADE - 40KM] V%C3%81RIOS")</f>
        <v>ADV - [IG] [FB] [30%2B] [PIEDADE - 40KM] V%C3%81RIOS</v>
      </c>
      <c r="H78" s="18" t="str">
        <f>IFERROR(__xludf.DUMMYFUNCTION("""COMPUTED_VALUE"""),"Instagram_Feed")</f>
        <v>Instagram_Feed</v>
      </c>
      <c r="I78" s="18" t="str">
        <f>IFERROR(__xludf.DUMMYFUNCTION("""COMPUTED_VALUE"""),"07.04 [IMG] [AD01] A safra come%C3%A7ou")</f>
        <v>07.04 [IMG] [AD01] A safra come%C3%A7ou</v>
      </c>
      <c r="J78" s="18" t="str">
        <f>IFERROR(__xludf.DUMMYFUNCTION("""COMPUTED_VALUE"""),"07.04.2026 [V4] [WB] [LEADS-GRUPO-WHATS] 01")</f>
        <v>07.04.2026 [V4] [WB] [LEADS-GRUPO-WHATS] 01</v>
      </c>
      <c r="K78" s="19" t="str">
        <f t="shared" si="1"/>
        <v>2026-04-15</v>
      </c>
      <c r="L78" s="20">
        <f t="shared" si="2"/>
        <v>46127</v>
      </c>
      <c r="M78" s="19" t="str">
        <f t="shared" si="3"/>
        <v>50501768</v>
      </c>
      <c r="N78" s="19" t="str">
        <f>IFERROR(IF(VLOOKUP(M78,'Leads no grupo Saibai'!C:C,1,FALSE)=M78,"Sim"),"Não")</f>
        <v>Sim</v>
      </c>
      <c r="O78" s="19"/>
    </row>
    <row r="79">
      <c r="A79" s="14" t="s">
        <v>319</v>
      </c>
      <c r="B79" s="15" t="s">
        <v>320</v>
      </c>
      <c r="C79" s="16">
        <v>1.5991079288E10</v>
      </c>
      <c r="D79" s="16" t="s">
        <v>321</v>
      </c>
      <c r="E79" s="17" t="s">
        <v>322</v>
      </c>
      <c r="F79" s="18" t="str">
        <f>IFERROR(__xludf.DUMMYFUNCTION("""COMPUTED_VALUE"""),"MetaAds")</f>
        <v>MetaAds</v>
      </c>
      <c r="G79" s="18" t="str">
        <f>IFERROR(__xludf.DUMMYFUNCTION("""COMPUTED_VALUE"""),"ADV - [IG] [FB] [30%2B] [PIEDADE - 40KM] V%C3%81RIOS")</f>
        <v>ADV - [IG] [FB] [30%2B] [PIEDADE - 40KM] V%C3%81RIOS</v>
      </c>
      <c r="H79" s="18" t="str">
        <f>IFERROR(__xludf.DUMMYFUNCTION("""COMPUTED_VALUE"""),"Instagram_Feed")</f>
        <v>Instagram_Feed</v>
      </c>
      <c r="I79" s="18" t="str">
        <f>IFERROR(__xludf.DUMMYFUNCTION("""COMPUTED_VALUE"""),"07.04 [IMG] [AD01] A safra come%C3%A7ou")</f>
        <v>07.04 [IMG] [AD01] A safra come%C3%A7ou</v>
      </c>
      <c r="J79" s="18" t="str">
        <f>IFERROR(__xludf.DUMMYFUNCTION("""COMPUTED_VALUE"""),"07.04.2026 [V4] [WB] [LEADS-GRUPO-WHATS] 01")</f>
        <v>07.04.2026 [V4] [WB] [LEADS-GRUPO-WHATS] 01</v>
      </c>
      <c r="K79" s="19" t="str">
        <f t="shared" si="1"/>
        <v>2026-04-15</v>
      </c>
      <c r="L79" s="20">
        <f t="shared" si="2"/>
        <v>46127</v>
      </c>
      <c r="M79" s="19" t="str">
        <f t="shared" si="3"/>
        <v>91079288</v>
      </c>
      <c r="N79" s="19" t="str">
        <f>IFERROR(IF(VLOOKUP(M79,'Leads no grupo Saibai'!C:C,1,FALSE)=M79,"Sim"),"Não")</f>
        <v>Sim</v>
      </c>
      <c r="O79" s="19"/>
    </row>
    <row r="80">
      <c r="A80" s="14" t="s">
        <v>323</v>
      </c>
      <c r="B80" s="15" t="s">
        <v>324</v>
      </c>
      <c r="C80" s="16">
        <v>1.1991517194E10</v>
      </c>
      <c r="D80" s="16" t="s">
        <v>325</v>
      </c>
      <c r="E80" s="17" t="s">
        <v>326</v>
      </c>
      <c r="F80" s="18" t="str">
        <f>IFERROR(__xludf.DUMMYFUNCTION("""COMPUTED_VALUE"""),"MetaAds")</f>
        <v>MetaAds</v>
      </c>
      <c r="G80" s="18" t="str">
        <f>IFERROR(__xludf.DUMMYFUNCTION("""COMPUTED_VALUE"""),"ADV - [IG] [FB] [30%2B] [PIEDADE - 40KM] V%C3%81RIOS")</f>
        <v>ADV - [IG] [FB] [30%2B] [PIEDADE - 40KM] V%C3%81RIOS</v>
      </c>
      <c r="H80" s="18" t="str">
        <f>IFERROR(__xludf.DUMMYFUNCTION("""COMPUTED_VALUE"""),"Instagram_Reels")</f>
        <v>Instagram_Reels</v>
      </c>
      <c r="I80" s="18" t="str">
        <f>IFERROR(__xludf.DUMMYFUNCTION("""COMPUTED_VALUE"""),"07.04 [IMG] [AD01] A safra come%C3%A7ou")</f>
        <v>07.04 [IMG] [AD01] A safra come%C3%A7ou</v>
      </c>
      <c r="J80" s="18" t="str">
        <f>IFERROR(__xludf.DUMMYFUNCTION("""COMPUTED_VALUE"""),"07.04.2026 [V4] [WB] [LEADS-GRUPO-WHATS] 01")</f>
        <v>07.04.2026 [V4] [WB] [LEADS-GRUPO-WHATS] 01</v>
      </c>
      <c r="K80" s="19" t="str">
        <f t="shared" si="1"/>
        <v>2026-04-15</v>
      </c>
      <c r="L80" s="20">
        <f t="shared" si="2"/>
        <v>46127</v>
      </c>
      <c r="M80" s="19" t="str">
        <f t="shared" si="3"/>
        <v>91517194</v>
      </c>
      <c r="N80" s="19" t="str">
        <f>IFERROR(IF(VLOOKUP(M80,'Leads no grupo Saibai'!C:C,1,FALSE)=M80,"Sim"),"Não")</f>
        <v>Sim</v>
      </c>
      <c r="O80" s="19"/>
    </row>
    <row r="81">
      <c r="A81" s="14" t="s">
        <v>327</v>
      </c>
      <c r="B81" s="15" t="s">
        <v>328</v>
      </c>
      <c r="C81" s="16">
        <v>1.1981274041E10</v>
      </c>
      <c r="D81" s="16" t="s">
        <v>329</v>
      </c>
      <c r="E81" s="17" t="s">
        <v>330</v>
      </c>
      <c r="F81" s="18" t="str">
        <f>IFERROR(__xludf.DUMMYFUNCTION("""COMPUTED_VALUE"""),"MetaAds")</f>
        <v>MetaAds</v>
      </c>
      <c r="G81" s="18" t="str">
        <f>IFERROR(__xludf.DUMMYFUNCTION("""COMPUTED_VALUE"""),"ADV - [IG] [FB] [30%2B] [PIEDADE - 40KM] V%C3%81RIOS")</f>
        <v>ADV - [IG] [FB] [30%2B] [PIEDADE - 40KM] V%C3%81RIOS</v>
      </c>
      <c r="H81" s="18" t="str">
        <f>IFERROR(__xludf.DUMMYFUNCTION("""COMPUTED_VALUE"""),"Instagram_Stories")</f>
        <v>Instagram_Stories</v>
      </c>
      <c r="I81" s="18" t="str">
        <f>IFERROR(__xludf.DUMMYFUNCTION("""COMPUTED_VALUE"""),"07.04 [IMG] [AD01] A safra come%C3%A7ou")</f>
        <v>07.04 [IMG] [AD01] A safra come%C3%A7ou</v>
      </c>
      <c r="J81" s="18" t="str">
        <f>IFERROR(__xludf.DUMMYFUNCTION("""COMPUTED_VALUE"""),"07.04.2026 [V4] [WB] [LEADS-GRUPO-WHATS] 01")</f>
        <v>07.04.2026 [V4] [WB] [LEADS-GRUPO-WHATS] 01</v>
      </c>
      <c r="K81" s="19" t="str">
        <f t="shared" si="1"/>
        <v>2026-04-15</v>
      </c>
      <c r="L81" s="20">
        <f t="shared" si="2"/>
        <v>46127</v>
      </c>
      <c r="M81" s="19" t="str">
        <f t="shared" si="3"/>
        <v>81274041</v>
      </c>
      <c r="N81" s="19" t="str">
        <f>IFERROR(IF(VLOOKUP(M81,'Leads no grupo Saibai'!C:C,1,FALSE)=M81,"Sim"),"Não")</f>
        <v>Sim</v>
      </c>
      <c r="O81" s="19"/>
    </row>
    <row r="82">
      <c r="A82" s="14" t="s">
        <v>331</v>
      </c>
      <c r="B82" s="15" t="s">
        <v>332</v>
      </c>
      <c r="C82" s="16">
        <v>1.598129882E10</v>
      </c>
      <c r="D82" s="16" t="s">
        <v>333</v>
      </c>
      <c r="E82" s="17" t="s">
        <v>334</v>
      </c>
      <c r="F82" s="18" t="str">
        <f>IFERROR(__xludf.DUMMYFUNCTION("""COMPUTED_VALUE"""),"MetaAds")</f>
        <v>MetaAds</v>
      </c>
      <c r="G82" s="18" t="str">
        <f>IFERROR(__xludf.DUMMYFUNCTION("""COMPUTED_VALUE"""),"ADV - [IG] [FB] [30%2B] [PIEDADE - 40KM] V%C3%81RIOS")</f>
        <v>ADV - [IG] [FB] [30%2B] [PIEDADE - 40KM] V%C3%81RIOS</v>
      </c>
      <c r="H82" s="18" t="str">
        <f>IFERROR(__xludf.DUMMYFUNCTION("""COMPUTED_VALUE"""),"Instagram_Reels")</f>
        <v>Instagram_Reels</v>
      </c>
      <c r="I82" s="18" t="str">
        <f>IFERROR(__xludf.DUMMYFUNCTION("""COMPUTED_VALUE"""),"07.04 [IMG] [AD01] A safra come%C3%A7ou")</f>
        <v>07.04 [IMG] [AD01] A safra come%C3%A7ou</v>
      </c>
      <c r="J82" s="18" t="str">
        <f>IFERROR(__xludf.DUMMYFUNCTION("""COMPUTED_VALUE"""),"07.04.2026 [V4] [WB] [LEADS-GRUPO-WHATS] 01")</f>
        <v>07.04.2026 [V4] [WB] [LEADS-GRUPO-WHATS] 01</v>
      </c>
      <c r="K82" s="19" t="str">
        <f t="shared" si="1"/>
        <v>2026-04-15</v>
      </c>
      <c r="L82" s="20">
        <f t="shared" si="2"/>
        <v>46127</v>
      </c>
      <c r="M82" s="19" t="str">
        <f t="shared" si="3"/>
        <v>81298820</v>
      </c>
      <c r="N82" s="19" t="str">
        <f>IFERROR(IF(VLOOKUP(M82,'Leads no grupo Saibai'!C:C,1,FALSE)=M82,"Sim"),"Não")</f>
        <v>Sim</v>
      </c>
      <c r="O82" s="19"/>
    </row>
    <row r="83">
      <c r="A83" s="14" t="s">
        <v>335</v>
      </c>
      <c r="B83" s="15" t="s">
        <v>336</v>
      </c>
      <c r="C83" s="16">
        <v>1.1999495893E10</v>
      </c>
      <c r="D83" s="16" t="s">
        <v>337</v>
      </c>
      <c r="E83" s="17" t="s">
        <v>338</v>
      </c>
      <c r="F83" s="18" t="str">
        <f>IFERROR(__xludf.DUMMYFUNCTION("""COMPUTED_VALUE"""),"MetaAds")</f>
        <v>MetaAds</v>
      </c>
      <c r="G83" s="18" t="str">
        <f>IFERROR(__xludf.DUMMYFUNCTION("""COMPUTED_VALUE"""),"ADV - [IG] [FB] [30%2B] [PIEDADE - 40KM] V%C3%81RIOS")</f>
        <v>ADV - [IG] [FB] [30%2B] [PIEDADE - 40KM] V%C3%81RIOS</v>
      </c>
      <c r="H83" s="18" t="str">
        <f>IFERROR(__xludf.DUMMYFUNCTION("""COMPUTED_VALUE"""),"Facebook_Stories")</f>
        <v>Facebook_Stories</v>
      </c>
      <c r="I83" s="18" t="str">
        <f>IFERROR(__xludf.DUMMYFUNCTION("""COMPUTED_VALUE"""),"07.04 [IMG] [AD01] A safra come%C3%A7ou")</f>
        <v>07.04 [IMG] [AD01] A safra come%C3%A7ou</v>
      </c>
      <c r="J83" s="18" t="str">
        <f>IFERROR(__xludf.DUMMYFUNCTION("""COMPUTED_VALUE"""),"07.04.2026 [V4] [WB] [LEADS-GRUPO-WHATS] 01")</f>
        <v>07.04.2026 [V4] [WB] [LEADS-GRUPO-WHATS] 01</v>
      </c>
      <c r="K83" s="19" t="str">
        <f t="shared" si="1"/>
        <v>2026-04-15</v>
      </c>
      <c r="L83" s="20">
        <f t="shared" si="2"/>
        <v>46127</v>
      </c>
      <c r="M83" s="19" t="str">
        <f t="shared" si="3"/>
        <v>99495893</v>
      </c>
      <c r="N83" s="19" t="str">
        <f>IFERROR(IF(VLOOKUP(M83,'Leads no grupo Saibai'!C:C,1,FALSE)=M83,"Sim"),"Não")</f>
        <v>Sim</v>
      </c>
      <c r="O83" s="19"/>
    </row>
    <row r="84">
      <c r="A84" s="14" t="s">
        <v>339</v>
      </c>
      <c r="B84" s="15" t="s">
        <v>340</v>
      </c>
      <c r="C84" s="16">
        <v>1.1975424567E10</v>
      </c>
      <c r="D84" s="16" t="s">
        <v>341</v>
      </c>
      <c r="E84" s="17" t="s">
        <v>342</v>
      </c>
      <c r="F84" s="18" t="str">
        <f>IFERROR(__xludf.DUMMYFUNCTION("""COMPUTED_VALUE"""),"MetaAds")</f>
        <v>MetaAds</v>
      </c>
      <c r="G84" s="18" t="str">
        <f>IFERROR(__xludf.DUMMYFUNCTION("""COMPUTED_VALUE"""),"ADV - [IG] [FB] [30%2B] [PIEDADE - 40KM] V%C3%81RIOS")</f>
        <v>ADV - [IG] [FB] [30%2B] [PIEDADE - 40KM] V%C3%81RIOS</v>
      </c>
      <c r="H84" s="18" t="str">
        <f>IFERROR(__xludf.DUMMYFUNCTION("""COMPUTED_VALUE"""),"Instagram_Feed")</f>
        <v>Instagram_Feed</v>
      </c>
      <c r="I84" s="18" t="str">
        <f>IFERROR(__xludf.DUMMYFUNCTION("""COMPUTED_VALUE"""),"07.04 [IMG] [AD01] A safra come%C3%A7ou")</f>
        <v>07.04 [IMG] [AD01] A safra come%C3%A7ou</v>
      </c>
      <c r="J84" s="18" t="str">
        <f>IFERROR(__xludf.DUMMYFUNCTION("""COMPUTED_VALUE"""),"07.04.2026 [V4] [WB] [LEADS-GRUPO-WHATS] 01")</f>
        <v>07.04.2026 [V4] [WB] [LEADS-GRUPO-WHATS] 01</v>
      </c>
      <c r="K84" s="19" t="str">
        <f t="shared" si="1"/>
        <v>2026-04-15</v>
      </c>
      <c r="L84" s="20">
        <f t="shared" si="2"/>
        <v>46127</v>
      </c>
      <c r="M84" s="19" t="str">
        <f t="shared" si="3"/>
        <v>75424567</v>
      </c>
      <c r="N84" s="19" t="str">
        <f>IFERROR(IF(VLOOKUP(M84,'Leads no grupo Saibai'!C:C,1,FALSE)=M84,"Sim"),"Não")</f>
        <v>Sim</v>
      </c>
      <c r="O84" s="19"/>
    </row>
    <row r="85">
      <c r="A85" s="14" t="s">
        <v>343</v>
      </c>
      <c r="B85" s="15" t="s">
        <v>344</v>
      </c>
      <c r="C85" s="16">
        <v>1.198294121E10</v>
      </c>
      <c r="D85" s="16" t="s">
        <v>345</v>
      </c>
      <c r="E85" s="17" t="s">
        <v>346</v>
      </c>
      <c r="F85" s="18" t="str">
        <f>IFERROR(__xludf.DUMMYFUNCTION("""COMPUTED_VALUE"""),"MetaAds")</f>
        <v>MetaAds</v>
      </c>
      <c r="G85" s="18" t="str">
        <f>IFERROR(__xludf.DUMMYFUNCTION("""COMPUTED_VALUE"""),"ADV - [IG] [FB] [30%2B] [PIEDADE - 40KM] V%C3%81RIOS")</f>
        <v>ADV - [IG] [FB] [30%2B] [PIEDADE - 40KM] V%C3%81RIOS</v>
      </c>
      <c r="H85" s="18" t="str">
        <f>IFERROR(__xludf.DUMMYFUNCTION("""COMPUTED_VALUE"""),"Instagram_Feed")</f>
        <v>Instagram_Feed</v>
      </c>
      <c r="I85" s="18" t="str">
        <f>IFERROR(__xludf.DUMMYFUNCTION("""COMPUTED_VALUE"""),"07.04 [IMG] [AD01] A safra come%C3%A7ou")</f>
        <v>07.04 [IMG] [AD01] A safra come%C3%A7ou</v>
      </c>
      <c r="J85" s="18" t="str">
        <f>IFERROR(__xludf.DUMMYFUNCTION("""COMPUTED_VALUE"""),"07.04.2026 [V4] [WB] [LEADS-GRUPO-WHATS] 01")</f>
        <v>07.04.2026 [V4] [WB] [LEADS-GRUPO-WHATS] 01</v>
      </c>
      <c r="K85" s="19" t="str">
        <f t="shared" si="1"/>
        <v>2026-04-15</v>
      </c>
      <c r="L85" s="20">
        <f t="shared" si="2"/>
        <v>46127</v>
      </c>
      <c r="M85" s="19" t="str">
        <f t="shared" si="3"/>
        <v>82941210</v>
      </c>
      <c r="N85" s="19" t="str">
        <f>IFERROR(IF(VLOOKUP(M85,'Leads no grupo Saibai'!C:C,1,FALSE)=M85,"Sim"),"Não")</f>
        <v>Sim</v>
      </c>
      <c r="O85" s="19"/>
    </row>
    <row r="86">
      <c r="A86" s="14" t="s">
        <v>347</v>
      </c>
      <c r="B86" s="15" t="s">
        <v>348</v>
      </c>
      <c r="C86" s="16">
        <v>1.5997717274E10</v>
      </c>
      <c r="D86" s="16" t="s">
        <v>349</v>
      </c>
      <c r="E86" s="17" t="s">
        <v>350</v>
      </c>
      <c r="F86" s="18" t="str">
        <f>IFERROR(__xludf.DUMMYFUNCTION("""COMPUTED_VALUE"""),"MetaAds")</f>
        <v>MetaAds</v>
      </c>
      <c r="G86" s="18" t="str">
        <f>IFERROR(__xludf.DUMMYFUNCTION("""COMPUTED_VALUE"""),"ADV - [IG] [FB] [30%2B] [PIEDADE - 40KM] V%C3%81RIOS")</f>
        <v>ADV - [IG] [FB] [30%2B] [PIEDADE - 40KM] V%C3%81RIOS</v>
      </c>
      <c r="H86" s="18" t="str">
        <f>IFERROR(__xludf.DUMMYFUNCTION("""COMPUTED_VALUE"""),"Instagram_Feed")</f>
        <v>Instagram_Feed</v>
      </c>
      <c r="I86" s="18" t="str">
        <f>IFERROR(__xludf.DUMMYFUNCTION("""COMPUTED_VALUE"""),"07.04 [IMG] [AD04] Pedidos abertos")</f>
        <v>07.04 [IMG] [AD04] Pedidos abertos</v>
      </c>
      <c r="J86" s="18" t="str">
        <f>IFERROR(__xludf.DUMMYFUNCTION("""COMPUTED_VALUE"""),"07.04.2026 [V4] [WB] [LEADS-GRUPO-WHATS] 01")</f>
        <v>07.04.2026 [V4] [WB] [LEADS-GRUPO-WHATS] 01</v>
      </c>
      <c r="K86" s="19" t="str">
        <f t="shared" si="1"/>
        <v>2026-04-15</v>
      </c>
      <c r="L86" s="20">
        <f t="shared" si="2"/>
        <v>46127</v>
      </c>
      <c r="M86" s="19" t="str">
        <f t="shared" si="3"/>
        <v>97717274</v>
      </c>
      <c r="N86" s="19" t="str">
        <f>IFERROR(IF(VLOOKUP(M86,'Leads no grupo Saibai'!C:C,1,FALSE)=M86,"Sim"),"Não")</f>
        <v>Sim</v>
      </c>
      <c r="O86" s="19"/>
    </row>
    <row r="87">
      <c r="A87" s="14" t="s">
        <v>351</v>
      </c>
      <c r="B87" s="15" t="s">
        <v>348</v>
      </c>
      <c r="C87" s="16">
        <v>1.5997717274E10</v>
      </c>
      <c r="D87" s="16" t="s">
        <v>349</v>
      </c>
      <c r="E87" s="17" t="s">
        <v>350</v>
      </c>
      <c r="F87" s="18" t="str">
        <f>IFERROR(__xludf.DUMMYFUNCTION("""COMPUTED_VALUE"""),"MetaAds")</f>
        <v>MetaAds</v>
      </c>
      <c r="G87" s="18" t="str">
        <f>IFERROR(__xludf.DUMMYFUNCTION("""COMPUTED_VALUE"""),"ADV - [IG] [FB] [30%2B] [PIEDADE - 40KM] V%C3%81RIOS")</f>
        <v>ADV - [IG] [FB] [30%2B] [PIEDADE - 40KM] V%C3%81RIOS</v>
      </c>
      <c r="H87" s="18" t="str">
        <f>IFERROR(__xludf.DUMMYFUNCTION("""COMPUTED_VALUE"""),"Instagram_Feed")</f>
        <v>Instagram_Feed</v>
      </c>
      <c r="I87" s="18" t="str">
        <f>IFERROR(__xludf.DUMMYFUNCTION("""COMPUTED_VALUE"""),"07.04 [IMG] [AD04] Pedidos abertos")</f>
        <v>07.04 [IMG] [AD04] Pedidos abertos</v>
      </c>
      <c r="J87" s="18" t="str">
        <f>IFERROR(__xludf.DUMMYFUNCTION("""COMPUTED_VALUE"""),"07.04.2026 [V4] [WB] [LEADS-GRUPO-WHATS] 01")</f>
        <v>07.04.2026 [V4] [WB] [LEADS-GRUPO-WHATS] 01</v>
      </c>
      <c r="K87" s="19" t="str">
        <f t="shared" si="1"/>
        <v>2026-04-15</v>
      </c>
      <c r="L87" s="20">
        <f t="shared" si="2"/>
        <v>46127</v>
      </c>
      <c r="M87" s="19" t="str">
        <f t="shared" si="3"/>
        <v>97717274</v>
      </c>
      <c r="N87" s="19" t="str">
        <f>IFERROR(IF(VLOOKUP(M87,'Leads no grupo Saibai'!C:C,1,FALSE)=M87,"Sim"),"Não")</f>
        <v>Sim</v>
      </c>
      <c r="O87" s="19"/>
    </row>
    <row r="88">
      <c r="A88" s="14" t="s">
        <v>352</v>
      </c>
      <c r="B88" s="15" t="s">
        <v>219</v>
      </c>
      <c r="C88" s="16">
        <v>1.5998386011E10</v>
      </c>
      <c r="D88" s="16" t="s">
        <v>220</v>
      </c>
      <c r="E88" s="17" t="s">
        <v>353</v>
      </c>
      <c r="F88" s="18" t="str">
        <f>IFERROR(__xludf.DUMMYFUNCTION("""COMPUTED_VALUE"""),"MetaAds")</f>
        <v>MetaAds</v>
      </c>
      <c r="G88" s="18" t="str">
        <f>IFERROR(__xludf.DUMMYFUNCTION("""COMPUTED_VALUE"""),"ADV - [IG] [FB] [30%2B] [PIEDADE - 40KM] V%C3%81RIOS")</f>
        <v>ADV - [IG] [FB] [30%2B] [PIEDADE - 40KM] V%C3%81RIOS</v>
      </c>
      <c r="H88" s="18" t="str">
        <f>IFERROR(__xludf.DUMMYFUNCTION("""COMPUTED_VALUE"""),"Instagram_Stories")</f>
        <v>Instagram_Stories</v>
      </c>
      <c r="I88" s="18" t="str">
        <f>IFERROR(__xludf.DUMMYFUNCTION("""COMPUTED_VALUE"""),"07.04 [IMG] [AD04] Pedidos abertos")</f>
        <v>07.04 [IMG] [AD04] Pedidos abertos</v>
      </c>
      <c r="J88" s="18" t="str">
        <f>IFERROR(__xludf.DUMMYFUNCTION("""COMPUTED_VALUE"""),"07.04.2026 [V4] [WB] [LEADS-GRUPO-WHATS] 01")</f>
        <v>07.04.2026 [V4] [WB] [LEADS-GRUPO-WHATS] 01</v>
      </c>
      <c r="K88" s="19" t="str">
        <f t="shared" si="1"/>
        <v>2026-04-15</v>
      </c>
      <c r="L88" s="20">
        <f t="shared" si="2"/>
        <v>46127</v>
      </c>
      <c r="M88" s="19" t="str">
        <f t="shared" si="3"/>
        <v>98386011</v>
      </c>
      <c r="N88" s="19" t="str">
        <f>IFERROR(IF(VLOOKUP(M88,'Leads no grupo Saibai'!C:C,1,FALSE)=M88,"Sim"),"Não")</f>
        <v>Sim</v>
      </c>
      <c r="O88" s="19"/>
    </row>
    <row r="89">
      <c r="A89" s="14" t="s">
        <v>354</v>
      </c>
      <c r="B89" s="15" t="s">
        <v>355</v>
      </c>
      <c r="C89" s="16">
        <v>5.515981278E10</v>
      </c>
      <c r="D89" s="16" t="s">
        <v>356</v>
      </c>
      <c r="E89" s="17" t="s">
        <v>357</v>
      </c>
      <c r="F89" s="18" t="str">
        <f>IFERROR(__xludf.DUMMYFUNCTION("""COMPUTED_VALUE"""),"MetaAds")</f>
        <v>MetaAds</v>
      </c>
      <c r="G89" s="18" t="str">
        <f>IFERROR(__xludf.DUMMYFUNCTION("""COMPUTED_VALUE"""),"ADV - [IG] [FB] [30%2B] [PIEDADE - 40KM] V%C3%81RIOS")</f>
        <v>ADV - [IG] [FB] [30%2B] [PIEDADE - 40KM] V%C3%81RIOS</v>
      </c>
      <c r="H89" s="18" t="str">
        <f>IFERROR(__xludf.DUMMYFUNCTION("""COMPUTED_VALUE"""),"Instagram_Stories")</f>
        <v>Instagram_Stories</v>
      </c>
      <c r="I89" s="18" t="str">
        <f>IFERROR(__xludf.DUMMYFUNCTION("""COMPUTED_VALUE"""),"07.04 [IMG] [AD04] Pedidos abertos")</f>
        <v>07.04 [IMG] [AD04] Pedidos abertos</v>
      </c>
      <c r="J89" s="18" t="str">
        <f>IFERROR(__xludf.DUMMYFUNCTION("""COMPUTED_VALUE"""),"07.04.2026 [V4] [WB] [LEADS-GRUPO-WHATS] 01")</f>
        <v>07.04.2026 [V4] [WB] [LEADS-GRUPO-WHATS] 01</v>
      </c>
      <c r="K89" s="19" t="str">
        <f t="shared" si="1"/>
        <v>2026-04-15</v>
      </c>
      <c r="L89" s="20">
        <f t="shared" si="2"/>
        <v>46127</v>
      </c>
      <c r="M89" s="19" t="str">
        <f t="shared" si="3"/>
        <v>59812780</v>
      </c>
      <c r="N89" s="19" t="str">
        <f>IFERROR(IF(VLOOKUP(M89,'Leads no grupo Saibai'!C:C,1,FALSE)=M89,"Sim"),"Não")</f>
        <v>Não</v>
      </c>
      <c r="O89" s="19"/>
    </row>
    <row r="90">
      <c r="A90" s="14" t="s">
        <v>358</v>
      </c>
      <c r="B90" s="15" t="s">
        <v>359</v>
      </c>
      <c r="C90" s="16">
        <v>1.1998288819E10</v>
      </c>
      <c r="D90" s="16" t="s">
        <v>360</v>
      </c>
      <c r="E90" s="17" t="s">
        <v>361</v>
      </c>
      <c r="F90" s="18" t="str">
        <f>IFERROR(__xludf.DUMMYFUNCTION("""COMPUTED_VALUE"""),"MetaAds")</f>
        <v>MetaAds</v>
      </c>
      <c r="G90" s="18" t="str">
        <f>IFERROR(__xludf.DUMMYFUNCTION("""COMPUTED_VALUE"""),"ADV - [IG] [FB] [30%2B] [PIEDADE - 40KM] V%C3%81RIOS")</f>
        <v>ADV - [IG] [FB] [30%2B] [PIEDADE - 40KM] V%C3%81RIOS</v>
      </c>
      <c r="H90" s="18" t="str">
        <f>IFERROR(__xludf.DUMMYFUNCTION("""COMPUTED_VALUE"""),"Instagram_Reels")</f>
        <v>Instagram_Reels</v>
      </c>
      <c r="I90" s="18" t="str">
        <f>IFERROR(__xludf.DUMMYFUNCTION("""COMPUTED_VALUE"""),"07.04 [IMG] [AD04] Pedidos abertos")</f>
        <v>07.04 [IMG] [AD04] Pedidos abertos</v>
      </c>
      <c r="J90" s="18" t="str">
        <f>IFERROR(__xludf.DUMMYFUNCTION("""COMPUTED_VALUE"""),"07.04.2026 [V4] [WB] [LEADS-GRUPO-WHATS] 01")</f>
        <v>07.04.2026 [V4] [WB] [LEADS-GRUPO-WHATS] 01</v>
      </c>
      <c r="K90" s="19" t="str">
        <f t="shared" si="1"/>
        <v>2026-04-16</v>
      </c>
      <c r="L90" s="20">
        <f t="shared" si="2"/>
        <v>46128</v>
      </c>
      <c r="M90" s="19" t="str">
        <f t="shared" si="3"/>
        <v>98288819</v>
      </c>
      <c r="N90" s="19" t="str">
        <f>IFERROR(IF(VLOOKUP(M90,'Leads no grupo Saibai'!C:C,1,FALSE)=M90,"Sim"),"Não")</f>
        <v>Sim</v>
      </c>
      <c r="O90" s="19"/>
    </row>
    <row r="91">
      <c r="A91" s="14" t="s">
        <v>362</v>
      </c>
      <c r="B91" s="15" t="s">
        <v>363</v>
      </c>
      <c r="C91" s="16">
        <v>1.599101844E10</v>
      </c>
      <c r="D91" s="16" t="s">
        <v>364</v>
      </c>
      <c r="E91" s="17" t="s">
        <v>365</v>
      </c>
      <c r="F91" s="18" t="str">
        <f>IFERROR(__xludf.DUMMYFUNCTION("""COMPUTED_VALUE"""),"MetaAds")</f>
        <v>MetaAds</v>
      </c>
      <c r="G91" s="18" t="str">
        <f>IFERROR(__xludf.DUMMYFUNCTION("""COMPUTED_VALUE"""),"ADV - [IG] [FB] [30%2B] [PIEDADE - 40KM] V%C3%81RIOS")</f>
        <v>ADV - [IG] [FB] [30%2B] [PIEDADE - 40KM] V%C3%81RIOS</v>
      </c>
      <c r="H91" s="18" t="str">
        <f>IFERROR(__xludf.DUMMYFUNCTION("""COMPUTED_VALUE"""),"Facebook_Mobile_Reels")</f>
        <v>Facebook_Mobile_Reels</v>
      </c>
      <c r="I91" s="18" t="str">
        <f>IFERROR(__xludf.DUMMYFUNCTION("""COMPUTED_VALUE"""),"07.04 [IMG] [AD01] A safra come%C3%A7ou")</f>
        <v>07.04 [IMG] [AD01] A safra come%C3%A7ou</v>
      </c>
      <c r="J91" s="18" t="str">
        <f>IFERROR(__xludf.DUMMYFUNCTION("""COMPUTED_VALUE"""),"07.04.2026 [V4] [WB] [LEADS-GRUPO-WHATS] 01")</f>
        <v>07.04.2026 [V4] [WB] [LEADS-GRUPO-WHATS] 01</v>
      </c>
      <c r="K91" s="19" t="str">
        <f t="shared" si="1"/>
        <v>2026-04-16</v>
      </c>
      <c r="L91" s="20">
        <f t="shared" si="2"/>
        <v>46128</v>
      </c>
      <c r="M91" s="19" t="str">
        <f t="shared" si="3"/>
        <v>91018440</v>
      </c>
      <c r="N91" s="19" t="str">
        <f>IFERROR(IF(VLOOKUP(M91,'Leads no grupo Saibai'!C:C,1,FALSE)=M91,"Sim"),"Não")</f>
        <v>Não</v>
      </c>
      <c r="O91" s="19"/>
    </row>
    <row r="92">
      <c r="A92" s="14" t="s">
        <v>366</v>
      </c>
      <c r="B92" s="15" t="s">
        <v>367</v>
      </c>
      <c r="C92" s="16">
        <v>1.1964128289E10</v>
      </c>
      <c r="D92" s="16" t="s">
        <v>368</v>
      </c>
      <c r="E92" s="17" t="s">
        <v>369</v>
      </c>
      <c r="F92" s="18" t="str">
        <f>IFERROR(__xludf.DUMMYFUNCTION("""COMPUTED_VALUE"""),"MetaAds")</f>
        <v>MetaAds</v>
      </c>
      <c r="G92" s="18" t="str">
        <f>IFERROR(__xludf.DUMMYFUNCTION("""COMPUTED_VALUE"""),"ADV - [IG] [FB] [30%2B] [PIEDADE - 40KM] V%C3%81RIOS")</f>
        <v>ADV - [IG] [FB] [30%2B] [PIEDADE - 40KM] V%C3%81RIOS</v>
      </c>
      <c r="H92" s="18" t="str">
        <f>IFERROR(__xludf.DUMMYFUNCTION("""COMPUTED_VALUE"""),"Instagram_Feed")</f>
        <v>Instagram_Feed</v>
      </c>
      <c r="I92" s="18" t="str">
        <f>IFERROR(__xludf.DUMMYFUNCTION("""COMPUTED_VALUE"""),"07.04 [IMG] [AD01] A safra come%C3%A7ou")</f>
        <v>07.04 [IMG] [AD01] A safra come%C3%A7ou</v>
      </c>
      <c r="J92" s="18" t="str">
        <f>IFERROR(__xludf.DUMMYFUNCTION("""COMPUTED_VALUE"""),"07.04.2026 [V4] [WB] [LEADS-GRUPO-WHATS] 01")</f>
        <v>07.04.2026 [V4] [WB] [LEADS-GRUPO-WHATS] 01</v>
      </c>
      <c r="K92" s="19" t="str">
        <f t="shared" si="1"/>
        <v>2026-04-16</v>
      </c>
      <c r="L92" s="20">
        <f t="shared" si="2"/>
        <v>46128</v>
      </c>
      <c r="M92" s="19" t="str">
        <f t="shared" si="3"/>
        <v>64128289</v>
      </c>
      <c r="N92" s="19" t="str">
        <f>IFERROR(IF(VLOOKUP(M92,'Leads no grupo Saibai'!C:C,1,FALSE)=M92,"Sim"),"Não")</f>
        <v>Sim</v>
      </c>
      <c r="O92" s="19"/>
    </row>
    <row r="93">
      <c r="A93" s="14" t="s">
        <v>370</v>
      </c>
      <c r="B93" s="15" t="s">
        <v>371</v>
      </c>
      <c r="C93" s="16">
        <v>1.199702114E10</v>
      </c>
      <c r="D93" s="16" t="s">
        <v>372</v>
      </c>
      <c r="E93" s="17" t="s">
        <v>373</v>
      </c>
      <c r="F93" s="18" t="str">
        <f>IFERROR(__xludf.DUMMYFUNCTION("""COMPUTED_VALUE"""),"MetaAds")</f>
        <v>MetaAds</v>
      </c>
      <c r="G93" s="18" t="str">
        <f>IFERROR(__xludf.DUMMYFUNCTION("""COMPUTED_VALUE"""),"ADV - [IG] [FB] [30%2B] [PIEDADE - 40KM] V%C3%81RIOS")</f>
        <v>ADV - [IG] [FB] [30%2B] [PIEDADE - 40KM] V%C3%81RIOS</v>
      </c>
      <c r="H93" s="18" t="str">
        <f>IFERROR(__xludf.DUMMYFUNCTION("""COMPUTED_VALUE"""),"Facebook_Mobile_Reels")</f>
        <v>Facebook_Mobile_Reels</v>
      </c>
      <c r="I93" s="18" t="str">
        <f>IFERROR(__xludf.DUMMYFUNCTION("""COMPUTED_VALUE"""),"07.04 [IMG] [AD01] A safra come%C3%A7ou")</f>
        <v>07.04 [IMG] [AD01] A safra come%C3%A7ou</v>
      </c>
      <c r="J93" s="18" t="str">
        <f>IFERROR(__xludf.DUMMYFUNCTION("""COMPUTED_VALUE"""),"07.04.2026 [V4] [WB] [LEADS-GRUPO-WHATS] 01")</f>
        <v>07.04.2026 [V4] [WB] [LEADS-GRUPO-WHATS] 01</v>
      </c>
      <c r="K93" s="19" t="str">
        <f t="shared" si="1"/>
        <v>2026-04-16</v>
      </c>
      <c r="L93" s="20">
        <f t="shared" si="2"/>
        <v>46128</v>
      </c>
      <c r="M93" s="19" t="str">
        <f t="shared" si="3"/>
        <v>97021140</v>
      </c>
      <c r="N93" s="19" t="str">
        <f>IFERROR(IF(VLOOKUP(M93,'Leads no grupo Saibai'!C:C,1,FALSE)=M93,"Sim"),"Não")</f>
        <v>Sim</v>
      </c>
      <c r="O93" s="19"/>
    </row>
    <row r="94">
      <c r="A94" s="14" t="s">
        <v>374</v>
      </c>
      <c r="B94" s="15" t="s">
        <v>89</v>
      </c>
      <c r="C94" s="16">
        <v>5.5119849772E10</v>
      </c>
      <c r="D94" s="16" t="s">
        <v>90</v>
      </c>
      <c r="E94" s="17" t="s">
        <v>375</v>
      </c>
      <c r="F94" s="18" t="str">
        <f>IFERROR(__xludf.DUMMYFUNCTION("""COMPUTED_VALUE"""),"MetaAds")</f>
        <v>MetaAds</v>
      </c>
      <c r="G94" s="18" t="str">
        <f>IFERROR(__xludf.DUMMYFUNCTION("""COMPUTED_VALUE"""),"ADV - [IG] [FB] [30%2B] [PIEDADE - 40KM] V%C3%81RIOS")</f>
        <v>ADV - [IG] [FB] [30%2B] [PIEDADE - 40KM] V%C3%81RIOS</v>
      </c>
      <c r="H94" s="18" t="str">
        <f>IFERROR(__xludf.DUMMYFUNCTION("""COMPUTED_VALUE"""),"Facebook_Mobile_Reels")</f>
        <v>Facebook_Mobile_Reels</v>
      </c>
      <c r="I94" s="18" t="str">
        <f>IFERROR(__xludf.DUMMYFUNCTION("""COMPUTED_VALUE"""),"07.04 [IMG] [AD04] Pedidos abertos")</f>
        <v>07.04 [IMG] [AD04] Pedidos abertos</v>
      </c>
      <c r="J94" s="18" t="str">
        <f>IFERROR(__xludf.DUMMYFUNCTION("""COMPUTED_VALUE"""),"07.04.2026 [V4] [WB] [LEADS-GRUPO-WHATS] 01")</f>
        <v>07.04.2026 [V4] [WB] [LEADS-GRUPO-WHATS] 01</v>
      </c>
      <c r="K94" s="19" t="str">
        <f t="shared" si="1"/>
        <v>2026-04-16</v>
      </c>
      <c r="L94" s="20">
        <f t="shared" si="2"/>
        <v>46128</v>
      </c>
      <c r="M94" s="19" t="str">
        <f t="shared" si="3"/>
        <v>19849772</v>
      </c>
      <c r="N94" s="19" t="str">
        <f>IFERROR(IF(VLOOKUP(M94,'Leads no grupo Saibai'!C:C,1,FALSE)=M94,"Sim"),"Não")</f>
        <v>Não</v>
      </c>
      <c r="O94" s="19"/>
    </row>
    <row r="95">
      <c r="A95" s="14" t="s">
        <v>376</v>
      </c>
      <c r="B95" s="15" t="s">
        <v>377</v>
      </c>
      <c r="C95" s="16">
        <v>5.51599182E10</v>
      </c>
      <c r="D95" s="16" t="s">
        <v>378</v>
      </c>
      <c r="E95" s="17" t="s">
        <v>379</v>
      </c>
      <c r="F95" s="18" t="str">
        <f>IFERROR(__xludf.DUMMYFUNCTION("""COMPUTED_VALUE"""),"MetaAds")</f>
        <v>MetaAds</v>
      </c>
      <c r="G95" s="18" t="str">
        <f>IFERROR(__xludf.DUMMYFUNCTION("""COMPUTED_VALUE"""),"ADV - [IG] [FB] [30%2B] [PIEDADE - 40KM] V%C3%81RIOS")</f>
        <v>ADV - [IG] [FB] [30%2B] [PIEDADE - 40KM] V%C3%81RIOS</v>
      </c>
      <c r="H95" s="18" t="str">
        <f>IFERROR(__xludf.DUMMYFUNCTION("""COMPUTED_VALUE"""),"Facebook_Mobile_Reels")</f>
        <v>Facebook_Mobile_Reels</v>
      </c>
      <c r="I95" s="18" t="str">
        <f>IFERROR(__xludf.DUMMYFUNCTION("""COMPUTED_VALUE"""),"07.04 [IMG] [AD04] Pedidos abertos")</f>
        <v>07.04 [IMG] [AD04] Pedidos abertos</v>
      </c>
      <c r="J95" s="18" t="str">
        <f>IFERROR(__xludf.DUMMYFUNCTION("""COMPUTED_VALUE"""),"07.04.2026 [V4] [WB] [LEADS-GRUPO-WHATS] 01")</f>
        <v>07.04.2026 [V4] [WB] [LEADS-GRUPO-WHATS] 01</v>
      </c>
      <c r="K95" s="19" t="str">
        <f t="shared" si="1"/>
        <v>2026-04-16</v>
      </c>
      <c r="L95" s="20">
        <f t="shared" si="2"/>
        <v>46128</v>
      </c>
      <c r="M95" s="19" t="str">
        <f t="shared" si="3"/>
        <v>59918200</v>
      </c>
      <c r="N95" s="19" t="str">
        <f>IFERROR(IF(VLOOKUP(M95,'Leads no grupo Saibai'!C:C,1,FALSE)=M95,"Sim"),"Não")</f>
        <v>Não</v>
      </c>
      <c r="O95" s="19"/>
    </row>
    <row r="96">
      <c r="A96" s="14" t="s">
        <v>380</v>
      </c>
      <c r="B96" s="15" t="s">
        <v>381</v>
      </c>
      <c r="C96" s="16">
        <v>5.5159970385E10</v>
      </c>
      <c r="D96" s="16" t="s">
        <v>382</v>
      </c>
      <c r="E96" s="17" t="s">
        <v>383</v>
      </c>
      <c r="F96" s="18" t="str">
        <f>IFERROR(__xludf.DUMMYFUNCTION("""COMPUTED_VALUE"""),"MetaAds")</f>
        <v>MetaAds</v>
      </c>
      <c r="G96" s="18" t="str">
        <f>IFERROR(__xludf.DUMMYFUNCTION("""COMPUTED_VALUE"""),"ADV - [IG] [FB] [30%2B] [PIEDADE - 40KM] V%C3%81RIOS")</f>
        <v>ADV - [IG] [FB] [30%2B] [PIEDADE - 40KM] V%C3%81RIOS</v>
      </c>
      <c r="H96" s="18" t="str">
        <f>IFERROR(__xludf.DUMMYFUNCTION("""COMPUTED_VALUE"""),"Facebook_Mobile_Reels")</f>
        <v>Facebook_Mobile_Reels</v>
      </c>
      <c r="I96" s="18" t="str">
        <f>IFERROR(__xludf.DUMMYFUNCTION("""COMPUTED_VALUE"""),"07.04 [IMG] [AD04] Pedidos abertos")</f>
        <v>07.04 [IMG] [AD04] Pedidos abertos</v>
      </c>
      <c r="J96" s="18" t="str">
        <f>IFERROR(__xludf.DUMMYFUNCTION("""COMPUTED_VALUE"""),"07.04.2026 [V4] [WB] [LEADS-GRUPO-WHATS] 01")</f>
        <v>07.04.2026 [V4] [WB] [LEADS-GRUPO-WHATS] 01</v>
      </c>
      <c r="K96" s="19" t="str">
        <f t="shared" si="1"/>
        <v>2026-04-16</v>
      </c>
      <c r="L96" s="20">
        <f t="shared" si="2"/>
        <v>46128</v>
      </c>
      <c r="M96" s="19" t="str">
        <f t="shared" si="3"/>
        <v>59970385</v>
      </c>
      <c r="N96" s="19" t="str">
        <f>IFERROR(IF(VLOOKUP(M96,'Leads no grupo Saibai'!C:C,1,FALSE)=M96,"Sim"),"Não")</f>
        <v>Não</v>
      </c>
      <c r="O96" s="19"/>
    </row>
    <row r="97">
      <c r="A97" s="14" t="s">
        <v>384</v>
      </c>
      <c r="B97" s="15" t="s">
        <v>385</v>
      </c>
      <c r="C97" s="16">
        <v>5.5119765303E10</v>
      </c>
      <c r="D97" s="16" t="s">
        <v>386</v>
      </c>
      <c r="E97" s="17" t="s">
        <v>387</v>
      </c>
      <c r="F97" s="18" t="str">
        <f>IFERROR(__xludf.DUMMYFUNCTION("""COMPUTED_VALUE"""),"MetaAds")</f>
        <v>MetaAds</v>
      </c>
      <c r="G97" s="18" t="str">
        <f>IFERROR(__xludf.DUMMYFUNCTION("""COMPUTED_VALUE"""),"ADV - [IG] [FB] [30%2B] [PIEDADE - 40KM] V%C3%81RIOS")</f>
        <v>ADV - [IG] [FB] [30%2B] [PIEDADE - 40KM] V%C3%81RIOS</v>
      </c>
      <c r="H97" s="18" t="str">
        <f>IFERROR(__xludf.DUMMYFUNCTION("""COMPUTED_VALUE"""),"Instagram_Feed")</f>
        <v>Instagram_Feed</v>
      </c>
      <c r="I97" s="18" t="str">
        <f>IFERROR(__xludf.DUMMYFUNCTION("""COMPUTED_VALUE"""),"07.04 [IMG] [AD01] A safra come%C3%A7ou")</f>
        <v>07.04 [IMG] [AD01] A safra come%C3%A7ou</v>
      </c>
      <c r="J97" s="18" t="str">
        <f>IFERROR(__xludf.DUMMYFUNCTION("""COMPUTED_VALUE"""),"07.04.2026 [V4] [WB] [LEADS-GRUPO-WHATS] 01")</f>
        <v>07.04.2026 [V4] [WB] [LEADS-GRUPO-WHATS] 01</v>
      </c>
      <c r="K97" s="19" t="str">
        <f t="shared" si="1"/>
        <v>2026-04-16</v>
      </c>
      <c r="L97" s="20">
        <f t="shared" si="2"/>
        <v>46128</v>
      </c>
      <c r="M97" s="19" t="str">
        <f t="shared" si="3"/>
        <v>19765303</v>
      </c>
      <c r="N97" s="19" t="str">
        <f>IFERROR(IF(VLOOKUP(M97,'Leads no grupo Saibai'!C:C,1,FALSE)=M97,"Sim"),"Não")</f>
        <v>Não</v>
      </c>
      <c r="O97" s="19"/>
    </row>
    <row r="98">
      <c r="A98" s="14" t="s">
        <v>388</v>
      </c>
      <c r="B98" s="15" t="s">
        <v>389</v>
      </c>
      <c r="C98" s="16">
        <v>1.5996739689E10</v>
      </c>
      <c r="D98" s="16" t="s">
        <v>390</v>
      </c>
      <c r="E98" s="17" t="s">
        <v>391</v>
      </c>
      <c r="F98" s="18" t="str">
        <f>IFERROR(__xludf.DUMMYFUNCTION("""COMPUTED_VALUE"""),"MetaAds")</f>
        <v>MetaAds</v>
      </c>
      <c r="G98" s="18" t="str">
        <f>IFERROR(__xludf.DUMMYFUNCTION("""COMPUTED_VALUE"""),"ADV - [IG] [FB] [30%2B] [PIEDADE - 40KM] V%C3%81RIOS")</f>
        <v>ADV - [IG] [FB] [30%2B] [PIEDADE - 40KM] V%C3%81RIOS</v>
      </c>
      <c r="H98" s="18" t="str">
        <f>IFERROR(__xludf.DUMMYFUNCTION("""COMPUTED_VALUE"""),"Instagram_Stories")</f>
        <v>Instagram_Stories</v>
      </c>
      <c r="I98" s="18" t="str">
        <f>IFERROR(__xludf.DUMMYFUNCTION("""COMPUTED_VALUE"""),"07.04 [IMG] [AD04] Pedidos abertos")</f>
        <v>07.04 [IMG] [AD04] Pedidos abertos</v>
      </c>
      <c r="J98" s="18" t="str">
        <f>IFERROR(__xludf.DUMMYFUNCTION("""COMPUTED_VALUE"""),"07.04.2026 [V4] [WB] [LEADS-GRUPO-WHATS] 01")</f>
        <v>07.04.2026 [V4] [WB] [LEADS-GRUPO-WHATS] 01</v>
      </c>
      <c r="K98" s="19" t="str">
        <f t="shared" si="1"/>
        <v>2026-04-16</v>
      </c>
      <c r="L98" s="20">
        <f t="shared" si="2"/>
        <v>46128</v>
      </c>
      <c r="M98" s="19" t="str">
        <f t="shared" si="3"/>
        <v>96739689</v>
      </c>
      <c r="N98" s="19" t="str">
        <f>IFERROR(IF(VLOOKUP(M98,'Leads no grupo Saibai'!C:C,1,FALSE)=M98,"Sim"),"Não")</f>
        <v>Sim</v>
      </c>
      <c r="O98" s="19"/>
    </row>
    <row r="99">
      <c r="A99" s="14" t="s">
        <v>392</v>
      </c>
      <c r="B99" s="15" t="s">
        <v>393</v>
      </c>
      <c r="C99" s="16">
        <v>1.5981220521E10</v>
      </c>
      <c r="D99" s="16" t="s">
        <v>394</v>
      </c>
      <c r="E99" s="17" t="s">
        <v>395</v>
      </c>
      <c r="F99" s="18" t="str">
        <f>IFERROR(__xludf.DUMMYFUNCTION("""COMPUTED_VALUE"""),"MetaAds")</f>
        <v>MetaAds</v>
      </c>
      <c r="G99" s="18" t="str">
        <f>IFERROR(__xludf.DUMMYFUNCTION("""COMPUTED_VALUE"""),"ADV - [IG] [FB] [30%2B] [PIEDADE - 40KM] V%C3%81RIOS")</f>
        <v>ADV - [IG] [FB] [30%2B] [PIEDADE - 40KM] V%C3%81RIOS</v>
      </c>
      <c r="H99" s="18" t="str">
        <f>IFERROR(__xludf.DUMMYFUNCTION("""COMPUTED_VALUE"""),"Facebook_Stories")</f>
        <v>Facebook_Stories</v>
      </c>
      <c r="I99" s="18" t="str">
        <f>IFERROR(__xludf.DUMMYFUNCTION("""COMPUTED_VALUE"""),"07.04 [IMG] [AD04] Pedidos abertos")</f>
        <v>07.04 [IMG] [AD04] Pedidos abertos</v>
      </c>
      <c r="J99" s="18" t="str">
        <f>IFERROR(__xludf.DUMMYFUNCTION("""COMPUTED_VALUE"""),"07.04.2026 [V4] [WB] [LEADS-GRUPO-WHATS] 01")</f>
        <v>07.04.2026 [V4] [WB] [LEADS-GRUPO-WHATS] 01</v>
      </c>
      <c r="K99" s="19" t="str">
        <f t="shared" si="1"/>
        <v>2026-04-16</v>
      </c>
      <c r="L99" s="20">
        <f t="shared" si="2"/>
        <v>46128</v>
      </c>
      <c r="M99" s="19" t="str">
        <f t="shared" si="3"/>
        <v>81220521</v>
      </c>
      <c r="N99" s="19" t="str">
        <f>IFERROR(IF(VLOOKUP(M99,'Leads no grupo Saibai'!C:C,1,FALSE)=M99,"Sim"),"Não")</f>
        <v>Sim</v>
      </c>
      <c r="O99" s="19"/>
    </row>
    <row r="100">
      <c r="A100" s="14" t="s">
        <v>396</v>
      </c>
      <c r="B100" s="15" t="s">
        <v>397</v>
      </c>
      <c r="C100" s="16">
        <v>1.1957713604E10</v>
      </c>
      <c r="D100" s="16" t="s">
        <v>398</v>
      </c>
      <c r="E100" s="17" t="s">
        <v>399</v>
      </c>
      <c r="F100" s="18" t="str">
        <f>IFERROR(__xludf.DUMMYFUNCTION("""COMPUTED_VALUE"""),"MetaAds")</f>
        <v>MetaAds</v>
      </c>
      <c r="G100" s="18" t="str">
        <f>IFERROR(__xludf.DUMMYFUNCTION("""COMPUTED_VALUE"""),"ADV - [IG] [FB] [30%2B] [PIEDADE - 40KM] V%C3%81RIOS")</f>
        <v>ADV - [IG] [FB] [30%2B] [PIEDADE - 40KM] V%C3%81RIOS</v>
      </c>
      <c r="H100" s="18" t="str">
        <f>IFERROR(__xludf.DUMMYFUNCTION("""COMPUTED_VALUE"""),"Facebook_Mobile_Feed")</f>
        <v>Facebook_Mobile_Feed</v>
      </c>
      <c r="I100" s="18" t="str">
        <f>IFERROR(__xludf.DUMMYFUNCTION("""COMPUTED_VALUE"""),"07.04 [IMG] [AD04] Pedidos abertos")</f>
        <v>07.04 [IMG] [AD04] Pedidos abertos</v>
      </c>
      <c r="J100" s="18" t="str">
        <f>IFERROR(__xludf.DUMMYFUNCTION("""COMPUTED_VALUE"""),"07.04.2026 [V4] [WB] [LEADS-GRUPO-WHATS] 01")</f>
        <v>07.04.2026 [V4] [WB] [LEADS-GRUPO-WHATS] 01</v>
      </c>
      <c r="K100" s="19" t="str">
        <f t="shared" si="1"/>
        <v>2026-04-16</v>
      </c>
      <c r="L100" s="20">
        <f t="shared" si="2"/>
        <v>46128</v>
      </c>
      <c r="M100" s="19" t="str">
        <f t="shared" si="3"/>
        <v>57713604</v>
      </c>
      <c r="N100" s="19" t="str">
        <f>IFERROR(IF(VLOOKUP(M100,'Leads no grupo Saibai'!C:C,1,FALSE)=M100,"Sim"),"Não")</f>
        <v>Sim</v>
      </c>
      <c r="O100" s="19"/>
    </row>
    <row r="101">
      <c r="A101" s="14" t="s">
        <v>400</v>
      </c>
      <c r="B101" s="15" t="s">
        <v>401</v>
      </c>
      <c r="C101" s="16">
        <v>1.5997319654E10</v>
      </c>
      <c r="D101" s="16" t="s">
        <v>402</v>
      </c>
      <c r="E101" s="17" t="s">
        <v>403</v>
      </c>
      <c r="F101" s="18" t="str">
        <f>IFERROR(__xludf.DUMMYFUNCTION("""COMPUTED_VALUE"""),"MetaAds")</f>
        <v>MetaAds</v>
      </c>
      <c r="G101" s="18" t="str">
        <f>IFERROR(__xludf.DUMMYFUNCTION("""COMPUTED_VALUE"""),"ADV - [IG] [FB] [30%2B] [PIEDADE - 40KM] V%C3%81RIOS")</f>
        <v>ADV - [IG] [FB] [30%2B] [PIEDADE - 40KM] V%C3%81RIOS</v>
      </c>
      <c r="H101" s="18" t="str">
        <f>IFERROR(__xludf.DUMMYFUNCTION("""COMPUTED_VALUE"""),"Instagram_Stories")</f>
        <v>Instagram_Stories</v>
      </c>
      <c r="I101" s="18" t="str">
        <f>IFERROR(__xludf.DUMMYFUNCTION("""COMPUTED_VALUE"""),"07.04 [IMG] [AD04] Pedidos abertos")</f>
        <v>07.04 [IMG] [AD04] Pedidos abertos</v>
      </c>
      <c r="J101" s="18" t="str">
        <f>IFERROR(__xludf.DUMMYFUNCTION("""COMPUTED_VALUE"""),"07.04.2026 [V4] [WB] [LEADS-GRUPO-WHATS] 01")</f>
        <v>07.04.2026 [V4] [WB] [LEADS-GRUPO-WHATS] 01</v>
      </c>
      <c r="K101" s="19" t="str">
        <f t="shared" si="1"/>
        <v>2026-04-16</v>
      </c>
      <c r="L101" s="20">
        <f t="shared" si="2"/>
        <v>46128</v>
      </c>
      <c r="M101" s="19" t="str">
        <f t="shared" si="3"/>
        <v>97319654</v>
      </c>
      <c r="N101" s="19" t="str">
        <f>IFERROR(IF(VLOOKUP(M101,'Leads no grupo Saibai'!C:C,1,FALSE)=M101,"Sim"),"Não")</f>
        <v>Não</v>
      </c>
      <c r="O101" s="19"/>
    </row>
    <row r="102">
      <c r="A102" s="14" t="s">
        <v>404</v>
      </c>
      <c r="B102" s="15" t="s">
        <v>312</v>
      </c>
      <c r="C102" s="16">
        <v>5.5159974747E10</v>
      </c>
      <c r="D102" s="16" t="s">
        <v>313</v>
      </c>
      <c r="E102" s="17" t="s">
        <v>254</v>
      </c>
      <c r="F102" s="18" t="str">
        <f>IFERROR(__xludf.DUMMYFUNCTION("""COMPUTED_VALUE"""),"MetaAds")</f>
        <v>MetaAds</v>
      </c>
      <c r="G102" s="18" t="str">
        <f>IFERROR(__xludf.DUMMYFUNCTION("""COMPUTED_VALUE"""),"ADV - [IG] [FB] [30%2B] [PIEDADE - 40KM] V%C3%81RIOS")</f>
        <v>ADV - [IG] [FB] [30%2B] [PIEDADE - 40KM] V%C3%81RIOS</v>
      </c>
      <c r="H102" s="18" t="str">
        <f>IFERROR(__xludf.DUMMYFUNCTION("""COMPUTED_VALUE"""),"Facebook_Mobile_Reels")</f>
        <v>Facebook_Mobile_Reels</v>
      </c>
      <c r="I102" s="18" t="str">
        <f>IFERROR(__xludf.DUMMYFUNCTION("""COMPUTED_VALUE"""),"07.04 [IMG] [AD04] Pedidos abertos")</f>
        <v>07.04 [IMG] [AD04] Pedidos abertos</v>
      </c>
      <c r="J102" s="18" t="str">
        <f>IFERROR(__xludf.DUMMYFUNCTION("""COMPUTED_VALUE"""),"07.04.2026 [V4] [WB] [LEADS-GRUPO-WHATS] 01")</f>
        <v>07.04.2026 [V4] [WB] [LEADS-GRUPO-WHATS] 01</v>
      </c>
      <c r="K102" s="19" t="str">
        <f t="shared" si="1"/>
        <v>2026-04-16</v>
      </c>
      <c r="L102" s="20">
        <f t="shared" si="2"/>
        <v>46128</v>
      </c>
      <c r="M102" s="19" t="str">
        <f t="shared" si="3"/>
        <v>59974747</v>
      </c>
      <c r="N102" s="19" t="str">
        <f>IFERROR(IF(VLOOKUP(M102,'Leads no grupo Saibai'!C:C,1,FALSE)=M102,"Sim"),"Não")</f>
        <v>Não</v>
      </c>
      <c r="O102" s="19"/>
    </row>
    <row r="103">
      <c r="A103" s="14" t="s">
        <v>405</v>
      </c>
      <c r="B103" s="15" t="s">
        <v>406</v>
      </c>
      <c r="C103" s="16">
        <v>1.1975471075E10</v>
      </c>
      <c r="D103" s="16" t="s">
        <v>407</v>
      </c>
      <c r="E103" s="17" t="s">
        <v>408</v>
      </c>
      <c r="F103" s="18" t="str">
        <f>IFERROR(__xludf.DUMMYFUNCTION("""COMPUTED_VALUE"""),"MetaAds")</f>
        <v>MetaAds</v>
      </c>
      <c r="G103" s="18" t="str">
        <f>IFERROR(__xludf.DUMMYFUNCTION("""COMPUTED_VALUE"""),"ADV - [IG] [FB] [30%2B] [PIEDADE - 40KM] V%C3%81RIOS")</f>
        <v>ADV - [IG] [FB] [30%2B] [PIEDADE - 40KM] V%C3%81RIOS</v>
      </c>
      <c r="H103" s="18" t="str">
        <f>IFERROR(__xludf.DUMMYFUNCTION("""COMPUTED_VALUE"""),"Facebook_Mobile_Feed")</f>
        <v>Facebook_Mobile_Feed</v>
      </c>
      <c r="I103" s="18" t="str">
        <f>IFERROR(__xludf.DUMMYFUNCTION("""COMPUTED_VALUE"""),"07.04 [IMG] [AD04] Pedidos abertos")</f>
        <v>07.04 [IMG] [AD04] Pedidos abertos</v>
      </c>
      <c r="J103" s="18" t="str">
        <f>IFERROR(__xludf.DUMMYFUNCTION("""COMPUTED_VALUE"""),"07.04.2026 [V4] [WB] [LEADS-GRUPO-WHATS] 01")</f>
        <v>07.04.2026 [V4] [WB] [LEADS-GRUPO-WHATS] 01</v>
      </c>
      <c r="K103" s="19" t="str">
        <f t="shared" si="1"/>
        <v>2026-04-16</v>
      </c>
      <c r="L103" s="20">
        <f t="shared" si="2"/>
        <v>46128</v>
      </c>
      <c r="M103" s="19" t="str">
        <f t="shared" si="3"/>
        <v>75471075</v>
      </c>
      <c r="N103" s="19" t="str">
        <f>IFERROR(IF(VLOOKUP(M103,'Leads no grupo Saibai'!C:C,1,FALSE)=M103,"Sim"),"Não")</f>
        <v>Sim</v>
      </c>
      <c r="O103" s="19"/>
    </row>
    <row r="104">
      <c r="A104" s="14" t="s">
        <v>409</v>
      </c>
      <c r="B104" s="15" t="s">
        <v>410</v>
      </c>
      <c r="C104" s="16">
        <v>1.59812423E10</v>
      </c>
      <c r="D104" s="16" t="s">
        <v>411</v>
      </c>
      <c r="E104" s="17" t="s">
        <v>412</v>
      </c>
      <c r="F104" s="18" t="str">
        <f>IFERROR(__xludf.DUMMYFUNCTION("""COMPUTED_VALUE"""),"MetaAds")</f>
        <v>MetaAds</v>
      </c>
      <c r="G104" s="18" t="str">
        <f>IFERROR(__xludf.DUMMYFUNCTION("""COMPUTED_VALUE"""),"ADV - [IG] [FB] [30%2B] [PIEDADE - 40KM] V%C3%81RIOS")</f>
        <v>ADV - [IG] [FB] [30%2B] [PIEDADE - 40KM] V%C3%81RIOS</v>
      </c>
      <c r="H104" s="18" t="str">
        <f>IFERROR(__xludf.DUMMYFUNCTION("""COMPUTED_VALUE"""),"Instagram_Stories")</f>
        <v>Instagram_Stories</v>
      </c>
      <c r="I104" s="18" t="str">
        <f>IFERROR(__xludf.DUMMYFUNCTION("""COMPUTED_VALUE"""),"07.04 [IMG] [AD04] Pedidos abertos")</f>
        <v>07.04 [IMG] [AD04] Pedidos abertos</v>
      </c>
      <c r="J104" s="18" t="str">
        <f>IFERROR(__xludf.DUMMYFUNCTION("""COMPUTED_VALUE"""),"07.04.2026 [V4] [WB] [LEADS-GRUPO-WHATS] 01")</f>
        <v>07.04.2026 [V4] [WB] [LEADS-GRUPO-WHATS] 01</v>
      </c>
      <c r="K104" s="19" t="str">
        <f t="shared" si="1"/>
        <v>2026-04-17</v>
      </c>
      <c r="L104" s="20">
        <f t="shared" si="2"/>
        <v>46129</v>
      </c>
      <c r="M104" s="19" t="str">
        <f t="shared" si="3"/>
        <v>81242300</v>
      </c>
      <c r="N104" s="19" t="str">
        <f>IFERROR(IF(VLOOKUP(M104,'Leads no grupo Saibai'!C:C,1,FALSE)=M104,"Sim"),"Não")</f>
        <v>Sim</v>
      </c>
      <c r="O104" s="19"/>
    </row>
    <row r="105">
      <c r="A105" s="14" t="s">
        <v>413</v>
      </c>
      <c r="B105" s="15" t="s">
        <v>414</v>
      </c>
      <c r="C105" s="16">
        <v>1.1945121788E10</v>
      </c>
      <c r="D105" s="16" t="s">
        <v>415</v>
      </c>
      <c r="E105" s="17" t="s">
        <v>254</v>
      </c>
      <c r="F105" s="18" t="str">
        <f>IFERROR(__xludf.DUMMYFUNCTION("""COMPUTED_VALUE"""),"MetaAds")</f>
        <v>MetaAds</v>
      </c>
      <c r="G105" s="18" t="str">
        <f>IFERROR(__xludf.DUMMYFUNCTION("""COMPUTED_VALUE"""),"ADV - [IG] [FB] [30%2B] [PIEDADE - 40KM] V%C3%81RIOS")</f>
        <v>ADV - [IG] [FB] [30%2B] [PIEDADE - 40KM] V%C3%81RIOS</v>
      </c>
      <c r="H105" s="18" t="str">
        <f>IFERROR(__xludf.DUMMYFUNCTION("""COMPUTED_VALUE"""),"Facebook_Mobile_Reels")</f>
        <v>Facebook_Mobile_Reels</v>
      </c>
      <c r="I105" s="18" t="str">
        <f>IFERROR(__xludf.DUMMYFUNCTION("""COMPUTED_VALUE"""),"07.04 [IMG] [AD04] Pedidos abertos")</f>
        <v>07.04 [IMG] [AD04] Pedidos abertos</v>
      </c>
      <c r="J105" s="18" t="str">
        <f>IFERROR(__xludf.DUMMYFUNCTION("""COMPUTED_VALUE"""),"07.04.2026 [V4] [WB] [LEADS-GRUPO-WHATS] 01")</f>
        <v>07.04.2026 [V4] [WB] [LEADS-GRUPO-WHATS] 01</v>
      </c>
      <c r="K105" s="19" t="str">
        <f t="shared" si="1"/>
        <v>2026-04-17</v>
      </c>
      <c r="L105" s="20">
        <f t="shared" si="2"/>
        <v>46129</v>
      </c>
      <c r="M105" s="19" t="str">
        <f t="shared" si="3"/>
        <v>45121788</v>
      </c>
      <c r="N105" s="19" t="str">
        <f>IFERROR(IF(VLOOKUP(M105,'Leads no grupo Saibai'!C:C,1,FALSE)=M105,"Sim"),"Não")</f>
        <v>Sim</v>
      </c>
      <c r="O105" s="19"/>
    </row>
    <row r="106">
      <c r="A106" s="14" t="s">
        <v>416</v>
      </c>
      <c r="B106" s="15" t="s">
        <v>417</v>
      </c>
      <c r="C106" s="16">
        <v>1.5996897841E10</v>
      </c>
      <c r="D106" s="16" t="s">
        <v>418</v>
      </c>
      <c r="E106" s="17" t="s">
        <v>419</v>
      </c>
      <c r="F106" s="18" t="str">
        <f>IFERROR(__xludf.DUMMYFUNCTION("""COMPUTED_VALUE"""),"MetaAds")</f>
        <v>MetaAds</v>
      </c>
      <c r="G106" s="18" t="str">
        <f>IFERROR(__xludf.DUMMYFUNCTION("""COMPUTED_VALUE"""),"ADV - [IG] [FB] [30%2B] [PIEDADE - 40KM] V%C3%81RIOS")</f>
        <v>ADV - [IG] [FB] [30%2B] [PIEDADE - 40KM] V%C3%81RIOS</v>
      </c>
      <c r="H106" s="18" t="str">
        <f>IFERROR(__xludf.DUMMYFUNCTION("""COMPUTED_VALUE"""),"Facebook_Mobile_Feed")</f>
        <v>Facebook_Mobile_Feed</v>
      </c>
      <c r="I106" s="18" t="str">
        <f>IFERROR(__xludf.DUMMYFUNCTION("""COMPUTED_VALUE"""),"07.04 [IMG] [AD04] Pedidos abertos")</f>
        <v>07.04 [IMG] [AD04] Pedidos abertos</v>
      </c>
      <c r="J106" s="18" t="str">
        <f>IFERROR(__xludf.DUMMYFUNCTION("""COMPUTED_VALUE"""),"07.04.2026 [V4] [WB] [LEADS-GRUPO-WHATS] 01")</f>
        <v>07.04.2026 [V4] [WB] [LEADS-GRUPO-WHATS] 01</v>
      </c>
      <c r="K106" s="19" t="str">
        <f t="shared" si="1"/>
        <v>2026-04-17</v>
      </c>
      <c r="L106" s="20">
        <f t="shared" si="2"/>
        <v>46129</v>
      </c>
      <c r="M106" s="19" t="str">
        <f t="shared" si="3"/>
        <v>96897841</v>
      </c>
      <c r="N106" s="19" t="str">
        <f>IFERROR(IF(VLOOKUP(M106,'Leads no grupo Saibai'!C:C,1,FALSE)=M106,"Sim"),"Não")</f>
        <v>Sim</v>
      </c>
      <c r="O106" s="19"/>
    </row>
    <row r="107">
      <c r="A107" s="14" t="s">
        <v>420</v>
      </c>
      <c r="B107" s="15" t="s">
        <v>421</v>
      </c>
      <c r="C107" s="16">
        <v>1.1989559958E10</v>
      </c>
      <c r="D107" s="16" t="s">
        <v>422</v>
      </c>
      <c r="E107" s="17" t="s">
        <v>423</v>
      </c>
      <c r="F107" s="18" t="str">
        <f>IFERROR(__xludf.DUMMYFUNCTION("""COMPUTED_VALUE"""),"MetaAds")</f>
        <v>MetaAds</v>
      </c>
      <c r="G107" s="18" t="str">
        <f>IFERROR(__xludf.DUMMYFUNCTION("""COMPUTED_VALUE"""),"ADV - [IG] [FB] [30%2B] [PIEDADE - 40KM] V%C3%81RIOS")</f>
        <v>ADV - [IG] [FB] [30%2B] [PIEDADE - 40KM] V%C3%81RIOS</v>
      </c>
      <c r="H107" s="18" t="str">
        <f>IFERROR(__xludf.DUMMYFUNCTION("""COMPUTED_VALUE"""),"Instagram_Stories")</f>
        <v>Instagram_Stories</v>
      </c>
      <c r="I107" s="18" t="str">
        <f>IFERROR(__xludf.DUMMYFUNCTION("""COMPUTED_VALUE"""),"07.04 [IMG] [AD04] Pedidos abertos")</f>
        <v>07.04 [IMG] [AD04] Pedidos abertos</v>
      </c>
      <c r="J107" s="18" t="str">
        <f>IFERROR(__xludf.DUMMYFUNCTION("""COMPUTED_VALUE"""),"07.04.2026 [V4] [WB] [LEADS-GRUPO-WHATS] 01")</f>
        <v>07.04.2026 [V4] [WB] [LEADS-GRUPO-WHATS] 01</v>
      </c>
      <c r="K107" s="19" t="str">
        <f t="shared" si="1"/>
        <v>2026-04-17</v>
      </c>
      <c r="L107" s="20">
        <f t="shared" si="2"/>
        <v>46129</v>
      </c>
      <c r="M107" s="19" t="str">
        <f t="shared" si="3"/>
        <v>89559958</v>
      </c>
      <c r="N107" s="19" t="str">
        <f>IFERROR(IF(VLOOKUP(M107,'Leads no grupo Saibai'!C:C,1,FALSE)=M107,"Sim"),"Não")</f>
        <v>Sim</v>
      </c>
      <c r="O107" s="19"/>
    </row>
    <row r="108">
      <c r="A108" s="14" t="s">
        <v>424</v>
      </c>
      <c r="B108" s="15" t="s">
        <v>425</v>
      </c>
      <c r="C108" s="16">
        <v>1.6974020947E10</v>
      </c>
      <c r="D108" s="16" t="s">
        <v>426</v>
      </c>
      <c r="E108" s="17" t="s">
        <v>427</v>
      </c>
      <c r="F108" s="18" t="str">
        <f>IFERROR(__xludf.DUMMYFUNCTION("""COMPUTED_VALUE"""),"MetaAds")</f>
        <v>MetaAds</v>
      </c>
      <c r="G108" s="18" t="str">
        <f>IFERROR(__xludf.DUMMYFUNCTION("""COMPUTED_VALUE"""),"ADV - [IG] [FB] [30%2B] [PIEDADE - 40KM] V%C3%81RIOS")</f>
        <v>ADV - [IG] [FB] [30%2B] [PIEDADE - 40KM] V%C3%81RIOS</v>
      </c>
      <c r="H108" s="18" t="str">
        <f>IFERROR(__xludf.DUMMYFUNCTION("""COMPUTED_VALUE"""),"Instagram_Feed")</f>
        <v>Instagram_Feed</v>
      </c>
      <c r="I108" s="18" t="str">
        <f>IFERROR(__xludf.DUMMYFUNCTION("""COMPUTED_VALUE"""),"07.04 [IMG] [AD04] Pedidos abertos")</f>
        <v>07.04 [IMG] [AD04] Pedidos abertos</v>
      </c>
      <c r="J108" s="18" t="str">
        <f>IFERROR(__xludf.DUMMYFUNCTION("""COMPUTED_VALUE"""),"07.04.2026 [V4] [WB] [LEADS-GRUPO-WHATS] 01")</f>
        <v>07.04.2026 [V4] [WB] [LEADS-GRUPO-WHATS] 01</v>
      </c>
      <c r="K108" s="19" t="str">
        <f t="shared" si="1"/>
        <v>2026-04-17</v>
      </c>
      <c r="L108" s="20">
        <f t="shared" si="2"/>
        <v>46129</v>
      </c>
      <c r="M108" s="19" t="str">
        <f t="shared" si="3"/>
        <v>74020947</v>
      </c>
      <c r="N108" s="19" t="str">
        <f>IFERROR(IF(VLOOKUP(M108,'Leads no grupo Saibai'!C:C,1,FALSE)=M108,"Sim"),"Não")</f>
        <v>Não</v>
      </c>
      <c r="O108" s="19"/>
    </row>
    <row r="109">
      <c r="A109" s="14" t="s">
        <v>428</v>
      </c>
      <c r="B109" s="15" t="s">
        <v>429</v>
      </c>
      <c r="C109" s="16">
        <v>1.6999934108E10</v>
      </c>
      <c r="D109" s="16" t="s">
        <v>186</v>
      </c>
      <c r="E109" s="17" t="s">
        <v>430</v>
      </c>
      <c r="F109" s="18" t="str">
        <f>IFERROR(__xludf.DUMMYFUNCTION("""COMPUTED_VALUE"""),"MetaAds")</f>
        <v>MetaAds</v>
      </c>
      <c r="G109" s="18" t="str">
        <f>IFERROR(__xludf.DUMMYFUNCTION("""COMPUTED_VALUE"""),"ADV - [IG] [FB] [30%2B] [PIEDADE - 40KM] V%C3%81RIOS")</f>
        <v>ADV - [IG] [FB] [30%2B] [PIEDADE - 40KM] V%C3%81RIOS</v>
      </c>
      <c r="H109" s="18" t="str">
        <f>IFERROR(__xludf.DUMMYFUNCTION("""COMPUTED_VALUE"""),"Instagram_Feed")</f>
        <v>Instagram_Feed</v>
      </c>
      <c r="I109" s="18" t="str">
        <f>IFERROR(__xludf.DUMMYFUNCTION("""COMPUTED_VALUE"""),"07.04 [IMG] [AD04] Pedidos abertos")</f>
        <v>07.04 [IMG] [AD04] Pedidos abertos</v>
      </c>
      <c r="J109" s="18" t="str">
        <f>IFERROR(__xludf.DUMMYFUNCTION("""COMPUTED_VALUE"""),"07.04.2026 [V4] [WB] [LEADS-GRUPO-WHATS] 01")</f>
        <v>07.04.2026 [V4] [WB] [LEADS-GRUPO-WHATS] 01</v>
      </c>
      <c r="K109" s="19" t="str">
        <f t="shared" si="1"/>
        <v>2026-04-17</v>
      </c>
      <c r="L109" s="20">
        <f t="shared" si="2"/>
        <v>46129</v>
      </c>
      <c r="M109" s="19" t="str">
        <f t="shared" si="3"/>
        <v>99934108</v>
      </c>
      <c r="N109" s="19" t="str">
        <f>IFERROR(IF(VLOOKUP(M109,'Leads no grupo Saibai'!C:C,1,FALSE)=M109,"Sim"),"Não")</f>
        <v>Sim</v>
      </c>
      <c r="O109" s="19"/>
    </row>
    <row r="110">
      <c r="A110" s="14" t="s">
        <v>431</v>
      </c>
      <c r="B110" s="15" t="s">
        <v>432</v>
      </c>
      <c r="C110" s="16">
        <v>1.5991002998E10</v>
      </c>
      <c r="D110" s="16" t="s">
        <v>433</v>
      </c>
      <c r="E110" s="17" t="s">
        <v>434</v>
      </c>
      <c r="F110" s="18" t="str">
        <f>IFERROR(__xludf.DUMMYFUNCTION("""COMPUTED_VALUE"""),"MetaAds")</f>
        <v>MetaAds</v>
      </c>
      <c r="G110" s="18" t="str">
        <f>IFERROR(__xludf.DUMMYFUNCTION("""COMPUTED_VALUE"""),"ADV - [IG] [FB] [30%2B] [PIEDADE - 40KM] V%C3%81RIOS")</f>
        <v>ADV - [IG] [FB] [30%2B] [PIEDADE - 40KM] V%C3%81RIOS</v>
      </c>
      <c r="H110" s="18" t="str">
        <f>IFERROR(__xludf.DUMMYFUNCTION("""COMPUTED_VALUE"""),"Instagram_Stories")</f>
        <v>Instagram_Stories</v>
      </c>
      <c r="I110" s="18" t="str">
        <f>IFERROR(__xludf.DUMMYFUNCTION("""COMPUTED_VALUE"""),"07.04 [IMG] [AD04] Pedidos abertos")</f>
        <v>07.04 [IMG] [AD04] Pedidos abertos</v>
      </c>
      <c r="J110" s="18" t="str">
        <f>IFERROR(__xludf.DUMMYFUNCTION("""COMPUTED_VALUE"""),"07.04.2026 [V4] [WB] [LEADS-GRUPO-WHATS] 01")</f>
        <v>07.04.2026 [V4] [WB] [LEADS-GRUPO-WHATS] 01</v>
      </c>
      <c r="K110" s="19" t="str">
        <f t="shared" si="1"/>
        <v>2026-04-17</v>
      </c>
      <c r="L110" s="20">
        <f t="shared" si="2"/>
        <v>46129</v>
      </c>
      <c r="M110" s="19" t="str">
        <f t="shared" si="3"/>
        <v>91002998</v>
      </c>
      <c r="N110" s="19" t="str">
        <f>IFERROR(IF(VLOOKUP(M110,'Leads no grupo Saibai'!C:C,1,FALSE)=M110,"Sim"),"Não")</f>
        <v>Sim</v>
      </c>
      <c r="O110" s="19"/>
    </row>
    <row r="111">
      <c r="A111" s="14" t="s">
        <v>435</v>
      </c>
      <c r="B111" s="15" t="s">
        <v>436</v>
      </c>
      <c r="C111" s="16">
        <v>1.1999006362E10</v>
      </c>
      <c r="D111" s="16" t="s">
        <v>437</v>
      </c>
      <c r="E111" s="17" t="s">
        <v>438</v>
      </c>
      <c r="F111" s="18" t="str">
        <f>IFERROR(__xludf.DUMMYFUNCTION("""COMPUTED_VALUE"""),"MetaAds")</f>
        <v>MetaAds</v>
      </c>
      <c r="G111" s="18" t="str">
        <f>IFERROR(__xludf.DUMMYFUNCTION("""COMPUTED_VALUE"""),"ADV - [IG] [FB] [30%2B] [PIEDADE - 40KM] V%C3%81RIOS")</f>
        <v>ADV - [IG] [FB] [30%2B] [PIEDADE - 40KM] V%C3%81RIOS</v>
      </c>
      <c r="H111" s="18" t="str">
        <f>IFERROR(__xludf.DUMMYFUNCTION("""COMPUTED_VALUE"""),"Facebook_Mobile_Feed")</f>
        <v>Facebook_Mobile_Feed</v>
      </c>
      <c r="I111" s="18" t="str">
        <f>IFERROR(__xludf.DUMMYFUNCTION("""COMPUTED_VALUE"""),"07.04 [IMG] [AD04] Pedidos abertos")</f>
        <v>07.04 [IMG] [AD04] Pedidos abertos</v>
      </c>
      <c r="J111" s="18" t="str">
        <f>IFERROR(__xludf.DUMMYFUNCTION("""COMPUTED_VALUE"""),"07.04.2026 [V4] [WB] [LEADS-GRUPO-WHATS] 01")</f>
        <v>07.04.2026 [V4] [WB] [LEADS-GRUPO-WHATS] 01</v>
      </c>
      <c r="K111" s="19" t="str">
        <f t="shared" si="1"/>
        <v>2026-04-17</v>
      </c>
      <c r="L111" s="20">
        <f t="shared" si="2"/>
        <v>46129</v>
      </c>
      <c r="M111" s="19" t="str">
        <f t="shared" si="3"/>
        <v>99006362</v>
      </c>
      <c r="N111" s="19" t="str">
        <f>IFERROR(IF(VLOOKUP(M111,'Leads no grupo Saibai'!C:C,1,FALSE)=M111,"Sim"),"Não")</f>
        <v>Sim</v>
      </c>
      <c r="O111" s="19"/>
    </row>
    <row r="112">
      <c r="A112" s="14" t="s">
        <v>439</v>
      </c>
      <c r="B112" s="15" t="s">
        <v>440</v>
      </c>
      <c r="C112" s="16">
        <v>1.5997492311E10</v>
      </c>
      <c r="D112" s="16" t="s">
        <v>441</v>
      </c>
      <c r="E112" s="17" t="s">
        <v>442</v>
      </c>
      <c r="F112" s="18" t="str">
        <f>IFERROR(__xludf.DUMMYFUNCTION("""COMPUTED_VALUE"""),"MetaAds")</f>
        <v>MetaAds</v>
      </c>
      <c r="G112" s="18" t="str">
        <f>IFERROR(__xludf.DUMMYFUNCTION("""COMPUTED_VALUE"""),"ADV - [IG] [FB] [30%2B] [PIEDADE - 40KM] V%C3%81RIOS")</f>
        <v>ADV - [IG] [FB] [30%2B] [PIEDADE - 40KM] V%C3%81RIOS</v>
      </c>
      <c r="H112" s="18" t="str">
        <f>IFERROR(__xludf.DUMMYFUNCTION("""COMPUTED_VALUE"""),"Facebook_Mobile_Feed")</f>
        <v>Facebook_Mobile_Feed</v>
      </c>
      <c r="I112" s="18" t="str">
        <f>IFERROR(__xludf.DUMMYFUNCTION("""COMPUTED_VALUE"""),"07.04 [IMG] [AD04] Pedidos abertos")</f>
        <v>07.04 [IMG] [AD04] Pedidos abertos</v>
      </c>
      <c r="J112" s="18" t="str">
        <f>IFERROR(__xludf.DUMMYFUNCTION("""COMPUTED_VALUE"""),"07.04.2026 [V4] [WB] [LEADS-GRUPO-WHATS] 01")</f>
        <v>07.04.2026 [V4] [WB] [LEADS-GRUPO-WHATS] 01</v>
      </c>
      <c r="K112" s="19" t="str">
        <f t="shared" si="1"/>
        <v>2026-04-17</v>
      </c>
      <c r="L112" s="20">
        <f t="shared" si="2"/>
        <v>46129</v>
      </c>
      <c r="M112" s="19" t="str">
        <f t="shared" si="3"/>
        <v>97492311</v>
      </c>
      <c r="N112" s="19" t="str">
        <f>IFERROR(IF(VLOOKUP(M112,'Leads no grupo Saibai'!C:C,1,FALSE)=M112,"Sim"),"Não")</f>
        <v>Não</v>
      </c>
      <c r="O112" s="19"/>
    </row>
    <row r="113">
      <c r="A113" s="14" t="s">
        <v>443</v>
      </c>
      <c r="B113" s="15" t="s">
        <v>444</v>
      </c>
      <c r="C113" s="16">
        <v>1.5996717077E10</v>
      </c>
      <c r="D113" s="16" t="s">
        <v>445</v>
      </c>
      <c r="E113" s="17" t="s">
        <v>446</v>
      </c>
      <c r="F113" s="18" t="str">
        <f>IFERROR(__xludf.DUMMYFUNCTION("""COMPUTED_VALUE"""),"MetaAds")</f>
        <v>MetaAds</v>
      </c>
      <c r="G113" s="18" t="str">
        <f>IFERROR(__xludf.DUMMYFUNCTION("""COMPUTED_VALUE"""),"ADV - [IG] [FB] [30%2B] [PIEDADE - 40KM] V%C3%81RIOS")</f>
        <v>ADV - [IG] [FB] [30%2B] [PIEDADE - 40KM] V%C3%81RIOS</v>
      </c>
      <c r="H113" s="18" t="str">
        <f>IFERROR(__xludf.DUMMYFUNCTION("""COMPUTED_VALUE"""),"Instagram_Feed")</f>
        <v>Instagram_Feed</v>
      </c>
      <c r="I113" s="18" t="str">
        <f>IFERROR(__xludf.DUMMYFUNCTION("""COMPUTED_VALUE"""),"07.04 [IMG] [AD04] Pedidos abertos")</f>
        <v>07.04 [IMG] [AD04] Pedidos abertos</v>
      </c>
      <c r="J113" s="18" t="str">
        <f>IFERROR(__xludf.DUMMYFUNCTION("""COMPUTED_VALUE"""),"07.04.2026 [V4] [WB] [LEADS-GRUPO-WHATS] 01")</f>
        <v>07.04.2026 [V4] [WB] [LEADS-GRUPO-WHATS] 01</v>
      </c>
      <c r="K113" s="19" t="str">
        <f t="shared" si="1"/>
        <v>2026-04-17</v>
      </c>
      <c r="L113" s="20">
        <f t="shared" si="2"/>
        <v>46129</v>
      </c>
      <c r="M113" s="19" t="str">
        <f t="shared" si="3"/>
        <v>96717077</v>
      </c>
      <c r="N113" s="19" t="str">
        <f>IFERROR(IF(VLOOKUP(M113,'Leads no grupo Saibai'!C:C,1,FALSE)=M113,"Sim"),"Não")</f>
        <v>Sim</v>
      </c>
      <c r="O113" s="19"/>
    </row>
    <row r="114">
      <c r="A114" s="14" t="s">
        <v>447</v>
      </c>
      <c r="B114" s="15" t="s">
        <v>448</v>
      </c>
      <c r="C114" s="16">
        <v>1.1981744604E10</v>
      </c>
      <c r="D114" s="16" t="s">
        <v>449</v>
      </c>
      <c r="E114" s="17" t="s">
        <v>450</v>
      </c>
      <c r="F114" s="18" t="str">
        <f>IFERROR(__xludf.DUMMYFUNCTION("""COMPUTED_VALUE"""),"MetaAds")</f>
        <v>MetaAds</v>
      </c>
      <c r="G114" s="18" t="str">
        <f>IFERROR(__xludf.DUMMYFUNCTION("""COMPUTED_VALUE"""),"ADV - [IG] [FB] [30%2B] [PIEDADE - 40KM] V%C3%81RIOS")</f>
        <v>ADV - [IG] [FB] [30%2B] [PIEDADE - 40KM] V%C3%81RIOS</v>
      </c>
      <c r="H114" s="18" t="str">
        <f>IFERROR(__xludf.DUMMYFUNCTION("""COMPUTED_VALUE"""),"Instagram_Stories")</f>
        <v>Instagram_Stories</v>
      </c>
      <c r="I114" s="18" t="str">
        <f>IFERROR(__xludf.DUMMYFUNCTION("""COMPUTED_VALUE"""),"07.04 [IMG] [AD04] Pedidos abertos")</f>
        <v>07.04 [IMG] [AD04] Pedidos abertos</v>
      </c>
      <c r="J114" s="18" t="str">
        <f>IFERROR(__xludf.DUMMYFUNCTION("""COMPUTED_VALUE"""),"07.04.2026 [V4] [WB] [LEADS-GRUPO-WHATS] 01")</f>
        <v>07.04.2026 [V4] [WB] [LEADS-GRUPO-WHATS] 01</v>
      </c>
      <c r="K114" s="19" t="str">
        <f t="shared" si="1"/>
        <v>2026-04-17</v>
      </c>
      <c r="L114" s="20">
        <f t="shared" si="2"/>
        <v>46129</v>
      </c>
      <c r="M114" s="19" t="str">
        <f t="shared" si="3"/>
        <v>81744604</v>
      </c>
      <c r="N114" s="19" t="str">
        <f>IFERROR(IF(VLOOKUP(M114,'Leads no grupo Saibai'!C:C,1,FALSE)=M114,"Sim"),"Não")</f>
        <v>Sim</v>
      </c>
      <c r="O114" s="19"/>
    </row>
    <row r="115">
      <c r="A115" s="14" t="s">
        <v>451</v>
      </c>
      <c r="B115" s="15" t="s">
        <v>452</v>
      </c>
      <c r="C115" s="16">
        <v>1.9991366577E10</v>
      </c>
      <c r="D115" s="16" t="s">
        <v>453</v>
      </c>
      <c r="E115" s="17" t="s">
        <v>454</v>
      </c>
      <c r="F115" s="18" t="str">
        <f>IFERROR(__xludf.DUMMYFUNCTION("""COMPUTED_VALUE"""),"MetaAds")</f>
        <v>MetaAds</v>
      </c>
      <c r="G115" s="18" t="str">
        <f>IFERROR(__xludf.DUMMYFUNCTION("""COMPUTED_VALUE"""),"ADV - [IG] [FB] [30%2B] [PIEDADE - 40KM] V%C3%81RIOS")</f>
        <v>ADV - [IG] [FB] [30%2B] [PIEDADE - 40KM] V%C3%81RIOS</v>
      </c>
      <c r="H115" s="18" t="str">
        <f>IFERROR(__xludf.DUMMYFUNCTION("""COMPUTED_VALUE"""),"Instagram_Feed")</f>
        <v>Instagram_Feed</v>
      </c>
      <c r="I115" s="18" t="str">
        <f>IFERROR(__xludf.DUMMYFUNCTION("""COMPUTED_VALUE"""),"07.04 [IMG] [AD04] Pedidos abertos")</f>
        <v>07.04 [IMG] [AD04] Pedidos abertos</v>
      </c>
      <c r="J115" s="18" t="str">
        <f>IFERROR(__xludf.DUMMYFUNCTION("""COMPUTED_VALUE"""),"07.04.2026 [V4] [WB] [LEADS-GRUPO-WHATS] 01")</f>
        <v>07.04.2026 [V4] [WB] [LEADS-GRUPO-WHATS] 01</v>
      </c>
      <c r="K115" s="19" t="str">
        <f t="shared" si="1"/>
        <v>2026-04-17</v>
      </c>
      <c r="L115" s="20">
        <f t="shared" si="2"/>
        <v>46129</v>
      </c>
      <c r="M115" s="19" t="str">
        <f t="shared" si="3"/>
        <v>91366577</v>
      </c>
      <c r="N115" s="19" t="str">
        <f>IFERROR(IF(VLOOKUP(M115,'Leads no grupo Saibai'!C:C,1,FALSE)=M115,"Sim"),"Não")</f>
        <v>Sim</v>
      </c>
      <c r="O115" s="19"/>
    </row>
    <row r="116">
      <c r="A116" s="14" t="s">
        <v>455</v>
      </c>
      <c r="B116" s="15" t="s">
        <v>456</v>
      </c>
      <c r="C116" s="16">
        <v>1.5997198278E10</v>
      </c>
      <c r="D116" s="16" t="s">
        <v>457</v>
      </c>
      <c r="E116" s="17" t="s">
        <v>458</v>
      </c>
      <c r="F116" s="18" t="str">
        <f>IFERROR(__xludf.DUMMYFUNCTION("""COMPUTED_VALUE"""),"MetaAds")</f>
        <v>MetaAds</v>
      </c>
      <c r="G116" s="18" t="str">
        <f>IFERROR(__xludf.DUMMYFUNCTION("""COMPUTED_VALUE"""),"ADV - [IG] [FB] [30%2B] [PIEDADE - 40KM] V%C3%81RIOS")</f>
        <v>ADV - [IG] [FB] [30%2B] [PIEDADE - 40KM] V%C3%81RIOS</v>
      </c>
      <c r="H116" s="18" t="str">
        <f>IFERROR(__xludf.DUMMYFUNCTION("""COMPUTED_VALUE"""),"Instagram_Feed")</f>
        <v>Instagram_Feed</v>
      </c>
      <c r="I116" s="18" t="str">
        <f>IFERROR(__xludf.DUMMYFUNCTION("""COMPUTED_VALUE"""),"07.04 [IMG] [AD04] Pedidos abertos")</f>
        <v>07.04 [IMG] [AD04] Pedidos abertos</v>
      </c>
      <c r="J116" s="18" t="str">
        <f>IFERROR(__xludf.DUMMYFUNCTION("""COMPUTED_VALUE"""),"07.04.2026 [V4] [WB] [LEADS-GRUPO-WHATS] 01")</f>
        <v>07.04.2026 [V4] [WB] [LEADS-GRUPO-WHATS] 01</v>
      </c>
      <c r="K116" s="19" t="str">
        <f t="shared" si="1"/>
        <v>2026-04-18</v>
      </c>
      <c r="L116" s="20">
        <f t="shared" si="2"/>
        <v>46130</v>
      </c>
      <c r="M116" s="19" t="str">
        <f t="shared" si="3"/>
        <v>97198278</v>
      </c>
      <c r="N116" s="19" t="str">
        <f>IFERROR(IF(VLOOKUP(M116,'Leads no grupo Saibai'!C:C,1,FALSE)=M116,"Sim"),"Não")</f>
        <v>Sim</v>
      </c>
      <c r="O116" s="19"/>
    </row>
    <row r="117">
      <c r="A117" s="14" t="s">
        <v>459</v>
      </c>
      <c r="B117" s="15" t="s">
        <v>460</v>
      </c>
      <c r="C117" s="16">
        <v>1.5997242125E10</v>
      </c>
      <c r="D117" s="16" t="s">
        <v>461</v>
      </c>
      <c r="E117" s="17" t="s">
        <v>462</v>
      </c>
      <c r="F117" s="18" t="str">
        <f>IFERROR(__xludf.DUMMYFUNCTION("""COMPUTED_VALUE"""),"MetaAds")</f>
        <v>MetaAds</v>
      </c>
      <c r="G117" s="18" t="str">
        <f>IFERROR(__xludf.DUMMYFUNCTION("""COMPUTED_VALUE"""),"ADV - [IG] [FB] [30%2B] [PIEDADE - 40KM] V%C3%81RIOS")</f>
        <v>ADV - [IG] [FB] [30%2B] [PIEDADE - 40KM] V%C3%81RIOS</v>
      </c>
      <c r="H117" s="18" t="str">
        <f>IFERROR(__xludf.DUMMYFUNCTION("""COMPUTED_VALUE"""),"Instagram_Stories")</f>
        <v>Instagram_Stories</v>
      </c>
      <c r="I117" s="18" t="str">
        <f>IFERROR(__xludf.DUMMYFUNCTION("""COMPUTED_VALUE"""),"07.04 [IMG] [AD04] Pedidos abertos")</f>
        <v>07.04 [IMG] [AD04] Pedidos abertos</v>
      </c>
      <c r="J117" s="18" t="str">
        <f>IFERROR(__xludf.DUMMYFUNCTION("""COMPUTED_VALUE"""),"07.04.2026 [V4] [WB] [LEADS-GRUPO-WHATS] 01")</f>
        <v>07.04.2026 [V4] [WB] [LEADS-GRUPO-WHATS] 01</v>
      </c>
      <c r="K117" s="19" t="str">
        <f t="shared" si="1"/>
        <v>2026-04-18</v>
      </c>
      <c r="L117" s="20">
        <f t="shared" si="2"/>
        <v>46130</v>
      </c>
      <c r="M117" s="19" t="str">
        <f t="shared" si="3"/>
        <v>97242125</v>
      </c>
      <c r="N117" s="19" t="str">
        <f>IFERROR(IF(VLOOKUP(M117,'Leads no grupo Saibai'!C:C,1,FALSE)=M117,"Sim"),"Não")</f>
        <v>Sim</v>
      </c>
      <c r="O117" s="19"/>
    </row>
    <row r="118">
      <c r="A118" s="14" t="s">
        <v>463</v>
      </c>
      <c r="B118" s="15" t="s">
        <v>464</v>
      </c>
      <c r="C118" s="16">
        <v>1.5981320348E10</v>
      </c>
      <c r="D118" s="16" t="s">
        <v>465</v>
      </c>
      <c r="E118" s="17" t="s">
        <v>466</v>
      </c>
      <c r="F118" s="18" t="str">
        <f>IFERROR(__xludf.DUMMYFUNCTION("""COMPUTED_VALUE"""),"MetaAds")</f>
        <v>MetaAds</v>
      </c>
      <c r="G118" s="18" t="str">
        <f>IFERROR(__xludf.DUMMYFUNCTION("""COMPUTED_VALUE"""),"ADV - [IG] [FB] [30%2B] [PIEDADE - 40KM] V%C3%81RIOS")</f>
        <v>ADV - [IG] [FB] [30%2B] [PIEDADE - 40KM] V%C3%81RIOS</v>
      </c>
      <c r="H118" s="18" t="str">
        <f>IFERROR(__xludf.DUMMYFUNCTION("""COMPUTED_VALUE"""),"Instagram_Stories")</f>
        <v>Instagram_Stories</v>
      </c>
      <c r="I118" s="18" t="str">
        <f>IFERROR(__xludf.DUMMYFUNCTION("""COMPUTED_VALUE"""),"07.04 [IMG] [AD04] Pedidos abertos")</f>
        <v>07.04 [IMG] [AD04] Pedidos abertos</v>
      </c>
      <c r="J118" s="18" t="str">
        <f>IFERROR(__xludf.DUMMYFUNCTION("""COMPUTED_VALUE"""),"07.04.2026 [V4] [WB] [LEADS-GRUPO-WHATS] 01")</f>
        <v>07.04.2026 [V4] [WB] [LEADS-GRUPO-WHATS] 01</v>
      </c>
      <c r="K118" s="19" t="str">
        <f t="shared" si="1"/>
        <v>2026-04-18</v>
      </c>
      <c r="L118" s="20">
        <f t="shared" si="2"/>
        <v>46130</v>
      </c>
      <c r="M118" s="19" t="str">
        <f t="shared" si="3"/>
        <v>81320348</v>
      </c>
      <c r="N118" s="19" t="str">
        <f>IFERROR(IF(VLOOKUP(M118,'Leads no grupo Saibai'!C:C,1,FALSE)=M118,"Sim"),"Não")</f>
        <v>Sim</v>
      </c>
      <c r="O118" s="19"/>
    </row>
    <row r="119">
      <c r="A119" s="14" t="s">
        <v>467</v>
      </c>
      <c r="B119" s="15" t="s">
        <v>89</v>
      </c>
      <c r="C119" s="16">
        <v>1.1984977222E10</v>
      </c>
      <c r="D119" s="16" t="s">
        <v>90</v>
      </c>
      <c r="E119" s="17" t="s">
        <v>468</v>
      </c>
      <c r="F119" s="18" t="str">
        <f>IFERROR(__xludf.DUMMYFUNCTION("""COMPUTED_VALUE"""),"MetaAds")</f>
        <v>MetaAds</v>
      </c>
      <c r="G119" s="18" t="str">
        <f>IFERROR(__xludf.DUMMYFUNCTION("""COMPUTED_VALUE"""),"ADV - [IG] [FB] [30%2B] [PIEDADE - 40KM] V%C3%81RIOS")</f>
        <v>ADV - [IG] [FB] [30%2B] [PIEDADE - 40KM] V%C3%81RIOS</v>
      </c>
      <c r="H119" s="18" t="str">
        <f>IFERROR(__xludf.DUMMYFUNCTION("""COMPUTED_VALUE"""),"Instagram_Stories")</f>
        <v>Instagram_Stories</v>
      </c>
      <c r="I119" s="18" t="str">
        <f>IFERROR(__xludf.DUMMYFUNCTION("""COMPUTED_VALUE"""),"07.04 [IMG] [AD04] Pedidos abertos")</f>
        <v>07.04 [IMG] [AD04] Pedidos abertos</v>
      </c>
      <c r="J119" s="18" t="str">
        <f>IFERROR(__xludf.DUMMYFUNCTION("""COMPUTED_VALUE"""),"07.04.2026 [V4] [WB] [LEADS-GRUPO-WHATS] 01")</f>
        <v>07.04.2026 [V4] [WB] [LEADS-GRUPO-WHATS] 01</v>
      </c>
      <c r="K119" s="19" t="str">
        <f t="shared" si="1"/>
        <v>2026-04-18</v>
      </c>
      <c r="L119" s="20">
        <f t="shared" si="2"/>
        <v>46130</v>
      </c>
      <c r="M119" s="19" t="str">
        <f t="shared" si="3"/>
        <v>84977222</v>
      </c>
      <c r="N119" s="19" t="str">
        <f>IFERROR(IF(VLOOKUP(M119,'Leads no grupo Saibai'!C:C,1,FALSE)=M119,"Sim"),"Não")</f>
        <v>Sim</v>
      </c>
      <c r="O119" s="19"/>
    </row>
    <row r="120">
      <c r="A120" s="14" t="s">
        <v>469</v>
      </c>
      <c r="B120" s="15" t="s">
        <v>470</v>
      </c>
      <c r="C120" s="16">
        <v>1.5996373427E10</v>
      </c>
      <c r="D120" s="16" t="s">
        <v>471</v>
      </c>
      <c r="E120" s="17" t="s">
        <v>472</v>
      </c>
      <c r="F120" s="18" t="str">
        <f>IFERROR(__xludf.DUMMYFUNCTION("""COMPUTED_VALUE"""),"MetaAds")</f>
        <v>MetaAds</v>
      </c>
      <c r="G120" s="18" t="str">
        <f>IFERROR(__xludf.DUMMYFUNCTION("""COMPUTED_VALUE"""),"ADV - [IG] [FB] [30%2B] [PIEDADE - 40KM] V%C3%81RIOS")</f>
        <v>ADV - [IG] [FB] [30%2B] [PIEDADE - 40KM] V%C3%81RIOS</v>
      </c>
      <c r="H120" s="18" t="str">
        <f>IFERROR(__xludf.DUMMYFUNCTION("""COMPUTED_VALUE"""),"Facebook_Mobile_Feed")</f>
        <v>Facebook_Mobile_Feed</v>
      </c>
      <c r="I120" s="18" t="str">
        <f>IFERROR(__xludf.DUMMYFUNCTION("""COMPUTED_VALUE"""),"07.04 [IMG] [AD04] Pedidos abertos")</f>
        <v>07.04 [IMG] [AD04] Pedidos abertos</v>
      </c>
      <c r="J120" s="18" t="str">
        <f>IFERROR(__xludf.DUMMYFUNCTION("""COMPUTED_VALUE"""),"07.04.2026 [V4] [WB] [LEADS-GRUPO-WHATS] 01")</f>
        <v>07.04.2026 [V4] [WB] [LEADS-GRUPO-WHATS] 01</v>
      </c>
      <c r="K120" s="19" t="str">
        <f t="shared" si="1"/>
        <v>2026-04-18</v>
      </c>
      <c r="L120" s="20">
        <f t="shared" si="2"/>
        <v>46130</v>
      </c>
      <c r="M120" s="19" t="str">
        <f t="shared" si="3"/>
        <v>96373427</v>
      </c>
      <c r="N120" s="19" t="str">
        <f>IFERROR(IF(VLOOKUP(M120,'Leads no grupo Saibai'!C:C,1,FALSE)=M120,"Sim"),"Não")</f>
        <v>Sim</v>
      </c>
      <c r="O120" s="19"/>
    </row>
    <row r="121">
      <c r="A121" s="14" t="s">
        <v>473</v>
      </c>
      <c r="B121" s="15" t="s">
        <v>474</v>
      </c>
      <c r="C121" s="16">
        <v>1.1999770842E10</v>
      </c>
      <c r="D121" s="16" t="s">
        <v>475</v>
      </c>
      <c r="E121" s="17" t="s">
        <v>476</v>
      </c>
      <c r="F121" s="18" t="str">
        <f>IFERROR(__xludf.DUMMYFUNCTION("""COMPUTED_VALUE"""),"MetaAds")</f>
        <v>MetaAds</v>
      </c>
      <c r="G121" s="18" t="str">
        <f>IFERROR(__xludf.DUMMYFUNCTION("""COMPUTED_VALUE"""),"ADV - [IG] [FB] [30%2B] [PIEDADE - 40KM] V%C3%81RIOS")</f>
        <v>ADV - [IG] [FB] [30%2B] [PIEDADE - 40KM] V%C3%81RIOS</v>
      </c>
      <c r="H121" s="18" t="str">
        <f>IFERROR(__xludf.DUMMYFUNCTION("""COMPUTED_VALUE"""),"Instagram_Stories")</f>
        <v>Instagram_Stories</v>
      </c>
      <c r="I121" s="18" t="str">
        <f>IFERROR(__xludf.DUMMYFUNCTION("""COMPUTED_VALUE"""),"07.04 [IMG] [AD04] Pedidos abertos")</f>
        <v>07.04 [IMG] [AD04] Pedidos abertos</v>
      </c>
      <c r="J121" s="18" t="str">
        <f>IFERROR(__xludf.DUMMYFUNCTION("""COMPUTED_VALUE"""),"07.04.2026 [V4] [WB] [LEADS-GRUPO-WHATS] 01")</f>
        <v>07.04.2026 [V4] [WB] [LEADS-GRUPO-WHATS] 01</v>
      </c>
      <c r="K121" s="19" t="str">
        <f t="shared" si="1"/>
        <v>2026-04-18</v>
      </c>
      <c r="L121" s="20">
        <f t="shared" si="2"/>
        <v>46130</v>
      </c>
      <c r="M121" s="19" t="str">
        <f t="shared" si="3"/>
        <v>99770842</v>
      </c>
      <c r="N121" s="19" t="str">
        <f>IFERROR(IF(VLOOKUP(M121,'Leads no grupo Saibai'!C:C,1,FALSE)=M121,"Sim"),"Não")</f>
        <v>Sim</v>
      </c>
      <c r="O121" s="19"/>
    </row>
    <row r="122">
      <c r="A122" s="14" t="s">
        <v>477</v>
      </c>
      <c r="B122" s="15" t="s">
        <v>478</v>
      </c>
      <c r="C122" s="16">
        <v>1.5998146376E10</v>
      </c>
      <c r="D122" s="16" t="s">
        <v>479</v>
      </c>
      <c r="E122" s="17" t="s">
        <v>480</v>
      </c>
      <c r="F122" s="18" t="str">
        <f>IFERROR(__xludf.DUMMYFUNCTION("""COMPUTED_VALUE"""),"MetaAds")</f>
        <v>MetaAds</v>
      </c>
      <c r="G122" s="18" t="str">
        <f>IFERROR(__xludf.DUMMYFUNCTION("""COMPUTED_VALUE"""),"ADV - [IG] [FB] [30%2B] [PIEDADE - 40KM] V%C3%81RIOS")</f>
        <v>ADV - [IG] [FB] [30%2B] [PIEDADE - 40KM] V%C3%81RIOS</v>
      </c>
      <c r="H122" s="18" t="str">
        <f>IFERROR(__xludf.DUMMYFUNCTION("""COMPUTED_VALUE"""),"Facebook_Stories")</f>
        <v>Facebook_Stories</v>
      </c>
      <c r="I122" s="18" t="str">
        <f>IFERROR(__xludf.DUMMYFUNCTION("""COMPUTED_VALUE"""),"07.04 [IMG] [AD04] Pedidos abertos")</f>
        <v>07.04 [IMG] [AD04] Pedidos abertos</v>
      </c>
      <c r="J122" s="18" t="str">
        <f>IFERROR(__xludf.DUMMYFUNCTION("""COMPUTED_VALUE"""),"07.04.2026 [V4] [WB] [LEADS-GRUPO-WHATS] 01")</f>
        <v>07.04.2026 [V4] [WB] [LEADS-GRUPO-WHATS] 01</v>
      </c>
      <c r="K122" s="19" t="str">
        <f t="shared" si="1"/>
        <v>2026-04-18</v>
      </c>
      <c r="L122" s="20">
        <f t="shared" si="2"/>
        <v>46130</v>
      </c>
      <c r="M122" s="19" t="str">
        <f t="shared" si="3"/>
        <v>98146376</v>
      </c>
      <c r="N122" s="19" t="str">
        <f>IFERROR(IF(VLOOKUP(M122,'Leads no grupo Saibai'!C:C,1,FALSE)=M122,"Sim"),"Não")</f>
        <v>Não</v>
      </c>
      <c r="O122" s="19"/>
    </row>
    <row r="123">
      <c r="A123" s="14" t="s">
        <v>481</v>
      </c>
      <c r="B123" s="15" t="s">
        <v>478</v>
      </c>
      <c r="C123" s="16">
        <v>1.5998146376E10</v>
      </c>
      <c r="D123" s="16" t="s">
        <v>479</v>
      </c>
      <c r="E123" s="17" t="s">
        <v>480</v>
      </c>
      <c r="F123" s="18" t="str">
        <f>IFERROR(__xludf.DUMMYFUNCTION("""COMPUTED_VALUE"""),"MetaAds")</f>
        <v>MetaAds</v>
      </c>
      <c r="G123" s="18" t="str">
        <f>IFERROR(__xludf.DUMMYFUNCTION("""COMPUTED_VALUE"""),"ADV - [IG] [FB] [30%2B] [PIEDADE - 40KM] V%C3%81RIOS")</f>
        <v>ADV - [IG] [FB] [30%2B] [PIEDADE - 40KM] V%C3%81RIOS</v>
      </c>
      <c r="H123" s="18" t="str">
        <f>IFERROR(__xludf.DUMMYFUNCTION("""COMPUTED_VALUE"""),"Facebook_Stories")</f>
        <v>Facebook_Stories</v>
      </c>
      <c r="I123" s="18" t="str">
        <f>IFERROR(__xludf.DUMMYFUNCTION("""COMPUTED_VALUE"""),"07.04 [IMG] [AD04] Pedidos abertos")</f>
        <v>07.04 [IMG] [AD04] Pedidos abertos</v>
      </c>
      <c r="J123" s="18" t="str">
        <f>IFERROR(__xludf.DUMMYFUNCTION("""COMPUTED_VALUE"""),"07.04.2026 [V4] [WB] [LEADS-GRUPO-WHATS] 01")</f>
        <v>07.04.2026 [V4] [WB] [LEADS-GRUPO-WHATS] 01</v>
      </c>
      <c r="K123" s="19" t="str">
        <f t="shared" si="1"/>
        <v>2026-04-18</v>
      </c>
      <c r="L123" s="20">
        <f t="shared" si="2"/>
        <v>46130</v>
      </c>
      <c r="M123" s="19" t="str">
        <f t="shared" si="3"/>
        <v>98146376</v>
      </c>
      <c r="N123" s="19" t="str">
        <f>IFERROR(IF(VLOOKUP(M123,'Leads no grupo Saibai'!C:C,1,FALSE)=M123,"Sim"),"Não")</f>
        <v>Não</v>
      </c>
      <c r="O123" s="19"/>
    </row>
    <row r="124">
      <c r="A124" s="14" t="s">
        <v>482</v>
      </c>
      <c r="B124" s="15" t="s">
        <v>483</v>
      </c>
      <c r="C124" s="16">
        <v>1.5997509622E10</v>
      </c>
      <c r="D124" s="16" t="s">
        <v>484</v>
      </c>
      <c r="E124" s="17" t="s">
        <v>485</v>
      </c>
      <c r="F124" s="18" t="str">
        <f>IFERROR(__xludf.DUMMYFUNCTION("""COMPUTED_VALUE"""),"MetaAds")</f>
        <v>MetaAds</v>
      </c>
      <c r="G124" s="18" t="str">
        <f>IFERROR(__xludf.DUMMYFUNCTION("""COMPUTED_VALUE"""),"ADV - [IG] [FB] [30%2B] [PIEDADE - 40KM] V%C3%81RIOS")</f>
        <v>ADV - [IG] [FB] [30%2B] [PIEDADE - 40KM] V%C3%81RIOS</v>
      </c>
      <c r="H124" s="18" t="str">
        <f>IFERROR(__xludf.DUMMYFUNCTION("""COMPUTED_VALUE"""),"Instagram_Stories")</f>
        <v>Instagram_Stories</v>
      </c>
      <c r="I124" s="18" t="str">
        <f>IFERROR(__xludf.DUMMYFUNCTION("""COMPUTED_VALUE"""),"07.04 [IMG] [AD04] Pedidos abertos")</f>
        <v>07.04 [IMG] [AD04] Pedidos abertos</v>
      </c>
      <c r="J124" s="18" t="str">
        <f>IFERROR(__xludf.DUMMYFUNCTION("""COMPUTED_VALUE"""),"07.04.2026 [V4] [WB] [LEADS-GRUPO-WHATS] 01")</f>
        <v>07.04.2026 [V4] [WB] [LEADS-GRUPO-WHATS] 01</v>
      </c>
      <c r="K124" s="19" t="str">
        <f t="shared" si="1"/>
        <v>2026-04-18</v>
      </c>
      <c r="L124" s="20">
        <f t="shared" si="2"/>
        <v>46130</v>
      </c>
      <c r="M124" s="19" t="str">
        <f t="shared" si="3"/>
        <v>97509622</v>
      </c>
      <c r="N124" s="19" t="str">
        <f>IFERROR(IF(VLOOKUP(M124,'Leads no grupo Saibai'!C:C,1,FALSE)=M124,"Sim"),"Não")</f>
        <v>Sim</v>
      </c>
      <c r="O124" s="19"/>
    </row>
    <row r="125">
      <c r="A125" s="14" t="s">
        <v>486</v>
      </c>
      <c r="B125" s="15" t="s">
        <v>487</v>
      </c>
      <c r="C125" s="16">
        <v>5.5995888138E10</v>
      </c>
      <c r="D125" s="16" t="s">
        <v>488</v>
      </c>
      <c r="E125" s="17" t="s">
        <v>489</v>
      </c>
      <c r="F125" s="18" t="str">
        <f>IFERROR(__xludf.DUMMYFUNCTION("""COMPUTED_VALUE"""),"MetaAds")</f>
        <v>MetaAds</v>
      </c>
      <c r="G125" s="18" t="str">
        <f>IFERROR(__xludf.DUMMYFUNCTION("""COMPUTED_VALUE"""),"ADV - [IG] [FB] [30%2B] [PIEDADE - 40KM] V%C3%81RIOS")</f>
        <v>ADV - [IG] [FB] [30%2B] [PIEDADE - 40KM] V%C3%81RIOS</v>
      </c>
      <c r="H125" s="18" t="str">
        <f>IFERROR(__xludf.DUMMYFUNCTION("""COMPUTED_VALUE"""),"Instagram_Stories")</f>
        <v>Instagram_Stories</v>
      </c>
      <c r="I125" s="18" t="str">
        <f>IFERROR(__xludf.DUMMYFUNCTION("""COMPUTED_VALUE"""),"07.04 [IMG] [AD04] Pedidos abertos")</f>
        <v>07.04 [IMG] [AD04] Pedidos abertos</v>
      </c>
      <c r="J125" s="18" t="str">
        <f>IFERROR(__xludf.DUMMYFUNCTION("""COMPUTED_VALUE"""),"07.04.2026 [V4] [WB] [LEADS-GRUPO-WHATS] 01")</f>
        <v>07.04.2026 [V4] [WB] [LEADS-GRUPO-WHATS] 01</v>
      </c>
      <c r="K125" s="19" t="str">
        <f t="shared" si="1"/>
        <v>2026-04-18</v>
      </c>
      <c r="L125" s="20">
        <f t="shared" si="2"/>
        <v>46130</v>
      </c>
      <c r="M125" s="19" t="str">
        <f t="shared" si="3"/>
        <v>95888138</v>
      </c>
      <c r="N125" s="19" t="str">
        <f>IFERROR(IF(VLOOKUP(M125,'Leads no grupo Saibai'!C:C,1,FALSE)=M125,"Sim"),"Não")</f>
        <v>Sim</v>
      </c>
      <c r="O125" s="19"/>
    </row>
    <row r="126">
      <c r="A126" s="14" t="s">
        <v>490</v>
      </c>
      <c r="B126" s="15" t="s">
        <v>491</v>
      </c>
      <c r="C126" s="16">
        <v>1.1994648626E10</v>
      </c>
      <c r="D126" s="16" t="s">
        <v>492</v>
      </c>
      <c r="E126" s="17" t="s">
        <v>493</v>
      </c>
      <c r="F126" s="18" t="str">
        <f>IFERROR(__xludf.DUMMYFUNCTION("""COMPUTED_VALUE"""),"google-ads")</f>
        <v>google-ads</v>
      </c>
      <c r="G126" s="18" t="str">
        <f>IFERROR(__xludf.DUMMYFUNCTION("""COMPUTED_VALUE"""),"branding-terms")</f>
        <v>branding-terms</v>
      </c>
      <c r="H126" s="18" t="str">
        <f>IFERROR(__xludf.DUMMYFUNCTION("""COMPUTED_VALUE"""),"saibai%20saladas")</f>
        <v>saibai%20saladas</v>
      </c>
      <c r="I126" s="18" t="str">
        <f>IFERROR(__xludf.DUMMYFUNCTION("""COMPUTED_VALUE"""),"786538028159")</f>
        <v>786538028159</v>
      </c>
      <c r="J126" s="18" t="str">
        <f>IFERROR(__xludf.DUMMYFUNCTION("""COMPUTED_VALUE"""),"venda-direta")</f>
        <v>venda-direta</v>
      </c>
      <c r="K126" s="19" t="str">
        <f t="shared" si="1"/>
        <v>2026-04-18</v>
      </c>
      <c r="L126" s="20">
        <f t="shared" si="2"/>
        <v>46130</v>
      </c>
      <c r="M126" s="19" t="str">
        <f t="shared" si="3"/>
        <v>94648626</v>
      </c>
      <c r="N126" s="19" t="str">
        <f>IFERROR(IF(VLOOKUP(M126,'Leads no grupo Saibai'!C:C,1,FALSE)=M126,"Sim"),"Não")</f>
        <v>Sim</v>
      </c>
      <c r="O126" s="19"/>
    </row>
    <row r="127">
      <c r="A127" s="14" t="s">
        <v>494</v>
      </c>
      <c r="B127" s="15" t="s">
        <v>495</v>
      </c>
      <c r="C127" s="16">
        <v>1.5997455912E10</v>
      </c>
      <c r="D127" s="16" t="s">
        <v>496</v>
      </c>
      <c r="E127" s="17" t="s">
        <v>497</v>
      </c>
      <c r="F127" s="18" t="str">
        <f>IFERROR(__xludf.DUMMYFUNCTION("""COMPUTED_VALUE"""),"MetaAds")</f>
        <v>MetaAds</v>
      </c>
      <c r="G127" s="18" t="str">
        <f>IFERROR(__xludf.DUMMYFUNCTION("""COMPUTED_VALUE"""),"ADV - [IG] [FB] [30%2B] [PIEDADE - 40KM] V%C3%81RIOS")</f>
        <v>ADV - [IG] [FB] [30%2B] [PIEDADE - 40KM] V%C3%81RIOS</v>
      </c>
      <c r="H127" s="18" t="str">
        <f>IFERROR(__xludf.DUMMYFUNCTION("""COMPUTED_VALUE"""),"Facebook_Mobile_Feed")</f>
        <v>Facebook_Mobile_Feed</v>
      </c>
      <c r="I127" s="18" t="str">
        <f>IFERROR(__xludf.DUMMYFUNCTION("""COMPUTED_VALUE"""),"07.04 [IMG] [AD04] Pedidos abertos")</f>
        <v>07.04 [IMG] [AD04] Pedidos abertos</v>
      </c>
      <c r="J127" s="18" t="str">
        <f>IFERROR(__xludf.DUMMYFUNCTION("""COMPUTED_VALUE"""),"07.04.2026 [V4] [WB] [LEADS-GRUPO-WHATS] 01")</f>
        <v>07.04.2026 [V4] [WB] [LEADS-GRUPO-WHATS] 01</v>
      </c>
      <c r="K127" s="19" t="str">
        <f t="shared" si="1"/>
        <v>2026-04-18</v>
      </c>
      <c r="L127" s="20">
        <f t="shared" si="2"/>
        <v>46130</v>
      </c>
      <c r="M127" s="19" t="str">
        <f t="shared" si="3"/>
        <v>97455912</v>
      </c>
      <c r="N127" s="19" t="str">
        <f>IFERROR(IF(VLOOKUP(M127,'Leads no grupo Saibai'!C:C,1,FALSE)=M127,"Sim"),"Não")</f>
        <v>Sim</v>
      </c>
      <c r="O127" s="19"/>
    </row>
    <row r="128">
      <c r="A128" s="14" t="s">
        <v>498</v>
      </c>
      <c r="B128" s="15" t="s">
        <v>499</v>
      </c>
      <c r="C128" s="16">
        <v>1.5996929234E10</v>
      </c>
      <c r="D128" s="16" t="s">
        <v>500</v>
      </c>
      <c r="E128" s="17" t="s">
        <v>501</v>
      </c>
      <c r="F128" s="18" t="str">
        <f>IFERROR(__xludf.DUMMYFUNCTION("""COMPUTED_VALUE"""),"MetaAds")</f>
        <v>MetaAds</v>
      </c>
      <c r="G128" s="18" t="str">
        <f>IFERROR(__xludf.DUMMYFUNCTION("""COMPUTED_VALUE"""),"ADV - [IG] [FB] [30%2B] [PIEDADE - 40KM] V%C3%81RIOS")</f>
        <v>ADV - [IG] [FB] [30%2B] [PIEDADE - 40KM] V%C3%81RIOS</v>
      </c>
      <c r="H128" s="18" t="str">
        <f>IFERROR(__xludf.DUMMYFUNCTION("""COMPUTED_VALUE"""),"Instagram_Stories")</f>
        <v>Instagram_Stories</v>
      </c>
      <c r="I128" s="18" t="str">
        <f>IFERROR(__xludf.DUMMYFUNCTION("""COMPUTED_VALUE"""),"07.04 [IMG] [AD04] Pedidos abertos")</f>
        <v>07.04 [IMG] [AD04] Pedidos abertos</v>
      </c>
      <c r="J128" s="18" t="str">
        <f>IFERROR(__xludf.DUMMYFUNCTION("""COMPUTED_VALUE"""),"07.04.2026 [V4] [WB] [LEADS-GRUPO-WHATS] 01")</f>
        <v>07.04.2026 [V4] [WB] [LEADS-GRUPO-WHATS] 01</v>
      </c>
      <c r="K128" s="19" t="str">
        <f t="shared" si="1"/>
        <v>2026-04-18</v>
      </c>
      <c r="L128" s="20">
        <f t="shared" si="2"/>
        <v>46130</v>
      </c>
      <c r="M128" s="19" t="str">
        <f t="shared" si="3"/>
        <v>96929234</v>
      </c>
      <c r="N128" s="19" t="str">
        <f>IFERROR(IF(VLOOKUP(M128,'Leads no grupo Saibai'!C:C,1,FALSE)=M128,"Sim"),"Não")</f>
        <v>Sim</v>
      </c>
      <c r="O128" s="19"/>
    </row>
    <row r="129">
      <c r="A129" s="14" t="s">
        <v>502</v>
      </c>
      <c r="B129" s="15" t="s">
        <v>503</v>
      </c>
      <c r="C129" s="16">
        <v>1.1984317204E10</v>
      </c>
      <c r="D129" s="16" t="s">
        <v>504</v>
      </c>
      <c r="E129" s="17" t="s">
        <v>505</v>
      </c>
      <c r="F129" s="18" t="str">
        <f>IFERROR(__xludf.DUMMYFUNCTION("""COMPUTED_VALUE"""),"MetaAds")</f>
        <v>MetaAds</v>
      </c>
      <c r="G129" s="18" t="str">
        <f>IFERROR(__xludf.DUMMYFUNCTION("""COMPUTED_VALUE"""),"ADV - [IG] [FB] [30%2B] [PIEDADE - 40KM] V%C3%81RIOS")</f>
        <v>ADV - [IG] [FB] [30%2B] [PIEDADE - 40KM] V%C3%81RIOS</v>
      </c>
      <c r="H129" s="18" t="str">
        <f>IFERROR(__xludf.DUMMYFUNCTION("""COMPUTED_VALUE"""),"Instagram_Reels")</f>
        <v>Instagram_Reels</v>
      </c>
      <c r="I129" s="18" t="str">
        <f>IFERROR(__xludf.DUMMYFUNCTION("""COMPUTED_VALUE"""),"07.04 [IMG] [AD04] Pedidos abertos")</f>
        <v>07.04 [IMG] [AD04] Pedidos abertos</v>
      </c>
      <c r="J129" s="18" t="str">
        <f>IFERROR(__xludf.DUMMYFUNCTION("""COMPUTED_VALUE"""),"07.04.2026 [V4] [WB] [LEADS-GRUPO-WHATS] 01")</f>
        <v>07.04.2026 [V4] [WB] [LEADS-GRUPO-WHATS] 01</v>
      </c>
      <c r="K129" s="19" t="str">
        <f t="shared" si="1"/>
        <v>2026-04-18</v>
      </c>
      <c r="L129" s="20">
        <f t="shared" si="2"/>
        <v>46130</v>
      </c>
      <c r="M129" s="19" t="str">
        <f t="shared" si="3"/>
        <v>84317204</v>
      </c>
      <c r="N129" s="19" t="str">
        <f>IFERROR(IF(VLOOKUP(M129,'Leads no grupo Saibai'!C:C,1,FALSE)=M129,"Sim"),"Não")</f>
        <v>Sim</v>
      </c>
      <c r="O129" s="19"/>
    </row>
    <row r="130">
      <c r="A130" s="14" t="s">
        <v>506</v>
      </c>
      <c r="B130" s="15" t="s">
        <v>429</v>
      </c>
      <c r="C130" s="16">
        <v>1.6999934108E10</v>
      </c>
      <c r="D130" s="16" t="s">
        <v>186</v>
      </c>
      <c r="E130" s="17" t="s">
        <v>507</v>
      </c>
      <c r="F130" s="18" t="str">
        <f>IFERROR(__xludf.DUMMYFUNCTION("""COMPUTED_VALUE"""),"MetaAds")</f>
        <v>MetaAds</v>
      </c>
      <c r="G130" s="18" t="str">
        <f>IFERROR(__xludf.DUMMYFUNCTION("""COMPUTED_VALUE"""),"ADV - [IG] [FB] [30%2B] [PIEDADE - 40KM] V%C3%81RIOS")</f>
        <v>ADV - [IG] [FB] [30%2B] [PIEDADE - 40KM] V%C3%81RIOS</v>
      </c>
      <c r="H130" s="18" t="str">
        <f>IFERROR(__xludf.DUMMYFUNCTION("""COMPUTED_VALUE"""),"Instagram_Feed")</f>
        <v>Instagram_Feed</v>
      </c>
      <c r="I130" s="18" t="str">
        <f>IFERROR(__xludf.DUMMYFUNCTION("""COMPUTED_VALUE"""),"07.04 [IMG] [AD04] Pedidos abertos")</f>
        <v>07.04 [IMG] [AD04] Pedidos abertos</v>
      </c>
      <c r="J130" s="18" t="str">
        <f>IFERROR(__xludf.DUMMYFUNCTION("""COMPUTED_VALUE"""),"07.04.2026 [V4] [WB] [LEADS-GRUPO-WHATS] 01")</f>
        <v>07.04.2026 [V4] [WB] [LEADS-GRUPO-WHATS] 01</v>
      </c>
      <c r="K130" s="19" t="str">
        <f t="shared" si="1"/>
        <v>2026-04-18</v>
      </c>
      <c r="L130" s="20">
        <f t="shared" si="2"/>
        <v>46130</v>
      </c>
      <c r="M130" s="19" t="str">
        <f t="shared" si="3"/>
        <v>99934108</v>
      </c>
      <c r="N130" s="19" t="str">
        <f>IFERROR(IF(VLOOKUP(M130,'Leads no grupo Saibai'!C:C,1,FALSE)=M130,"Sim"),"Não")</f>
        <v>Sim</v>
      </c>
      <c r="O130" s="19"/>
    </row>
    <row r="131">
      <c r="A131" s="14" t="s">
        <v>508</v>
      </c>
      <c r="B131" s="15" t="s">
        <v>509</v>
      </c>
      <c r="C131" s="16">
        <v>5.5159818315E10</v>
      </c>
      <c r="D131" s="16" t="s">
        <v>510</v>
      </c>
      <c r="E131" s="17" t="s">
        <v>511</v>
      </c>
      <c r="F131" s="18" t="str">
        <f>IFERROR(__xludf.DUMMYFUNCTION("""COMPUTED_VALUE"""),"MetaAds")</f>
        <v>MetaAds</v>
      </c>
      <c r="G131" s="18" t="str">
        <f>IFERROR(__xludf.DUMMYFUNCTION("""COMPUTED_VALUE"""),"ADV - [IG] [FB] [30%2B] [PIEDADE - 40KM] V%C3%81RIOS")</f>
        <v>ADV - [IG] [FB] [30%2B] [PIEDADE - 40KM] V%C3%81RIOS</v>
      </c>
      <c r="H131" s="18" t="str">
        <f>IFERROR(__xludf.DUMMYFUNCTION("""COMPUTED_VALUE"""),"Facebook_Mobile_Feed")</f>
        <v>Facebook_Mobile_Feed</v>
      </c>
      <c r="I131" s="18" t="str">
        <f>IFERROR(__xludf.DUMMYFUNCTION("""COMPUTED_VALUE"""),"07.04 [IMG] [AD04] Pedidos abertos")</f>
        <v>07.04 [IMG] [AD04] Pedidos abertos</v>
      </c>
      <c r="J131" s="18" t="str">
        <f>IFERROR(__xludf.DUMMYFUNCTION("""COMPUTED_VALUE"""),"07.04.2026 [V4] [WB] [LEADS-GRUPO-WHATS] 01")</f>
        <v>07.04.2026 [V4] [WB] [LEADS-GRUPO-WHATS] 01</v>
      </c>
      <c r="K131" s="19" t="str">
        <f t="shared" si="1"/>
        <v>2026-04-18</v>
      </c>
      <c r="L131" s="20">
        <f t="shared" si="2"/>
        <v>46130</v>
      </c>
      <c r="M131" s="19" t="str">
        <f t="shared" si="3"/>
        <v>59818315</v>
      </c>
      <c r="N131" s="19" t="str">
        <f>IFERROR(IF(VLOOKUP(M131,'Leads no grupo Saibai'!C:C,1,FALSE)=M131,"Sim"),"Não")</f>
        <v>Não</v>
      </c>
      <c r="O131" s="19"/>
    </row>
    <row r="132">
      <c r="A132" s="14" t="s">
        <v>512</v>
      </c>
      <c r="B132" s="15" t="s">
        <v>513</v>
      </c>
      <c r="C132" s="16">
        <v>1.5997005133E10</v>
      </c>
      <c r="D132" s="16" t="s">
        <v>514</v>
      </c>
      <c r="E132" s="17" t="s">
        <v>515</v>
      </c>
      <c r="F132" s="18" t="str">
        <f>IFERROR(__xludf.DUMMYFUNCTION("""COMPUTED_VALUE"""),"MetaAds")</f>
        <v>MetaAds</v>
      </c>
      <c r="G132" s="18" t="str">
        <f>IFERROR(__xludf.DUMMYFUNCTION("""COMPUTED_VALUE"""),"ADV - [IG] [FB] [30%2B] [PIEDADE - 40KM] V%C3%81RIOS")</f>
        <v>ADV - [IG] [FB] [30%2B] [PIEDADE - 40KM] V%C3%81RIOS</v>
      </c>
      <c r="H132" s="18" t="str">
        <f>IFERROR(__xludf.DUMMYFUNCTION("""COMPUTED_VALUE"""),"Facebook_Mobile_Feed")</f>
        <v>Facebook_Mobile_Feed</v>
      </c>
      <c r="I132" s="18" t="str">
        <f>IFERROR(__xludf.DUMMYFUNCTION("""COMPUTED_VALUE"""),"07.04 [IMG] [AD04] Pedidos abertos")</f>
        <v>07.04 [IMG] [AD04] Pedidos abertos</v>
      </c>
      <c r="J132" s="18" t="str">
        <f>IFERROR(__xludf.DUMMYFUNCTION("""COMPUTED_VALUE"""),"07.04.2026 [V4] [WB] [LEADS-GRUPO-WHATS] 01")</f>
        <v>07.04.2026 [V4] [WB] [LEADS-GRUPO-WHATS] 01</v>
      </c>
      <c r="K132" s="19" t="str">
        <f t="shared" si="1"/>
        <v>2026-04-18</v>
      </c>
      <c r="L132" s="20">
        <f t="shared" si="2"/>
        <v>46130</v>
      </c>
      <c r="M132" s="19" t="str">
        <f t="shared" si="3"/>
        <v>97005133</v>
      </c>
      <c r="N132" s="19" t="str">
        <f>IFERROR(IF(VLOOKUP(M132,'Leads no grupo Saibai'!C:C,1,FALSE)=M132,"Sim"),"Não")</f>
        <v>Sim</v>
      </c>
      <c r="O132" s="19"/>
    </row>
    <row r="133">
      <c r="A133" s="14" t="s">
        <v>516</v>
      </c>
      <c r="B133" s="15" t="s">
        <v>517</v>
      </c>
      <c r="C133" s="16">
        <v>5.5159980518E10</v>
      </c>
      <c r="D133" s="16" t="s">
        <v>518</v>
      </c>
      <c r="E133" s="17" t="s">
        <v>254</v>
      </c>
      <c r="F133" s="18" t="str">
        <f>IFERROR(__xludf.DUMMYFUNCTION("""COMPUTED_VALUE"""),"MetaAds")</f>
        <v>MetaAds</v>
      </c>
      <c r="G133" s="18" t="str">
        <f>IFERROR(__xludf.DUMMYFUNCTION("""COMPUTED_VALUE"""),"ADV - [IG] [FB] [30%2B] [PIEDADE - 40KM] V%C3%81RIOS")</f>
        <v>ADV - [IG] [FB] [30%2B] [PIEDADE - 40KM] V%C3%81RIOS</v>
      </c>
      <c r="H133" s="18" t="str">
        <f>IFERROR(__xludf.DUMMYFUNCTION("""COMPUTED_VALUE"""),"Facebook_Mobile_Reels")</f>
        <v>Facebook_Mobile_Reels</v>
      </c>
      <c r="I133" s="18" t="str">
        <f>IFERROR(__xludf.DUMMYFUNCTION("""COMPUTED_VALUE"""),"07.04 [IMG] [AD04] Pedidos abertos")</f>
        <v>07.04 [IMG] [AD04] Pedidos abertos</v>
      </c>
      <c r="J133" s="18" t="str">
        <f>IFERROR(__xludf.DUMMYFUNCTION("""COMPUTED_VALUE"""),"07.04.2026 [V4] [WB] [LEADS-GRUPO-WHATS] 01")</f>
        <v>07.04.2026 [V4] [WB] [LEADS-GRUPO-WHATS] 01</v>
      </c>
      <c r="K133" s="19" t="str">
        <f t="shared" si="1"/>
        <v>2026-04-18</v>
      </c>
      <c r="L133" s="20">
        <f t="shared" si="2"/>
        <v>46130</v>
      </c>
      <c r="M133" s="19" t="str">
        <f t="shared" si="3"/>
        <v>59980518</v>
      </c>
      <c r="N133" s="19" t="str">
        <f>IFERROR(IF(VLOOKUP(M133,'Leads no grupo Saibai'!C:C,1,FALSE)=M133,"Sim"),"Não")</f>
        <v>Não</v>
      </c>
      <c r="O133" s="19"/>
    </row>
    <row r="134">
      <c r="A134" s="14" t="s">
        <v>519</v>
      </c>
      <c r="B134" s="15" t="s">
        <v>520</v>
      </c>
      <c r="C134" s="16">
        <v>5.4999925133E10</v>
      </c>
      <c r="D134" s="16" t="s">
        <v>521</v>
      </c>
      <c r="E134" s="17" t="s">
        <v>254</v>
      </c>
      <c r="F134" s="18" t="str">
        <f>IFERROR(__xludf.DUMMYFUNCTION("""COMPUTED_VALUE"""),"MetaAds")</f>
        <v>MetaAds</v>
      </c>
      <c r="G134" s="18" t="str">
        <f>IFERROR(__xludf.DUMMYFUNCTION("""COMPUTED_VALUE"""),"ADV - [IG] [FB] [30%2B] [PIEDADE - 40KM] V%C3%81RIOS")</f>
        <v>ADV - [IG] [FB] [30%2B] [PIEDADE - 40KM] V%C3%81RIOS</v>
      </c>
      <c r="H134" s="18" t="str">
        <f>IFERROR(__xludf.DUMMYFUNCTION("""COMPUTED_VALUE"""),"Facebook_Mobile_Reels")</f>
        <v>Facebook_Mobile_Reels</v>
      </c>
      <c r="I134" s="18" t="str">
        <f>IFERROR(__xludf.DUMMYFUNCTION("""COMPUTED_VALUE"""),"07.04 [IMG] [AD04] Pedidos abertos")</f>
        <v>07.04 [IMG] [AD04] Pedidos abertos</v>
      </c>
      <c r="J134" s="18" t="str">
        <f>IFERROR(__xludf.DUMMYFUNCTION("""COMPUTED_VALUE"""),"07.04.2026 [V4] [WB] [LEADS-GRUPO-WHATS] 01")</f>
        <v>07.04.2026 [V4] [WB] [LEADS-GRUPO-WHATS] 01</v>
      </c>
      <c r="K134" s="19" t="str">
        <f t="shared" si="1"/>
        <v>2026-04-19</v>
      </c>
      <c r="L134" s="20">
        <f t="shared" si="2"/>
        <v>46131</v>
      </c>
      <c r="M134" s="19" t="str">
        <f t="shared" si="3"/>
        <v>99925133</v>
      </c>
      <c r="N134" s="19" t="str">
        <f>IFERROR(IF(VLOOKUP(M134,'Leads no grupo Saibai'!C:C,1,FALSE)=M134,"Sim"),"Não")</f>
        <v>Sim</v>
      </c>
      <c r="O134" s="19"/>
    </row>
    <row r="135">
      <c r="A135" s="14" t="s">
        <v>522</v>
      </c>
      <c r="B135" s="15" t="s">
        <v>523</v>
      </c>
      <c r="C135" s="16">
        <v>5.5549962361E10</v>
      </c>
      <c r="D135" s="16" t="s">
        <v>524</v>
      </c>
      <c r="E135" s="17" t="s">
        <v>254</v>
      </c>
      <c r="F135" s="18" t="str">
        <f>IFERROR(__xludf.DUMMYFUNCTION("""COMPUTED_VALUE"""),"MetaAds")</f>
        <v>MetaAds</v>
      </c>
      <c r="G135" s="18" t="str">
        <f>IFERROR(__xludf.DUMMYFUNCTION("""COMPUTED_VALUE"""),"ADV - [IG] [FB] [30%2B] [PIEDADE - 40KM] V%C3%81RIOS")</f>
        <v>ADV - [IG] [FB] [30%2B] [PIEDADE - 40KM] V%C3%81RIOS</v>
      </c>
      <c r="H135" s="18" t="str">
        <f>IFERROR(__xludf.DUMMYFUNCTION("""COMPUTED_VALUE"""),"Facebook_Mobile_Reels")</f>
        <v>Facebook_Mobile_Reels</v>
      </c>
      <c r="I135" s="18" t="str">
        <f>IFERROR(__xludf.DUMMYFUNCTION("""COMPUTED_VALUE"""),"07.04 [IMG] [AD04] Pedidos abertos")</f>
        <v>07.04 [IMG] [AD04] Pedidos abertos</v>
      </c>
      <c r="J135" s="18" t="str">
        <f>IFERROR(__xludf.DUMMYFUNCTION("""COMPUTED_VALUE"""),"07.04.2026 [V4] [WB] [LEADS-GRUPO-WHATS] 01")</f>
        <v>07.04.2026 [V4] [WB] [LEADS-GRUPO-WHATS] 01</v>
      </c>
      <c r="K135" s="19" t="str">
        <f t="shared" si="1"/>
        <v>2026-04-19</v>
      </c>
      <c r="L135" s="20">
        <f t="shared" si="2"/>
        <v>46131</v>
      </c>
      <c r="M135" s="19" t="str">
        <f t="shared" si="3"/>
        <v>49962361</v>
      </c>
      <c r="N135" s="19" t="str">
        <f>IFERROR(IF(VLOOKUP(M135,'Leads no grupo Saibai'!C:C,1,FALSE)=M135,"Sim"),"Não")</f>
        <v>Não</v>
      </c>
      <c r="O135" s="19"/>
    </row>
    <row r="136">
      <c r="A136" s="14" t="s">
        <v>525</v>
      </c>
      <c r="B136" s="15" t="s">
        <v>526</v>
      </c>
      <c r="C136" s="16">
        <v>5.5997895385E10</v>
      </c>
      <c r="D136" s="16" t="s">
        <v>527</v>
      </c>
      <c r="E136" s="17" t="s">
        <v>528</v>
      </c>
      <c r="F136" s="18" t="str">
        <f>IFERROR(__xludf.DUMMYFUNCTION("""COMPUTED_VALUE"""),"MetaAds")</f>
        <v>MetaAds</v>
      </c>
      <c r="G136" s="18" t="str">
        <f>IFERROR(__xludf.DUMMYFUNCTION("""COMPUTED_VALUE"""),"ADV - [IG] [FB] [30%2B] [PIEDADE - 40KM] V%C3%81RIOS")</f>
        <v>ADV - [IG] [FB] [30%2B] [PIEDADE - 40KM] V%C3%81RIOS</v>
      </c>
      <c r="H136" s="18" t="str">
        <f>IFERROR(__xludf.DUMMYFUNCTION("""COMPUTED_VALUE"""),"Instagram_Stories")</f>
        <v>Instagram_Stories</v>
      </c>
      <c r="I136" s="18" t="str">
        <f>IFERROR(__xludf.DUMMYFUNCTION("""COMPUTED_VALUE"""),"07.04 [IMG] [AD04] Pedidos abertos")</f>
        <v>07.04 [IMG] [AD04] Pedidos abertos</v>
      </c>
      <c r="J136" s="18" t="str">
        <f>IFERROR(__xludf.DUMMYFUNCTION("""COMPUTED_VALUE"""),"07.04.2026 [V4] [WB] [LEADS-GRUPO-WHATS] 01")</f>
        <v>07.04.2026 [V4] [WB] [LEADS-GRUPO-WHATS] 01</v>
      </c>
      <c r="K136" s="19" t="str">
        <f t="shared" si="1"/>
        <v>2026-04-19</v>
      </c>
      <c r="L136" s="20">
        <f t="shared" si="2"/>
        <v>46131</v>
      </c>
      <c r="M136" s="19" t="str">
        <f t="shared" si="3"/>
        <v>97895385</v>
      </c>
      <c r="N136" s="19" t="str">
        <f>IFERROR(IF(VLOOKUP(M136,'Leads no grupo Saibai'!C:C,1,FALSE)=M136,"Sim"),"Não")</f>
        <v>Sim</v>
      </c>
      <c r="O136" s="19"/>
    </row>
    <row r="137">
      <c r="A137" s="14" t="s">
        <v>529</v>
      </c>
      <c r="B137" s="15" t="s">
        <v>530</v>
      </c>
      <c r="C137" s="16">
        <v>1.1999120722E10</v>
      </c>
      <c r="D137" s="16" t="s">
        <v>531</v>
      </c>
      <c r="E137" s="17" t="s">
        <v>532</v>
      </c>
      <c r="F137" s="18" t="str">
        <f>IFERROR(__xludf.DUMMYFUNCTION("""COMPUTED_VALUE"""),"MetaAds")</f>
        <v>MetaAds</v>
      </c>
      <c r="G137" s="18" t="str">
        <f>IFERROR(__xludf.DUMMYFUNCTION("""COMPUTED_VALUE"""),"ADV - [IG] [FB] [30%2B] [PIEDADE - 40KM] V%C3%81RIOS")</f>
        <v>ADV - [IG] [FB] [30%2B] [PIEDADE - 40KM] V%C3%81RIOS</v>
      </c>
      <c r="H137" s="18" t="str">
        <f>IFERROR(__xludf.DUMMYFUNCTION("""COMPUTED_VALUE"""),"Facebook_Stories")</f>
        <v>Facebook_Stories</v>
      </c>
      <c r="I137" s="18" t="str">
        <f>IFERROR(__xludf.DUMMYFUNCTION("""COMPUTED_VALUE"""),"07.04 [IMG] [AD04] Pedidos abertos")</f>
        <v>07.04 [IMG] [AD04] Pedidos abertos</v>
      </c>
      <c r="J137" s="18" t="str">
        <f>IFERROR(__xludf.DUMMYFUNCTION("""COMPUTED_VALUE"""),"07.04.2026 [V4] [WB] [LEADS-GRUPO-WHATS] 01")</f>
        <v>07.04.2026 [V4] [WB] [LEADS-GRUPO-WHATS] 01</v>
      </c>
      <c r="K137" s="19" t="str">
        <f t="shared" si="1"/>
        <v>2026-04-19</v>
      </c>
      <c r="L137" s="20">
        <f t="shared" si="2"/>
        <v>46131</v>
      </c>
      <c r="M137" s="19" t="str">
        <f t="shared" si="3"/>
        <v>99120722</v>
      </c>
      <c r="N137" s="19" t="str">
        <f>IFERROR(IF(VLOOKUP(M137,'Leads no grupo Saibai'!C:C,1,FALSE)=M137,"Sim"),"Não")</f>
        <v>Sim</v>
      </c>
      <c r="O137" s="19"/>
    </row>
    <row r="138">
      <c r="A138" s="14" t="s">
        <v>533</v>
      </c>
      <c r="B138" s="15" t="s">
        <v>348</v>
      </c>
      <c r="C138" s="16">
        <v>1.599717274E9</v>
      </c>
      <c r="D138" s="16" t="s">
        <v>349</v>
      </c>
      <c r="E138" s="17" t="s">
        <v>534</v>
      </c>
      <c r="F138" s="18" t="str">
        <f>IFERROR(__xludf.DUMMYFUNCTION("""COMPUTED_VALUE"""),"MetaAds")</f>
        <v>MetaAds</v>
      </c>
      <c r="G138" s="18" t="str">
        <f>IFERROR(__xludf.DUMMYFUNCTION("""COMPUTED_VALUE"""),"ADV - [IG] [FB] [30%2B] [PIEDADE - 40KM] V%C3%81RIOS")</f>
        <v>ADV - [IG] [FB] [30%2B] [PIEDADE - 40KM] V%C3%81RIOS</v>
      </c>
      <c r="H138" s="18" t="str">
        <f>IFERROR(__xludf.DUMMYFUNCTION("""COMPUTED_VALUE"""),"Instagram_Reels")</f>
        <v>Instagram_Reels</v>
      </c>
      <c r="I138" s="18" t="str">
        <f>IFERROR(__xludf.DUMMYFUNCTION("""COMPUTED_VALUE"""),"07.04 [IMG] [AD04] Pedidos abertos")</f>
        <v>07.04 [IMG] [AD04] Pedidos abertos</v>
      </c>
      <c r="J138" s="18" t="str">
        <f>IFERROR(__xludf.DUMMYFUNCTION("""COMPUTED_VALUE"""),"07.04.2026 [V4] [WB] [LEADS-GRUPO-WHATS] 01")</f>
        <v>07.04.2026 [V4] [WB] [LEADS-GRUPO-WHATS] 01</v>
      </c>
      <c r="K138" s="19" t="str">
        <f t="shared" si="1"/>
        <v>2026-04-19</v>
      </c>
      <c r="L138" s="20">
        <f t="shared" si="2"/>
        <v>46131</v>
      </c>
      <c r="M138" s="19" t="str">
        <f t="shared" si="3"/>
        <v>99717274</v>
      </c>
      <c r="N138" s="19" t="str">
        <f>IFERROR(IF(VLOOKUP(M138,'Leads no grupo Saibai'!C:C,1,FALSE)=M138,"Sim"),"Não")</f>
        <v>Não</v>
      </c>
      <c r="O138" s="19"/>
    </row>
    <row r="139">
      <c r="A139" s="14" t="s">
        <v>535</v>
      </c>
      <c r="B139" s="15" t="s">
        <v>348</v>
      </c>
      <c r="C139" s="16">
        <v>1.5997717274E10</v>
      </c>
      <c r="D139" s="16" t="s">
        <v>349</v>
      </c>
      <c r="E139" s="17" t="s">
        <v>536</v>
      </c>
      <c r="F139" s="18" t="str">
        <f>IFERROR(__xludf.DUMMYFUNCTION("""COMPUTED_VALUE"""),"MetaAds")</f>
        <v>MetaAds</v>
      </c>
      <c r="G139" s="18" t="str">
        <f>IFERROR(__xludf.DUMMYFUNCTION("""COMPUTED_VALUE"""),"ADV - [IG] [FB] [30%2B] [PIEDADE - 40KM] V%C3%81RIOS")</f>
        <v>ADV - [IG] [FB] [30%2B] [PIEDADE - 40KM] V%C3%81RIOS</v>
      </c>
      <c r="H139" s="18" t="str">
        <f>IFERROR(__xludf.DUMMYFUNCTION("""COMPUTED_VALUE"""),"Instagram_Feed")</f>
        <v>Instagram_Feed</v>
      </c>
      <c r="I139" s="18" t="str">
        <f>IFERROR(__xludf.DUMMYFUNCTION("""COMPUTED_VALUE"""),"07.04 [IMG] [AD04] Pedidos abertos")</f>
        <v>07.04 [IMG] [AD04] Pedidos abertos</v>
      </c>
      <c r="J139" s="18" t="str">
        <f>IFERROR(__xludf.DUMMYFUNCTION("""COMPUTED_VALUE"""),"07.04.2026 [V4] [WB] [LEADS-GRUPO-WHATS] 01")</f>
        <v>07.04.2026 [V4] [WB] [LEADS-GRUPO-WHATS] 01</v>
      </c>
      <c r="K139" s="19" t="str">
        <f t="shared" si="1"/>
        <v>2026-04-19</v>
      </c>
      <c r="L139" s="20">
        <f t="shared" si="2"/>
        <v>46131</v>
      </c>
      <c r="M139" s="19" t="str">
        <f t="shared" si="3"/>
        <v>97717274</v>
      </c>
      <c r="N139" s="19" t="str">
        <f>IFERROR(IF(VLOOKUP(M139,'Leads no grupo Saibai'!C:C,1,FALSE)=M139,"Sim"),"Não")</f>
        <v>Sim</v>
      </c>
      <c r="O139" s="19"/>
    </row>
    <row r="140">
      <c r="A140" s="14" t="s">
        <v>537</v>
      </c>
      <c r="B140" s="15" t="s">
        <v>348</v>
      </c>
      <c r="C140" s="16">
        <v>1.5997717274E10</v>
      </c>
      <c r="D140" s="16" t="s">
        <v>349</v>
      </c>
      <c r="E140" s="17" t="s">
        <v>536</v>
      </c>
      <c r="F140" s="18" t="str">
        <f>IFERROR(__xludf.DUMMYFUNCTION("""COMPUTED_VALUE"""),"MetaAds")</f>
        <v>MetaAds</v>
      </c>
      <c r="G140" s="18" t="str">
        <f>IFERROR(__xludf.DUMMYFUNCTION("""COMPUTED_VALUE"""),"ADV - [IG] [FB] [30%2B] [PIEDADE - 40KM] V%C3%81RIOS")</f>
        <v>ADV - [IG] [FB] [30%2B] [PIEDADE - 40KM] V%C3%81RIOS</v>
      </c>
      <c r="H140" s="18" t="str">
        <f>IFERROR(__xludf.DUMMYFUNCTION("""COMPUTED_VALUE"""),"Instagram_Feed")</f>
        <v>Instagram_Feed</v>
      </c>
      <c r="I140" s="18" t="str">
        <f>IFERROR(__xludf.DUMMYFUNCTION("""COMPUTED_VALUE"""),"07.04 [IMG] [AD04] Pedidos abertos")</f>
        <v>07.04 [IMG] [AD04] Pedidos abertos</v>
      </c>
      <c r="J140" s="18" t="str">
        <f>IFERROR(__xludf.DUMMYFUNCTION("""COMPUTED_VALUE"""),"07.04.2026 [V4] [WB] [LEADS-GRUPO-WHATS] 01")</f>
        <v>07.04.2026 [V4] [WB] [LEADS-GRUPO-WHATS] 01</v>
      </c>
      <c r="K140" s="19" t="str">
        <f t="shared" si="1"/>
        <v>2026-04-19</v>
      </c>
      <c r="L140" s="20">
        <f t="shared" si="2"/>
        <v>46131</v>
      </c>
      <c r="M140" s="19" t="str">
        <f t="shared" si="3"/>
        <v>97717274</v>
      </c>
      <c r="N140" s="19" t="str">
        <f>IFERROR(IF(VLOOKUP(M140,'Leads no grupo Saibai'!C:C,1,FALSE)=M140,"Sim"),"Não")</f>
        <v>Sim</v>
      </c>
      <c r="O140" s="19"/>
    </row>
    <row r="141">
      <c r="A141" s="14" t="s">
        <v>538</v>
      </c>
      <c r="B141" s="15" t="s">
        <v>539</v>
      </c>
      <c r="C141" s="16">
        <v>1.598147021E10</v>
      </c>
      <c r="D141" s="16" t="s">
        <v>540</v>
      </c>
      <c r="E141" s="17" t="s">
        <v>541</v>
      </c>
      <c r="F141" s="18" t="str">
        <f>IFERROR(__xludf.DUMMYFUNCTION("""COMPUTED_VALUE"""),"MetaAds")</f>
        <v>MetaAds</v>
      </c>
      <c r="G141" s="18" t="str">
        <f>IFERROR(__xludf.DUMMYFUNCTION("""COMPUTED_VALUE"""),"ADV - [IG] [FB] [30%2B] [PIEDADE - 40KM] V%C3%81RIOS")</f>
        <v>ADV - [IG] [FB] [30%2B] [PIEDADE - 40KM] V%C3%81RIOS</v>
      </c>
      <c r="H141" s="18" t="str">
        <f>IFERROR(__xludf.DUMMYFUNCTION("""COMPUTED_VALUE"""),"Instagram_Feed")</f>
        <v>Instagram_Feed</v>
      </c>
      <c r="I141" s="18" t="str">
        <f>IFERROR(__xludf.DUMMYFUNCTION("""COMPUTED_VALUE"""),"07.04 [IMG] [AD04] Pedidos abertos")</f>
        <v>07.04 [IMG] [AD04] Pedidos abertos</v>
      </c>
      <c r="J141" s="18" t="str">
        <f>IFERROR(__xludf.DUMMYFUNCTION("""COMPUTED_VALUE"""),"07.04.2026 [V4] [WB] [LEADS-GRUPO-WHATS] 01")</f>
        <v>07.04.2026 [V4] [WB] [LEADS-GRUPO-WHATS] 01</v>
      </c>
      <c r="K141" s="19" t="str">
        <f t="shared" si="1"/>
        <v>2026-04-19</v>
      </c>
      <c r="L141" s="20">
        <f t="shared" si="2"/>
        <v>46131</v>
      </c>
      <c r="M141" s="19" t="str">
        <f t="shared" si="3"/>
        <v>81470210</v>
      </c>
      <c r="N141" s="19" t="str">
        <f>IFERROR(IF(VLOOKUP(M141,'Leads no grupo Saibai'!C:C,1,FALSE)=M141,"Sim"),"Não")</f>
        <v>Sim</v>
      </c>
      <c r="O141" s="19"/>
    </row>
    <row r="142">
      <c r="A142" s="14" t="s">
        <v>542</v>
      </c>
      <c r="B142" s="15" t="s">
        <v>543</v>
      </c>
      <c r="C142" s="16">
        <v>1.5981358326E10</v>
      </c>
      <c r="D142" s="16" t="s">
        <v>544</v>
      </c>
      <c r="E142" s="17" t="s">
        <v>545</v>
      </c>
      <c r="F142" s="18" t="str">
        <f>IFERROR(__xludf.DUMMYFUNCTION("""COMPUTED_VALUE"""),"MetaAds")</f>
        <v>MetaAds</v>
      </c>
      <c r="G142" s="18" t="str">
        <f>IFERROR(__xludf.DUMMYFUNCTION("""COMPUTED_VALUE"""),"ADV - [IG] [FB] [30%2B] [PIEDADE - 40KM] V%C3%81RIOS")</f>
        <v>ADV - [IG] [FB] [30%2B] [PIEDADE - 40KM] V%C3%81RIOS</v>
      </c>
      <c r="H142" s="18" t="str">
        <f>IFERROR(__xludf.DUMMYFUNCTION("""COMPUTED_VALUE"""),"Instagram_Feed")</f>
        <v>Instagram_Feed</v>
      </c>
      <c r="I142" s="18" t="str">
        <f>IFERROR(__xludf.DUMMYFUNCTION("""COMPUTED_VALUE"""),"07.04 [IMG] [AD04] Pedidos abertos")</f>
        <v>07.04 [IMG] [AD04] Pedidos abertos</v>
      </c>
      <c r="J142" s="18" t="str">
        <f>IFERROR(__xludf.DUMMYFUNCTION("""COMPUTED_VALUE"""),"07.04.2026 [V4] [WB] [LEADS-GRUPO-WHATS] 01")</f>
        <v>07.04.2026 [V4] [WB] [LEADS-GRUPO-WHATS] 01</v>
      </c>
      <c r="K142" s="19" t="str">
        <f t="shared" si="1"/>
        <v>2026-04-19</v>
      </c>
      <c r="L142" s="20">
        <f t="shared" si="2"/>
        <v>46131</v>
      </c>
      <c r="M142" s="19" t="str">
        <f t="shared" si="3"/>
        <v>81358326</v>
      </c>
      <c r="N142" s="19" t="str">
        <f>IFERROR(IF(VLOOKUP(M142,'Leads no grupo Saibai'!C:C,1,FALSE)=M142,"Sim"),"Não")</f>
        <v>Sim</v>
      </c>
      <c r="O142" s="19"/>
    </row>
    <row r="143">
      <c r="A143" s="14" t="s">
        <v>546</v>
      </c>
      <c r="B143" s="15" t="s">
        <v>547</v>
      </c>
      <c r="C143" s="16">
        <v>1.5997740776E10</v>
      </c>
      <c r="D143" s="16" t="s">
        <v>548</v>
      </c>
      <c r="E143" s="17" t="s">
        <v>254</v>
      </c>
      <c r="F143" s="18" t="str">
        <f>IFERROR(__xludf.DUMMYFUNCTION("""COMPUTED_VALUE"""),"MetaAds")</f>
        <v>MetaAds</v>
      </c>
      <c r="G143" s="18" t="str">
        <f>IFERROR(__xludf.DUMMYFUNCTION("""COMPUTED_VALUE"""),"ADV - [IG] [FB] [30%2B] [PIEDADE - 40KM] V%C3%81RIOS")</f>
        <v>ADV - [IG] [FB] [30%2B] [PIEDADE - 40KM] V%C3%81RIOS</v>
      </c>
      <c r="H143" s="18" t="str">
        <f>IFERROR(__xludf.DUMMYFUNCTION("""COMPUTED_VALUE"""),"Facebook_Mobile_Reels")</f>
        <v>Facebook_Mobile_Reels</v>
      </c>
      <c r="I143" s="18" t="str">
        <f>IFERROR(__xludf.DUMMYFUNCTION("""COMPUTED_VALUE"""),"07.04 [IMG] [AD04] Pedidos abertos")</f>
        <v>07.04 [IMG] [AD04] Pedidos abertos</v>
      </c>
      <c r="J143" s="18" t="str">
        <f>IFERROR(__xludf.DUMMYFUNCTION("""COMPUTED_VALUE"""),"07.04.2026 [V4] [WB] [LEADS-GRUPO-WHATS] 01")</f>
        <v>07.04.2026 [V4] [WB] [LEADS-GRUPO-WHATS] 01</v>
      </c>
      <c r="K143" s="19" t="str">
        <f t="shared" si="1"/>
        <v>2026-04-19</v>
      </c>
      <c r="L143" s="20">
        <f t="shared" si="2"/>
        <v>46131</v>
      </c>
      <c r="M143" s="19" t="str">
        <f t="shared" si="3"/>
        <v>97740776</v>
      </c>
      <c r="N143" s="19" t="str">
        <f>IFERROR(IF(VLOOKUP(M143,'Leads no grupo Saibai'!C:C,1,FALSE)=M143,"Sim"),"Não")</f>
        <v>Não</v>
      </c>
      <c r="O143" s="19"/>
    </row>
    <row r="144">
      <c r="A144" s="14" t="s">
        <v>549</v>
      </c>
      <c r="B144" s="15" t="s">
        <v>550</v>
      </c>
      <c r="C144" s="16">
        <v>1.5996140343E10</v>
      </c>
      <c r="D144" s="16" t="s">
        <v>551</v>
      </c>
      <c r="E144" s="17" t="s">
        <v>552</v>
      </c>
      <c r="F144" s="18" t="str">
        <f>IFERROR(__xludf.DUMMYFUNCTION("""COMPUTED_VALUE"""),"MetaAds")</f>
        <v>MetaAds</v>
      </c>
      <c r="G144" s="18" t="str">
        <f>IFERROR(__xludf.DUMMYFUNCTION("""COMPUTED_VALUE"""),"ADV - [IG] [FB] [30%2B] [PIEDADE - 40KM] V%C3%81RIOS")</f>
        <v>ADV - [IG] [FB] [30%2B] [PIEDADE - 40KM] V%C3%81RIOS</v>
      </c>
      <c r="H144" s="18" t="str">
        <f>IFERROR(__xludf.DUMMYFUNCTION("""COMPUTED_VALUE"""),"Facebook_Mobile_Feed")</f>
        <v>Facebook_Mobile_Feed</v>
      </c>
      <c r="I144" s="18" t="str">
        <f>IFERROR(__xludf.DUMMYFUNCTION("""COMPUTED_VALUE"""),"07.04 [IMG] [AD04] Pedidos abertos")</f>
        <v>07.04 [IMG] [AD04] Pedidos abertos</v>
      </c>
      <c r="J144" s="18" t="str">
        <f>IFERROR(__xludf.DUMMYFUNCTION("""COMPUTED_VALUE"""),"07.04.2026 [V4] [WB] [LEADS-GRUPO-WHATS] 01")</f>
        <v>07.04.2026 [V4] [WB] [LEADS-GRUPO-WHATS] 01</v>
      </c>
      <c r="K144" s="19" t="str">
        <f t="shared" si="1"/>
        <v>2026-04-20</v>
      </c>
      <c r="L144" s="20">
        <f t="shared" si="2"/>
        <v>46132</v>
      </c>
      <c r="M144" s="19" t="str">
        <f t="shared" si="3"/>
        <v>96140343</v>
      </c>
      <c r="N144" s="19" t="str">
        <f>IFERROR(IF(VLOOKUP(M144,'Leads no grupo Saibai'!C:C,1,FALSE)=M144,"Sim"),"Não")</f>
        <v>Sim</v>
      </c>
      <c r="O144" s="19"/>
    </row>
    <row r="145">
      <c r="A145" s="14" t="s">
        <v>553</v>
      </c>
      <c r="B145" s="15" t="s">
        <v>554</v>
      </c>
      <c r="C145" s="16">
        <v>1.1986097888E10</v>
      </c>
      <c r="D145" s="16" t="s">
        <v>555</v>
      </c>
      <c r="E145" s="17" t="s">
        <v>556</v>
      </c>
      <c r="F145" s="18" t="str">
        <f>IFERROR(__xludf.DUMMYFUNCTION("""COMPUTED_VALUE"""),"MetaAds")</f>
        <v>MetaAds</v>
      </c>
      <c r="G145" s="18" t="str">
        <f>IFERROR(__xludf.DUMMYFUNCTION("""COMPUTED_VALUE"""),"ADV - [IG] [FB] [30%2B] [PIEDADE - 40KM] V%C3%81RIOS")</f>
        <v>ADV - [IG] [FB] [30%2B] [PIEDADE - 40KM] V%C3%81RIOS</v>
      </c>
      <c r="H145" s="18" t="str">
        <f>IFERROR(__xludf.DUMMYFUNCTION("""COMPUTED_VALUE"""),"Facebook_Stories")</f>
        <v>Facebook_Stories</v>
      </c>
      <c r="I145" s="18" t="str">
        <f>IFERROR(__xludf.DUMMYFUNCTION("""COMPUTED_VALUE"""),"07.04 [IMG] [AD04] Pedidos abertos")</f>
        <v>07.04 [IMG] [AD04] Pedidos abertos</v>
      </c>
      <c r="J145" s="18" t="str">
        <f>IFERROR(__xludf.DUMMYFUNCTION("""COMPUTED_VALUE"""),"07.04.2026 [V4] [WB] [LEADS-GRUPO-WHATS] 01")</f>
        <v>07.04.2026 [V4] [WB] [LEADS-GRUPO-WHATS] 01</v>
      </c>
      <c r="K145" s="19" t="str">
        <f t="shared" si="1"/>
        <v>2026-04-20</v>
      </c>
      <c r="L145" s="20">
        <f t="shared" si="2"/>
        <v>46132</v>
      </c>
      <c r="M145" s="19" t="str">
        <f t="shared" si="3"/>
        <v>86097888</v>
      </c>
      <c r="N145" s="19" t="str">
        <f>IFERROR(IF(VLOOKUP(M145,'Leads no grupo Saibai'!C:C,1,FALSE)=M145,"Sim"),"Não")</f>
        <v>Sim</v>
      </c>
      <c r="O145" s="19"/>
    </row>
    <row r="146">
      <c r="A146" s="14" t="s">
        <v>557</v>
      </c>
      <c r="B146" s="15" t="s">
        <v>558</v>
      </c>
      <c r="C146" s="16">
        <v>1.3996724921E10</v>
      </c>
      <c r="D146" s="16" t="s">
        <v>559</v>
      </c>
      <c r="E146" s="17" t="s">
        <v>560</v>
      </c>
      <c r="F146" s="18" t="str">
        <f>IFERROR(__xludf.DUMMYFUNCTION("""COMPUTED_VALUE"""),"google-ads")</f>
        <v>google-ads</v>
      </c>
      <c r="G146" s="18" t="str">
        <f>IFERROR(__xludf.DUMMYFUNCTION("""COMPUTED_VALUE"""),"branding-terms")</f>
        <v>branding-terms</v>
      </c>
      <c r="H146" s="18" t="str">
        <f>IFERROR(__xludf.DUMMYFUNCTION("""COMPUTED_VALUE"""),"saibai")</f>
        <v>saibai</v>
      </c>
      <c r="I146" s="18" t="str">
        <f>IFERROR(__xludf.DUMMYFUNCTION("""COMPUTED_VALUE"""),"786538028159")</f>
        <v>786538028159</v>
      </c>
      <c r="J146" s="18" t="str">
        <f>IFERROR(__xludf.DUMMYFUNCTION("""COMPUTED_VALUE"""),"venda-direta")</f>
        <v>venda-direta</v>
      </c>
      <c r="K146" s="19" t="str">
        <f t="shared" si="1"/>
        <v>2026-04-20</v>
      </c>
      <c r="L146" s="20">
        <f t="shared" si="2"/>
        <v>46132</v>
      </c>
      <c r="M146" s="19" t="str">
        <f t="shared" si="3"/>
        <v>96724921</v>
      </c>
      <c r="N146" s="19" t="str">
        <f>IFERROR(IF(VLOOKUP(M146,'Leads no grupo Saibai'!C:C,1,FALSE)=M146,"Sim"),"Não")</f>
        <v>Sim</v>
      </c>
      <c r="O146" s="19"/>
    </row>
    <row r="147">
      <c r="A147" s="14" t="s">
        <v>561</v>
      </c>
      <c r="B147" s="15" t="s">
        <v>562</v>
      </c>
      <c r="C147" s="16">
        <v>1.5997714232E10</v>
      </c>
      <c r="D147" s="16" t="s">
        <v>563</v>
      </c>
      <c r="E147" s="17" t="s">
        <v>564</v>
      </c>
      <c r="F147" s="18" t="str">
        <f>IFERROR(__xludf.DUMMYFUNCTION("""COMPUTED_VALUE"""),"MetaAds")</f>
        <v>MetaAds</v>
      </c>
      <c r="G147" s="18" t="str">
        <f>IFERROR(__xludf.DUMMYFUNCTION("""COMPUTED_VALUE"""),"ADV - [IG] [FB] [30%2B] [PIEDADE - 40KM] V%C3%81RIOS")</f>
        <v>ADV - [IG] [FB] [30%2B] [PIEDADE - 40KM] V%C3%81RIOS</v>
      </c>
      <c r="H147" s="18" t="str">
        <f>IFERROR(__xludf.DUMMYFUNCTION("""COMPUTED_VALUE"""),"Facebook_Mobile_Feed")</f>
        <v>Facebook_Mobile_Feed</v>
      </c>
      <c r="I147" s="18" t="str">
        <f>IFERROR(__xludf.DUMMYFUNCTION("""COMPUTED_VALUE"""),"07.04 [IMG] [AD02] N%C3%A3o %C3%A9 sobre comida")</f>
        <v>07.04 [IMG] [AD02] N%C3%A3o %C3%A9 sobre comida</v>
      </c>
      <c r="J147" s="18" t="str">
        <f>IFERROR(__xludf.DUMMYFUNCTION("""COMPUTED_VALUE"""),"07.04.2026 [V4] [WB] [LEADS-GRUPO-WHATS] 01")</f>
        <v>07.04.2026 [V4] [WB] [LEADS-GRUPO-WHATS] 01</v>
      </c>
      <c r="K147" s="19" t="str">
        <f t="shared" si="1"/>
        <v>2026-04-21</v>
      </c>
      <c r="L147" s="20">
        <f t="shared" si="2"/>
        <v>46133</v>
      </c>
      <c r="M147" s="19" t="str">
        <f t="shared" si="3"/>
        <v>97714232</v>
      </c>
      <c r="N147" s="19" t="str">
        <f>IFERROR(IF(VLOOKUP(M147,'Leads no grupo Saibai'!C:C,1,FALSE)=M147,"Sim"),"Não")</f>
        <v>Não</v>
      </c>
      <c r="O147" s="19"/>
    </row>
    <row r="148">
      <c r="A148" s="14" t="s">
        <v>565</v>
      </c>
      <c r="B148" s="15" t="s">
        <v>429</v>
      </c>
      <c r="C148" s="16">
        <v>1.6999934108E10</v>
      </c>
      <c r="D148" s="16" t="s">
        <v>186</v>
      </c>
      <c r="E148" s="17" t="s">
        <v>566</v>
      </c>
      <c r="F148" s="18" t="str">
        <f>IFERROR(__xludf.DUMMYFUNCTION("""COMPUTED_VALUE"""),"MetaAds")</f>
        <v>MetaAds</v>
      </c>
      <c r="G148" s="18" t="str">
        <f>IFERROR(__xludf.DUMMYFUNCTION("""COMPUTED_VALUE"""),"ADV - [IG] [FB] [30%2B] [PIEDADE - 40KM] V%C3%81RIOS")</f>
        <v>ADV - [IG] [FB] [30%2B] [PIEDADE - 40KM] V%C3%81RIOS</v>
      </c>
      <c r="H148" s="18" t="str">
        <f>IFERROR(__xludf.DUMMYFUNCTION("""COMPUTED_VALUE"""),"Instagram_Reels")</f>
        <v>Instagram_Reels</v>
      </c>
      <c r="I148" s="18" t="str">
        <f>IFERROR(__xludf.DUMMYFUNCTION("""COMPUTED_VALUE"""),"07.04 [IMG] [AD02] N%C3%A3o %C3%A9 sobre comida")</f>
        <v>07.04 [IMG] [AD02] N%C3%A3o %C3%A9 sobre comida</v>
      </c>
      <c r="J148" s="18" t="str">
        <f>IFERROR(__xludf.DUMMYFUNCTION("""COMPUTED_VALUE"""),"07.04.2026 [V4] [WB] [LEADS-GRUPO-WHATS] 01")</f>
        <v>07.04.2026 [V4] [WB] [LEADS-GRUPO-WHATS] 01</v>
      </c>
      <c r="K148" s="19" t="str">
        <f t="shared" si="1"/>
        <v>2026-04-21</v>
      </c>
      <c r="L148" s="20">
        <f t="shared" si="2"/>
        <v>46133</v>
      </c>
      <c r="M148" s="19" t="str">
        <f t="shared" si="3"/>
        <v>99934108</v>
      </c>
      <c r="N148" s="19" t="str">
        <f>IFERROR(IF(VLOOKUP(M148,'Leads no grupo Saibai'!C:C,1,FALSE)=M148,"Sim"),"Não")</f>
        <v>Sim</v>
      </c>
      <c r="O148" s="19"/>
    </row>
    <row r="149">
      <c r="A149" s="14" t="s">
        <v>567</v>
      </c>
      <c r="B149" s="15" t="s">
        <v>568</v>
      </c>
      <c r="C149" s="16">
        <v>1.1992263043E10</v>
      </c>
      <c r="D149" s="16" t="s">
        <v>569</v>
      </c>
      <c r="E149" s="17" t="s">
        <v>570</v>
      </c>
      <c r="F149" s="18" t="str">
        <f>IFERROR(__xludf.DUMMYFUNCTION("""COMPUTED_VALUE"""),"MetaAds")</f>
        <v>MetaAds</v>
      </c>
      <c r="G149" s="18" t="str">
        <f>IFERROR(__xludf.DUMMYFUNCTION("""COMPUTED_VALUE"""),"ADV - [IG] [FB] [30%2B] [PIEDADE - 40KM] V%C3%81RIOS")</f>
        <v>ADV - [IG] [FB] [30%2B] [PIEDADE - 40KM] V%C3%81RIOS</v>
      </c>
      <c r="H149" s="18" t="str">
        <f>IFERROR(__xludf.DUMMYFUNCTION("""COMPUTED_VALUE"""),"Instagram_Stories")</f>
        <v>Instagram_Stories</v>
      </c>
      <c r="I149" s="18" t="str">
        <f>IFERROR(__xludf.DUMMYFUNCTION("""COMPUTED_VALUE"""),"07.04 [IMG] [AD02] N%C3%A3o %C3%A9 sobre comida")</f>
        <v>07.04 [IMG] [AD02] N%C3%A3o %C3%A9 sobre comida</v>
      </c>
      <c r="J149" s="18" t="str">
        <f>IFERROR(__xludf.DUMMYFUNCTION("""COMPUTED_VALUE"""),"07.04.2026 [V4] [WB] [LEADS-GRUPO-WHATS] 01")</f>
        <v>07.04.2026 [V4] [WB] [LEADS-GRUPO-WHATS] 01</v>
      </c>
      <c r="K149" s="19" t="str">
        <f t="shared" si="1"/>
        <v>2026-04-21</v>
      </c>
      <c r="L149" s="20">
        <f t="shared" si="2"/>
        <v>46133</v>
      </c>
      <c r="M149" s="19" t="str">
        <f t="shared" si="3"/>
        <v>92263043</v>
      </c>
      <c r="N149" s="19" t="str">
        <f>IFERROR(IF(VLOOKUP(M149,'Leads no grupo Saibai'!C:C,1,FALSE)=M149,"Sim"),"Não")</f>
        <v>Sim</v>
      </c>
      <c r="O149" s="19"/>
    </row>
    <row r="150">
      <c r="A150" s="14" t="s">
        <v>571</v>
      </c>
      <c r="B150" s="15" t="s">
        <v>267</v>
      </c>
      <c r="C150" s="16">
        <v>5.515998302E10</v>
      </c>
      <c r="D150" s="16" t="s">
        <v>268</v>
      </c>
      <c r="E150" s="17" t="s">
        <v>572</v>
      </c>
      <c r="F150" s="18" t="str">
        <f>IFERROR(__xludf.DUMMYFUNCTION("""COMPUTED_VALUE"""),"MetaAds")</f>
        <v>MetaAds</v>
      </c>
      <c r="G150" s="18" t="str">
        <f>IFERROR(__xludf.DUMMYFUNCTION("""COMPUTED_VALUE"""),"ADV - [IG] [FB] [30%2B] [PIEDADE - 40KM] V%C3%81RIOS")</f>
        <v>ADV - [IG] [FB] [30%2B] [PIEDADE - 40KM] V%C3%81RIOS</v>
      </c>
      <c r="H150" s="18" t="str">
        <f>IFERROR(__xludf.DUMMYFUNCTION("""COMPUTED_VALUE"""),"Facebook_Stories")</f>
        <v>Facebook_Stories</v>
      </c>
      <c r="I150" s="18" t="str">
        <f>IFERROR(__xludf.DUMMYFUNCTION("""COMPUTED_VALUE"""),"07.04 [IMG] [AD02] N%C3%A3o %C3%A9 sobre comida")</f>
        <v>07.04 [IMG] [AD02] N%C3%A3o %C3%A9 sobre comida</v>
      </c>
      <c r="J150" s="18" t="str">
        <f>IFERROR(__xludf.DUMMYFUNCTION("""COMPUTED_VALUE"""),"07.04.2026 [V4] [WB] [LEADS-GRUPO-WHATS] 01")</f>
        <v>07.04.2026 [V4] [WB] [LEADS-GRUPO-WHATS] 01</v>
      </c>
      <c r="K150" s="19" t="str">
        <f t="shared" si="1"/>
        <v>2026-04-21</v>
      </c>
      <c r="L150" s="20">
        <f t="shared" si="2"/>
        <v>46133</v>
      </c>
      <c r="M150" s="19" t="str">
        <f t="shared" si="3"/>
        <v>59983020</v>
      </c>
      <c r="N150" s="19" t="str">
        <f>IFERROR(IF(VLOOKUP(M150,'Leads no grupo Saibai'!C:C,1,FALSE)=M150,"Sim"),"Não")</f>
        <v>Não</v>
      </c>
      <c r="O150" s="19"/>
    </row>
    <row r="151">
      <c r="A151" s="14" t="s">
        <v>573</v>
      </c>
      <c r="B151" s="15" t="s">
        <v>174</v>
      </c>
      <c r="C151" s="16">
        <v>1.199988559E10</v>
      </c>
      <c r="D151" s="16" t="s">
        <v>175</v>
      </c>
      <c r="E151" s="17" t="s">
        <v>574</v>
      </c>
      <c r="F151" s="18" t="str">
        <f>IFERROR(__xludf.DUMMYFUNCTION("""COMPUTED_VALUE"""),"MetaAds")</f>
        <v>MetaAds</v>
      </c>
      <c r="G151" s="18" t="str">
        <f>IFERROR(__xludf.DUMMYFUNCTION("""COMPUTED_VALUE"""),"ADV - [IG] [FB] [30%2B] [PIEDADE - 40KM] V%C3%81RIOS")</f>
        <v>ADV - [IG] [FB] [30%2B] [PIEDADE - 40KM] V%C3%81RIOS</v>
      </c>
      <c r="H151" s="18" t="str">
        <f>IFERROR(__xludf.DUMMYFUNCTION("""COMPUTED_VALUE"""),"Facebook_Mobile_Feed")</f>
        <v>Facebook_Mobile_Feed</v>
      </c>
      <c r="I151" s="18" t="str">
        <f>IFERROR(__xludf.DUMMYFUNCTION("""COMPUTED_VALUE"""),"07.04 [IMG] [AD02] N%C3%A3o %C3%A9 sobre comida")</f>
        <v>07.04 [IMG] [AD02] N%C3%A3o %C3%A9 sobre comida</v>
      </c>
      <c r="J151" s="18" t="str">
        <f>IFERROR(__xludf.DUMMYFUNCTION("""COMPUTED_VALUE"""),"07.04.2026 [V4] [WB] [LEADS-GRUPO-WHATS] 01")</f>
        <v>07.04.2026 [V4] [WB] [LEADS-GRUPO-WHATS] 01</v>
      </c>
      <c r="K151" s="19" t="str">
        <f t="shared" si="1"/>
        <v>2026-04-21</v>
      </c>
      <c r="L151" s="20">
        <f t="shared" si="2"/>
        <v>46133</v>
      </c>
      <c r="M151" s="19" t="str">
        <f t="shared" si="3"/>
        <v>99885590</v>
      </c>
      <c r="N151" s="19" t="str">
        <f>IFERROR(IF(VLOOKUP(M151,'Leads no grupo Saibai'!C:C,1,FALSE)=M151,"Sim"),"Não")</f>
        <v>Sim</v>
      </c>
      <c r="O151" s="19"/>
    </row>
    <row r="152">
      <c r="A152" s="14" t="s">
        <v>575</v>
      </c>
      <c r="B152" s="15" t="s">
        <v>576</v>
      </c>
      <c r="C152" s="16">
        <v>1.6999934108E10</v>
      </c>
      <c r="D152" s="16" t="s">
        <v>577</v>
      </c>
      <c r="E152" s="17" t="s">
        <v>578</v>
      </c>
      <c r="F152" s="18" t="str">
        <f>IFERROR(__xludf.DUMMYFUNCTION("""COMPUTED_VALUE"""),"MetaAds")</f>
        <v>MetaAds</v>
      </c>
      <c r="G152" s="18" t="str">
        <f>IFERROR(__xludf.DUMMYFUNCTION("""COMPUTED_VALUE"""),"ADV - [IG] [FB] [30%2B] [PIEDADE - 40KM] V%C3%81RIOS")</f>
        <v>ADV - [IG] [FB] [30%2B] [PIEDADE - 40KM] V%C3%81RIOS</v>
      </c>
      <c r="H152" s="18" t="str">
        <f>IFERROR(__xludf.DUMMYFUNCTION("""COMPUTED_VALUE"""),"an")</f>
        <v>an</v>
      </c>
      <c r="I152" s="18" t="str">
        <f>IFERROR(__xludf.DUMMYFUNCTION("""COMPUTED_VALUE"""),"07.04 [IMG] [AD02] N%C3%A3o %C3%A9 sobre comida")</f>
        <v>07.04 [IMG] [AD02] N%C3%A3o %C3%A9 sobre comida</v>
      </c>
      <c r="J152" s="18" t="str">
        <f>IFERROR(__xludf.DUMMYFUNCTION("""COMPUTED_VALUE"""),"07.04.2026 [V4] [WB] [LEADS-GRUPO-WHATS] 01")</f>
        <v>07.04.2026 [V4] [WB] [LEADS-GRUPO-WHATS] 01</v>
      </c>
      <c r="K152" s="19" t="str">
        <f t="shared" si="1"/>
        <v>2026-04-21</v>
      </c>
      <c r="L152" s="20">
        <f t="shared" si="2"/>
        <v>46133</v>
      </c>
      <c r="M152" s="19" t="str">
        <f t="shared" si="3"/>
        <v>99934108</v>
      </c>
      <c r="N152" s="19" t="str">
        <f>IFERROR(IF(VLOOKUP(M152,'Leads no grupo Saibai'!C:C,1,FALSE)=M152,"Sim"),"Não")</f>
        <v>Sim</v>
      </c>
      <c r="O152" s="19"/>
    </row>
    <row r="153">
      <c r="A153" s="14" t="s">
        <v>579</v>
      </c>
      <c r="B153" s="15" t="s">
        <v>340</v>
      </c>
      <c r="C153" s="16">
        <v>1.1975424567E10</v>
      </c>
      <c r="D153" s="16" t="s">
        <v>341</v>
      </c>
      <c r="E153" s="17" t="s">
        <v>580</v>
      </c>
      <c r="F153" s="18" t="str">
        <f>IFERROR(__xludf.DUMMYFUNCTION("""COMPUTED_VALUE"""),"MetaAds")</f>
        <v>MetaAds</v>
      </c>
      <c r="G153" s="18" t="str">
        <f>IFERROR(__xludf.DUMMYFUNCTION("""COMPUTED_VALUE"""),"ADV - [IG] [FB] [30%2B] [PIEDADE - 40KM] V%C3%81RIOS")</f>
        <v>ADV - [IG] [FB] [30%2B] [PIEDADE - 40KM] V%C3%81RIOS</v>
      </c>
      <c r="H153" s="18" t="str">
        <f>IFERROR(__xludf.DUMMYFUNCTION("""COMPUTED_VALUE"""),"Instagram_Feed")</f>
        <v>Instagram_Feed</v>
      </c>
      <c r="I153" s="18" t="str">
        <f>IFERROR(__xludf.DUMMYFUNCTION("""COMPUTED_VALUE"""),"07.04 [IMG] [AD02] N%C3%A3o %C3%A9 sobre comida")</f>
        <v>07.04 [IMG] [AD02] N%C3%A3o %C3%A9 sobre comida</v>
      </c>
      <c r="J153" s="18" t="str">
        <f>IFERROR(__xludf.DUMMYFUNCTION("""COMPUTED_VALUE"""),"07.04.2026 [V4] [WB] [LEADS-GRUPO-WHATS] 01")</f>
        <v>07.04.2026 [V4] [WB] [LEADS-GRUPO-WHATS] 01</v>
      </c>
      <c r="K153" s="19" t="str">
        <f t="shared" si="1"/>
        <v>2026-04-21</v>
      </c>
      <c r="L153" s="20">
        <f t="shared" si="2"/>
        <v>46133</v>
      </c>
      <c r="M153" s="19" t="str">
        <f t="shared" si="3"/>
        <v>75424567</v>
      </c>
      <c r="N153" s="19" t="str">
        <f>IFERROR(IF(VLOOKUP(M153,'Leads no grupo Saibai'!C:C,1,FALSE)=M153,"Sim"),"Não")</f>
        <v>Sim</v>
      </c>
      <c r="O153" s="19"/>
    </row>
    <row r="154">
      <c r="A154" s="14" t="s">
        <v>581</v>
      </c>
      <c r="B154" s="15" t="s">
        <v>582</v>
      </c>
      <c r="C154" s="16">
        <v>5.5159980065E10</v>
      </c>
      <c r="D154" s="16" t="s">
        <v>583</v>
      </c>
      <c r="E154" s="17" t="s">
        <v>584</v>
      </c>
      <c r="F154" s="18" t="str">
        <f>IFERROR(__xludf.DUMMYFUNCTION("""COMPUTED_VALUE"""),"MetaAds")</f>
        <v>MetaAds</v>
      </c>
      <c r="G154" s="18" t="str">
        <f>IFERROR(__xludf.DUMMYFUNCTION("""COMPUTED_VALUE"""),"ADV - [IG] [FB] [30%2B] [PIEDADE - 40KM] V%C3%81RIOS")</f>
        <v>ADV - [IG] [FB] [30%2B] [PIEDADE - 40KM] V%C3%81RIOS</v>
      </c>
      <c r="H154" s="18" t="str">
        <f>IFERROR(__xludf.DUMMYFUNCTION("""COMPUTED_VALUE"""),"Facebook_Mobile_Reels")</f>
        <v>Facebook_Mobile_Reels</v>
      </c>
      <c r="I154" s="18" t="str">
        <f>IFERROR(__xludf.DUMMYFUNCTION("""COMPUTED_VALUE"""),"07.04 [IMG] [AD02] N%C3%A3o %C3%A9 sobre comida")</f>
        <v>07.04 [IMG] [AD02] N%C3%A3o %C3%A9 sobre comida</v>
      </c>
      <c r="J154" s="18" t="str">
        <f>IFERROR(__xludf.DUMMYFUNCTION("""COMPUTED_VALUE"""),"07.04.2026 [V4] [WB] [LEADS-GRUPO-WHATS] 01")</f>
        <v>07.04.2026 [V4] [WB] [LEADS-GRUPO-WHATS] 01</v>
      </c>
      <c r="K154" s="19" t="str">
        <f t="shared" si="1"/>
        <v>2026-04-21</v>
      </c>
      <c r="L154" s="20">
        <f t="shared" si="2"/>
        <v>46133</v>
      </c>
      <c r="M154" s="19" t="str">
        <f t="shared" si="3"/>
        <v>59980065</v>
      </c>
      <c r="N154" s="19" t="str">
        <f>IFERROR(IF(VLOOKUP(M154,'Leads no grupo Saibai'!C:C,1,FALSE)=M154,"Sim"),"Não")</f>
        <v>Não</v>
      </c>
      <c r="O154" s="19"/>
    </row>
    <row r="155">
      <c r="A155" s="14" t="s">
        <v>585</v>
      </c>
      <c r="B155" s="15" t="s">
        <v>586</v>
      </c>
      <c r="C155" s="16">
        <v>1.1956407025E10</v>
      </c>
      <c r="D155" s="16" t="s">
        <v>587</v>
      </c>
      <c r="E155" s="17" t="s">
        <v>588</v>
      </c>
      <c r="F155" s="18" t="str">
        <f>IFERROR(__xludf.DUMMYFUNCTION("""COMPUTED_VALUE"""),"MetaAds")</f>
        <v>MetaAds</v>
      </c>
      <c r="G155" s="18" t="str">
        <f>IFERROR(__xludf.DUMMYFUNCTION("""COMPUTED_VALUE"""),"ADV - [IG] [FB] [30%2B] [PIEDADE - 40KM] V%C3%81RIOS")</f>
        <v>ADV - [IG] [FB] [30%2B] [PIEDADE - 40KM] V%C3%81RIOS</v>
      </c>
      <c r="H155" s="18" t="str">
        <f>IFERROR(__xludf.DUMMYFUNCTION("""COMPUTED_VALUE"""),"Facebook_Stories")</f>
        <v>Facebook_Stories</v>
      </c>
      <c r="I155" s="18" t="str">
        <f>IFERROR(__xludf.DUMMYFUNCTION("""COMPUTED_VALUE"""),"07.04 [IMG] [AD03] Mais de 50 anos")</f>
        <v>07.04 [IMG] [AD03] Mais de 50 anos</v>
      </c>
      <c r="J155" s="18" t="str">
        <f>IFERROR(__xludf.DUMMYFUNCTION("""COMPUTED_VALUE"""),"07.04.2026 [V4] [WB] [LEADS-GRUPO-WHATS] 01")</f>
        <v>07.04.2026 [V4] [WB] [LEADS-GRUPO-WHATS] 01</v>
      </c>
      <c r="K155" s="19" t="str">
        <f t="shared" si="1"/>
        <v>2026-04-21</v>
      </c>
      <c r="L155" s="20">
        <f t="shared" si="2"/>
        <v>46133</v>
      </c>
      <c r="M155" s="19" t="str">
        <f t="shared" si="3"/>
        <v>56407025</v>
      </c>
      <c r="N155" s="19" t="str">
        <f>IFERROR(IF(VLOOKUP(M155,'Leads no grupo Saibai'!C:C,1,FALSE)=M155,"Sim"),"Não")</f>
        <v>Não</v>
      </c>
      <c r="O155" s="19"/>
    </row>
    <row r="156">
      <c r="A156" s="14" t="s">
        <v>589</v>
      </c>
      <c r="B156" s="15" t="s">
        <v>348</v>
      </c>
      <c r="C156" s="16">
        <v>1.5997717274E10</v>
      </c>
      <c r="D156" s="16" t="s">
        <v>349</v>
      </c>
      <c r="E156" s="17" t="s">
        <v>590</v>
      </c>
      <c r="F156" s="18" t="str">
        <f>IFERROR(__xludf.DUMMYFUNCTION("""COMPUTED_VALUE"""),"MetaAds")</f>
        <v>MetaAds</v>
      </c>
      <c r="G156" s="18" t="str">
        <f>IFERROR(__xludf.DUMMYFUNCTION("""COMPUTED_VALUE"""),"ADV - [IG] [FB] [30%2B] [PIEDADE - 40KM] V%C3%81RIOS")</f>
        <v>ADV - [IG] [FB] [30%2B] [PIEDADE - 40KM] V%C3%81RIOS</v>
      </c>
      <c r="H156" s="18" t="str">
        <f>IFERROR(__xludf.DUMMYFUNCTION("""COMPUTED_VALUE"""),"Instagram_Feed")</f>
        <v>Instagram_Feed</v>
      </c>
      <c r="I156" s="18" t="str">
        <f>IFERROR(__xludf.DUMMYFUNCTION("""COMPUTED_VALUE"""),"07.04 [IMG] [AD02] N%C3%A3o %C3%A9 sobre comida")</f>
        <v>07.04 [IMG] [AD02] N%C3%A3o %C3%A9 sobre comida</v>
      </c>
      <c r="J156" s="18" t="str">
        <f>IFERROR(__xludf.DUMMYFUNCTION("""COMPUTED_VALUE"""),"07.04.2026 [V4] [WB] [LEADS-GRUPO-WHATS] 01")</f>
        <v>07.04.2026 [V4] [WB] [LEADS-GRUPO-WHATS] 01</v>
      </c>
      <c r="K156" s="19" t="str">
        <f t="shared" si="1"/>
        <v>2026-04-21</v>
      </c>
      <c r="L156" s="20">
        <f t="shared" si="2"/>
        <v>46133</v>
      </c>
      <c r="M156" s="19" t="str">
        <f t="shared" si="3"/>
        <v>97717274</v>
      </c>
      <c r="N156" s="19" t="str">
        <f>IFERROR(IF(VLOOKUP(M156,'Leads no grupo Saibai'!C:C,1,FALSE)=M156,"Sim"),"Não")</f>
        <v>Sim</v>
      </c>
      <c r="O156" s="19"/>
    </row>
    <row r="157">
      <c r="A157" s="14" t="s">
        <v>591</v>
      </c>
      <c r="B157" s="15" t="s">
        <v>592</v>
      </c>
      <c r="C157" s="16">
        <v>1.5997721456E10</v>
      </c>
      <c r="D157" s="16" t="s">
        <v>593</v>
      </c>
      <c r="E157" s="17" t="s">
        <v>594</v>
      </c>
      <c r="F157" s="18" t="str">
        <f>IFERROR(__xludf.DUMMYFUNCTION("""COMPUTED_VALUE"""),"MetaAds")</f>
        <v>MetaAds</v>
      </c>
      <c r="G157" s="18" t="str">
        <f>IFERROR(__xludf.DUMMYFUNCTION("""COMPUTED_VALUE"""),"ADV - [IG] [FB] [30%2B] [PIEDADE - 40KM] V%C3%81RIOS")</f>
        <v>ADV - [IG] [FB] [30%2B] [PIEDADE - 40KM] V%C3%81RIOS</v>
      </c>
      <c r="H157" s="18" t="str">
        <f>IFERROR(__xludf.DUMMYFUNCTION("""COMPUTED_VALUE"""),"Instagram_Feed")</f>
        <v>Instagram_Feed</v>
      </c>
      <c r="I157" s="18" t="str">
        <f>IFERROR(__xludf.DUMMYFUNCTION("""COMPUTED_VALUE"""),"07.04 [IMG] [AD04] Pedidos abertos")</f>
        <v>07.04 [IMG] [AD04] Pedidos abertos</v>
      </c>
      <c r="J157" s="18" t="str">
        <f>IFERROR(__xludf.DUMMYFUNCTION("""COMPUTED_VALUE"""),"07.04.2026 [V4] [WB] [LEADS-GRUPO-WHATS] 02")</f>
        <v>07.04.2026 [V4] [WB] [LEADS-GRUPO-WHATS] 02</v>
      </c>
      <c r="K157" s="19" t="str">
        <f t="shared" si="1"/>
        <v>2026-04-22</v>
      </c>
      <c r="L157" s="20">
        <f t="shared" si="2"/>
        <v>46134</v>
      </c>
      <c r="M157" s="19" t="str">
        <f t="shared" si="3"/>
        <v>97721456</v>
      </c>
      <c r="N157" s="19" t="str">
        <f>IFERROR(IF(VLOOKUP(M157,'Leads no grupo Saibai'!C:C,1,FALSE)=M157,"Sim"),"Não")</f>
        <v>Não</v>
      </c>
      <c r="O157" s="19"/>
    </row>
    <row r="158">
      <c r="A158" s="14" t="s">
        <v>595</v>
      </c>
      <c r="B158" s="15" t="s">
        <v>596</v>
      </c>
      <c r="C158" s="16">
        <v>1.999180962E10</v>
      </c>
      <c r="D158" s="16" t="s">
        <v>597</v>
      </c>
      <c r="E158" s="17" t="s">
        <v>580</v>
      </c>
      <c r="F158" s="18" t="str">
        <f>IFERROR(__xludf.DUMMYFUNCTION("""COMPUTED_VALUE"""),"MetaAds")</f>
        <v>MetaAds</v>
      </c>
      <c r="G158" s="18" t="str">
        <f>IFERROR(__xludf.DUMMYFUNCTION("""COMPUTED_VALUE"""),"ADV - [IG] [FB] [30%2B] [PIEDADE - 40KM] V%C3%81RIOS")</f>
        <v>ADV - [IG] [FB] [30%2B] [PIEDADE - 40KM] V%C3%81RIOS</v>
      </c>
      <c r="H158" s="18" t="str">
        <f>IFERROR(__xludf.DUMMYFUNCTION("""COMPUTED_VALUE"""),"Instagram_Feed")</f>
        <v>Instagram_Feed</v>
      </c>
      <c r="I158" s="18" t="str">
        <f>IFERROR(__xludf.DUMMYFUNCTION("""COMPUTED_VALUE"""),"07.04 [IMG] [AD02] N%C3%A3o %C3%A9 sobre comida")</f>
        <v>07.04 [IMG] [AD02] N%C3%A3o %C3%A9 sobre comida</v>
      </c>
      <c r="J158" s="18" t="str">
        <f>IFERROR(__xludf.DUMMYFUNCTION("""COMPUTED_VALUE"""),"07.04.2026 [V4] [WB] [LEADS-GRUPO-WHATS] 01")</f>
        <v>07.04.2026 [V4] [WB] [LEADS-GRUPO-WHATS] 01</v>
      </c>
      <c r="K158" s="19" t="str">
        <f t="shared" si="1"/>
        <v>2026-04-22</v>
      </c>
      <c r="L158" s="20">
        <f t="shared" si="2"/>
        <v>46134</v>
      </c>
      <c r="M158" s="19" t="str">
        <f t="shared" si="3"/>
        <v>91809620</v>
      </c>
      <c r="N158" s="19" t="str">
        <f>IFERROR(IF(VLOOKUP(M158,'Leads no grupo Saibai'!C:C,1,FALSE)=M158,"Sim"),"Não")</f>
        <v>Não</v>
      </c>
      <c r="O158" s="19"/>
    </row>
    <row r="159">
      <c r="A159" s="14" t="s">
        <v>598</v>
      </c>
      <c r="B159" s="15" t="s">
        <v>599</v>
      </c>
      <c r="C159" s="16">
        <v>5.5119648048E10</v>
      </c>
      <c r="D159" s="16" t="s">
        <v>600</v>
      </c>
      <c r="E159" s="17" t="s">
        <v>601</v>
      </c>
      <c r="F159" s="18" t="str">
        <f>IFERROR(__xludf.DUMMYFUNCTION("""COMPUTED_VALUE"""),"MetaAds")</f>
        <v>MetaAds</v>
      </c>
      <c r="G159" s="18" t="str">
        <f>IFERROR(__xludf.DUMMYFUNCTION("""COMPUTED_VALUE"""),"ADV - [IG] [FB] [30%2B] [PIEDADE - 40KM] V%C3%81RIOS")</f>
        <v>ADV - [IG] [FB] [30%2B] [PIEDADE - 40KM] V%C3%81RIOS</v>
      </c>
      <c r="H159" s="18" t="str">
        <f>IFERROR(__xludf.DUMMYFUNCTION("""COMPUTED_VALUE"""),"Facebook_Mobile_Feed")</f>
        <v>Facebook_Mobile_Feed</v>
      </c>
      <c r="I159" s="18" t="str">
        <f>IFERROR(__xludf.DUMMYFUNCTION("""COMPUTED_VALUE"""),"07.04 [IMG] [AD02] N%C3%A3o %C3%A9 sobre comida")</f>
        <v>07.04 [IMG] [AD02] N%C3%A3o %C3%A9 sobre comida</v>
      </c>
      <c r="J159" s="18" t="str">
        <f>IFERROR(__xludf.DUMMYFUNCTION("""COMPUTED_VALUE"""),"07.04.2026 [V4] [WB] [LEADS-GRUPO-WHATS] 01")</f>
        <v>07.04.2026 [V4] [WB] [LEADS-GRUPO-WHATS] 01</v>
      </c>
      <c r="K159" s="19" t="str">
        <f t="shared" si="1"/>
        <v>2026-04-22</v>
      </c>
      <c r="L159" s="20">
        <f t="shared" si="2"/>
        <v>46134</v>
      </c>
      <c r="M159" s="19" t="str">
        <f t="shared" si="3"/>
        <v>19648048</v>
      </c>
      <c r="N159" s="19" t="str">
        <f>IFERROR(IF(VLOOKUP(M159,'Leads no grupo Saibai'!C:C,1,FALSE)=M159,"Sim"),"Não")</f>
        <v>Não</v>
      </c>
      <c r="O159" s="19"/>
    </row>
    <row r="160">
      <c r="A160" s="14" t="s">
        <v>602</v>
      </c>
      <c r="B160" s="15" t="s">
        <v>603</v>
      </c>
      <c r="C160" s="16">
        <v>1.5991048321E10</v>
      </c>
      <c r="D160" s="16" t="s">
        <v>604</v>
      </c>
      <c r="E160" s="17" t="s">
        <v>605</v>
      </c>
      <c r="F160" s="18" t="str">
        <f>IFERROR(__xludf.DUMMYFUNCTION("""COMPUTED_VALUE"""),"MetaAds")</f>
        <v>MetaAds</v>
      </c>
      <c r="G160" s="18" t="str">
        <f>IFERROR(__xludf.DUMMYFUNCTION("""COMPUTED_VALUE"""),"ADV - [IG] [FB] [30%2B] [PIEDADE - 40KM] V%C3%81RIOS")</f>
        <v>ADV - [IG] [FB] [30%2B] [PIEDADE - 40KM] V%C3%81RIOS</v>
      </c>
      <c r="H160" s="18" t="str">
        <f>IFERROR(__xludf.DUMMYFUNCTION("""COMPUTED_VALUE"""),"Instagram_Feed")</f>
        <v>Instagram_Feed</v>
      </c>
      <c r="I160" s="18" t="str">
        <f>IFERROR(__xludf.DUMMYFUNCTION("""COMPUTED_VALUE"""),"07.04 [IMG] [AD04] Pedidos abertos")</f>
        <v>07.04 [IMG] [AD04] Pedidos abertos</v>
      </c>
      <c r="J160" s="18" t="str">
        <f>IFERROR(__xludf.DUMMYFUNCTION("""COMPUTED_VALUE"""),"07.04.2026 [V4] [WB] [LEADS-GRUPO-WHATS] 02")</f>
        <v>07.04.2026 [V4] [WB] [LEADS-GRUPO-WHATS] 02</v>
      </c>
      <c r="K160" s="19" t="str">
        <f t="shared" si="1"/>
        <v>2026-04-22</v>
      </c>
      <c r="L160" s="20">
        <f t="shared" si="2"/>
        <v>46134</v>
      </c>
      <c r="M160" s="19" t="str">
        <f t="shared" si="3"/>
        <v>91048321</v>
      </c>
      <c r="N160" s="19" t="str">
        <f>IFERROR(IF(VLOOKUP(M160,'Leads no grupo Saibai'!C:C,1,FALSE)=M160,"Sim"),"Não")</f>
        <v>Sim</v>
      </c>
      <c r="O160" s="19"/>
    </row>
    <row r="161">
      <c r="A161" s="14" t="s">
        <v>606</v>
      </c>
      <c r="B161" s="15" t="s">
        <v>607</v>
      </c>
      <c r="C161" s="16">
        <v>5.51194062E10</v>
      </c>
      <c r="D161" s="16" t="s">
        <v>608</v>
      </c>
      <c r="E161" s="17" t="s">
        <v>609</v>
      </c>
      <c r="F161" s="18" t="str">
        <f>IFERROR(__xludf.DUMMYFUNCTION("""COMPUTED_VALUE"""),"MetaAds")</f>
        <v>MetaAds</v>
      </c>
      <c r="G161" s="18" t="str">
        <f>IFERROR(__xludf.DUMMYFUNCTION("""COMPUTED_VALUE"""),"ADV - [IG] [FB] [30%2B] [PIEDADE - 40KM] V%C3%81RIOS")</f>
        <v>ADV - [IG] [FB] [30%2B] [PIEDADE - 40KM] V%C3%81RIOS</v>
      </c>
      <c r="H161" s="18" t="str">
        <f>IFERROR(__xludf.DUMMYFUNCTION("""COMPUTED_VALUE"""),"Facebook_Mobile_Feed")</f>
        <v>Facebook_Mobile_Feed</v>
      </c>
      <c r="I161" s="18" t="str">
        <f>IFERROR(__xludf.DUMMYFUNCTION("""COMPUTED_VALUE"""),"07.04 [IMG] [AD02] N%C3%A3o %C3%A9 sobre comida")</f>
        <v>07.04 [IMG] [AD02] N%C3%A3o %C3%A9 sobre comida</v>
      </c>
      <c r="J161" s="18" t="str">
        <f>IFERROR(__xludf.DUMMYFUNCTION("""COMPUTED_VALUE"""),"07.04.2026 [V4] [WB] [LEADS-GRUPO-WHATS] 01")</f>
        <v>07.04.2026 [V4] [WB] [LEADS-GRUPO-WHATS] 01</v>
      </c>
      <c r="K161" s="19" t="str">
        <f t="shared" si="1"/>
        <v>2026-04-22</v>
      </c>
      <c r="L161" s="20">
        <f t="shared" si="2"/>
        <v>46134</v>
      </c>
      <c r="M161" s="19" t="str">
        <f t="shared" si="3"/>
        <v>19406200</v>
      </c>
      <c r="N161" s="19" t="str">
        <f>IFERROR(IF(VLOOKUP(M161,'Leads no grupo Saibai'!C:C,1,FALSE)=M161,"Sim"),"Não")</f>
        <v>Não</v>
      </c>
      <c r="O161" s="19"/>
    </row>
    <row r="162">
      <c r="A162" s="14" t="s">
        <v>610</v>
      </c>
      <c r="B162" s="15" t="s">
        <v>611</v>
      </c>
      <c r="C162" s="16">
        <v>1.5996798801E10</v>
      </c>
      <c r="D162" s="16" t="s">
        <v>612</v>
      </c>
      <c r="E162" s="17" t="s">
        <v>613</v>
      </c>
      <c r="F162" s="18" t="str">
        <f>IFERROR(__xludf.DUMMYFUNCTION("""COMPUTED_VALUE"""),"MetaAds")</f>
        <v>MetaAds</v>
      </c>
      <c r="G162" s="18" t="str">
        <f>IFERROR(__xludf.DUMMYFUNCTION("""COMPUTED_VALUE"""),"ADV - [IG] [FB] [30%2B] [PIEDADE - 40KM] V%C3%81RIOS")</f>
        <v>ADV - [IG] [FB] [30%2B] [PIEDADE - 40KM] V%C3%81RIOS</v>
      </c>
      <c r="H162" s="18" t="str">
        <f>IFERROR(__xludf.DUMMYFUNCTION("""COMPUTED_VALUE"""),"Facebook_Mobile_Feed")</f>
        <v>Facebook_Mobile_Feed</v>
      </c>
      <c r="I162" s="18" t="str">
        <f>IFERROR(__xludf.DUMMYFUNCTION("""COMPUTED_VALUE"""),"07.04 [IMG] [AD04] Pedidos abertos")</f>
        <v>07.04 [IMG] [AD04] Pedidos abertos</v>
      </c>
      <c r="J162" s="18" t="str">
        <f>IFERROR(__xludf.DUMMYFUNCTION("""COMPUTED_VALUE"""),"07.04.2026 [V4] [WB] [LEADS-GRUPO-WHATS] 02")</f>
        <v>07.04.2026 [V4] [WB] [LEADS-GRUPO-WHATS] 02</v>
      </c>
      <c r="K162" s="19" t="str">
        <f t="shared" si="1"/>
        <v>2026-04-22</v>
      </c>
      <c r="L162" s="20">
        <f t="shared" si="2"/>
        <v>46134</v>
      </c>
      <c r="M162" s="19" t="str">
        <f t="shared" si="3"/>
        <v>96798801</v>
      </c>
      <c r="N162" s="19" t="str">
        <f>IFERROR(IF(VLOOKUP(M162,'Leads no grupo Saibai'!C:C,1,FALSE)=M162,"Sim"),"Não")</f>
        <v>Sim</v>
      </c>
      <c r="O162" s="19"/>
    </row>
    <row r="163">
      <c r="A163" s="14" t="s">
        <v>614</v>
      </c>
      <c r="B163" s="15" t="s">
        <v>615</v>
      </c>
      <c r="C163" s="16">
        <v>1.5997910364E10</v>
      </c>
      <c r="D163" s="16" t="s">
        <v>616</v>
      </c>
      <c r="E163" s="17" t="s">
        <v>617</v>
      </c>
      <c r="F163" s="18" t="str">
        <f>IFERROR(__xludf.DUMMYFUNCTION("""COMPUTED_VALUE"""),"MetaAds")</f>
        <v>MetaAds</v>
      </c>
      <c r="G163" s="18" t="str">
        <f>IFERROR(__xludf.DUMMYFUNCTION("""COMPUTED_VALUE"""),"ADV - [IG] [FB] [30%2B] [PIEDADE - 40KM] V%C3%81RIOS")</f>
        <v>ADV - [IG] [FB] [30%2B] [PIEDADE - 40KM] V%C3%81RIOS</v>
      </c>
      <c r="H163" s="18" t="str">
        <f>IFERROR(__xludf.DUMMYFUNCTION("""COMPUTED_VALUE"""),"Instagram_Stories")</f>
        <v>Instagram_Stories</v>
      </c>
      <c r="I163" s="18" t="str">
        <f>IFERROR(__xludf.DUMMYFUNCTION("""COMPUTED_VALUE"""),"07.04 [IMG] [AD02] N%C3%A3o %C3%A9 sobre comida")</f>
        <v>07.04 [IMG] [AD02] N%C3%A3o %C3%A9 sobre comida</v>
      </c>
      <c r="J163" s="18" t="str">
        <f>IFERROR(__xludf.DUMMYFUNCTION("""COMPUTED_VALUE"""),"07.04.2026 [V4] [WB] [LEADS-GRUPO-WHATS] 01")</f>
        <v>07.04.2026 [V4] [WB] [LEADS-GRUPO-WHATS] 01</v>
      </c>
      <c r="K163" s="19" t="str">
        <f t="shared" si="1"/>
        <v>2026-04-23</v>
      </c>
      <c r="L163" s="20">
        <f t="shared" si="2"/>
        <v>46135</v>
      </c>
      <c r="M163" s="19" t="str">
        <f t="shared" si="3"/>
        <v>97910364</v>
      </c>
      <c r="N163" s="19" t="str">
        <f>IFERROR(IF(VLOOKUP(M163,'Leads no grupo Saibai'!C:C,1,FALSE)=M163,"Sim"),"Não")</f>
        <v>Sim</v>
      </c>
      <c r="O163" s="19"/>
    </row>
    <row r="164">
      <c r="A164" s="14" t="s">
        <v>618</v>
      </c>
      <c r="B164" s="15" t="s">
        <v>619</v>
      </c>
      <c r="C164" s="16">
        <v>1.1994988704E10</v>
      </c>
      <c r="D164" s="16" t="s">
        <v>620</v>
      </c>
      <c r="E164" s="17" t="s">
        <v>621</v>
      </c>
      <c r="F164" s="18" t="str">
        <f>IFERROR(__xludf.DUMMYFUNCTION("""COMPUTED_VALUE"""),"MetaAds")</f>
        <v>MetaAds</v>
      </c>
      <c r="G164" s="18" t="str">
        <f>IFERROR(__xludf.DUMMYFUNCTION("""COMPUTED_VALUE"""),"ADV - [IG] [FB] [30%2B] [PIEDADE - 40KM] V%C3%81RIOS")</f>
        <v>ADV - [IG] [FB] [30%2B] [PIEDADE - 40KM] V%C3%81RIOS</v>
      </c>
      <c r="H164" s="18" t="str">
        <f>IFERROR(__xludf.DUMMYFUNCTION("""COMPUTED_VALUE"""),"Facebook_Mobile_Reels")</f>
        <v>Facebook_Mobile_Reels</v>
      </c>
      <c r="I164" s="18" t="str">
        <f>IFERROR(__xludf.DUMMYFUNCTION("""COMPUTED_VALUE"""),"07.04 [IMG] [AD02] N%C3%A3o %C3%A9 sobre comida")</f>
        <v>07.04 [IMG] [AD02] N%C3%A3o %C3%A9 sobre comida</v>
      </c>
      <c r="J164" s="18" t="str">
        <f>IFERROR(__xludf.DUMMYFUNCTION("""COMPUTED_VALUE"""),"07.04.2026 [V4] [WB] [LEADS-GRUPO-WHATS] 01")</f>
        <v>07.04.2026 [V4] [WB] [LEADS-GRUPO-WHATS] 01</v>
      </c>
      <c r="K164" s="19" t="str">
        <f t="shared" si="1"/>
        <v>2026-04-23</v>
      </c>
      <c r="L164" s="20">
        <f t="shared" si="2"/>
        <v>46135</v>
      </c>
      <c r="M164" s="19" t="str">
        <f t="shared" si="3"/>
        <v>94988704</v>
      </c>
      <c r="N164" s="19" t="str">
        <f>IFERROR(IF(VLOOKUP(M164,'Leads no grupo Saibai'!C:C,1,FALSE)=M164,"Sim"),"Não")</f>
        <v>Sim</v>
      </c>
      <c r="O164" s="19"/>
    </row>
    <row r="165">
      <c r="A165" s="14" t="s">
        <v>622</v>
      </c>
      <c r="B165" s="15" t="s">
        <v>499</v>
      </c>
      <c r="C165" s="16">
        <v>1.5996929234E10</v>
      </c>
      <c r="D165" s="16" t="s">
        <v>500</v>
      </c>
      <c r="E165" s="17" t="s">
        <v>623</v>
      </c>
      <c r="F165" s="18" t="str">
        <f>IFERROR(__xludf.DUMMYFUNCTION("""COMPUTED_VALUE"""),"MetaAds")</f>
        <v>MetaAds</v>
      </c>
      <c r="G165" s="18" t="str">
        <f>IFERROR(__xludf.DUMMYFUNCTION("""COMPUTED_VALUE"""),"ADV - [IG] [FB] [30%2B] [PIEDADE - 40KM] V%C3%81RIOS")</f>
        <v>ADV - [IG] [FB] [30%2B] [PIEDADE - 40KM] V%C3%81RIOS</v>
      </c>
      <c r="H165" s="18" t="str">
        <f>IFERROR(__xludf.DUMMYFUNCTION("""COMPUTED_VALUE"""),"Instagram_Stories")</f>
        <v>Instagram_Stories</v>
      </c>
      <c r="I165" s="18" t="str">
        <f>IFERROR(__xludf.DUMMYFUNCTION("""COMPUTED_VALUE"""),"07.04 [IMG] [AD04] Pedidos abertos")</f>
        <v>07.04 [IMG] [AD04] Pedidos abertos</v>
      </c>
      <c r="J165" s="18" t="str">
        <f>IFERROR(__xludf.DUMMYFUNCTION("""COMPUTED_VALUE"""),"07.04.2026 [V4] [WB] [LEADS-GRUPO-WHATS] 02")</f>
        <v>07.04.2026 [V4] [WB] [LEADS-GRUPO-WHATS] 02</v>
      </c>
      <c r="K165" s="19" t="str">
        <f t="shared" si="1"/>
        <v>2026-04-23</v>
      </c>
      <c r="L165" s="20">
        <f t="shared" si="2"/>
        <v>46135</v>
      </c>
      <c r="M165" s="19" t="str">
        <f t="shared" si="3"/>
        <v>96929234</v>
      </c>
      <c r="N165" s="19" t="str">
        <f>IFERROR(IF(VLOOKUP(M165,'Leads no grupo Saibai'!C:C,1,FALSE)=M165,"Sim"),"Não")</f>
        <v>Sim</v>
      </c>
      <c r="O165" s="19"/>
    </row>
    <row r="166">
      <c r="A166" s="14" t="s">
        <v>624</v>
      </c>
      <c r="B166" s="15" t="s">
        <v>625</v>
      </c>
      <c r="C166" s="16">
        <v>1.1964804869E10</v>
      </c>
      <c r="D166" s="16" t="s">
        <v>600</v>
      </c>
      <c r="E166" s="17" t="s">
        <v>626</v>
      </c>
      <c r="F166" s="18" t="str">
        <f>IFERROR(__xludf.DUMMYFUNCTION("""COMPUTED_VALUE"""),"MetaAds")</f>
        <v>MetaAds</v>
      </c>
      <c r="G166" s="18" t="str">
        <f>IFERROR(__xludf.DUMMYFUNCTION("""COMPUTED_VALUE"""),"ADV - [IG] [FB] [30%2B] [PIEDADE - 40KM] V%C3%81RIOS")</f>
        <v>ADV - [IG] [FB] [30%2B] [PIEDADE - 40KM] V%C3%81RIOS</v>
      </c>
      <c r="H166" s="18" t="str">
        <f>IFERROR(__xludf.DUMMYFUNCTION("""COMPUTED_VALUE"""),"Instagram_Feed")</f>
        <v>Instagram_Feed</v>
      </c>
      <c r="I166" s="18" t="str">
        <f>IFERROR(__xludf.DUMMYFUNCTION("""COMPUTED_VALUE"""),"07.04 [IMG] [AD02] N%C3%A3o %C3%A9 sobre comida")</f>
        <v>07.04 [IMG] [AD02] N%C3%A3o %C3%A9 sobre comida</v>
      </c>
      <c r="J166" s="18" t="str">
        <f>IFERROR(__xludf.DUMMYFUNCTION("""COMPUTED_VALUE"""),"07.04.2026 [V4] [WB] [LEADS-GRUPO-WHATS] 01")</f>
        <v>07.04.2026 [V4] [WB] [LEADS-GRUPO-WHATS] 01</v>
      </c>
      <c r="K166" s="19" t="str">
        <f t="shared" si="1"/>
        <v>2026-04-23</v>
      </c>
      <c r="L166" s="20">
        <f t="shared" si="2"/>
        <v>46135</v>
      </c>
      <c r="M166" s="19" t="str">
        <f t="shared" si="3"/>
        <v>64804869</v>
      </c>
      <c r="N166" s="19" t="str">
        <f>IFERROR(IF(VLOOKUP(M166,'Leads no grupo Saibai'!C:C,1,FALSE)=M166,"Sim"),"Não")</f>
        <v>Sim</v>
      </c>
      <c r="O166" s="19"/>
    </row>
    <row r="167">
      <c r="A167" s="14" t="s">
        <v>627</v>
      </c>
      <c r="B167" s="15" t="s">
        <v>628</v>
      </c>
      <c r="C167" s="16">
        <v>4.1991069649E10</v>
      </c>
      <c r="D167" s="16" t="s">
        <v>629</v>
      </c>
      <c r="E167" s="17" t="s">
        <v>630</v>
      </c>
      <c r="F167" s="18" t="str">
        <f>IFERROR(__xludf.DUMMYFUNCTION("""COMPUTED_VALUE"""),"MetaAds")</f>
        <v>MetaAds</v>
      </c>
      <c r="G167" s="18" t="str">
        <f>IFERROR(__xludf.DUMMYFUNCTION("""COMPUTED_VALUE"""),"ADV - [IG] [FB] [30%2B] [PIEDADE - 40KM] V%C3%81RIOS")</f>
        <v>ADV - [IG] [FB] [30%2B] [PIEDADE - 40KM] V%C3%81RIOS</v>
      </c>
      <c r="H167" s="18" t="str">
        <f>IFERROR(__xludf.DUMMYFUNCTION("""COMPUTED_VALUE"""),"Facebook_Mobile_Feed")</f>
        <v>Facebook_Mobile_Feed</v>
      </c>
      <c r="I167" s="18" t="str">
        <f>IFERROR(__xludf.DUMMYFUNCTION("""COMPUTED_VALUE"""),"07.04 [IMG] [AD04] Pedidos abertos")</f>
        <v>07.04 [IMG] [AD04] Pedidos abertos</v>
      </c>
      <c r="J167" s="18" t="str">
        <f>IFERROR(__xludf.DUMMYFUNCTION("""COMPUTED_VALUE"""),"07.04.2026 [V4] [WB] [LEADS-GRUPO-WHATS] 02")</f>
        <v>07.04.2026 [V4] [WB] [LEADS-GRUPO-WHATS] 02</v>
      </c>
      <c r="K167" s="19" t="str">
        <f t="shared" si="1"/>
        <v>2026-04-23</v>
      </c>
      <c r="L167" s="20">
        <f t="shared" si="2"/>
        <v>46135</v>
      </c>
      <c r="M167" s="19" t="str">
        <f t="shared" si="3"/>
        <v>91069649</v>
      </c>
      <c r="N167" s="19" t="str">
        <f>IFERROR(IF(VLOOKUP(M167,'Leads no grupo Saibai'!C:C,1,FALSE)=M167,"Sim"),"Não")</f>
        <v>Sim</v>
      </c>
      <c r="O167" s="19"/>
    </row>
    <row r="168">
      <c r="A168" s="14" t="s">
        <v>631</v>
      </c>
      <c r="B168" s="15" t="s">
        <v>632</v>
      </c>
      <c r="C168" s="16">
        <v>1.5997740776E10</v>
      </c>
      <c r="D168" s="16" t="s">
        <v>548</v>
      </c>
      <c r="E168" s="17" t="s">
        <v>633</v>
      </c>
      <c r="F168" s="18" t="str">
        <f>IFERROR(__xludf.DUMMYFUNCTION("""COMPUTED_VALUE"""),"MetaAds")</f>
        <v>MetaAds</v>
      </c>
      <c r="G168" s="18" t="str">
        <f>IFERROR(__xludf.DUMMYFUNCTION("""COMPUTED_VALUE"""),"ADV - [IG] [FB] [30%2B] [PIEDADE - 40KM] V%C3%81RIOS")</f>
        <v>ADV - [IG] [FB] [30%2B] [PIEDADE - 40KM] V%C3%81RIOS</v>
      </c>
      <c r="H168" s="18" t="str">
        <f>IFERROR(__xludf.DUMMYFUNCTION("""COMPUTED_VALUE"""),"Instagram_Feed")</f>
        <v>Instagram_Feed</v>
      </c>
      <c r="I168" s="18" t="str">
        <f>IFERROR(__xludf.DUMMYFUNCTION("""COMPUTED_VALUE"""),"07.04 [IMG] [AD02] N%C3%A3o %C3%A9 sobre comida")</f>
        <v>07.04 [IMG] [AD02] N%C3%A3o %C3%A9 sobre comida</v>
      </c>
      <c r="J168" s="18" t="str">
        <f>IFERROR(__xludf.DUMMYFUNCTION("""COMPUTED_VALUE"""),"07.04.2026 [V4] [WB] [LEADS-GRUPO-WHATS] 01")</f>
        <v>07.04.2026 [V4] [WB] [LEADS-GRUPO-WHATS] 01</v>
      </c>
      <c r="K168" s="19" t="str">
        <f t="shared" si="1"/>
        <v>2026-04-24</v>
      </c>
      <c r="L168" s="20">
        <f t="shared" si="2"/>
        <v>46136</v>
      </c>
      <c r="M168" s="19" t="str">
        <f t="shared" si="3"/>
        <v>97740776</v>
      </c>
      <c r="N168" s="19" t="str">
        <f>IFERROR(IF(VLOOKUP(M168,'Leads no grupo Saibai'!C:C,1,FALSE)=M168,"Sim"),"Não")</f>
        <v>Não</v>
      </c>
      <c r="O168" s="19"/>
    </row>
    <row r="169">
      <c r="A169" s="14" t="s">
        <v>634</v>
      </c>
      <c r="B169" s="15" t="s">
        <v>635</v>
      </c>
      <c r="C169" s="16">
        <v>1.1996461196E10</v>
      </c>
      <c r="D169" s="16" t="s">
        <v>636</v>
      </c>
      <c r="E169" s="17" t="s">
        <v>637</v>
      </c>
      <c r="F169" s="18" t="str">
        <f>IFERROR(__xludf.DUMMYFUNCTION("""COMPUTED_VALUE"""),"MetaAds")</f>
        <v>MetaAds</v>
      </c>
      <c r="G169" s="18" t="str">
        <f>IFERROR(__xludf.DUMMYFUNCTION("""COMPUTED_VALUE"""),"ADV - [IG] [FB] [30%2B] [PIEDADE - 40KM] V%C3%81RIOS")</f>
        <v>ADV - [IG] [FB] [30%2B] [PIEDADE - 40KM] V%C3%81RIOS</v>
      </c>
      <c r="H169" s="18" t="str">
        <f>IFERROR(__xludf.DUMMYFUNCTION("""COMPUTED_VALUE"""),"Instagram_Reels")</f>
        <v>Instagram_Reels</v>
      </c>
      <c r="I169" s="18" t="str">
        <f>IFERROR(__xludf.DUMMYFUNCTION("""COMPUTED_VALUE"""),"07.04 [IMG] [AD02] N%C3%A3o %C3%A9 sobre comida")</f>
        <v>07.04 [IMG] [AD02] N%C3%A3o %C3%A9 sobre comida</v>
      </c>
      <c r="J169" s="18" t="str">
        <f>IFERROR(__xludf.DUMMYFUNCTION("""COMPUTED_VALUE"""),"07.04.2026 [V4] [WB] [LEADS-GRUPO-WHATS] 01")</f>
        <v>07.04.2026 [V4] [WB] [LEADS-GRUPO-WHATS] 01</v>
      </c>
      <c r="K169" s="19" t="str">
        <f t="shared" si="1"/>
        <v>2026-04-24</v>
      </c>
      <c r="L169" s="20">
        <f t="shared" si="2"/>
        <v>46136</v>
      </c>
      <c r="M169" s="19" t="str">
        <f t="shared" si="3"/>
        <v>96461196</v>
      </c>
      <c r="N169" s="19" t="str">
        <f>IFERROR(IF(VLOOKUP(M169,'Leads no grupo Saibai'!C:C,1,FALSE)=M169,"Sim"),"Não")</f>
        <v>Sim</v>
      </c>
      <c r="O169" s="19"/>
    </row>
    <row r="170">
      <c r="A170" s="14" t="s">
        <v>638</v>
      </c>
      <c r="B170" s="15" t="s">
        <v>639</v>
      </c>
      <c r="C170" s="16">
        <v>1.1988371198E10</v>
      </c>
      <c r="D170" s="16" t="s">
        <v>640</v>
      </c>
      <c r="E170" s="17" t="s">
        <v>641</v>
      </c>
      <c r="F170" s="18" t="str">
        <f>IFERROR(__xludf.DUMMYFUNCTION("""COMPUTED_VALUE"""),"google-ads")</f>
        <v>google-ads</v>
      </c>
      <c r="G170" s="18" t="str">
        <f>IFERROR(__xludf.DUMMYFUNCTION("""COMPUTED_VALUE"""),"branding-terms")</f>
        <v>branding-terms</v>
      </c>
      <c r="H170" s="18" t="str">
        <f>IFERROR(__xludf.DUMMYFUNCTION("""COMPUTED_VALUE"""),"saibai")</f>
        <v>saibai</v>
      </c>
      <c r="I170" s="18" t="str">
        <f>IFERROR(__xludf.DUMMYFUNCTION("""COMPUTED_VALUE"""),"786538028159")</f>
        <v>786538028159</v>
      </c>
      <c r="J170" s="18" t="str">
        <f>IFERROR(__xludf.DUMMYFUNCTION("""COMPUTED_VALUE"""),"venda-direta")</f>
        <v>venda-direta</v>
      </c>
      <c r="K170" s="19" t="str">
        <f t="shared" si="1"/>
        <v>2026-04-25</v>
      </c>
      <c r="L170" s="20">
        <f t="shared" si="2"/>
        <v>46137</v>
      </c>
      <c r="M170" s="19" t="str">
        <f t="shared" si="3"/>
        <v>88371198</v>
      </c>
      <c r="N170" s="19" t="str">
        <f>IFERROR(IF(VLOOKUP(M170,'Leads no grupo Saibai'!C:C,1,FALSE)=M170,"Sim"),"Não")</f>
        <v>Sim</v>
      </c>
      <c r="O170" s="19"/>
    </row>
    <row r="171">
      <c r="A171" s="14" t="s">
        <v>642</v>
      </c>
      <c r="B171" s="15" t="s">
        <v>643</v>
      </c>
      <c r="C171" s="16">
        <v>1.3981627609E10</v>
      </c>
      <c r="D171" s="16" t="s">
        <v>644</v>
      </c>
      <c r="E171" s="17" t="s">
        <v>254</v>
      </c>
      <c r="F171" s="18" t="str">
        <f>IFERROR(__xludf.DUMMYFUNCTION("""COMPUTED_VALUE"""),"MetaAds")</f>
        <v>MetaAds</v>
      </c>
      <c r="G171" s="18" t="str">
        <f>IFERROR(__xludf.DUMMYFUNCTION("""COMPUTED_VALUE"""),"ADV - [IG] [FB] [30%2B] [PIEDADE - 40KM] V%C3%81RIOS")</f>
        <v>ADV - [IG] [FB] [30%2B] [PIEDADE - 40KM] V%C3%81RIOS</v>
      </c>
      <c r="H171" s="18" t="str">
        <f>IFERROR(__xludf.DUMMYFUNCTION("""COMPUTED_VALUE"""),"Facebook_Mobile_Reels")</f>
        <v>Facebook_Mobile_Reels</v>
      </c>
      <c r="I171" s="18" t="str">
        <f>IFERROR(__xludf.DUMMYFUNCTION("""COMPUTED_VALUE"""),"07.04 [IMG] [AD04] Pedidos abertos")</f>
        <v>07.04 [IMG] [AD04] Pedidos abertos</v>
      </c>
      <c r="J171" s="18" t="str">
        <f>IFERROR(__xludf.DUMMYFUNCTION("""COMPUTED_VALUE"""),"07.04.2026 [V4] [WB] [LEADS-GRUPO-WHATS] 01")</f>
        <v>07.04.2026 [V4] [WB] [LEADS-GRUPO-WHATS] 01</v>
      </c>
      <c r="K171" s="19" t="str">
        <f t="shared" si="1"/>
        <v>2026-04-26</v>
      </c>
      <c r="L171" s="20">
        <f t="shared" si="2"/>
        <v>46138</v>
      </c>
      <c r="M171" s="19" t="str">
        <f t="shared" si="3"/>
        <v>81627609</v>
      </c>
      <c r="N171" s="19" t="str">
        <f>IFERROR(IF(VLOOKUP(M171,'Leads no grupo Saibai'!C:C,1,FALSE)=M171,"Sim"),"Não")</f>
        <v>Não</v>
      </c>
      <c r="O171" s="19"/>
    </row>
    <row r="172">
      <c r="A172" s="14" t="s">
        <v>645</v>
      </c>
      <c r="B172" s="15" t="s">
        <v>646</v>
      </c>
      <c r="C172" s="16">
        <v>1.5981328281E10</v>
      </c>
      <c r="D172" s="16" t="s">
        <v>647</v>
      </c>
      <c r="E172" s="17" t="s">
        <v>648</v>
      </c>
      <c r="F172" s="18" t="str">
        <f>IFERROR(__xludf.DUMMYFUNCTION("""COMPUTED_VALUE"""),"MetaAds")</f>
        <v>MetaAds</v>
      </c>
      <c r="G172" s="18" t="str">
        <f>IFERROR(__xludf.DUMMYFUNCTION("""COMPUTED_VALUE"""),"ADV - [IG] [FB] [30%2B] [PIEDADE - 40KM] V%C3%81RIOS")</f>
        <v>ADV - [IG] [FB] [30%2B] [PIEDADE - 40KM] V%C3%81RIOS</v>
      </c>
      <c r="H172" s="18" t="str">
        <f>IFERROR(__xludf.DUMMYFUNCTION("""COMPUTED_VALUE"""),"Instagram_Stories")</f>
        <v>Instagram_Stories</v>
      </c>
      <c r="I172" s="18" t="str">
        <f>IFERROR(__xludf.DUMMYFUNCTION("""COMPUTED_VALUE"""),"07.04 [IMG] [AD02] N%C3%A3o %C3%A9 sobre comida")</f>
        <v>07.04 [IMG] [AD02] N%C3%A3o %C3%A9 sobre comida</v>
      </c>
      <c r="J172" s="18" t="str">
        <f>IFERROR(__xludf.DUMMYFUNCTION("""COMPUTED_VALUE"""),"07.04.2026 [V4] [WB] [LEADS-GRUPO-WHATS] 02")</f>
        <v>07.04.2026 [V4] [WB] [LEADS-GRUPO-WHATS] 02</v>
      </c>
      <c r="K172" s="19" t="str">
        <f t="shared" si="1"/>
        <v>2026-04-29</v>
      </c>
      <c r="L172" s="20">
        <f t="shared" si="2"/>
        <v>46141</v>
      </c>
      <c r="M172" s="19" t="str">
        <f t="shared" si="3"/>
        <v>81328281</v>
      </c>
      <c r="N172" s="19" t="str">
        <f>IFERROR(IF(VLOOKUP(M172,'Leads no grupo Saibai'!C:C,1,FALSE)=M172,"Sim"),"Não")</f>
        <v>Sim</v>
      </c>
      <c r="O172" s="19"/>
    </row>
    <row r="173">
      <c r="A173" s="14" t="s">
        <v>649</v>
      </c>
      <c r="B173" s="15" t="s">
        <v>650</v>
      </c>
      <c r="C173" s="16">
        <v>1.5997554309E10</v>
      </c>
      <c r="D173" s="16" t="s">
        <v>651</v>
      </c>
      <c r="E173" s="17" t="s">
        <v>254</v>
      </c>
      <c r="F173" s="18" t="str">
        <f>IFERROR(__xludf.DUMMYFUNCTION("""COMPUTED_VALUE"""),"MetaAds")</f>
        <v>MetaAds</v>
      </c>
      <c r="G173" s="18" t="str">
        <f>IFERROR(__xludf.DUMMYFUNCTION("""COMPUTED_VALUE"""),"ADV - [IG] [FB] [30%2B] [PIEDADE - 40KM] V%C3%81RIOS")</f>
        <v>ADV - [IG] [FB] [30%2B] [PIEDADE - 40KM] V%C3%81RIOS</v>
      </c>
      <c r="H173" s="18" t="str">
        <f>IFERROR(__xludf.DUMMYFUNCTION("""COMPUTED_VALUE"""),"Facebook_Mobile_Reels")</f>
        <v>Facebook_Mobile_Reels</v>
      </c>
      <c r="I173" s="18" t="str">
        <f>IFERROR(__xludf.DUMMYFUNCTION("""COMPUTED_VALUE"""),"07.04 [IMG] [AD04] Pedidos abertos")</f>
        <v>07.04 [IMG] [AD04] Pedidos abertos</v>
      </c>
      <c r="J173" s="18" t="str">
        <f>IFERROR(__xludf.DUMMYFUNCTION("""COMPUTED_VALUE"""),"07.04.2026 [V4] [WB] [LEADS-GRUPO-WHATS] 01")</f>
        <v>07.04.2026 [V4] [WB] [LEADS-GRUPO-WHATS] 01</v>
      </c>
      <c r="K173" s="19" t="str">
        <f t="shared" si="1"/>
        <v>2026-04-30</v>
      </c>
      <c r="L173" s="20">
        <f t="shared" si="2"/>
        <v>46142</v>
      </c>
      <c r="M173" s="19" t="str">
        <f t="shared" si="3"/>
        <v>97554309</v>
      </c>
      <c r="N173" s="19" t="str">
        <f>IFERROR(IF(VLOOKUP(M173,'Leads no grupo Saibai'!C:C,1,FALSE)=M173,"Sim"),"Não")</f>
        <v>Sim</v>
      </c>
      <c r="O173" s="19"/>
    </row>
    <row r="174">
      <c r="A174" s="14" t="s">
        <v>652</v>
      </c>
      <c r="B174" s="15" t="s">
        <v>653</v>
      </c>
      <c r="C174" s="16">
        <v>1.5998009824E10</v>
      </c>
      <c r="D174" s="16" t="s">
        <v>654</v>
      </c>
      <c r="E174" s="17" t="s">
        <v>655</v>
      </c>
      <c r="F174" s="18" t="str">
        <f>IFERROR(__xludf.DUMMYFUNCTION("""COMPUTED_VALUE"""),"google-ads")</f>
        <v>google-ads</v>
      </c>
      <c r="G174" s="18" t="str">
        <f>IFERROR(__xludf.DUMMYFUNCTION("""COMPUTED_VALUE"""),"branding-terms")</f>
        <v>branding-terms</v>
      </c>
      <c r="H174" s="18" t="str">
        <f>IFERROR(__xludf.DUMMYFUNCTION("""COMPUTED_VALUE"""),"saibai")</f>
        <v>saibai</v>
      </c>
      <c r="I174" s="18" t="str">
        <f>IFERROR(__xludf.DUMMYFUNCTION("""COMPUTED_VALUE"""),"786538028159")</f>
        <v>786538028159</v>
      </c>
      <c r="J174" s="18" t="str">
        <f>IFERROR(__xludf.DUMMYFUNCTION("""COMPUTED_VALUE"""),"venda-direta")</f>
        <v>venda-direta</v>
      </c>
      <c r="K174" s="19" t="str">
        <f t="shared" si="1"/>
        <v>2026-05-01</v>
      </c>
      <c r="L174" s="20">
        <f t="shared" si="2"/>
        <v>46143</v>
      </c>
      <c r="M174" s="19" t="str">
        <f t="shared" si="3"/>
        <v>98009824</v>
      </c>
      <c r="N174" s="19" t="str">
        <f>IFERROR(IF(VLOOKUP(M174,'Leads no grupo Saibai'!C:C,1,FALSE)=M174,"Sim"),"Não")</f>
        <v>Sim</v>
      </c>
      <c r="O174" s="19"/>
    </row>
    <row r="175">
      <c r="A175" s="21" t="s">
        <v>656</v>
      </c>
      <c r="B175" s="22" t="s">
        <v>657</v>
      </c>
      <c r="C175" s="23">
        <v>1.19971787E10</v>
      </c>
      <c r="D175" s="23" t="s">
        <v>658</v>
      </c>
      <c r="E175" s="24" t="s">
        <v>254</v>
      </c>
      <c r="F175" s="25" t="str">
        <f>IFERROR(__xludf.DUMMYFUNCTION("""COMPUTED_VALUE"""),"MetaAds")</f>
        <v>MetaAds</v>
      </c>
      <c r="G175" s="25" t="str">
        <f>IFERROR(__xludf.DUMMYFUNCTION("""COMPUTED_VALUE"""),"ADV - [IG] [FB] [30%2B] [PIEDADE - 40KM] V%C3%81RIOS")</f>
        <v>ADV - [IG] [FB] [30%2B] [PIEDADE - 40KM] V%C3%81RIOS</v>
      </c>
      <c r="H175" s="25" t="str">
        <f>IFERROR(__xludf.DUMMYFUNCTION("""COMPUTED_VALUE"""),"Facebook_Mobile_Reels")</f>
        <v>Facebook_Mobile_Reels</v>
      </c>
      <c r="I175" s="25" t="str">
        <f>IFERROR(__xludf.DUMMYFUNCTION("""COMPUTED_VALUE"""),"07.04 [IMG] [AD04] Pedidos abertos")</f>
        <v>07.04 [IMG] [AD04] Pedidos abertos</v>
      </c>
      <c r="J175" s="25" t="str">
        <f>IFERROR(__xludf.DUMMYFUNCTION("""COMPUTED_VALUE"""),"07.04.2026 [V4] [WB] [LEADS-GRUPO-WHATS] 01")</f>
        <v>07.04.2026 [V4] [WB] [LEADS-GRUPO-WHATS] 01</v>
      </c>
      <c r="K175" s="26" t="str">
        <f t="shared" si="1"/>
        <v>2026-05-02</v>
      </c>
      <c r="L175" s="27">
        <f t="shared" si="2"/>
        <v>46144</v>
      </c>
      <c r="M175" s="26" t="str">
        <f t="shared" si="3"/>
        <v>97178700</v>
      </c>
      <c r="N175" s="19" t="str">
        <f>IFERROR(IF(VLOOKUP(M175,'Leads no grupo Saibai'!C:C,1,FALSE)=M175,"Sim"),"Não")</f>
        <v>Sim</v>
      </c>
      <c r="O175" s="19"/>
    </row>
    <row r="176">
      <c r="A176" s="14" t="s">
        <v>659</v>
      </c>
      <c r="B176" s="15" t="s">
        <v>660</v>
      </c>
      <c r="C176" s="16">
        <v>1.5997181145E10</v>
      </c>
      <c r="D176" s="16" t="s">
        <v>661</v>
      </c>
      <c r="E176" s="17" t="s">
        <v>662</v>
      </c>
      <c r="F176" s="18" t="str">
        <f>IFERROR(__xludf.DUMMYFUNCTION("""COMPUTED_VALUE"""),"MetaAds")</f>
        <v>MetaAds</v>
      </c>
      <c r="G176" s="18" t="str">
        <f>IFERROR(__xludf.DUMMYFUNCTION("""COMPUTED_VALUE"""),"ADV - [IG] [FB] [30%2B] [PIEDADE - 40KM] V%C3%81RIOS")</f>
        <v>ADV - [IG] [FB] [30%2B] [PIEDADE - 40KM] V%C3%81RIOS</v>
      </c>
      <c r="H176" s="18" t="str">
        <f>IFERROR(__xludf.DUMMYFUNCTION("""COMPUTED_VALUE"""),"Facebook_Stories")</f>
        <v>Facebook_Stories</v>
      </c>
      <c r="I176" s="18" t="str">
        <f>IFERROR(__xludf.DUMMYFUNCTION("""COMPUTED_VALUE"""),"07.04 [IMG] [AD02] N%C3%A3o %C3%A9 sobre comida")</f>
        <v>07.04 [IMG] [AD02] N%C3%A3o %C3%A9 sobre comida</v>
      </c>
      <c r="J176" s="18" t="str">
        <f>IFERROR(__xludf.DUMMYFUNCTION("""COMPUTED_VALUE"""),"07.04.2026 [V4] [WB] [LEADS-GRUPO-WHATS] 02")</f>
        <v>07.04.2026 [V4] [WB] [LEADS-GRUPO-WHATS] 02</v>
      </c>
      <c r="K176" s="19" t="str">
        <f t="shared" si="1"/>
        <v>2026-05-02</v>
      </c>
      <c r="L176" s="20">
        <f t="shared" si="2"/>
        <v>46144</v>
      </c>
      <c r="M176" s="19" t="str">
        <f t="shared" si="3"/>
        <v>97181145</v>
      </c>
      <c r="N176" s="19" t="str">
        <f>IFERROR(IF(VLOOKUP(M176,'Leads no grupo Saibai'!C:C,1,FALSE)=M176,"Sim"),"Não")</f>
        <v>Sim</v>
      </c>
      <c r="O176" s="19"/>
    </row>
    <row r="177">
      <c r="A177" s="14" t="s">
        <v>663</v>
      </c>
      <c r="B177" s="15" t="s">
        <v>664</v>
      </c>
      <c r="C177" s="16">
        <v>1.59973037E10</v>
      </c>
      <c r="D177" s="16" t="s">
        <v>665</v>
      </c>
      <c r="E177" s="17" t="s">
        <v>666</v>
      </c>
      <c r="F177" s="18" t="str">
        <f>IFERROR(__xludf.DUMMYFUNCTION("""COMPUTED_VALUE"""),"MetaAds")</f>
        <v>MetaAds</v>
      </c>
      <c r="G177" s="18" t="str">
        <f>IFERROR(__xludf.DUMMYFUNCTION("""COMPUTED_VALUE"""),"ADV - [IG] [FB] [30%2B] [PIEDADE - 40KM] V%C3%81RIOS")</f>
        <v>ADV - [IG] [FB] [30%2B] [PIEDADE - 40KM] V%C3%81RIOS</v>
      </c>
      <c r="H177" s="18" t="str">
        <f>IFERROR(__xludf.DUMMYFUNCTION("""COMPUTED_VALUE"""),"Instagram_Stories")</f>
        <v>Instagram_Stories</v>
      </c>
      <c r="I177" s="18" t="str">
        <f>IFERROR(__xludf.DUMMYFUNCTION("""COMPUTED_VALUE"""),"07.04 [IMG] [AD04] Pedidos abertos")</f>
        <v>07.04 [IMG] [AD04] Pedidos abertos</v>
      </c>
      <c r="J177" s="18" t="str">
        <f>IFERROR(__xludf.DUMMYFUNCTION("""COMPUTED_VALUE"""),"07.04.2026 [V4] [WB] [LEADS-GRUPO-WHATS] 02")</f>
        <v>07.04.2026 [V4] [WB] [LEADS-GRUPO-WHATS] 02</v>
      </c>
      <c r="K177" s="19" t="str">
        <f t="shared" si="1"/>
        <v>2026-05-02</v>
      </c>
      <c r="L177" s="20">
        <f t="shared" si="2"/>
        <v>46144</v>
      </c>
      <c r="M177" s="19" t="str">
        <f t="shared" si="3"/>
        <v>97303700</v>
      </c>
      <c r="N177" s="19" t="str">
        <f>IFERROR(IF(VLOOKUP(M177,'Leads no grupo Saibai'!C:C,1,FALSE)=M177,"Sim"),"Não")</f>
        <v>Sim</v>
      </c>
      <c r="O177" s="19"/>
    </row>
    <row r="178">
      <c r="A178" s="14" t="s">
        <v>667</v>
      </c>
      <c r="B178" s="15" t="s">
        <v>668</v>
      </c>
      <c r="C178" s="16">
        <v>5.51599606E10</v>
      </c>
      <c r="D178" s="16" t="s">
        <v>669</v>
      </c>
      <c r="E178" s="17" t="s">
        <v>670</v>
      </c>
      <c r="F178" s="18" t="str">
        <f>IFERROR(__xludf.DUMMYFUNCTION("""COMPUTED_VALUE"""),"MetaAds")</f>
        <v>MetaAds</v>
      </c>
      <c r="G178" s="18" t="str">
        <f>IFERROR(__xludf.DUMMYFUNCTION("""COMPUTED_VALUE"""),"ADV - [IG] [FB] [30%2B] [PIEDADE - 40KM] V%C3%81RIOS")</f>
        <v>ADV - [IG] [FB] [30%2B] [PIEDADE - 40KM] V%C3%81RIOS</v>
      </c>
      <c r="H178" s="18" t="str">
        <f>IFERROR(__xludf.DUMMYFUNCTION("""COMPUTED_VALUE"""),"Facebook_Mobile_Feed")</f>
        <v>Facebook_Mobile_Feed</v>
      </c>
      <c r="I178" s="18" t="str">
        <f>IFERROR(__xludf.DUMMYFUNCTION("""COMPUTED_VALUE"""),"07.04 [IMG] [AD02] N%C3%A3o %C3%A9 sobre comida")</f>
        <v>07.04 [IMG] [AD02] N%C3%A3o %C3%A9 sobre comida</v>
      </c>
      <c r="J178" s="18" t="str">
        <f>IFERROR(__xludf.DUMMYFUNCTION("""COMPUTED_VALUE"""),"07.04.2026 [V4] [WB] [LEADS-GRUPO-WHATS] 02")</f>
        <v>07.04.2026 [V4] [WB] [LEADS-GRUPO-WHATS] 02</v>
      </c>
      <c r="K178" s="19" t="str">
        <f t="shared" si="1"/>
        <v>2026-05-03</v>
      </c>
      <c r="L178" s="20">
        <f t="shared" si="2"/>
        <v>46145</v>
      </c>
      <c r="M178" s="19" t="str">
        <f t="shared" si="3"/>
        <v>59960600</v>
      </c>
      <c r="N178" s="19" t="str">
        <f>IFERROR(IF(VLOOKUP(M178,'Leads no grupo Saibai'!C:C,1,FALSE)=M178,"Sim"),"Não")</f>
        <v>Não</v>
      </c>
      <c r="O178" s="19"/>
    </row>
    <row r="179">
      <c r="A179" s="14" t="s">
        <v>671</v>
      </c>
      <c r="B179" s="15" t="s">
        <v>672</v>
      </c>
      <c r="C179" s="16">
        <v>5.5159813187E10</v>
      </c>
      <c r="D179" s="16" t="s">
        <v>673</v>
      </c>
      <c r="E179" s="17" t="s">
        <v>674</v>
      </c>
      <c r="F179" s="18" t="str">
        <f>IFERROR(__xludf.DUMMYFUNCTION("""COMPUTED_VALUE"""),"MetaAds")</f>
        <v>MetaAds</v>
      </c>
      <c r="G179" s="18" t="str">
        <f>IFERROR(__xludf.DUMMYFUNCTION("""COMPUTED_VALUE"""),"ADV - [IG] [FB] [30%2B] [PIEDADE - 40KM] V%C3%81RIOS")</f>
        <v>ADV - [IG] [FB] [30%2B] [PIEDADE - 40KM] V%C3%81RIOS</v>
      </c>
      <c r="H179" s="18" t="str">
        <f>IFERROR(__xludf.DUMMYFUNCTION("""COMPUTED_VALUE"""),"Facebook_Mobile_Feed")</f>
        <v>Facebook_Mobile_Feed</v>
      </c>
      <c r="I179" s="18" t="str">
        <f>IFERROR(__xludf.DUMMYFUNCTION("""COMPUTED_VALUE"""),"07.04 [IMG] [AD02] N%C3%A3o %C3%A9 sobre comida")</f>
        <v>07.04 [IMG] [AD02] N%C3%A3o %C3%A9 sobre comida</v>
      </c>
      <c r="J179" s="18" t="str">
        <f>IFERROR(__xludf.DUMMYFUNCTION("""COMPUTED_VALUE"""),"07.04.2026 [V4] [WB] [LEADS-GRUPO-WHATS] 02")</f>
        <v>07.04.2026 [V4] [WB] [LEADS-GRUPO-WHATS] 02</v>
      </c>
      <c r="K179" s="19" t="str">
        <f t="shared" si="1"/>
        <v>2026-05-03</v>
      </c>
      <c r="L179" s="20">
        <f t="shared" si="2"/>
        <v>46145</v>
      </c>
      <c r="M179" s="19" t="str">
        <f t="shared" si="3"/>
        <v>59813187</v>
      </c>
      <c r="N179" s="19" t="str">
        <f>IFERROR(IF(VLOOKUP(M179,'Leads no grupo Saibai'!C:C,1,FALSE)=M179,"Sim"),"Não")</f>
        <v>Não</v>
      </c>
      <c r="O179" s="19"/>
    </row>
    <row r="180">
      <c r="A180" s="14" t="s">
        <v>675</v>
      </c>
      <c r="B180" s="15" t="s">
        <v>676</v>
      </c>
      <c r="C180" s="16">
        <v>1.5997337194E10</v>
      </c>
      <c r="D180" s="16" t="s">
        <v>677</v>
      </c>
      <c r="E180" s="17" t="s">
        <v>254</v>
      </c>
      <c r="F180" s="18" t="str">
        <f>IFERROR(__xludf.DUMMYFUNCTION("""COMPUTED_VALUE"""),"MetaAds")</f>
        <v>MetaAds</v>
      </c>
      <c r="G180" s="18" t="str">
        <f>IFERROR(__xludf.DUMMYFUNCTION("""COMPUTED_VALUE"""),"ADV - [IG] [FB] [30%2B] [PIEDADE - 40KM] V%C3%81RIOS")</f>
        <v>ADV - [IG] [FB] [30%2B] [PIEDADE - 40KM] V%C3%81RIOS</v>
      </c>
      <c r="H180" s="18" t="str">
        <f>IFERROR(__xludf.DUMMYFUNCTION("""COMPUTED_VALUE"""),"Facebook_Mobile_Reels")</f>
        <v>Facebook_Mobile_Reels</v>
      </c>
      <c r="I180" s="18" t="str">
        <f>IFERROR(__xludf.DUMMYFUNCTION("""COMPUTED_VALUE"""),"07.04 [IMG] [AD04] Pedidos abertos")</f>
        <v>07.04 [IMG] [AD04] Pedidos abertos</v>
      </c>
      <c r="J180" s="18" t="str">
        <f>IFERROR(__xludf.DUMMYFUNCTION("""COMPUTED_VALUE"""),"07.04.2026 [V4] [WB] [LEADS-GRUPO-WHATS] 01")</f>
        <v>07.04.2026 [V4] [WB] [LEADS-GRUPO-WHATS] 01</v>
      </c>
      <c r="K180" s="19" t="str">
        <f t="shared" si="1"/>
        <v>2026-05-04</v>
      </c>
      <c r="L180" s="20">
        <f t="shared" si="2"/>
        <v>46146</v>
      </c>
      <c r="M180" s="19" t="str">
        <f t="shared" si="3"/>
        <v>97337194</v>
      </c>
      <c r="N180" s="19" t="str">
        <f>IFERROR(IF(VLOOKUP(M180,'Leads no grupo Saibai'!C:C,1,FALSE)=M180,"Sim"),"Não")</f>
        <v>Sim</v>
      </c>
      <c r="O180" s="19"/>
    </row>
    <row r="181">
      <c r="A181" s="14" t="s">
        <v>678</v>
      </c>
      <c r="B181" s="15" t="s">
        <v>679</v>
      </c>
      <c r="C181" s="16">
        <v>1.194166663E10</v>
      </c>
      <c r="D181" s="16" t="s">
        <v>680</v>
      </c>
      <c r="E181" s="17" t="s">
        <v>681</v>
      </c>
      <c r="F181" s="18" t="str">
        <f>IFERROR(__xludf.DUMMYFUNCTION("""COMPUTED_VALUE"""),"MetaAds")</f>
        <v>MetaAds</v>
      </c>
      <c r="G181" s="18" t="str">
        <f>IFERROR(__xludf.DUMMYFUNCTION("""COMPUTED_VALUE"""),"ADV - [IG] [FB] [30%2B] [PIEDADE - 40KM] V%C3%81RIOS")</f>
        <v>ADV - [IG] [FB] [30%2B] [PIEDADE - 40KM] V%C3%81RIOS</v>
      </c>
      <c r="H181" s="18" t="str">
        <f>IFERROR(__xludf.DUMMYFUNCTION("""COMPUTED_VALUE"""),"Instagram_Feed")</f>
        <v>Instagram_Feed</v>
      </c>
      <c r="I181" s="18" t="str">
        <f>IFERROR(__xludf.DUMMYFUNCTION("""COMPUTED_VALUE"""),"07.04 [IMG] [AD02] N%C3%A3o %C3%A9 sobre comida")</f>
        <v>07.04 [IMG] [AD02] N%C3%A3o %C3%A9 sobre comida</v>
      </c>
      <c r="J181" s="18" t="str">
        <f>IFERROR(__xludf.DUMMYFUNCTION("""COMPUTED_VALUE"""),"07.04.2026 [V4] [WB] [LEADS-GRUPO-WHATS] 02")</f>
        <v>07.04.2026 [V4] [WB] [LEADS-GRUPO-WHATS] 02</v>
      </c>
      <c r="K181" s="19" t="str">
        <f t="shared" si="1"/>
        <v>2026-05-04</v>
      </c>
      <c r="L181" s="20">
        <f t="shared" si="2"/>
        <v>46146</v>
      </c>
      <c r="M181" s="19" t="str">
        <f t="shared" si="3"/>
        <v>41666630</v>
      </c>
      <c r="N181" s="19" t="str">
        <f>IFERROR(IF(VLOOKUP(M181,'Leads no grupo Saibai'!C:C,1,FALSE)=M181,"Sim"),"Não")</f>
        <v>Sim</v>
      </c>
      <c r="O181" s="19"/>
    </row>
    <row r="182">
      <c r="A182" s="14" t="s">
        <v>682</v>
      </c>
      <c r="B182" s="15" t="s">
        <v>683</v>
      </c>
      <c r="C182" s="16">
        <v>1.1944777785E10</v>
      </c>
      <c r="D182" s="16" t="s">
        <v>684</v>
      </c>
      <c r="E182" s="17" t="s">
        <v>685</v>
      </c>
      <c r="F182" s="18" t="str">
        <f>IFERROR(__xludf.DUMMYFUNCTION("""COMPUTED_VALUE"""),"MetaAds")</f>
        <v>MetaAds</v>
      </c>
      <c r="G182" s="18" t="str">
        <f>IFERROR(__xludf.DUMMYFUNCTION("""COMPUTED_VALUE"""),"ADV - [IG] [FB] [30%2B] [PIEDADE - 40KM] V%C3%81RIOS")</f>
        <v>ADV - [IG] [FB] [30%2B] [PIEDADE - 40KM] V%C3%81RIOS</v>
      </c>
      <c r="H182" s="18" t="str">
        <f>IFERROR(__xludf.DUMMYFUNCTION("""COMPUTED_VALUE"""),"Facebook_Mobile_Feed")</f>
        <v>Facebook_Mobile_Feed</v>
      </c>
      <c r="I182" s="18" t="str">
        <f>IFERROR(__xludf.DUMMYFUNCTION("""COMPUTED_VALUE"""),"07.04 [IMG] [AD02] N%C3%A3o %C3%A9 sobre comida")</f>
        <v>07.04 [IMG] [AD02] N%C3%A3o %C3%A9 sobre comida</v>
      </c>
      <c r="J182" s="18" t="str">
        <f>IFERROR(__xludf.DUMMYFUNCTION("""COMPUTED_VALUE"""),"07.04.2026 [V4] [WB] [LEADS-GRUPO-WHATS] 02")</f>
        <v>07.04.2026 [V4] [WB] [LEADS-GRUPO-WHATS] 02</v>
      </c>
      <c r="K182" s="19" t="str">
        <f t="shared" si="1"/>
        <v>2026-05-05</v>
      </c>
      <c r="L182" s="20">
        <f t="shared" si="2"/>
        <v>46147</v>
      </c>
      <c r="M182" s="19" t="str">
        <f t="shared" si="3"/>
        <v>44777785</v>
      </c>
      <c r="N182" s="19" t="str">
        <f>IFERROR(IF(VLOOKUP(M182,'Leads no grupo Saibai'!C:C,1,FALSE)=M182,"Sim"),"Não")</f>
        <v>Sim</v>
      </c>
      <c r="O182" s="19"/>
    </row>
    <row r="183">
      <c r="A183" s="14" t="s">
        <v>686</v>
      </c>
      <c r="B183" s="15" t="s">
        <v>687</v>
      </c>
      <c r="C183" s="16">
        <v>5.5159965655E10</v>
      </c>
      <c r="D183" s="16" t="s">
        <v>688</v>
      </c>
      <c r="E183" s="17" t="s">
        <v>689</v>
      </c>
      <c r="F183" s="18" t="str">
        <f>IFERROR(__xludf.DUMMYFUNCTION("""COMPUTED_VALUE"""),"MetaAds")</f>
        <v>MetaAds</v>
      </c>
      <c r="G183" s="18" t="str">
        <f>IFERROR(__xludf.DUMMYFUNCTION("""COMPUTED_VALUE"""),"ADV - [IG] [FB] [30%2B] [PIEDADE - 40KM] V%C3%81RIOS")</f>
        <v>ADV - [IG] [FB] [30%2B] [PIEDADE - 40KM] V%C3%81RIOS</v>
      </c>
      <c r="H183" s="18" t="str">
        <f>IFERROR(__xludf.DUMMYFUNCTION("""COMPUTED_VALUE"""),"Instagram_Feed")</f>
        <v>Instagram_Feed</v>
      </c>
      <c r="I183" s="18" t="str">
        <f>IFERROR(__xludf.DUMMYFUNCTION("""COMPUTED_VALUE"""),"07.04 [IMG] [AD02] N%C3%A3o %C3%A9 sobre comida")</f>
        <v>07.04 [IMG] [AD02] N%C3%A3o %C3%A9 sobre comida</v>
      </c>
      <c r="J183" s="18" t="str">
        <f>IFERROR(__xludf.DUMMYFUNCTION("""COMPUTED_VALUE"""),"07.04.2026 [V4] [WB] [LEADS-GRUPO-WHATS] 02")</f>
        <v>07.04.2026 [V4] [WB] [LEADS-GRUPO-WHATS] 02</v>
      </c>
      <c r="K183" s="19" t="str">
        <f t="shared" si="1"/>
        <v>2026-05-05</v>
      </c>
      <c r="L183" s="20">
        <f t="shared" si="2"/>
        <v>46147</v>
      </c>
      <c r="M183" s="19" t="str">
        <f t="shared" si="3"/>
        <v>59965655</v>
      </c>
      <c r="N183" s="19" t="str">
        <f>IFERROR(IF(VLOOKUP(M183,'Leads no grupo Saibai'!C:C,1,FALSE)=M183,"Sim"),"Não")</f>
        <v>Não</v>
      </c>
      <c r="O183" s="19"/>
    </row>
    <row r="184">
      <c r="A184" s="14" t="s">
        <v>690</v>
      </c>
      <c r="B184" s="15" t="s">
        <v>691</v>
      </c>
      <c r="C184" s="16">
        <v>5.5159974777E10</v>
      </c>
      <c r="D184" s="16" t="s">
        <v>692</v>
      </c>
      <c r="E184" s="17" t="s">
        <v>693</v>
      </c>
      <c r="F184" s="18" t="str">
        <f>IFERROR(__xludf.DUMMYFUNCTION("""COMPUTED_VALUE"""),"google-ads")</f>
        <v>google-ads</v>
      </c>
      <c r="G184" s="18" t="str">
        <f>IFERROR(__xludf.DUMMYFUNCTION("""COMPUTED_VALUE"""),"branding-terms")</f>
        <v>branding-terms</v>
      </c>
      <c r="H184" s="18" t="str">
        <f>IFERROR(__xludf.DUMMYFUNCTION("""COMPUTED_VALUE"""),"saibai")</f>
        <v>saibai</v>
      </c>
      <c r="I184" s="18" t="str">
        <f>IFERROR(__xludf.DUMMYFUNCTION("""COMPUTED_VALUE"""),"786538028159")</f>
        <v>786538028159</v>
      </c>
      <c r="J184" s="18" t="str">
        <f>IFERROR(__xludf.DUMMYFUNCTION("""COMPUTED_VALUE"""),"venda-direta")</f>
        <v>venda-direta</v>
      </c>
      <c r="K184" s="19" t="str">
        <f t="shared" si="1"/>
        <v>2026-05-06</v>
      </c>
      <c r="L184" s="20">
        <f t="shared" si="2"/>
        <v>46148</v>
      </c>
      <c r="M184" s="19" t="str">
        <f t="shared" si="3"/>
        <v>59974777</v>
      </c>
      <c r="N184" s="19" t="str">
        <f>IFERROR(IF(VLOOKUP(M184,'Leads no grupo Saibai'!C:C,1,FALSE)=M184,"Sim"),"Não")</f>
        <v>Não</v>
      </c>
      <c r="O184" s="19"/>
    </row>
    <row r="185">
      <c r="A185" s="14" t="s">
        <v>694</v>
      </c>
      <c r="B185" s="15" t="s">
        <v>695</v>
      </c>
      <c r="C185" s="16">
        <v>1.5997868714E10</v>
      </c>
      <c r="D185" s="16" t="s">
        <v>696</v>
      </c>
      <c r="E185" s="17" t="s">
        <v>697</v>
      </c>
      <c r="F185" s="18" t="str">
        <f>IFERROR(__xludf.DUMMYFUNCTION("""COMPUTED_VALUE"""),"MetaAds")</f>
        <v>MetaAds</v>
      </c>
      <c r="G185" s="18" t="str">
        <f>IFERROR(__xludf.DUMMYFUNCTION("""COMPUTED_VALUE"""),"ADV - [IG] [FB] [30%2B] [PIEDADE - 40KM] V%C3%81RIOS")</f>
        <v>ADV - [IG] [FB] [30%2B] [PIEDADE - 40KM] V%C3%81RIOS</v>
      </c>
      <c r="H185" s="18" t="str">
        <f>IFERROR(__xludf.DUMMYFUNCTION("""COMPUTED_VALUE"""),"Instagram_Reels")</f>
        <v>Instagram_Reels</v>
      </c>
      <c r="I185" s="18" t="str">
        <f>IFERROR(__xludf.DUMMYFUNCTION("""COMPUTED_VALUE"""),"07.04 [IMG] [AD02] N%C3%A3o %C3%A9 sobre comida")</f>
        <v>07.04 [IMG] [AD02] N%C3%A3o %C3%A9 sobre comida</v>
      </c>
      <c r="J185" s="18" t="str">
        <f>IFERROR(__xludf.DUMMYFUNCTION("""COMPUTED_VALUE"""),"07.04.2026 [V4] [WB] [LEADS-GRUPO-WHATS] 02")</f>
        <v>07.04.2026 [V4] [WB] [LEADS-GRUPO-WHATS] 02</v>
      </c>
      <c r="K185" s="19" t="str">
        <f t="shared" si="1"/>
        <v>2026-05-06</v>
      </c>
      <c r="L185" s="20">
        <f t="shared" si="2"/>
        <v>46148</v>
      </c>
      <c r="M185" s="19" t="str">
        <f t="shared" si="3"/>
        <v>97868714</v>
      </c>
      <c r="N185" s="19" t="str">
        <f>IFERROR(IF(VLOOKUP(M185,'Leads no grupo Saibai'!C:C,1,FALSE)=M185,"Sim"),"Não")</f>
        <v>Sim</v>
      </c>
      <c r="O185" s="19"/>
    </row>
    <row r="186">
      <c r="A186" s="14" t="s">
        <v>698</v>
      </c>
      <c r="B186" s="15" t="s">
        <v>699</v>
      </c>
      <c r="C186" s="16">
        <v>1.5998114195E10</v>
      </c>
      <c r="D186" s="16" t="s">
        <v>700</v>
      </c>
      <c r="E186" s="17" t="s">
        <v>40</v>
      </c>
      <c r="F186" s="18" t="str">
        <f>IFERROR(__xludf.DUMMYFUNCTION("""COMPUTED_VALUE"""),"MetaAds")</f>
        <v>MetaAds</v>
      </c>
      <c r="G186" s="18" t="str">
        <f>IFERROR(__xludf.DUMMYFUNCTION("""COMPUTED_VALUE"""),"ADV - [IG] [FB] [30%2B] [PIEDADE - 40KM] V%C3%81RIOS")</f>
        <v>ADV - [IG] [FB] [30%2B] [PIEDADE - 40KM] V%C3%81RIOS</v>
      </c>
      <c r="H186" s="18" t="str">
        <f>IFERROR(__xludf.DUMMYFUNCTION("""COMPUTED_VALUE"""),"Instagram_Stories")</f>
        <v>Instagram_Stories</v>
      </c>
      <c r="I186" s="18" t="str">
        <f>IFERROR(__xludf.DUMMYFUNCTION("""COMPUTED_VALUE"""),"07.04 [IMG] [AD04] Pedidos abertos")</f>
        <v>07.04 [IMG] [AD04] Pedidos abertos</v>
      </c>
      <c r="J186" s="18" t="str">
        <f>IFERROR(__xludf.DUMMYFUNCTION("""COMPUTED_VALUE"""),"07.04.2026 [V4] [WB] [LEADS-GRUPO-WHATS] 02")</f>
        <v>07.04.2026 [V4] [WB] [LEADS-GRUPO-WHATS] 02</v>
      </c>
      <c r="K186" s="19" t="str">
        <f t="shared" si="1"/>
        <v>2026-05-07</v>
      </c>
      <c r="L186" s="20">
        <f t="shared" si="2"/>
        <v>46149</v>
      </c>
      <c r="M186" s="19" t="str">
        <f t="shared" si="3"/>
        <v>98114195</v>
      </c>
      <c r="N186" s="19" t="str">
        <f>IFERROR(IF(VLOOKUP(M186,'Leads no grupo Saibai'!C:C,1,FALSE)=M186,"Sim"),"Não")</f>
        <v>Sim</v>
      </c>
      <c r="O186" s="19"/>
    </row>
    <row r="187">
      <c r="A187" s="21" t="s">
        <v>701</v>
      </c>
      <c r="B187" s="22" t="s">
        <v>702</v>
      </c>
      <c r="C187" s="23">
        <v>1.19971787E10</v>
      </c>
      <c r="D187" s="23" t="s">
        <v>658</v>
      </c>
      <c r="E187" s="24" t="s">
        <v>703</v>
      </c>
      <c r="F187" s="25" t="str">
        <f>IFERROR(__xludf.DUMMYFUNCTION("""COMPUTED_VALUE"""),"MetaAds")</f>
        <v>MetaAds</v>
      </c>
      <c r="G187" s="25" t="str">
        <f>IFERROR(__xludf.DUMMYFUNCTION("""COMPUTED_VALUE"""),"ADV - [IG] [FB] [30%2B] [PIEDADE - 40KM] V%C3%81RIOS")</f>
        <v>ADV - [IG] [FB] [30%2B] [PIEDADE - 40KM] V%C3%81RIOS</v>
      </c>
      <c r="H187" s="25" t="str">
        <f>IFERROR(__xludf.DUMMYFUNCTION("""COMPUTED_VALUE"""),"Facebook_Mobile_Feed")</f>
        <v>Facebook_Mobile_Feed</v>
      </c>
      <c r="I187" s="25" t="str">
        <f>IFERROR(__xludf.DUMMYFUNCTION("""COMPUTED_VALUE"""),"07.04 [IMG] [AD02] N%C3%A3o %C3%A9 sobre comida")</f>
        <v>07.04 [IMG] [AD02] N%C3%A3o %C3%A9 sobre comida</v>
      </c>
      <c r="J187" s="25" t="str">
        <f>IFERROR(__xludf.DUMMYFUNCTION("""COMPUTED_VALUE"""),"07.04.2026 [V4] [WB] [LEADS-GRUPO-WHATS] 02")</f>
        <v>07.04.2026 [V4] [WB] [LEADS-GRUPO-WHATS] 02</v>
      </c>
      <c r="K187" s="26" t="str">
        <f t="shared" si="1"/>
        <v>2026-05-08</v>
      </c>
      <c r="L187" s="27">
        <f t="shared" si="2"/>
        <v>46150</v>
      </c>
      <c r="M187" s="26" t="str">
        <f t="shared" si="3"/>
        <v>97178700</v>
      </c>
      <c r="N187" s="19" t="str">
        <f>IFERROR(IF(VLOOKUP(M187,'Leads no grupo Saibai'!C:C,1,FALSE)=M187,"Sim"),"Não")</f>
        <v>Sim</v>
      </c>
      <c r="O187" s="19"/>
    </row>
    <row r="188">
      <c r="A188" s="14" t="s">
        <v>704</v>
      </c>
      <c r="B188" s="15" t="s">
        <v>705</v>
      </c>
      <c r="C188" s="16">
        <v>1.5997225567E10</v>
      </c>
      <c r="D188" s="16" t="s">
        <v>706</v>
      </c>
      <c r="E188" s="17" t="s">
        <v>40</v>
      </c>
      <c r="F188" s="18" t="str">
        <f>IFERROR(__xludf.DUMMYFUNCTION("""COMPUTED_VALUE"""),"MetaAds")</f>
        <v>MetaAds</v>
      </c>
      <c r="G188" s="18" t="str">
        <f>IFERROR(__xludf.DUMMYFUNCTION("""COMPUTED_VALUE"""),"ADV - [IG] [FB] [30%2B] [PIEDADE - 40KM] V%C3%81RIOS")</f>
        <v>ADV - [IG] [FB] [30%2B] [PIEDADE - 40KM] V%C3%81RIOS</v>
      </c>
      <c r="H188" s="18" t="str">
        <f>IFERROR(__xludf.DUMMYFUNCTION("""COMPUTED_VALUE"""),"Instagram_Stories")</f>
        <v>Instagram_Stories</v>
      </c>
      <c r="I188" s="18" t="str">
        <f>IFERROR(__xludf.DUMMYFUNCTION("""COMPUTED_VALUE"""),"07.04 [IMG] [AD04] Pedidos abertos")</f>
        <v>07.04 [IMG] [AD04] Pedidos abertos</v>
      </c>
      <c r="J188" s="18" t="str">
        <f>IFERROR(__xludf.DUMMYFUNCTION("""COMPUTED_VALUE"""),"07.04.2026 [V4] [WB] [LEADS-GRUPO-WHATS] 02")</f>
        <v>07.04.2026 [V4] [WB] [LEADS-GRUPO-WHATS] 02</v>
      </c>
      <c r="K188" s="19" t="str">
        <f t="shared" si="1"/>
        <v>2026-05-09</v>
      </c>
      <c r="L188" s="20">
        <f t="shared" si="2"/>
        <v>46151</v>
      </c>
      <c r="M188" s="19" t="str">
        <f t="shared" si="3"/>
        <v>97225567</v>
      </c>
      <c r="N188" s="19" t="str">
        <f>IFERROR(IF(VLOOKUP(M188,'Leads no grupo Saibai'!C:C,1,FALSE)=M188,"Sim"),"Não")</f>
        <v>Não</v>
      </c>
      <c r="O188" s="19"/>
    </row>
    <row r="189">
      <c r="A189" s="14" t="s">
        <v>707</v>
      </c>
      <c r="B189" s="15" t="s">
        <v>708</v>
      </c>
      <c r="C189" s="16">
        <v>1.199962341E9</v>
      </c>
      <c r="D189" s="16" t="s">
        <v>709</v>
      </c>
      <c r="E189" s="17" t="s">
        <v>710</v>
      </c>
      <c r="F189" s="18" t="str">
        <f>IFERROR(__xludf.DUMMYFUNCTION("""COMPUTED_VALUE"""),"MetaAds")</f>
        <v>MetaAds</v>
      </c>
      <c r="G189" s="18" t="str">
        <f>IFERROR(__xludf.DUMMYFUNCTION("""COMPUTED_VALUE"""),"ADV - [IG] [FB] [30%2B] [PIEDADE - 40KM] V%C3%81RIOS")</f>
        <v>ADV - [IG] [FB] [30%2B] [PIEDADE - 40KM] V%C3%81RIOS</v>
      </c>
      <c r="H189" s="18" t="str">
        <f>IFERROR(__xludf.DUMMYFUNCTION("""COMPUTED_VALUE"""),"Instagram_Feed")</f>
        <v>Instagram_Feed</v>
      </c>
      <c r="I189" s="18" t="str">
        <f>IFERROR(__xludf.DUMMYFUNCTION("""COMPUTED_VALUE"""),"07.04 [IMG] [AD02] N%C3%A3o %C3%A9 sobre comida")</f>
        <v>07.04 [IMG] [AD02] N%C3%A3o %C3%A9 sobre comida</v>
      </c>
      <c r="J189" s="18" t="str">
        <f>IFERROR(__xludf.DUMMYFUNCTION("""COMPUTED_VALUE"""),"07.04.2026 [V4] [WB] [LEADS-GRUPO-WHATS] 02")</f>
        <v>07.04.2026 [V4] [WB] [LEADS-GRUPO-WHATS] 02</v>
      </c>
      <c r="K189" s="19" t="str">
        <f t="shared" si="1"/>
        <v>2026-05-10</v>
      </c>
      <c r="L189" s="20">
        <f t="shared" si="2"/>
        <v>46152</v>
      </c>
      <c r="M189" s="19" t="str">
        <f t="shared" si="3"/>
        <v>99962341</v>
      </c>
      <c r="N189" s="19" t="str">
        <f>IFERROR(IF(VLOOKUP(M189,'Leads no grupo Saibai'!C:C,1,FALSE)=M189,"Sim"),"Não")</f>
        <v>Não</v>
      </c>
      <c r="O189" s="19"/>
    </row>
    <row r="190">
      <c r="A190" s="14" t="s">
        <v>711</v>
      </c>
      <c r="B190" s="15" t="s">
        <v>712</v>
      </c>
      <c r="C190" s="16">
        <v>1.5920027009E10</v>
      </c>
      <c r="D190" s="16" t="s">
        <v>713</v>
      </c>
      <c r="E190" s="17" t="s">
        <v>714</v>
      </c>
      <c r="F190" s="18" t="str">
        <f>IFERROR(__xludf.DUMMYFUNCTION("""COMPUTED_VALUE"""),"MetaAds")</f>
        <v>MetaAds</v>
      </c>
      <c r="G190" s="18" t="str">
        <f>IFERROR(__xludf.DUMMYFUNCTION("""COMPUTED_VALUE"""),"ADV - [IG] [FB] [30%2B] [PIEDADE - 40KM] V%C3%81RIOS")</f>
        <v>ADV - [IG] [FB] [30%2B] [PIEDADE - 40KM] V%C3%81RIOS</v>
      </c>
      <c r="H190" s="18" t="str">
        <f>IFERROR(__xludf.DUMMYFUNCTION("""COMPUTED_VALUE"""),"Facebook_Mobile_Feed")</f>
        <v>Facebook_Mobile_Feed</v>
      </c>
      <c r="I190" s="18" t="str">
        <f>IFERROR(__xludf.DUMMYFUNCTION("""COMPUTED_VALUE"""),"07.04 [IMG] [AD02] N%C3%A3o %C3%A9 sobre comida")</f>
        <v>07.04 [IMG] [AD02] N%C3%A3o %C3%A9 sobre comida</v>
      </c>
      <c r="J190" s="18" t="str">
        <f>IFERROR(__xludf.DUMMYFUNCTION("""COMPUTED_VALUE"""),"07.04.2026 [V4] [WB] [LEADS-GRUPO-WHATS] 02")</f>
        <v>07.04.2026 [V4] [WB] [LEADS-GRUPO-WHATS] 02</v>
      </c>
      <c r="K190" s="19" t="str">
        <f t="shared" si="1"/>
        <v>2026-05-10</v>
      </c>
      <c r="L190" s="20">
        <f t="shared" si="2"/>
        <v>46152</v>
      </c>
      <c r="M190" s="19" t="str">
        <f t="shared" si="3"/>
        <v>20027009</v>
      </c>
      <c r="N190" s="19" t="str">
        <f>IFERROR(IF(VLOOKUP(M190,'Leads no grupo Saibai'!C:C,1,FALSE)=M190,"Sim"),"Não")</f>
        <v>Não</v>
      </c>
      <c r="O190" s="19"/>
    </row>
    <row r="191">
      <c r="A191" s="14" t="s">
        <v>715</v>
      </c>
      <c r="B191" s="15" t="s">
        <v>716</v>
      </c>
      <c r="C191" s="16">
        <v>1.5997667714E10</v>
      </c>
      <c r="D191" s="16" t="s">
        <v>717</v>
      </c>
      <c r="E191" s="17" t="s">
        <v>718</v>
      </c>
      <c r="F191" s="18" t="str">
        <f>IFERROR(__xludf.DUMMYFUNCTION("""COMPUTED_VALUE"""),"MetaAds")</f>
        <v>MetaAds</v>
      </c>
      <c r="G191" s="18" t="str">
        <f>IFERROR(__xludf.DUMMYFUNCTION("""COMPUTED_VALUE"""),"ADV - [IG] [FB] [30%2B] [PIEDADE - 40KM] V%C3%81RIOS")</f>
        <v>ADV - [IG] [FB] [30%2B] [PIEDADE - 40KM] V%C3%81RIOS</v>
      </c>
      <c r="H191" s="18" t="str">
        <f>IFERROR(__xludf.DUMMYFUNCTION("""COMPUTED_VALUE"""),"Instagram_Feed")</f>
        <v>Instagram_Feed</v>
      </c>
      <c r="I191" s="18" t="str">
        <f>IFERROR(__xludf.DUMMYFUNCTION("""COMPUTED_VALUE"""),"07.04 [IMG] [AD04] Pedidos abertos")</f>
        <v>07.04 [IMG] [AD04] Pedidos abertos</v>
      </c>
      <c r="J191" s="18" t="str">
        <f>IFERROR(__xludf.DUMMYFUNCTION("""COMPUTED_VALUE"""),"22.04.2026 [V4] [WB] [LEADS-GRUPO-WHATS] 02")</f>
        <v>22.04.2026 [V4] [WB] [LEADS-GRUPO-WHATS] 02</v>
      </c>
      <c r="K191" s="19" t="str">
        <f t="shared" si="1"/>
        <v>2026-05-10</v>
      </c>
      <c r="L191" s="20">
        <f t="shared" si="2"/>
        <v>46152</v>
      </c>
      <c r="M191" s="19" t="str">
        <f t="shared" si="3"/>
        <v>97667714</v>
      </c>
      <c r="N191" s="19" t="str">
        <f>IFERROR(IF(VLOOKUP(M191,'Leads no grupo Saibai'!C:C,1,FALSE)=M191,"Sim"),"Não")</f>
        <v>Sim</v>
      </c>
      <c r="O191" s="19"/>
    </row>
    <row r="192">
      <c r="A192" s="14" t="s">
        <v>719</v>
      </c>
      <c r="B192" s="15" t="s">
        <v>720</v>
      </c>
      <c r="C192" s="16">
        <v>1.5997742216E10</v>
      </c>
      <c r="D192" s="16" t="s">
        <v>721</v>
      </c>
      <c r="E192" s="17" t="s">
        <v>722</v>
      </c>
      <c r="F192" s="18" t="str">
        <f>IFERROR(__xludf.DUMMYFUNCTION("""COMPUTED_VALUE"""),"MetaAds")</f>
        <v>MetaAds</v>
      </c>
      <c r="G192" s="18" t="str">
        <f>IFERROR(__xludf.DUMMYFUNCTION("""COMPUTED_VALUE"""),"ADV - [IG] [FB] [30%2B] [PIEDADE - 40KM] V%C3%81RIOS")</f>
        <v>ADV - [IG] [FB] [30%2B] [PIEDADE - 40KM] V%C3%81RIOS</v>
      </c>
      <c r="H192" s="18" t="str">
        <f>IFERROR(__xludf.DUMMYFUNCTION("""COMPUTED_VALUE"""),"Instagram_Feed")</f>
        <v>Instagram_Feed</v>
      </c>
      <c r="I192" s="18" t="str">
        <f>IFERROR(__xludf.DUMMYFUNCTION("""COMPUTED_VALUE"""),"07.04 [IMG] [AD04] Pedidos abertos")</f>
        <v>07.04 [IMG] [AD04] Pedidos abertos</v>
      </c>
      <c r="J192" s="18" t="str">
        <f>IFERROR(__xludf.DUMMYFUNCTION("""COMPUTED_VALUE"""),"22.04.2026 [V4] [WB] [LEADS-GRUPO-WHATS] 02")</f>
        <v>22.04.2026 [V4] [WB] [LEADS-GRUPO-WHATS] 02</v>
      </c>
      <c r="K192" s="19" t="str">
        <f t="shared" si="1"/>
        <v>2026-05-15</v>
      </c>
      <c r="L192" s="20">
        <f t="shared" si="2"/>
        <v>46157</v>
      </c>
      <c r="M192" s="19" t="str">
        <f t="shared" si="3"/>
        <v>97742216</v>
      </c>
      <c r="N192" s="19" t="str">
        <f>IFERROR(IF(VLOOKUP(M192,'Leads no grupo Saibai'!C:C,1,FALSE)=M192,"Sim"),"Não")</f>
        <v>Sim</v>
      </c>
      <c r="O192" s="19"/>
    </row>
    <row r="193">
      <c r="A193" s="14" t="s">
        <v>723</v>
      </c>
      <c r="B193" s="15" t="s">
        <v>724</v>
      </c>
      <c r="C193" s="16">
        <v>1.1940620021E10</v>
      </c>
      <c r="D193" s="16" t="s">
        <v>608</v>
      </c>
      <c r="E193" s="17" t="s">
        <v>725</v>
      </c>
      <c r="F193" s="18" t="str">
        <f>IFERROR(__xludf.DUMMYFUNCTION("""COMPUTED_VALUE"""),"MetaAds")</f>
        <v>MetaAds</v>
      </c>
      <c r="G193" s="18" t="str">
        <f>IFERROR(__xludf.DUMMYFUNCTION("""COMPUTED_VALUE"""),"ADV - [IG] [FB] [30%2B] [PIEDADE - 40KM] V%C3%81RIOS")</f>
        <v>ADV - [IG] [FB] [30%2B] [PIEDADE - 40KM] V%C3%81RIOS</v>
      </c>
      <c r="H193" s="18" t="str">
        <f>IFERROR(__xludf.DUMMYFUNCTION("""COMPUTED_VALUE"""),"Facebook_Mobile_Feed")</f>
        <v>Facebook_Mobile_Feed</v>
      </c>
      <c r="I193" s="18" t="str">
        <f>IFERROR(__xludf.DUMMYFUNCTION("""COMPUTED_VALUE"""),"07.04 [IMG] [AD04] Pedidos abertos")</f>
        <v>07.04 [IMG] [AD04] Pedidos abertos</v>
      </c>
      <c r="J193" s="18" t="str">
        <f>IFERROR(__xludf.DUMMYFUNCTION("""COMPUTED_VALUE"""),"07.04.2026 [V4] [WB] [LEADS-GRUPO-WHATS] 02")</f>
        <v>07.04.2026 [V4] [WB] [LEADS-GRUPO-WHATS] 02</v>
      </c>
      <c r="K193" s="19" t="str">
        <f t="shared" si="1"/>
        <v>2026-05-15</v>
      </c>
      <c r="L193" s="20">
        <f t="shared" si="2"/>
        <v>46157</v>
      </c>
      <c r="M193" s="19" t="str">
        <f t="shared" si="3"/>
        <v>40620021</v>
      </c>
      <c r="N193" s="19" t="str">
        <f>IFERROR(IF(VLOOKUP(M193,'Leads no grupo Saibai'!C:C,1,FALSE)=M193,"Sim"),"Não")</f>
        <v>Sim</v>
      </c>
      <c r="O193" s="19"/>
    </row>
    <row r="194">
      <c r="A194" s="14" t="s">
        <v>726</v>
      </c>
      <c r="B194" s="15" t="s">
        <v>727</v>
      </c>
      <c r="C194" s="16">
        <v>1.5996577549E10</v>
      </c>
      <c r="D194" s="16" t="s">
        <v>728</v>
      </c>
      <c r="E194" s="17" t="s">
        <v>729</v>
      </c>
      <c r="F194" s="18" t="str">
        <f>IFERROR(__xludf.DUMMYFUNCTION("""COMPUTED_VALUE"""),"MetaAds")</f>
        <v>MetaAds</v>
      </c>
      <c r="G194" s="18" t="str">
        <f>IFERROR(__xludf.DUMMYFUNCTION("""COMPUTED_VALUE"""),"ADV - [IG] [FB] [30%2B] [PIEDADE - 40KM] V%C3%81RIOS")</f>
        <v>ADV - [IG] [FB] [30%2B] [PIEDADE - 40KM] V%C3%81RIOS</v>
      </c>
      <c r="H194" s="18" t="str">
        <f>IFERROR(__xludf.DUMMYFUNCTION("""COMPUTED_VALUE"""),"Instagram_Feed")</f>
        <v>Instagram_Feed</v>
      </c>
      <c r="I194" s="18" t="str">
        <f>IFERROR(__xludf.DUMMYFUNCTION("""COMPUTED_VALUE"""),"07.04 [IMG] [AD04] Pedidos abertos")</f>
        <v>07.04 [IMG] [AD04] Pedidos abertos</v>
      </c>
      <c r="J194" s="18" t="str">
        <f>IFERROR(__xludf.DUMMYFUNCTION("""COMPUTED_VALUE"""),"22.04.2026 [V4] [WB] [LEADS-GRUPO-WHATS] 02")</f>
        <v>22.04.2026 [V4] [WB] [LEADS-GRUPO-WHATS] 02</v>
      </c>
      <c r="K194" s="19" t="str">
        <f t="shared" si="1"/>
        <v>2026-05-15</v>
      </c>
      <c r="L194" s="20">
        <f t="shared" si="2"/>
        <v>46157</v>
      </c>
      <c r="M194" s="19" t="str">
        <f t="shared" si="3"/>
        <v>96577549</v>
      </c>
      <c r="N194" s="19" t="str">
        <f>IFERROR(IF(VLOOKUP(M194,'Leads no grupo Saibai'!C:C,1,FALSE)=M194,"Sim"),"Não")</f>
        <v>Sim</v>
      </c>
      <c r="O194" s="19"/>
    </row>
    <row r="195">
      <c r="A195" s="14" t="s">
        <v>730</v>
      </c>
      <c r="B195" s="15" t="s">
        <v>731</v>
      </c>
      <c r="C195" s="16">
        <v>1.1995949171E10</v>
      </c>
      <c r="D195" s="16" t="s">
        <v>732</v>
      </c>
      <c r="E195" s="17" t="s">
        <v>733</v>
      </c>
      <c r="F195" s="18" t="str">
        <f>IFERROR(__xludf.DUMMYFUNCTION("""COMPUTED_VALUE"""),"MetaAds")</f>
        <v>MetaAds</v>
      </c>
      <c r="G195" s="18" t="str">
        <f>IFERROR(__xludf.DUMMYFUNCTION("""COMPUTED_VALUE"""),"ADV - [IG] [FB] [30%2B] [PIEDADE - 40KM] V%C3%81RIOS")</f>
        <v>ADV - [IG] [FB] [30%2B] [PIEDADE - 40KM] V%C3%81RIOS</v>
      </c>
      <c r="H195" s="18" t="str">
        <f>IFERROR(__xludf.DUMMYFUNCTION("""COMPUTED_VALUE"""),"Facebook_Mobile_Reels")</f>
        <v>Facebook_Mobile_Reels</v>
      </c>
      <c r="I195" s="18" t="str">
        <f>IFERROR(__xludf.DUMMYFUNCTION("""COMPUTED_VALUE"""),"07.04 [IMG] [AD04] Pedidos abertos")</f>
        <v>07.04 [IMG] [AD04] Pedidos abertos</v>
      </c>
      <c r="J195" s="18" t="str">
        <f>IFERROR(__xludf.DUMMYFUNCTION("""COMPUTED_VALUE"""),"22.04.2026 [V4] [WB] [LEADS-GRUPO-WHATS] 02")</f>
        <v>22.04.2026 [V4] [WB] [LEADS-GRUPO-WHATS] 02</v>
      </c>
      <c r="K195" s="19" t="str">
        <f t="shared" si="1"/>
        <v>2026-05-15</v>
      </c>
      <c r="L195" s="20">
        <f t="shared" si="2"/>
        <v>46157</v>
      </c>
      <c r="M195" s="19" t="str">
        <f t="shared" si="3"/>
        <v>95949171</v>
      </c>
      <c r="N195" s="19" t="str">
        <f>IFERROR(IF(VLOOKUP(M195,'Leads no grupo Saibai'!C:C,1,FALSE)=M195,"Sim"),"Não")</f>
        <v>Sim</v>
      </c>
      <c r="O195" s="19"/>
    </row>
    <row r="196">
      <c r="A196" s="14" t="s">
        <v>734</v>
      </c>
      <c r="B196" s="15" t="s">
        <v>731</v>
      </c>
      <c r="C196" s="16">
        <v>1.1995949171E10</v>
      </c>
      <c r="D196" s="16" t="s">
        <v>732</v>
      </c>
      <c r="E196" s="17" t="s">
        <v>733</v>
      </c>
      <c r="F196" s="18" t="str">
        <f>IFERROR(__xludf.DUMMYFUNCTION("""COMPUTED_VALUE"""),"MetaAds")</f>
        <v>MetaAds</v>
      </c>
      <c r="G196" s="18" t="str">
        <f>IFERROR(__xludf.DUMMYFUNCTION("""COMPUTED_VALUE"""),"ADV - [IG] [FB] [30%2B] [PIEDADE - 40KM] V%C3%81RIOS")</f>
        <v>ADV - [IG] [FB] [30%2B] [PIEDADE - 40KM] V%C3%81RIOS</v>
      </c>
      <c r="H196" s="18" t="str">
        <f>IFERROR(__xludf.DUMMYFUNCTION("""COMPUTED_VALUE"""),"Facebook_Mobile_Reels")</f>
        <v>Facebook_Mobile_Reels</v>
      </c>
      <c r="I196" s="18" t="str">
        <f>IFERROR(__xludf.DUMMYFUNCTION("""COMPUTED_VALUE"""),"07.04 [IMG] [AD04] Pedidos abertos")</f>
        <v>07.04 [IMG] [AD04] Pedidos abertos</v>
      </c>
      <c r="J196" s="18" t="str">
        <f>IFERROR(__xludf.DUMMYFUNCTION("""COMPUTED_VALUE"""),"22.04.2026 [V4] [WB] [LEADS-GRUPO-WHATS] 02")</f>
        <v>22.04.2026 [V4] [WB] [LEADS-GRUPO-WHATS] 02</v>
      </c>
      <c r="K196" s="19" t="str">
        <f t="shared" si="1"/>
        <v>2026-05-15</v>
      </c>
      <c r="L196" s="20">
        <f t="shared" si="2"/>
        <v>46157</v>
      </c>
      <c r="M196" s="19" t="str">
        <f t="shared" si="3"/>
        <v>95949171</v>
      </c>
      <c r="N196" s="19" t="str">
        <f>IFERROR(IF(VLOOKUP(M196,'Leads no grupo Saibai'!C:C,1,FALSE)=M196,"Sim"),"Não")</f>
        <v>Sim</v>
      </c>
      <c r="O196" s="19"/>
    </row>
    <row r="197">
      <c r="A197" s="14" t="s">
        <v>735</v>
      </c>
      <c r="B197" s="15" t="s">
        <v>736</v>
      </c>
      <c r="C197" s="16">
        <v>1.1976188383E10</v>
      </c>
      <c r="D197" s="16" t="s">
        <v>737</v>
      </c>
      <c r="E197" s="17" t="s">
        <v>738</v>
      </c>
      <c r="F197" s="18" t="str">
        <f>IFERROR(__xludf.DUMMYFUNCTION("""COMPUTED_VALUE"""),"MetaAds")</f>
        <v>MetaAds</v>
      </c>
      <c r="G197" s="18" t="str">
        <f>IFERROR(__xludf.DUMMYFUNCTION("""COMPUTED_VALUE"""),"ADV - [IG] [FB] [30%2B] [PIEDADE - 40KM] V%C3%81RIOS")</f>
        <v>ADV - [IG] [FB] [30%2B] [PIEDADE - 40KM] V%C3%81RIOS</v>
      </c>
      <c r="H197" s="18" t="str">
        <f>IFERROR(__xludf.DUMMYFUNCTION("""COMPUTED_VALUE"""),"Instagram_Stories")</f>
        <v>Instagram_Stories</v>
      </c>
      <c r="I197" s="18" t="str">
        <f>IFERROR(__xludf.DUMMYFUNCTION("""COMPUTED_VALUE"""),"07.04 [IMG] [AD04] Pedidos abertos")</f>
        <v>07.04 [IMG] [AD04] Pedidos abertos</v>
      </c>
      <c r="J197" s="18" t="str">
        <f>IFERROR(__xludf.DUMMYFUNCTION("""COMPUTED_VALUE"""),"22.04.2026 [V4] [WB] [LEADS-GRUPO-WHATS] 02")</f>
        <v>22.04.2026 [V4] [WB] [LEADS-GRUPO-WHATS] 02</v>
      </c>
      <c r="K197" s="19" t="str">
        <f t="shared" si="1"/>
        <v>2026-05-16</v>
      </c>
      <c r="L197" s="20">
        <f t="shared" si="2"/>
        <v>46158</v>
      </c>
      <c r="M197" s="19" t="str">
        <f t="shared" si="3"/>
        <v>76188383</v>
      </c>
      <c r="N197" s="19" t="str">
        <f>IFERROR(IF(VLOOKUP(M197,'Leads no grupo Saibai'!C:C,1,FALSE)=M197,"Sim"),"Não")</f>
        <v>Sim</v>
      </c>
      <c r="O197" s="19"/>
    </row>
    <row r="198">
      <c r="A198" s="14" t="s">
        <v>739</v>
      </c>
      <c r="B198" s="15" t="s">
        <v>740</v>
      </c>
      <c r="C198" s="16">
        <v>1.5998115066E10</v>
      </c>
      <c r="D198" s="16" t="s">
        <v>741</v>
      </c>
      <c r="E198" s="17" t="s">
        <v>742</v>
      </c>
      <c r="F198" s="18" t="str">
        <f>IFERROR(__xludf.DUMMYFUNCTION("""COMPUTED_VALUE"""),"MetaAds")</f>
        <v>MetaAds</v>
      </c>
      <c r="G198" s="18" t="str">
        <f>IFERROR(__xludf.DUMMYFUNCTION("""COMPUTED_VALUE"""),"ADV - [IG] [FB] [30%2B] [PIEDADE - 40KM] V%C3%81RIOS")</f>
        <v>ADV - [IG] [FB] [30%2B] [PIEDADE - 40KM] V%C3%81RIOS</v>
      </c>
      <c r="H198" s="18" t="str">
        <f>IFERROR(__xludf.DUMMYFUNCTION("""COMPUTED_VALUE"""),"Facebook_Mobile_Feed")</f>
        <v>Facebook_Mobile_Feed</v>
      </c>
      <c r="I198" s="18" t="str">
        <f>IFERROR(__xludf.DUMMYFUNCTION("""COMPUTED_VALUE"""),"07.04 [IMG] [AD04] Pedidos abertos")</f>
        <v>07.04 [IMG] [AD04] Pedidos abertos</v>
      </c>
      <c r="J198" s="18" t="str">
        <f>IFERROR(__xludf.DUMMYFUNCTION("""COMPUTED_VALUE"""),"07.04.2026 [V4] [WB] [LEADS-GRUPO-WHATS] 02")</f>
        <v>07.04.2026 [V4] [WB] [LEADS-GRUPO-WHATS] 02</v>
      </c>
      <c r="K198" s="19" t="str">
        <f t="shared" si="1"/>
        <v>2026-05-16</v>
      </c>
      <c r="L198" s="20">
        <f t="shared" si="2"/>
        <v>46158</v>
      </c>
      <c r="M198" s="19" t="str">
        <f t="shared" si="3"/>
        <v>98115066</v>
      </c>
      <c r="N198" s="19" t="str">
        <f>IFERROR(IF(VLOOKUP(M198,'Leads no grupo Saibai'!C:C,1,FALSE)=M198,"Sim"),"Não")</f>
        <v>Sim</v>
      </c>
      <c r="O198" s="19"/>
    </row>
    <row r="199">
      <c r="A199" s="14" t="s">
        <v>743</v>
      </c>
      <c r="B199" s="15" t="s">
        <v>744</v>
      </c>
      <c r="C199" s="16">
        <v>5.5159977365E10</v>
      </c>
      <c r="D199" s="16" t="s">
        <v>745</v>
      </c>
      <c r="E199" s="17" t="s">
        <v>746</v>
      </c>
      <c r="F199" s="18" t="str">
        <f>IFERROR(__xludf.DUMMYFUNCTION("""COMPUTED_VALUE"""),"MetaAds")</f>
        <v>MetaAds</v>
      </c>
      <c r="G199" s="18" t="str">
        <f>IFERROR(__xludf.DUMMYFUNCTION("""COMPUTED_VALUE"""),"ADV - [IG] [FB] [30%2B] [PIEDADE - 40KM] V%C3%81RIOS")</f>
        <v>ADV - [IG] [FB] [30%2B] [PIEDADE - 40KM] V%C3%81RIOS</v>
      </c>
      <c r="H199" s="18" t="str">
        <f>IFERROR(__xludf.DUMMYFUNCTION("""COMPUTED_VALUE"""),"Instagram_Stories")</f>
        <v>Instagram_Stories</v>
      </c>
      <c r="I199" s="18" t="str">
        <f>IFERROR(__xludf.DUMMYFUNCTION("""COMPUTED_VALUE"""),"07.04 [IMG] [AD04] Pedidos abertos")</f>
        <v>07.04 [IMG] [AD04] Pedidos abertos</v>
      </c>
      <c r="J199" s="18" t="str">
        <f>IFERROR(__xludf.DUMMYFUNCTION("""COMPUTED_VALUE"""),"22.04.2026 [V4] [WB] [LEADS-GRUPO-WHATS] 02")</f>
        <v>22.04.2026 [V4] [WB] [LEADS-GRUPO-WHATS] 02</v>
      </c>
      <c r="K199" s="19" t="str">
        <f t="shared" si="1"/>
        <v>2026-05-16</v>
      </c>
      <c r="L199" s="20">
        <f t="shared" si="2"/>
        <v>46158</v>
      </c>
      <c r="M199" s="19" t="str">
        <f t="shared" si="3"/>
        <v>59977365</v>
      </c>
      <c r="N199" s="19" t="str">
        <f>IFERROR(IF(VLOOKUP(M199,'Leads no grupo Saibai'!C:C,1,FALSE)=M199,"Sim"),"Não")</f>
        <v>Não</v>
      </c>
      <c r="O199" s="19"/>
    </row>
    <row r="200">
      <c r="A200" s="14" t="s">
        <v>747</v>
      </c>
      <c r="B200" s="15" t="s">
        <v>748</v>
      </c>
      <c r="C200" s="16">
        <v>5.5159962092E10</v>
      </c>
      <c r="D200" s="16" t="s">
        <v>749</v>
      </c>
      <c r="E200" s="17" t="s">
        <v>750</v>
      </c>
      <c r="F200" s="18" t="str">
        <f>IFERROR(__xludf.DUMMYFUNCTION("""COMPUTED_VALUE"""),"google-ads")</f>
        <v>google-ads</v>
      </c>
      <c r="G200" s="18" t="str">
        <f>IFERROR(__xludf.DUMMYFUNCTION("""COMPUTED_VALUE"""),"branding-terms")</f>
        <v>branding-terms</v>
      </c>
      <c r="H200" s="18" t="str">
        <f>IFERROR(__xludf.DUMMYFUNCTION("""COMPUTED_VALUE"""),"saibai")</f>
        <v>saibai</v>
      </c>
      <c r="I200" s="18" t="str">
        <f>IFERROR(__xludf.DUMMYFUNCTION("""COMPUTED_VALUE"""),"786538028159")</f>
        <v>786538028159</v>
      </c>
      <c r="J200" s="18" t="str">
        <f>IFERROR(__xludf.DUMMYFUNCTION("""COMPUTED_VALUE"""),"venda-direta")</f>
        <v>venda-direta</v>
      </c>
      <c r="K200" s="19" t="str">
        <f t="shared" si="1"/>
        <v>2026-05-16</v>
      </c>
      <c r="L200" s="20">
        <f t="shared" si="2"/>
        <v>46158</v>
      </c>
      <c r="M200" s="19" t="str">
        <f t="shared" si="3"/>
        <v>59962092</v>
      </c>
      <c r="N200" s="19" t="str">
        <f>IFERROR(IF(VLOOKUP(M200,'Leads no grupo Saibai'!C:C,1,FALSE)=M200,"Sim"),"Não")</f>
        <v>Não</v>
      </c>
      <c r="O200" s="19"/>
    </row>
    <row r="201">
      <c r="A201" s="14" t="s">
        <v>751</v>
      </c>
      <c r="B201" s="15" t="s">
        <v>752</v>
      </c>
      <c r="C201" s="16">
        <v>1.5996662212E10</v>
      </c>
      <c r="D201" s="16" t="s">
        <v>753</v>
      </c>
      <c r="E201" s="17" t="s">
        <v>754</v>
      </c>
      <c r="F201" s="18" t="str">
        <f>IFERROR(__xludf.DUMMYFUNCTION("""COMPUTED_VALUE"""),"MetaAds")</f>
        <v>MetaAds</v>
      </c>
      <c r="G201" s="18" t="str">
        <f>IFERROR(__xludf.DUMMYFUNCTION("""COMPUTED_VALUE"""),"ADV - [IG] [FB] [30%2B] [PIEDADE - 40KM] V%C3%81RIOS")</f>
        <v>ADV - [IG] [FB] [30%2B] [PIEDADE - 40KM] V%C3%81RIOS</v>
      </c>
      <c r="H201" s="18" t="str">
        <f>IFERROR(__xludf.DUMMYFUNCTION("""COMPUTED_VALUE"""),"Facebook_Mobile_Reels")</f>
        <v>Facebook_Mobile_Reels</v>
      </c>
      <c r="I201" s="18" t="str">
        <f>IFERROR(__xludf.DUMMYFUNCTION("""COMPUTED_VALUE"""),"07.04 [IMG] [AD04] Pedidos abertos")</f>
        <v>07.04 [IMG] [AD04] Pedidos abertos</v>
      </c>
      <c r="J201" s="18" t="str">
        <f>IFERROR(__xludf.DUMMYFUNCTION("""COMPUTED_VALUE"""),"07.04.2026 [V4] [WB] [LEADS-GRUPO-WHATS] 02")</f>
        <v>07.04.2026 [V4] [WB] [LEADS-GRUPO-WHATS] 02</v>
      </c>
      <c r="K201" s="19" t="str">
        <f t="shared" si="1"/>
        <v>2026-05-17</v>
      </c>
      <c r="L201" s="20">
        <f t="shared" si="2"/>
        <v>46159</v>
      </c>
      <c r="M201" s="19" t="str">
        <f t="shared" si="3"/>
        <v>96662212</v>
      </c>
      <c r="N201" s="19" t="str">
        <f>IFERROR(IF(VLOOKUP(M201,'Leads no grupo Saibai'!C:C,1,FALSE)=M201,"Sim"),"Não")</f>
        <v>Sim</v>
      </c>
      <c r="O201" s="19"/>
    </row>
    <row r="202">
      <c r="A202" s="14" t="s">
        <v>755</v>
      </c>
      <c r="B202" s="15" t="s">
        <v>756</v>
      </c>
      <c r="C202" s="16">
        <v>5.511952959E10</v>
      </c>
      <c r="D202" s="16" t="s">
        <v>757</v>
      </c>
      <c r="E202" s="17" t="s">
        <v>758</v>
      </c>
      <c r="F202" s="18" t="str">
        <f>IFERROR(__xludf.DUMMYFUNCTION("""COMPUTED_VALUE"""),"MetaAds")</f>
        <v>MetaAds</v>
      </c>
      <c r="G202" s="18" t="str">
        <f>IFERROR(__xludf.DUMMYFUNCTION("""COMPUTED_VALUE"""),"ADV - [IG] [FB] [30%2B] [PIEDADE - 40KM] V%C3%81RIOS")</f>
        <v>ADV - [IG] [FB] [30%2B] [PIEDADE - 40KM] V%C3%81RIOS</v>
      </c>
      <c r="H202" s="18" t="str">
        <f>IFERROR(__xludf.DUMMYFUNCTION("""COMPUTED_VALUE"""),"Facebook_Mobile_Feed")</f>
        <v>Facebook_Mobile_Feed</v>
      </c>
      <c r="I202" s="18" t="str">
        <f>IFERROR(__xludf.DUMMYFUNCTION("""COMPUTED_VALUE"""),"07.04 [IMG] [AD04] Pedidos abertos")</f>
        <v>07.04 [IMG] [AD04] Pedidos abertos</v>
      </c>
      <c r="J202" s="18" t="str">
        <f>IFERROR(__xludf.DUMMYFUNCTION("""COMPUTED_VALUE"""),"22.04.2026 [V4] [WB] [LEADS-GRUPO-WHATS] 02")</f>
        <v>22.04.2026 [V4] [WB] [LEADS-GRUPO-WHATS] 02</v>
      </c>
      <c r="K202" s="19" t="str">
        <f t="shared" si="1"/>
        <v>2026-05-17</v>
      </c>
      <c r="L202" s="20">
        <f t="shared" si="2"/>
        <v>46159</v>
      </c>
      <c r="M202" s="19" t="str">
        <f t="shared" si="3"/>
        <v>19529590</v>
      </c>
      <c r="N202" s="19" t="str">
        <f>IFERROR(IF(VLOOKUP(M202,'Leads no grupo Saibai'!C:C,1,FALSE)=M202,"Sim"),"Não")</f>
        <v>Não</v>
      </c>
      <c r="O202" s="19"/>
    </row>
    <row r="203">
      <c r="A203" s="14" t="s">
        <v>759</v>
      </c>
      <c r="B203" s="15" t="s">
        <v>760</v>
      </c>
      <c r="C203" s="16">
        <v>1.1997457443E10</v>
      </c>
      <c r="D203" s="16" t="s">
        <v>761</v>
      </c>
      <c r="E203" s="17" t="s">
        <v>762</v>
      </c>
      <c r="F203" s="18" t="str">
        <f>IFERROR(__xludf.DUMMYFUNCTION("""COMPUTED_VALUE"""),"MetaAds")</f>
        <v>MetaAds</v>
      </c>
      <c r="G203" s="18" t="str">
        <f>IFERROR(__xludf.DUMMYFUNCTION("""COMPUTED_VALUE"""),"ADV - [IG] [FB] [30%2B] [PIEDADE - 40KM] V%C3%81RIOS")</f>
        <v>ADV - [IG] [FB] [30%2B] [PIEDADE - 40KM] V%C3%81RIOS</v>
      </c>
      <c r="H203" s="18" t="str">
        <f>IFERROR(__xludf.DUMMYFUNCTION("""COMPUTED_VALUE"""),"Facebook_Mobile_Feed")</f>
        <v>Facebook_Mobile_Feed</v>
      </c>
      <c r="I203" s="18" t="str">
        <f>IFERROR(__xludf.DUMMYFUNCTION("""COMPUTED_VALUE"""),"07.04 [IMG] [AD04] Pedidos abertos")</f>
        <v>07.04 [IMG] [AD04] Pedidos abertos</v>
      </c>
      <c r="J203" s="18" t="str">
        <f>IFERROR(__xludf.DUMMYFUNCTION("""COMPUTED_VALUE"""),"22.04.2026 [V4] [WB] [LEADS-GRUPO-WHATS] 02")</f>
        <v>22.04.2026 [V4] [WB] [LEADS-GRUPO-WHATS] 02</v>
      </c>
      <c r="K203" s="19" t="str">
        <f t="shared" si="1"/>
        <v>2026-05-17</v>
      </c>
      <c r="L203" s="20">
        <f t="shared" si="2"/>
        <v>46159</v>
      </c>
      <c r="M203" s="19" t="str">
        <f t="shared" si="3"/>
        <v>97457443</v>
      </c>
      <c r="N203" s="19" t="str">
        <f>IFERROR(IF(VLOOKUP(M203,'Leads no grupo Saibai'!C:C,1,FALSE)=M203,"Sim"),"Não")</f>
        <v>Sim</v>
      </c>
      <c r="O203" s="19"/>
    </row>
    <row r="204">
      <c r="A204" s="14" t="s">
        <v>763</v>
      </c>
      <c r="B204" s="15" t="s">
        <v>731</v>
      </c>
      <c r="C204" s="16">
        <v>1.1995949171E10</v>
      </c>
      <c r="D204" s="16" t="s">
        <v>732</v>
      </c>
      <c r="E204" s="17" t="s">
        <v>764</v>
      </c>
      <c r="F204" s="18" t="str">
        <f>IFERROR(__xludf.DUMMYFUNCTION("""COMPUTED_VALUE"""),"MetaAds")</f>
        <v>MetaAds</v>
      </c>
      <c r="G204" s="18" t="str">
        <f>IFERROR(__xludf.DUMMYFUNCTION("""COMPUTED_VALUE"""),"ADV - [IG] [FB] [30%2B] [PIEDADE - 40KM] V%C3%81RIOS")</f>
        <v>ADV - [IG] [FB] [30%2B] [PIEDADE - 40KM] V%C3%81RIOS</v>
      </c>
      <c r="H204" s="18" t="str">
        <f>IFERROR(__xludf.DUMMYFUNCTION("""COMPUTED_VALUE"""),"Facebook_Mobile_Feed")</f>
        <v>Facebook_Mobile_Feed</v>
      </c>
      <c r="I204" s="18" t="str">
        <f>IFERROR(__xludf.DUMMYFUNCTION("""COMPUTED_VALUE"""),"07.04 [IMG] [AD04] Pedidos abertos")</f>
        <v>07.04 [IMG] [AD04] Pedidos abertos</v>
      </c>
      <c r="J204" s="18" t="str">
        <f>IFERROR(__xludf.DUMMYFUNCTION("""COMPUTED_VALUE"""),"22.04.2026 [V4] [WB] [LEADS-GRUPO-WHATS] 02")</f>
        <v>22.04.2026 [V4] [WB] [LEADS-GRUPO-WHATS] 02</v>
      </c>
      <c r="K204" s="19" t="str">
        <f t="shared" si="1"/>
        <v>2026-05-17</v>
      </c>
      <c r="L204" s="20">
        <f t="shared" si="2"/>
        <v>46159</v>
      </c>
      <c r="M204" s="19" t="str">
        <f t="shared" si="3"/>
        <v>95949171</v>
      </c>
      <c r="N204" s="19" t="str">
        <f>IFERROR(IF(VLOOKUP(M204,'Leads no grupo Saibai'!C:C,1,FALSE)=M204,"Sim"),"Não")</f>
        <v>Sim</v>
      </c>
      <c r="O204" s="19"/>
    </row>
    <row r="205">
      <c r="A205" s="14" t="s">
        <v>765</v>
      </c>
      <c r="B205" s="15" t="s">
        <v>731</v>
      </c>
      <c r="C205" s="16">
        <v>1.1995949171E10</v>
      </c>
      <c r="D205" s="16" t="s">
        <v>732</v>
      </c>
      <c r="E205" s="17" t="s">
        <v>766</v>
      </c>
      <c r="F205" s="18" t="str">
        <f>IFERROR(__xludf.DUMMYFUNCTION("""COMPUTED_VALUE"""),"MetaAds")</f>
        <v>MetaAds</v>
      </c>
      <c r="G205" s="18" t="str">
        <f>IFERROR(__xludf.DUMMYFUNCTION("""COMPUTED_VALUE"""),"ADV - [IG] [FB] [30%2B] [PIEDADE - 40KM] V%C3%81RIOS")</f>
        <v>ADV - [IG] [FB] [30%2B] [PIEDADE - 40KM] V%C3%81RIOS</v>
      </c>
      <c r="H205" s="18" t="str">
        <f>IFERROR(__xludf.DUMMYFUNCTION("""COMPUTED_VALUE"""),"Facebook_Mobile_Feed")</f>
        <v>Facebook_Mobile_Feed</v>
      </c>
      <c r="I205" s="18" t="str">
        <f>IFERROR(__xludf.DUMMYFUNCTION("""COMPUTED_VALUE"""),"07.04 [IMG] [AD04] Pedidos abertos")</f>
        <v>07.04 [IMG] [AD04] Pedidos abertos</v>
      </c>
      <c r="J205" s="18" t="str">
        <f>IFERROR(__xludf.DUMMYFUNCTION("""COMPUTED_VALUE"""),"07.04.2026 [V4] [WB] [LEADS-GRUPO-WHATS] 02")</f>
        <v>07.04.2026 [V4] [WB] [LEADS-GRUPO-WHATS] 02</v>
      </c>
      <c r="K205" s="19" t="str">
        <f t="shared" si="1"/>
        <v>2026-05-17</v>
      </c>
      <c r="L205" s="20">
        <f t="shared" si="2"/>
        <v>46159</v>
      </c>
      <c r="M205" s="19" t="str">
        <f t="shared" si="3"/>
        <v>95949171</v>
      </c>
      <c r="N205" s="19" t="str">
        <f>IFERROR(IF(VLOOKUP(M205,'Leads no grupo Saibai'!C:C,1,FALSE)=M205,"Sim"),"Não")</f>
        <v>Sim</v>
      </c>
      <c r="O205" s="19"/>
    </row>
    <row r="206">
      <c r="A206" s="14" t="s">
        <v>767</v>
      </c>
      <c r="B206" s="15" t="s">
        <v>768</v>
      </c>
      <c r="C206" s="16">
        <v>1.197547606E10</v>
      </c>
      <c r="D206" s="16" t="s">
        <v>769</v>
      </c>
      <c r="E206" s="17" t="s">
        <v>770</v>
      </c>
      <c r="F206" s="18" t="str">
        <f>IFERROR(__xludf.DUMMYFUNCTION("""COMPUTED_VALUE"""),"MetaAds")</f>
        <v>MetaAds</v>
      </c>
      <c r="G206" s="18" t="str">
        <f>IFERROR(__xludf.DUMMYFUNCTION("""COMPUTED_VALUE"""),"ADV - [IG] [FB] [30%2B] [SP METROPOLE] V%C3%81RIOS")</f>
        <v>ADV - [IG] [FB] [30%2B] [SP METROPOLE] V%C3%81RIOS</v>
      </c>
      <c r="H206" s="18" t="str">
        <f>IFERROR(__xludf.DUMMYFUNCTION("""COMPUTED_VALUE"""),"Facebook_Mobile_Feed")</f>
        <v>Facebook_Mobile_Feed</v>
      </c>
      <c r="I206" s="18" t="str">
        <f>IFERROR(__xludf.DUMMYFUNCTION("""COMPUTED_VALUE"""),"07.04 [IMG] [AD04] Pedidos abertos")</f>
        <v>07.04 [IMG] [AD04] Pedidos abertos</v>
      </c>
      <c r="J206" s="18" t="str">
        <f>IFERROR(__xludf.DUMMYFUNCTION("""COMPUTED_VALUE"""),"22.04.2026 [V4] [WB] [LEADS-GRUPO-WHATS] 02")</f>
        <v>22.04.2026 [V4] [WB] [LEADS-GRUPO-WHATS] 02</v>
      </c>
      <c r="K206" s="19" t="str">
        <f t="shared" si="1"/>
        <v>2026-05-18</v>
      </c>
      <c r="L206" s="20">
        <f t="shared" si="2"/>
        <v>46160</v>
      </c>
      <c r="M206" s="19" t="str">
        <f t="shared" si="3"/>
        <v>75476060</v>
      </c>
      <c r="N206" s="19" t="str">
        <f>IFERROR(IF(VLOOKUP(M206,'Leads no grupo Saibai'!C:C,1,FALSE)=M206,"Sim"),"Não")</f>
        <v>Sim</v>
      </c>
      <c r="O206" s="19"/>
    </row>
    <row r="207">
      <c r="A207" s="14" t="s">
        <v>771</v>
      </c>
      <c r="B207" s="15" t="s">
        <v>772</v>
      </c>
      <c r="C207" s="16">
        <v>1.1996350831E10</v>
      </c>
      <c r="D207" s="16" t="s">
        <v>773</v>
      </c>
      <c r="E207" s="17" t="s">
        <v>774</v>
      </c>
      <c r="F207" s="18" t="str">
        <f>IFERROR(__xludf.DUMMYFUNCTION("""COMPUTED_VALUE"""),"MetaAds")</f>
        <v>MetaAds</v>
      </c>
      <c r="G207" s="18" t="str">
        <f>IFERROR(__xludf.DUMMYFUNCTION("""COMPUTED_VALUE"""),"ADV - [IG] [FB] [30%2B] [PIEDADE - 40KM] V%C3%81RIOS")</f>
        <v>ADV - [IG] [FB] [30%2B] [PIEDADE - 40KM] V%C3%81RIOS</v>
      </c>
      <c r="H207" s="18" t="str">
        <f>IFERROR(__xludf.DUMMYFUNCTION("""COMPUTED_VALUE"""),"Facebook_Mobile_Reels")</f>
        <v>Facebook_Mobile_Reels</v>
      </c>
      <c r="I207" s="18" t="str">
        <f>IFERROR(__xludf.DUMMYFUNCTION("""COMPUTED_VALUE"""),"07.04 [IMG] [AD04] Pedidos abertos")</f>
        <v>07.04 [IMG] [AD04] Pedidos abertos</v>
      </c>
      <c r="J207" s="18" t="str">
        <f>IFERROR(__xludf.DUMMYFUNCTION("""COMPUTED_VALUE"""),"07.04.2026 [V4] [WB] [LEADS-GRUPO-WHATS] 02")</f>
        <v>07.04.2026 [V4] [WB] [LEADS-GRUPO-WHATS] 02</v>
      </c>
      <c r="K207" s="19" t="str">
        <f t="shared" si="1"/>
        <v>2026-05-19</v>
      </c>
      <c r="L207" s="20">
        <f t="shared" si="2"/>
        <v>46161</v>
      </c>
      <c r="M207" s="19" t="str">
        <f t="shared" si="3"/>
        <v>96350831</v>
      </c>
      <c r="N207" s="19" t="str">
        <f>IFERROR(IF(VLOOKUP(M207,'Leads no grupo Saibai'!C:C,1,FALSE)=M207,"Sim"),"Não")</f>
        <v>Sim</v>
      </c>
      <c r="O207" s="19"/>
    </row>
    <row r="208">
      <c r="A208" s="14" t="s">
        <v>775</v>
      </c>
      <c r="B208" s="15" t="s">
        <v>776</v>
      </c>
      <c r="C208" s="16">
        <v>1.19994089E10</v>
      </c>
      <c r="D208" s="16" t="s">
        <v>777</v>
      </c>
      <c r="E208" s="17" t="s">
        <v>778</v>
      </c>
      <c r="F208" s="18" t="str">
        <f>IFERROR(__xludf.DUMMYFUNCTION("""COMPUTED_VALUE"""),"MetaAds")</f>
        <v>MetaAds</v>
      </c>
      <c r="G208" s="18" t="str">
        <f>IFERROR(__xludf.DUMMYFUNCTION("""COMPUTED_VALUE"""),"ADV - [IG] [FB] [30%2B] [SP METROPOLE] V%C3%81RIOS")</f>
        <v>ADV - [IG] [FB] [30%2B] [SP METROPOLE] V%C3%81RIOS</v>
      </c>
      <c r="H208" s="18" t="str">
        <f>IFERROR(__xludf.DUMMYFUNCTION("""COMPUTED_VALUE"""),"Instagram_Feed")</f>
        <v>Instagram_Feed</v>
      </c>
      <c r="I208" s="18" t="str">
        <f>IFERROR(__xludf.DUMMYFUNCTION("""COMPUTED_VALUE"""),"07.04 [IMG] [AD04] Pedidos abertos")</f>
        <v>07.04 [IMG] [AD04] Pedidos abertos</v>
      </c>
      <c r="J208" s="18" t="str">
        <f>IFERROR(__xludf.DUMMYFUNCTION("""COMPUTED_VALUE"""),"22.04.2026 [V4] [WB] [LEADS-GRUPO-WHATS] 02")</f>
        <v>22.04.2026 [V4] [WB] [LEADS-GRUPO-WHATS] 02</v>
      </c>
      <c r="K208" s="19" t="str">
        <f t="shared" si="1"/>
        <v>2026-05-19</v>
      </c>
      <c r="L208" s="20">
        <f t="shared" si="2"/>
        <v>46161</v>
      </c>
      <c r="M208" s="19" t="str">
        <f t="shared" si="3"/>
        <v>99408900</v>
      </c>
      <c r="N208" s="19" t="str">
        <f>IFERROR(IF(VLOOKUP(M208,'Leads no grupo Saibai'!C:C,1,FALSE)=M208,"Sim"),"Não")</f>
        <v>Não</v>
      </c>
      <c r="O208" s="19"/>
    </row>
    <row r="209">
      <c r="A209" s="14" t="s">
        <v>779</v>
      </c>
      <c r="B209" s="15" t="s">
        <v>780</v>
      </c>
      <c r="C209" s="16">
        <v>1.1996920646E10</v>
      </c>
      <c r="D209" s="16" t="s">
        <v>781</v>
      </c>
      <c r="E209" s="17" t="s">
        <v>782</v>
      </c>
      <c r="F209" s="18" t="str">
        <f>IFERROR(__xludf.DUMMYFUNCTION("""COMPUTED_VALUE"""),"MetaAds")</f>
        <v>MetaAds</v>
      </c>
      <c r="G209" s="18" t="str">
        <f>IFERROR(__xludf.DUMMYFUNCTION("""COMPUTED_VALUE"""),"ADV - [IG] [FB] [30%2B] [SP METROPOLE] V%C3%81RIOS")</f>
        <v>ADV - [IG] [FB] [30%2B] [SP METROPOLE] V%C3%81RIOS</v>
      </c>
      <c r="H209" s="18" t="str">
        <f>IFERROR(__xludf.DUMMYFUNCTION("""COMPUTED_VALUE"""),"Instagram_Reels")</f>
        <v>Instagram_Reels</v>
      </c>
      <c r="I209" s="18" t="str">
        <f>IFERROR(__xludf.DUMMYFUNCTION("""COMPUTED_VALUE"""),"07.04 [IMG] [AD04] Pedidos abertos")</f>
        <v>07.04 [IMG] [AD04] Pedidos abertos</v>
      </c>
      <c r="J209" s="18" t="str">
        <f>IFERROR(__xludf.DUMMYFUNCTION("""COMPUTED_VALUE"""),"22.04.2026 [V4] [WB] [LEADS-GRUPO-WHATS] 02")</f>
        <v>22.04.2026 [V4] [WB] [LEADS-GRUPO-WHATS] 02</v>
      </c>
      <c r="K209" s="19" t="str">
        <f t="shared" si="1"/>
        <v>2026-05-19</v>
      </c>
      <c r="L209" s="20">
        <f t="shared" si="2"/>
        <v>46161</v>
      </c>
      <c r="M209" s="19" t="str">
        <f t="shared" si="3"/>
        <v>96920646</v>
      </c>
      <c r="N209" s="19" t="str">
        <f>IFERROR(IF(VLOOKUP(M209,'Leads no grupo Saibai'!C:C,1,FALSE)=M209,"Sim"),"Não")</f>
        <v>Sim</v>
      </c>
      <c r="O209" s="19"/>
    </row>
    <row r="210">
      <c r="A210" s="14" t="s">
        <v>783</v>
      </c>
      <c r="B210" s="15" t="s">
        <v>784</v>
      </c>
      <c r="C210" s="16">
        <v>1.1950763723E10</v>
      </c>
      <c r="D210" s="16" t="s">
        <v>785</v>
      </c>
      <c r="E210" s="17" t="s">
        <v>786</v>
      </c>
      <c r="F210" s="18" t="str">
        <f>IFERROR(__xludf.DUMMYFUNCTION("""COMPUTED_VALUE"""),"MetaAds")</f>
        <v>MetaAds</v>
      </c>
      <c r="G210" s="18" t="str">
        <f>IFERROR(__xludf.DUMMYFUNCTION("""COMPUTED_VALUE"""),"ADV - [IG] [FB] [30%2B] [SP METROPOLE] V%C3%81RIOS")</f>
        <v>ADV - [IG] [FB] [30%2B] [SP METROPOLE] V%C3%81RIOS</v>
      </c>
      <c r="H210" s="18" t="str">
        <f>IFERROR(__xludf.DUMMYFUNCTION("""COMPUTED_VALUE"""),"Facebook_Mobile_Feed")</f>
        <v>Facebook_Mobile_Feed</v>
      </c>
      <c r="I210" s="18" t="str">
        <f>IFERROR(__xludf.DUMMYFUNCTION("""COMPUTED_VALUE"""),"07.04 [IMG] [AD04] Pedidos abertos")</f>
        <v>07.04 [IMG] [AD04] Pedidos abertos</v>
      </c>
      <c r="J210" s="18" t="str">
        <f>IFERROR(__xludf.DUMMYFUNCTION("""COMPUTED_VALUE"""),"22.04.2026 [V4] [WB] [LEADS-GRUPO-WHATS] 02")</f>
        <v>22.04.2026 [V4] [WB] [LEADS-GRUPO-WHATS] 02</v>
      </c>
      <c r="K210" s="19" t="str">
        <f t="shared" si="1"/>
        <v>2026-05-19</v>
      </c>
      <c r="L210" s="20">
        <f t="shared" si="2"/>
        <v>46161</v>
      </c>
      <c r="M210" s="19" t="str">
        <f t="shared" si="3"/>
        <v>50763723</v>
      </c>
      <c r="N210" s="19" t="str">
        <f>IFERROR(IF(VLOOKUP(M210,'Leads no grupo Saibai'!C:C,1,FALSE)=M210,"Sim"),"Não")</f>
        <v>Sim</v>
      </c>
      <c r="O210" s="19"/>
    </row>
    <row r="211">
      <c r="A211" s="14" t="s">
        <v>787</v>
      </c>
      <c r="B211" s="15" t="s">
        <v>406</v>
      </c>
      <c r="C211" s="16">
        <v>1.1976088511E10</v>
      </c>
      <c r="D211" s="16" t="s">
        <v>788</v>
      </c>
      <c r="E211" s="17" t="s">
        <v>789</v>
      </c>
      <c r="F211" s="18" t="str">
        <f>IFERROR(__xludf.DUMMYFUNCTION("""COMPUTED_VALUE"""),"MetaAds")</f>
        <v>MetaAds</v>
      </c>
      <c r="G211" s="18" t="str">
        <f>IFERROR(__xludf.DUMMYFUNCTION("""COMPUTED_VALUE"""),"ADV - [IG] [FB] [30%2B] [SP METROPOLE] V%C3%81RIOS")</f>
        <v>ADV - [IG] [FB] [30%2B] [SP METROPOLE] V%C3%81RIOS</v>
      </c>
      <c r="H211" s="18" t="str">
        <f>IFERROR(__xludf.DUMMYFUNCTION("""COMPUTED_VALUE"""),"Instagram_Feed")</f>
        <v>Instagram_Feed</v>
      </c>
      <c r="I211" s="18" t="str">
        <f>IFERROR(__xludf.DUMMYFUNCTION("""COMPUTED_VALUE"""),"07.04 [IMG] [AD04] Pedidos abertos")</f>
        <v>07.04 [IMG] [AD04] Pedidos abertos</v>
      </c>
      <c r="J211" s="18" t="str">
        <f>IFERROR(__xludf.DUMMYFUNCTION("""COMPUTED_VALUE"""),"22.04.2026 [V4] [WB] [LEADS-GRUPO-WHATS] 02")</f>
        <v>22.04.2026 [V4] [WB] [LEADS-GRUPO-WHATS] 02</v>
      </c>
      <c r="K211" s="19" t="str">
        <f t="shared" si="1"/>
        <v>2026-05-19</v>
      </c>
      <c r="L211" s="20">
        <f t="shared" si="2"/>
        <v>46161</v>
      </c>
      <c r="M211" s="19" t="str">
        <f t="shared" si="3"/>
        <v>76088511</v>
      </c>
      <c r="N211" s="19" t="str">
        <f>IFERROR(IF(VLOOKUP(M211,'Leads no grupo Saibai'!C:C,1,FALSE)=M211,"Sim"),"Não")</f>
        <v>Sim</v>
      </c>
      <c r="O211" s="19"/>
    </row>
    <row r="212">
      <c r="A212" s="14" t="s">
        <v>790</v>
      </c>
      <c r="B212" s="15" t="s">
        <v>791</v>
      </c>
      <c r="C212" s="16">
        <v>1.1934747512E10</v>
      </c>
      <c r="D212" s="16" t="s">
        <v>792</v>
      </c>
      <c r="E212" s="17" t="s">
        <v>793</v>
      </c>
      <c r="F212" s="18" t="str">
        <f>IFERROR(__xludf.DUMMYFUNCTION("""COMPUTED_VALUE"""),"MetaAds")</f>
        <v>MetaAds</v>
      </c>
      <c r="G212" s="18" t="str">
        <f>IFERROR(__xludf.DUMMYFUNCTION("""COMPUTED_VALUE"""),"ADV - [IG] [FB] [30%2B] [SP METROPOLE] V%C3%81RIOS")</f>
        <v>ADV - [IG] [FB] [30%2B] [SP METROPOLE] V%C3%81RIOS</v>
      </c>
      <c r="H212" s="18" t="str">
        <f>IFERROR(__xludf.DUMMYFUNCTION("""COMPUTED_VALUE"""),"Instagram_Feed")</f>
        <v>Instagram_Feed</v>
      </c>
      <c r="I212" s="18" t="str">
        <f>IFERROR(__xludf.DUMMYFUNCTION("""COMPUTED_VALUE"""),"07.04 [IMG] [AD04] Pedidos abertos")</f>
        <v>07.04 [IMG] [AD04] Pedidos abertos</v>
      </c>
      <c r="J212" s="18" t="str">
        <f>IFERROR(__xludf.DUMMYFUNCTION("""COMPUTED_VALUE"""),"22.04.2026 [V4] [WB] [LEADS-GRUPO-WHATS] 02")</f>
        <v>22.04.2026 [V4] [WB] [LEADS-GRUPO-WHATS] 02</v>
      </c>
      <c r="K212" s="19" t="str">
        <f t="shared" si="1"/>
        <v>2026-05-19</v>
      </c>
      <c r="L212" s="20">
        <f t="shared" si="2"/>
        <v>46161</v>
      </c>
      <c r="M212" s="19" t="str">
        <f t="shared" si="3"/>
        <v>34747512</v>
      </c>
      <c r="N212" s="19" t="str">
        <f>IFERROR(IF(VLOOKUP(M212,'Leads no grupo Saibai'!C:C,1,FALSE)=M212,"Sim"),"Não")</f>
        <v>Sim</v>
      </c>
      <c r="O212" s="19"/>
    </row>
    <row r="213">
      <c r="A213" s="14" t="s">
        <v>794</v>
      </c>
      <c r="B213" s="15" t="s">
        <v>795</v>
      </c>
      <c r="C213" s="16">
        <v>1.1950763723E10</v>
      </c>
      <c r="D213" s="16" t="s">
        <v>785</v>
      </c>
      <c r="E213" s="17" t="s">
        <v>796</v>
      </c>
      <c r="F213" s="18" t="str">
        <f>IFERROR(__xludf.DUMMYFUNCTION("""COMPUTED_VALUE"""),"MetaAds")</f>
        <v>MetaAds</v>
      </c>
      <c r="G213" s="18" t="str">
        <f>IFERROR(__xludf.DUMMYFUNCTION("""COMPUTED_VALUE"""),"ADV - [IG] [FB] [30%2B] [SP METROPOLE] V%C3%81RIOS")</f>
        <v>ADV - [IG] [FB] [30%2B] [SP METROPOLE] V%C3%81RIOS</v>
      </c>
      <c r="H213" s="18" t="str">
        <f>IFERROR(__xludf.DUMMYFUNCTION("""COMPUTED_VALUE"""),"Facebook_Mobile_Feed")</f>
        <v>Facebook_Mobile_Feed</v>
      </c>
      <c r="I213" s="18" t="str">
        <f>IFERROR(__xludf.DUMMYFUNCTION("""COMPUTED_VALUE"""),"07.04 [IMG] [AD04] Pedidos abertos")</f>
        <v>07.04 [IMG] [AD04] Pedidos abertos</v>
      </c>
      <c r="J213" s="18" t="str">
        <f>IFERROR(__xludf.DUMMYFUNCTION("""COMPUTED_VALUE"""),"22.04.2026 [V4] [WB] [LEADS-GRUPO-WHATS] 02")</f>
        <v>22.04.2026 [V4] [WB] [LEADS-GRUPO-WHATS] 02</v>
      </c>
      <c r="K213" s="19" t="str">
        <f t="shared" si="1"/>
        <v>2026-05-20</v>
      </c>
      <c r="L213" s="20">
        <f t="shared" si="2"/>
        <v>46162</v>
      </c>
      <c r="M213" s="19" t="str">
        <f t="shared" si="3"/>
        <v>50763723</v>
      </c>
      <c r="N213" s="19" t="str">
        <f>IFERROR(IF(VLOOKUP(M213,'Leads no grupo Saibai'!C:C,1,FALSE)=M213,"Sim"),"Não")</f>
        <v>Sim</v>
      </c>
      <c r="O213" s="19"/>
    </row>
    <row r="214">
      <c r="A214" s="14" t="s">
        <v>797</v>
      </c>
      <c r="B214" s="15" t="s">
        <v>798</v>
      </c>
      <c r="C214" s="16">
        <v>1.1983125969E10</v>
      </c>
      <c r="D214" s="16" t="s">
        <v>799</v>
      </c>
      <c r="E214" s="17" t="s">
        <v>800</v>
      </c>
      <c r="F214" s="18" t="str">
        <f>IFERROR(__xludf.DUMMYFUNCTION("""COMPUTED_VALUE"""),"MetaAds")</f>
        <v>MetaAds</v>
      </c>
      <c r="G214" s="18" t="str">
        <f>IFERROR(__xludf.DUMMYFUNCTION("""COMPUTED_VALUE"""),"ADV - [IG] [FB] [30%2B] [SP METROPOLE] V%C3%81RIOS")</f>
        <v>ADV - [IG] [FB] [30%2B] [SP METROPOLE] V%C3%81RIOS</v>
      </c>
      <c r="H214" s="18" t="str">
        <f>IFERROR(__xludf.DUMMYFUNCTION("""COMPUTED_VALUE"""),"Instagram_Feed")</f>
        <v>Instagram_Feed</v>
      </c>
      <c r="I214" s="18" t="str">
        <f>IFERROR(__xludf.DUMMYFUNCTION("""COMPUTED_VALUE"""),"07.04 [IMG] [AD04] Pedidos abertos")</f>
        <v>07.04 [IMG] [AD04] Pedidos abertos</v>
      </c>
      <c r="J214" s="18" t="str">
        <f>IFERROR(__xludf.DUMMYFUNCTION("""COMPUTED_VALUE"""),"22.04.2026 [V4] [WB] [LEADS-GRUPO-WHATS] 02")</f>
        <v>22.04.2026 [V4] [WB] [LEADS-GRUPO-WHATS] 02</v>
      </c>
      <c r="K214" s="19" t="str">
        <f t="shared" si="1"/>
        <v>2026-05-20</v>
      </c>
      <c r="L214" s="20">
        <f t="shared" si="2"/>
        <v>46162</v>
      </c>
      <c r="M214" s="19" t="str">
        <f t="shared" si="3"/>
        <v>83125969</v>
      </c>
      <c r="N214" s="19" t="str">
        <f>IFERROR(IF(VLOOKUP(M214,'Leads no grupo Saibai'!C:C,1,FALSE)=M214,"Sim"),"Não")</f>
        <v>Não</v>
      </c>
      <c r="O214" s="19"/>
    </row>
    <row r="215">
      <c r="A215" s="14" t="s">
        <v>801</v>
      </c>
      <c r="B215" s="15" t="s">
        <v>802</v>
      </c>
      <c r="C215" s="16">
        <v>1.1973249741E10</v>
      </c>
      <c r="D215" s="16" t="s">
        <v>803</v>
      </c>
      <c r="E215" s="17" t="s">
        <v>804</v>
      </c>
      <c r="F215" s="18" t="str">
        <f>IFERROR(__xludf.DUMMYFUNCTION("""COMPUTED_VALUE"""),"MetaAds")</f>
        <v>MetaAds</v>
      </c>
      <c r="G215" s="18" t="str">
        <f>IFERROR(__xludf.DUMMYFUNCTION("""COMPUTED_VALUE"""),"ADV - [IG] [FB] [30%2B] [SP METROPOLE] V%C3%81RIOS")</f>
        <v>ADV - [IG] [FB] [30%2B] [SP METROPOLE] V%C3%81RIOS</v>
      </c>
      <c r="H215" s="18" t="str">
        <f>IFERROR(__xludf.DUMMYFUNCTION("""COMPUTED_VALUE"""),"Facebook_Mobile_Reels")</f>
        <v>Facebook_Mobile_Reels</v>
      </c>
      <c r="I215" s="18" t="str">
        <f>IFERROR(__xludf.DUMMYFUNCTION("""COMPUTED_VALUE"""),"07.04 [IMG] [AD04] Pedidos abertos")</f>
        <v>07.04 [IMG] [AD04] Pedidos abertos</v>
      </c>
      <c r="J215" s="18" t="str">
        <f>IFERROR(__xludf.DUMMYFUNCTION("""COMPUTED_VALUE"""),"22.04.2026 [V4] [WB] [LEADS-GRUPO-WHATS] 02")</f>
        <v>22.04.2026 [V4] [WB] [LEADS-GRUPO-WHATS] 02</v>
      </c>
      <c r="K215" s="19" t="str">
        <f t="shared" si="1"/>
        <v>2026-05-20</v>
      </c>
      <c r="L215" s="20">
        <f t="shared" si="2"/>
        <v>46162</v>
      </c>
      <c r="M215" s="19" t="str">
        <f t="shared" si="3"/>
        <v>73249741</v>
      </c>
      <c r="N215" s="19" t="str">
        <f>IFERROR(IF(VLOOKUP(M215,'Leads no grupo Saibai'!C:C,1,FALSE)=M215,"Sim"),"Não")</f>
        <v>Sim</v>
      </c>
      <c r="O215" s="19"/>
    </row>
    <row r="216">
      <c r="A216" s="14" t="s">
        <v>805</v>
      </c>
      <c r="B216" s="15" t="s">
        <v>806</v>
      </c>
      <c r="C216" s="16">
        <v>1.1941309553E10</v>
      </c>
      <c r="D216" s="16" t="s">
        <v>807</v>
      </c>
      <c r="E216" s="17" t="s">
        <v>770</v>
      </c>
      <c r="F216" s="18" t="str">
        <f>IFERROR(__xludf.DUMMYFUNCTION("""COMPUTED_VALUE"""),"MetaAds")</f>
        <v>MetaAds</v>
      </c>
      <c r="G216" s="18" t="str">
        <f>IFERROR(__xludf.DUMMYFUNCTION("""COMPUTED_VALUE"""),"ADV - [IG] [FB] [30%2B] [SP METROPOLE] V%C3%81RIOS")</f>
        <v>ADV - [IG] [FB] [30%2B] [SP METROPOLE] V%C3%81RIOS</v>
      </c>
      <c r="H216" s="18" t="str">
        <f>IFERROR(__xludf.DUMMYFUNCTION("""COMPUTED_VALUE"""),"Facebook_Mobile_Feed")</f>
        <v>Facebook_Mobile_Feed</v>
      </c>
      <c r="I216" s="18" t="str">
        <f>IFERROR(__xludf.DUMMYFUNCTION("""COMPUTED_VALUE"""),"07.04 [IMG] [AD04] Pedidos abertos")</f>
        <v>07.04 [IMG] [AD04] Pedidos abertos</v>
      </c>
      <c r="J216" s="18" t="str">
        <f>IFERROR(__xludf.DUMMYFUNCTION("""COMPUTED_VALUE"""),"22.04.2026 [V4] [WB] [LEADS-GRUPO-WHATS] 02")</f>
        <v>22.04.2026 [V4] [WB] [LEADS-GRUPO-WHATS] 02</v>
      </c>
      <c r="K216" s="19" t="str">
        <f t="shared" si="1"/>
        <v>2026-05-20</v>
      </c>
      <c r="L216" s="20">
        <f t="shared" si="2"/>
        <v>46162</v>
      </c>
      <c r="M216" s="19" t="str">
        <f t="shared" si="3"/>
        <v>41309553</v>
      </c>
      <c r="N216" s="19" t="str">
        <f>IFERROR(IF(VLOOKUP(M216,'Leads no grupo Saibai'!C:C,1,FALSE)=M216,"Sim"),"Não")</f>
        <v>Sim</v>
      </c>
      <c r="O216" s="19"/>
    </row>
    <row r="217">
      <c r="A217" s="14" t="s">
        <v>808</v>
      </c>
      <c r="B217" s="15" t="s">
        <v>809</v>
      </c>
      <c r="C217" s="16">
        <v>1.1991843029E10</v>
      </c>
      <c r="D217" s="16" t="s">
        <v>810</v>
      </c>
      <c r="E217" s="17" t="s">
        <v>811</v>
      </c>
      <c r="F217" s="18" t="str">
        <f>IFERROR(__xludf.DUMMYFUNCTION("""COMPUTED_VALUE"""),"MetaAds")</f>
        <v>MetaAds</v>
      </c>
      <c r="G217" s="18" t="str">
        <f>IFERROR(__xludf.DUMMYFUNCTION("""COMPUTED_VALUE"""),"ADV - [IG] [FB] [30%2B] [SP METROPOLE] V%C3%81RIOS")</f>
        <v>ADV - [IG] [FB] [30%2B] [SP METROPOLE] V%C3%81RIOS</v>
      </c>
      <c r="H217" s="18" t="str">
        <f>IFERROR(__xludf.DUMMYFUNCTION("""COMPUTED_VALUE"""),"Instagram_Stories")</f>
        <v>Instagram_Stories</v>
      </c>
      <c r="I217" s="18" t="str">
        <f>IFERROR(__xludf.DUMMYFUNCTION("""COMPUTED_VALUE"""),"07.04 [IMG] [AD04] Pedidos abertos")</f>
        <v>07.04 [IMG] [AD04] Pedidos abertos</v>
      </c>
      <c r="J217" s="18" t="str">
        <f>IFERROR(__xludf.DUMMYFUNCTION("""COMPUTED_VALUE"""),"22.04.2026 [V4] [WB] [LEADS-GRUPO-WHATS] 02")</f>
        <v>22.04.2026 [V4] [WB] [LEADS-GRUPO-WHATS] 02</v>
      </c>
      <c r="K217" s="19" t="str">
        <f t="shared" si="1"/>
        <v>2026-05-20</v>
      </c>
      <c r="L217" s="20">
        <f t="shared" si="2"/>
        <v>46162</v>
      </c>
      <c r="M217" s="19" t="str">
        <f t="shared" si="3"/>
        <v>91843029</v>
      </c>
      <c r="N217" s="19" t="str">
        <f>IFERROR(IF(VLOOKUP(M217,'Leads no grupo Saibai'!C:C,1,FALSE)=M217,"Sim"),"Não")</f>
        <v>Não</v>
      </c>
      <c r="O217" s="19"/>
    </row>
    <row r="218">
      <c r="A218" s="14" t="s">
        <v>812</v>
      </c>
      <c r="B218" s="15" t="s">
        <v>813</v>
      </c>
      <c r="C218" s="16">
        <v>1.1991256188E10</v>
      </c>
      <c r="D218" s="16" t="s">
        <v>814</v>
      </c>
      <c r="E218" s="17" t="s">
        <v>815</v>
      </c>
      <c r="F218" s="18" t="str">
        <f>IFERROR(__xludf.DUMMYFUNCTION("""COMPUTED_VALUE"""),"MetaAds")</f>
        <v>MetaAds</v>
      </c>
      <c r="G218" s="18" t="str">
        <f>IFERROR(__xludf.DUMMYFUNCTION("""COMPUTED_VALUE"""),"ADV - [IG] [FB] [30%2B] [SP METROPOLE] V%C3%81RIOS")</f>
        <v>ADV - [IG] [FB] [30%2B] [SP METROPOLE] V%C3%81RIOS</v>
      </c>
      <c r="H218" s="18" t="str">
        <f>IFERROR(__xludf.DUMMYFUNCTION("""COMPUTED_VALUE"""),"Instagram_Feed")</f>
        <v>Instagram_Feed</v>
      </c>
      <c r="I218" s="18" t="str">
        <f>IFERROR(__xludf.DUMMYFUNCTION("""COMPUTED_VALUE"""),"07.04 [IMG] [AD04] Pedidos abertos")</f>
        <v>07.04 [IMG] [AD04] Pedidos abertos</v>
      </c>
      <c r="J218" s="18" t="str">
        <f>IFERROR(__xludf.DUMMYFUNCTION("""COMPUTED_VALUE"""),"22.04.2026 [V4] [WB] [LEADS-GRUPO-WHATS] 02")</f>
        <v>22.04.2026 [V4] [WB] [LEADS-GRUPO-WHATS] 02</v>
      </c>
      <c r="K218" s="19" t="str">
        <f t="shared" si="1"/>
        <v>2026-05-20</v>
      </c>
      <c r="L218" s="20">
        <f t="shared" si="2"/>
        <v>46162</v>
      </c>
      <c r="M218" s="19" t="str">
        <f t="shared" si="3"/>
        <v>91256188</v>
      </c>
      <c r="N218" s="19" t="str">
        <f>IFERROR(IF(VLOOKUP(M218,'Leads no grupo Saibai'!C:C,1,FALSE)=M218,"Sim"),"Não")</f>
        <v>Não</v>
      </c>
      <c r="O218" s="19"/>
    </row>
    <row r="219">
      <c r="A219" s="14" t="s">
        <v>816</v>
      </c>
      <c r="B219" s="15" t="s">
        <v>817</v>
      </c>
      <c r="C219" s="16">
        <v>1.1999715533E10</v>
      </c>
      <c r="D219" s="16" t="s">
        <v>818</v>
      </c>
      <c r="E219" s="17" t="s">
        <v>819</v>
      </c>
      <c r="F219" s="18" t="str">
        <f>IFERROR(__xludf.DUMMYFUNCTION("""COMPUTED_VALUE"""),"MetaAds")</f>
        <v>MetaAds</v>
      </c>
      <c r="G219" s="18" t="str">
        <f>IFERROR(__xludf.DUMMYFUNCTION("""COMPUTED_VALUE"""),"ADV - [IG] [FB] [30%2B] [SP METROPOLE] V%C3%81RIOS")</f>
        <v>ADV - [IG] [FB] [30%2B] [SP METROPOLE] V%C3%81RIOS</v>
      </c>
      <c r="H219" s="18" t="str">
        <f>IFERROR(__xludf.DUMMYFUNCTION("""COMPUTED_VALUE"""),"Facebook_Mobile_Feed")</f>
        <v>Facebook_Mobile_Feed</v>
      </c>
      <c r="I219" s="18" t="str">
        <f>IFERROR(__xludf.DUMMYFUNCTION("""COMPUTED_VALUE"""),"07.04 [IMG] [AD04] Pedidos abertos")</f>
        <v>07.04 [IMG] [AD04] Pedidos abertos</v>
      </c>
      <c r="J219" s="18" t="str">
        <f>IFERROR(__xludf.DUMMYFUNCTION("""COMPUTED_VALUE"""),"22.04.2026 [V4] [WB] [LEADS-GRUPO-WHATS] 02")</f>
        <v>22.04.2026 [V4] [WB] [LEADS-GRUPO-WHATS] 02</v>
      </c>
      <c r="K219" s="19" t="str">
        <f t="shared" si="1"/>
        <v>2026-05-20</v>
      </c>
      <c r="L219" s="20">
        <f t="shared" si="2"/>
        <v>46162</v>
      </c>
      <c r="M219" s="19" t="str">
        <f t="shared" si="3"/>
        <v>99715533</v>
      </c>
      <c r="N219" s="19" t="str">
        <f>IFERROR(IF(VLOOKUP(M219,'Leads no grupo Saibai'!C:C,1,FALSE)=M219,"Sim"),"Não")</f>
        <v>Sim</v>
      </c>
      <c r="O219" s="19"/>
    </row>
    <row r="220">
      <c r="A220" s="14" t="s">
        <v>820</v>
      </c>
      <c r="B220" s="15" t="s">
        <v>821</v>
      </c>
      <c r="C220" s="16">
        <v>5.5119999875E10</v>
      </c>
      <c r="D220" s="16" t="s">
        <v>822</v>
      </c>
      <c r="E220" s="17" t="s">
        <v>823</v>
      </c>
      <c r="F220" s="18" t="str">
        <f>IFERROR(__xludf.DUMMYFUNCTION("""COMPUTED_VALUE"""),"MetaAds")</f>
        <v>MetaAds</v>
      </c>
      <c r="G220" s="18" t="str">
        <f>IFERROR(__xludf.DUMMYFUNCTION("""COMPUTED_VALUE"""),"ADV - [IG] [FB] [30%2B] [SP METROPOLE] V%C3%81RIOS")</f>
        <v>ADV - [IG] [FB] [30%2B] [SP METROPOLE] V%C3%81RIOS</v>
      </c>
      <c r="H220" s="18" t="str">
        <f>IFERROR(__xludf.DUMMYFUNCTION("""COMPUTED_VALUE"""),"Instagram_Feed")</f>
        <v>Instagram_Feed</v>
      </c>
      <c r="I220" s="18" t="str">
        <f>IFERROR(__xludf.DUMMYFUNCTION("""COMPUTED_VALUE"""),"07.04 [IMG] [AD04] Pedidos abertos")</f>
        <v>07.04 [IMG] [AD04] Pedidos abertos</v>
      </c>
      <c r="J220" s="18" t="str">
        <f>IFERROR(__xludf.DUMMYFUNCTION("""COMPUTED_VALUE"""),"22.04.2026 [V4] [WB] [LEADS-GRUPO-WHATS] 02")</f>
        <v>22.04.2026 [V4] [WB] [LEADS-GRUPO-WHATS] 02</v>
      </c>
      <c r="K220" s="19" t="str">
        <f t="shared" si="1"/>
        <v>2026-05-20</v>
      </c>
      <c r="L220" s="20">
        <f t="shared" si="2"/>
        <v>46162</v>
      </c>
      <c r="M220" s="19" t="str">
        <f t="shared" si="3"/>
        <v>19999875</v>
      </c>
      <c r="N220" s="19" t="str">
        <f>IFERROR(IF(VLOOKUP(M220,'Leads no grupo Saibai'!C:C,1,FALSE)=M220,"Sim"),"Não")</f>
        <v>Não</v>
      </c>
      <c r="O220" s="19"/>
    </row>
    <row r="221">
      <c r="A221" s="14" t="s">
        <v>824</v>
      </c>
      <c r="B221" s="15" t="s">
        <v>825</v>
      </c>
      <c r="C221" s="16">
        <v>1.1976095659E10</v>
      </c>
      <c r="D221" s="16" t="s">
        <v>826</v>
      </c>
      <c r="E221" s="17" t="s">
        <v>827</v>
      </c>
      <c r="F221" s="18" t="str">
        <f>IFERROR(__xludf.DUMMYFUNCTION("""COMPUTED_VALUE"""),"MetaAds")</f>
        <v>MetaAds</v>
      </c>
      <c r="G221" s="18" t="str">
        <f>IFERROR(__xludf.DUMMYFUNCTION("""COMPUTED_VALUE"""),"ADV - [IG] [FB] [30%2B] [SP METROPOLE] V%C3%81RIOS")</f>
        <v>ADV - [IG] [FB] [30%2B] [SP METROPOLE] V%C3%81RIOS</v>
      </c>
      <c r="H221" s="18" t="str">
        <f>IFERROR(__xludf.DUMMYFUNCTION("""COMPUTED_VALUE"""),"Instagram_Feed")</f>
        <v>Instagram_Feed</v>
      </c>
      <c r="I221" s="18" t="str">
        <f>IFERROR(__xludf.DUMMYFUNCTION("""COMPUTED_VALUE"""),"07.04 [IMG] [AD04] Pedidos abertos")</f>
        <v>07.04 [IMG] [AD04] Pedidos abertos</v>
      </c>
      <c r="J221" s="18" t="str">
        <f>IFERROR(__xludf.DUMMYFUNCTION("""COMPUTED_VALUE"""),"22.04.2026 [V4] [WB] [LEADS-GRUPO-WHATS] 02")</f>
        <v>22.04.2026 [V4] [WB] [LEADS-GRUPO-WHATS] 02</v>
      </c>
      <c r="K221" s="19" t="str">
        <f t="shared" si="1"/>
        <v>2026-05-21</v>
      </c>
      <c r="L221" s="20">
        <f t="shared" si="2"/>
        <v>46163</v>
      </c>
      <c r="M221" s="19" t="str">
        <f t="shared" si="3"/>
        <v>76095659</v>
      </c>
      <c r="N221" s="19" t="str">
        <f>IFERROR(IF(VLOOKUP(M221,'Leads no grupo Saibai'!C:C,1,FALSE)=M221,"Sim"),"Não")</f>
        <v>Sim</v>
      </c>
      <c r="O221" s="19"/>
    </row>
    <row r="222">
      <c r="A222" s="14" t="s">
        <v>828</v>
      </c>
      <c r="B222" s="15" t="s">
        <v>829</v>
      </c>
      <c r="C222" s="16">
        <v>1.1991290073E10</v>
      </c>
      <c r="D222" s="16" t="s">
        <v>830</v>
      </c>
      <c r="E222" s="17" t="s">
        <v>770</v>
      </c>
      <c r="F222" s="18" t="str">
        <f>IFERROR(__xludf.DUMMYFUNCTION("""COMPUTED_VALUE"""),"MetaAds")</f>
        <v>MetaAds</v>
      </c>
      <c r="G222" s="18" t="str">
        <f>IFERROR(__xludf.DUMMYFUNCTION("""COMPUTED_VALUE"""),"ADV - [IG] [FB] [30%2B] [SP METROPOLE] V%C3%81RIOS")</f>
        <v>ADV - [IG] [FB] [30%2B] [SP METROPOLE] V%C3%81RIOS</v>
      </c>
      <c r="H222" s="18" t="str">
        <f>IFERROR(__xludf.DUMMYFUNCTION("""COMPUTED_VALUE"""),"Facebook_Mobile_Feed")</f>
        <v>Facebook_Mobile_Feed</v>
      </c>
      <c r="I222" s="18" t="str">
        <f>IFERROR(__xludf.DUMMYFUNCTION("""COMPUTED_VALUE"""),"07.04 [IMG] [AD04] Pedidos abertos")</f>
        <v>07.04 [IMG] [AD04] Pedidos abertos</v>
      </c>
      <c r="J222" s="18" t="str">
        <f>IFERROR(__xludf.DUMMYFUNCTION("""COMPUTED_VALUE"""),"22.04.2026 [V4] [WB] [LEADS-GRUPO-WHATS] 02")</f>
        <v>22.04.2026 [V4] [WB] [LEADS-GRUPO-WHATS] 02</v>
      </c>
      <c r="K222" s="19" t="str">
        <f t="shared" si="1"/>
        <v>2026-05-21</v>
      </c>
      <c r="L222" s="20">
        <f t="shared" si="2"/>
        <v>46163</v>
      </c>
      <c r="M222" s="19" t="str">
        <f t="shared" si="3"/>
        <v>91290073</v>
      </c>
      <c r="N222" s="19" t="str">
        <f>IFERROR(IF(VLOOKUP(M222,'Leads no grupo Saibai'!C:C,1,FALSE)=M222,"Sim"),"Não")</f>
        <v>Sim</v>
      </c>
      <c r="O222" s="19"/>
    </row>
    <row r="223">
      <c r="A223" s="14" t="s">
        <v>831</v>
      </c>
      <c r="B223" s="15" t="s">
        <v>832</v>
      </c>
      <c r="C223" s="16">
        <v>1.1991286784E10</v>
      </c>
      <c r="D223" s="16" t="s">
        <v>833</v>
      </c>
      <c r="E223" s="17" t="s">
        <v>834</v>
      </c>
      <c r="F223" s="18" t="str">
        <f>IFERROR(__xludf.DUMMYFUNCTION("""COMPUTED_VALUE"""),"MetaAds")</f>
        <v>MetaAds</v>
      </c>
      <c r="G223" s="18" t="str">
        <f>IFERROR(__xludf.DUMMYFUNCTION("""COMPUTED_VALUE"""),"ADV - [IG] [FB] [30%2B] [SP METROPOLE] V%C3%81RIOS")</f>
        <v>ADV - [IG] [FB] [30%2B] [SP METROPOLE] V%C3%81RIOS</v>
      </c>
      <c r="H223" s="18" t="str">
        <f>IFERROR(__xludf.DUMMYFUNCTION("""COMPUTED_VALUE"""),"Instagram_Feed")</f>
        <v>Instagram_Feed</v>
      </c>
      <c r="I223" s="18" t="str">
        <f>IFERROR(__xludf.DUMMYFUNCTION("""COMPUTED_VALUE"""),"07.04 [IMG] [AD04] Pedidos abertos")</f>
        <v>07.04 [IMG] [AD04] Pedidos abertos</v>
      </c>
      <c r="J223" s="18" t="str">
        <f>IFERROR(__xludf.DUMMYFUNCTION("""COMPUTED_VALUE"""),"22.04.2026 [V4] [WB] [LEADS-GRUPO-WHATS] 02")</f>
        <v>22.04.2026 [V4] [WB] [LEADS-GRUPO-WHATS] 02</v>
      </c>
      <c r="K223" s="19" t="str">
        <f t="shared" si="1"/>
        <v>2026-05-21</v>
      </c>
      <c r="L223" s="20">
        <f t="shared" si="2"/>
        <v>46163</v>
      </c>
      <c r="M223" s="19" t="str">
        <f t="shared" si="3"/>
        <v>91286784</v>
      </c>
      <c r="N223" s="19" t="str">
        <f>IFERROR(IF(VLOOKUP(M223,'Leads no grupo Saibai'!C:C,1,FALSE)=M223,"Sim"),"Não")</f>
        <v>Sim</v>
      </c>
      <c r="O223" s="19"/>
    </row>
    <row r="224">
      <c r="A224" s="14" t="s">
        <v>835</v>
      </c>
      <c r="B224" s="15" t="s">
        <v>836</v>
      </c>
      <c r="C224" s="16">
        <v>1.1942562701E10</v>
      </c>
      <c r="D224" s="16" t="s">
        <v>837</v>
      </c>
      <c r="E224" s="17" t="s">
        <v>838</v>
      </c>
      <c r="F224" s="18" t="str">
        <f>IFERROR(__xludf.DUMMYFUNCTION("""COMPUTED_VALUE"""),"MetaAds")</f>
        <v>MetaAds</v>
      </c>
      <c r="G224" s="18" t="str">
        <f>IFERROR(__xludf.DUMMYFUNCTION("""COMPUTED_VALUE"""),"ADV - [IG] [FB] [30%2B] [SP METROPOLE] V%C3%81RIOS")</f>
        <v>ADV - [IG] [FB] [30%2B] [SP METROPOLE] V%C3%81RIOS</v>
      </c>
      <c r="H224" s="18" t="str">
        <f>IFERROR(__xludf.DUMMYFUNCTION("""COMPUTED_VALUE"""),"Instagram_Feed")</f>
        <v>Instagram_Feed</v>
      </c>
      <c r="I224" s="18" t="str">
        <f>IFERROR(__xludf.DUMMYFUNCTION("""COMPUTED_VALUE"""),"07.04 [IMG] [AD04] Pedidos abertos")</f>
        <v>07.04 [IMG] [AD04] Pedidos abertos</v>
      </c>
      <c r="J224" s="18" t="str">
        <f>IFERROR(__xludf.DUMMYFUNCTION("""COMPUTED_VALUE"""),"22.04.2026 [V4] [WB] [LEADS-GRUPO-WHATS] 02")</f>
        <v>22.04.2026 [V4] [WB] [LEADS-GRUPO-WHATS] 02</v>
      </c>
      <c r="K224" s="19" t="str">
        <f t="shared" si="1"/>
        <v>2026-05-21</v>
      </c>
      <c r="L224" s="20">
        <f t="shared" si="2"/>
        <v>46163</v>
      </c>
      <c r="M224" s="19" t="str">
        <f t="shared" si="3"/>
        <v>42562701</v>
      </c>
      <c r="N224" s="19" t="str">
        <f>IFERROR(IF(VLOOKUP(M224,'Leads no grupo Saibai'!C:C,1,FALSE)=M224,"Sim"),"Não")</f>
        <v>Não</v>
      </c>
      <c r="O224" s="19"/>
    </row>
    <row r="225">
      <c r="A225" s="14" t="s">
        <v>839</v>
      </c>
      <c r="B225" s="15" t="s">
        <v>840</v>
      </c>
      <c r="C225" s="16">
        <v>1.1987104551E10</v>
      </c>
      <c r="D225" s="16" t="s">
        <v>841</v>
      </c>
      <c r="E225" s="17" t="s">
        <v>842</v>
      </c>
      <c r="F225" s="18" t="str">
        <f>IFERROR(__xludf.DUMMYFUNCTION("""COMPUTED_VALUE"""),"MetaAds")</f>
        <v>MetaAds</v>
      </c>
      <c r="G225" s="18" t="str">
        <f>IFERROR(__xludf.DUMMYFUNCTION("""COMPUTED_VALUE"""),"ADV - [IG] [FB] [30%2B] [SP METROPOLE] V%C3%81RIOS")</f>
        <v>ADV - [IG] [FB] [30%2B] [SP METROPOLE] V%C3%81RIOS</v>
      </c>
      <c r="H225" s="18" t="str">
        <f>IFERROR(__xludf.DUMMYFUNCTION("""COMPUTED_VALUE"""),"Instagram_Reels")</f>
        <v>Instagram_Reels</v>
      </c>
      <c r="I225" s="18" t="str">
        <f>IFERROR(__xludf.DUMMYFUNCTION("""COMPUTED_VALUE"""),"07.04 [IMG] [AD04] Pedidos abertos")</f>
        <v>07.04 [IMG] [AD04] Pedidos abertos</v>
      </c>
      <c r="J225" s="18" t="str">
        <f>IFERROR(__xludf.DUMMYFUNCTION("""COMPUTED_VALUE"""),"22.04.2026 [V4] [WB] [LEADS-GRUPO-WHATS] 02")</f>
        <v>22.04.2026 [V4] [WB] [LEADS-GRUPO-WHATS] 02</v>
      </c>
      <c r="K225" s="19" t="str">
        <f t="shared" si="1"/>
        <v>2026-05-21</v>
      </c>
      <c r="L225" s="20">
        <f t="shared" si="2"/>
        <v>46163</v>
      </c>
      <c r="M225" s="19" t="str">
        <f t="shared" si="3"/>
        <v>87104551</v>
      </c>
      <c r="N225" s="19" t="str">
        <f>IFERROR(IF(VLOOKUP(M225,'Leads no grupo Saibai'!C:C,1,FALSE)=M225,"Sim"),"Não")</f>
        <v>Sim</v>
      </c>
      <c r="O225" s="19"/>
    </row>
    <row r="226">
      <c r="A226" s="14" t="s">
        <v>843</v>
      </c>
      <c r="B226" s="15" t="s">
        <v>844</v>
      </c>
      <c r="C226" s="16">
        <v>1.1999866847E10</v>
      </c>
      <c r="D226" s="16" t="s">
        <v>845</v>
      </c>
      <c r="E226" s="17" t="s">
        <v>846</v>
      </c>
      <c r="F226" s="18" t="str">
        <f>IFERROR(__xludf.DUMMYFUNCTION("""COMPUTED_VALUE"""),"MetaAds")</f>
        <v>MetaAds</v>
      </c>
      <c r="G226" s="18" t="str">
        <f>IFERROR(__xludf.DUMMYFUNCTION("""COMPUTED_VALUE"""),"ADV - [IG] [FB] [30%2B] [SP METROPOLE] V%C3%81RIOS")</f>
        <v>ADV - [IG] [FB] [30%2B] [SP METROPOLE] V%C3%81RIOS</v>
      </c>
      <c r="H226" s="18" t="str">
        <f>IFERROR(__xludf.DUMMYFUNCTION("""COMPUTED_VALUE"""),"Instagram_Feed")</f>
        <v>Instagram_Feed</v>
      </c>
      <c r="I226" s="18" t="str">
        <f>IFERROR(__xludf.DUMMYFUNCTION("""COMPUTED_VALUE"""),"07.04 [IMG] [AD04] Pedidos abertos")</f>
        <v>07.04 [IMG] [AD04] Pedidos abertos</v>
      </c>
      <c r="J226" s="18" t="str">
        <f>IFERROR(__xludf.DUMMYFUNCTION("""COMPUTED_VALUE"""),"22.04.2026 [V4] [WB] [LEADS-GRUPO-WHATS] 02")</f>
        <v>22.04.2026 [V4] [WB] [LEADS-GRUPO-WHATS] 02</v>
      </c>
      <c r="K226" s="19" t="str">
        <f t="shared" si="1"/>
        <v>2026-05-21</v>
      </c>
      <c r="L226" s="20">
        <f t="shared" si="2"/>
        <v>46163</v>
      </c>
      <c r="M226" s="19" t="str">
        <f t="shared" si="3"/>
        <v>99866847</v>
      </c>
      <c r="N226" s="19" t="str">
        <f>IFERROR(IF(VLOOKUP(M226,'Leads no grupo Saibai'!C:C,1,FALSE)=M226,"Sim"),"Não")</f>
        <v>Sim</v>
      </c>
      <c r="O226" s="19"/>
    </row>
    <row r="227">
      <c r="A227" s="14" t="s">
        <v>847</v>
      </c>
      <c r="B227" s="15" t="s">
        <v>848</v>
      </c>
      <c r="C227" s="16">
        <v>1.1999901012E10</v>
      </c>
      <c r="D227" s="16" t="s">
        <v>849</v>
      </c>
      <c r="E227" s="17" t="s">
        <v>850</v>
      </c>
      <c r="F227" s="18" t="str">
        <f>IFERROR(__xludf.DUMMYFUNCTION("""COMPUTED_VALUE"""),"MetaAds")</f>
        <v>MetaAds</v>
      </c>
      <c r="G227" s="18" t="str">
        <f>IFERROR(__xludf.DUMMYFUNCTION("""COMPUTED_VALUE"""),"ADV - [IG] [FB] [30%2B] [SP METROPOLE] V%C3%81RIOS")</f>
        <v>ADV - [IG] [FB] [30%2B] [SP METROPOLE] V%C3%81RIOS</v>
      </c>
      <c r="H227" s="18" t="str">
        <f>IFERROR(__xludf.DUMMYFUNCTION("""COMPUTED_VALUE"""),"Instagram_Feed")</f>
        <v>Instagram_Feed</v>
      </c>
      <c r="I227" s="18" t="str">
        <f>IFERROR(__xludf.DUMMYFUNCTION("""COMPUTED_VALUE"""),"07.04 [IMG] [AD04] Pedidos abertos")</f>
        <v>07.04 [IMG] [AD04] Pedidos abertos</v>
      </c>
      <c r="J227" s="18" t="str">
        <f>IFERROR(__xludf.DUMMYFUNCTION("""COMPUTED_VALUE"""),"22.04.2026 [V4] [WB] [LEADS-GRUPO-WHATS] 02")</f>
        <v>22.04.2026 [V4] [WB] [LEADS-GRUPO-WHATS] 02</v>
      </c>
      <c r="K227" s="19" t="str">
        <f t="shared" si="1"/>
        <v>2026-05-21</v>
      </c>
      <c r="L227" s="20">
        <f t="shared" si="2"/>
        <v>46163</v>
      </c>
      <c r="M227" s="19" t="str">
        <f t="shared" si="3"/>
        <v>99901012</v>
      </c>
      <c r="N227" s="19" t="str">
        <f>IFERROR(IF(VLOOKUP(M227,'Leads no grupo Saibai'!C:C,1,FALSE)=M227,"Sim"),"Não")</f>
        <v>Sim</v>
      </c>
      <c r="O227" s="19"/>
    </row>
    <row r="228">
      <c r="A228" s="14" t="s">
        <v>851</v>
      </c>
      <c r="B228" s="15" t="s">
        <v>852</v>
      </c>
      <c r="C228" s="16">
        <v>1.1943149391E10</v>
      </c>
      <c r="D228" s="16" t="s">
        <v>853</v>
      </c>
      <c r="E228" s="17" t="s">
        <v>854</v>
      </c>
      <c r="F228" s="18" t="str">
        <f>IFERROR(__xludf.DUMMYFUNCTION("""COMPUTED_VALUE"""),"MetaAds")</f>
        <v>MetaAds</v>
      </c>
      <c r="G228" s="18" t="str">
        <f>IFERROR(__xludf.DUMMYFUNCTION("""COMPUTED_VALUE"""),"ADV - [IG] [FB] [30%2B] [SP METROPOLE] V%C3%81RIOS")</f>
        <v>ADV - [IG] [FB] [30%2B] [SP METROPOLE] V%C3%81RIOS</v>
      </c>
      <c r="H228" s="18" t="str">
        <f>IFERROR(__xludf.DUMMYFUNCTION("""COMPUTED_VALUE"""),"Facebook_Mobile_Feed")</f>
        <v>Facebook_Mobile_Feed</v>
      </c>
      <c r="I228" s="18" t="str">
        <f>IFERROR(__xludf.DUMMYFUNCTION("""COMPUTED_VALUE"""),"07.04 [IMG] [AD04] Pedidos abertos")</f>
        <v>07.04 [IMG] [AD04] Pedidos abertos</v>
      </c>
      <c r="J228" s="18" t="str">
        <f>IFERROR(__xludf.DUMMYFUNCTION("""COMPUTED_VALUE"""),"22.04.2026 [V4] [WB] [LEADS-GRUPO-WHATS] 02")</f>
        <v>22.04.2026 [V4] [WB] [LEADS-GRUPO-WHATS] 02</v>
      </c>
      <c r="K228" s="19" t="str">
        <f t="shared" si="1"/>
        <v>2026-05-22</v>
      </c>
      <c r="L228" s="20">
        <f t="shared" si="2"/>
        <v>46164</v>
      </c>
      <c r="M228" s="19" t="str">
        <f t="shared" si="3"/>
        <v>43149391</v>
      </c>
      <c r="N228" s="19" t="str">
        <f>IFERROR(IF(VLOOKUP(M228,'Leads no grupo Saibai'!C:C,1,FALSE)=M228,"Sim"),"Não")</f>
        <v>Sim</v>
      </c>
      <c r="O228" s="19"/>
    </row>
    <row r="229">
      <c r="A229" s="14" t="s">
        <v>855</v>
      </c>
      <c r="B229" s="15" t="s">
        <v>856</v>
      </c>
      <c r="C229" s="16">
        <v>1.1994594246E10</v>
      </c>
      <c r="D229" s="16" t="s">
        <v>857</v>
      </c>
      <c r="E229" s="17" t="s">
        <v>858</v>
      </c>
      <c r="F229" s="18" t="str">
        <f>IFERROR(__xludf.DUMMYFUNCTION("""COMPUTED_VALUE"""),"MetaAds")</f>
        <v>MetaAds</v>
      </c>
      <c r="G229" s="18" t="str">
        <f>IFERROR(__xludf.DUMMYFUNCTION("""COMPUTED_VALUE"""),"ADV - [IG] [FB] [30%2B] [SP METROPOLE] V%C3%81RIOS")</f>
        <v>ADV - [IG] [FB] [30%2B] [SP METROPOLE] V%C3%81RIOS</v>
      </c>
      <c r="H229" s="18" t="str">
        <f>IFERROR(__xludf.DUMMYFUNCTION("""COMPUTED_VALUE"""),"Facebook_Mobile_Feed")</f>
        <v>Facebook_Mobile_Feed</v>
      </c>
      <c r="I229" s="18" t="str">
        <f>IFERROR(__xludf.DUMMYFUNCTION("""COMPUTED_VALUE"""),"07.04 [IMG] [AD04] Pedidos abertos")</f>
        <v>07.04 [IMG] [AD04] Pedidos abertos</v>
      </c>
      <c r="J229" s="18" t="str">
        <f>IFERROR(__xludf.DUMMYFUNCTION("""COMPUTED_VALUE"""),"22.04.2026 [V4] [WB] [LEADS-GRUPO-WHATS] 02")</f>
        <v>22.04.2026 [V4] [WB] [LEADS-GRUPO-WHATS] 02</v>
      </c>
      <c r="K229" s="19" t="str">
        <f t="shared" si="1"/>
        <v>2026-05-22</v>
      </c>
      <c r="L229" s="20">
        <f t="shared" si="2"/>
        <v>46164</v>
      </c>
      <c r="M229" s="19" t="str">
        <f t="shared" si="3"/>
        <v>94594246</v>
      </c>
      <c r="N229" s="19" t="str">
        <f>IFERROR(IF(VLOOKUP(M229,'Leads no grupo Saibai'!C:C,1,FALSE)=M229,"Sim"),"Não")</f>
        <v>Não</v>
      </c>
      <c r="O229" s="19"/>
    </row>
    <row r="230">
      <c r="A230" s="14" t="s">
        <v>859</v>
      </c>
      <c r="B230" s="15" t="s">
        <v>860</v>
      </c>
      <c r="C230" s="16">
        <v>1.1942428877E10</v>
      </c>
      <c r="D230" s="16" t="s">
        <v>861</v>
      </c>
      <c r="E230" s="17" t="s">
        <v>862</v>
      </c>
      <c r="F230" s="18" t="str">
        <f>IFERROR(__xludf.DUMMYFUNCTION("""COMPUTED_VALUE"""),"MetaAds")</f>
        <v>MetaAds</v>
      </c>
      <c r="G230" s="18" t="str">
        <f>IFERROR(__xludf.DUMMYFUNCTION("""COMPUTED_VALUE"""),"ADV - [IG] [FB] [30%2B] [SP METROPOLE] V%C3%81RIOS")</f>
        <v>ADV - [IG] [FB] [30%2B] [SP METROPOLE] V%C3%81RIOS</v>
      </c>
      <c r="H230" s="18" t="str">
        <f>IFERROR(__xludf.DUMMYFUNCTION("""COMPUTED_VALUE"""),"Facebook_Mobile_Feed")</f>
        <v>Facebook_Mobile_Feed</v>
      </c>
      <c r="I230" s="18" t="str">
        <f>IFERROR(__xludf.DUMMYFUNCTION("""COMPUTED_VALUE"""),"07.04 [IMG] [AD04] Pedidos abertos")</f>
        <v>07.04 [IMG] [AD04] Pedidos abertos</v>
      </c>
      <c r="J230" s="18" t="str">
        <f>IFERROR(__xludf.DUMMYFUNCTION("""COMPUTED_VALUE"""),"22.04.2026 [V4] [WB] [LEADS-GRUPO-WHATS] 02")</f>
        <v>22.04.2026 [V4] [WB] [LEADS-GRUPO-WHATS] 02</v>
      </c>
      <c r="K230" s="19" t="str">
        <f t="shared" si="1"/>
        <v>2026-05-22</v>
      </c>
      <c r="L230" s="20">
        <f t="shared" si="2"/>
        <v>46164</v>
      </c>
      <c r="M230" s="19" t="str">
        <f t="shared" si="3"/>
        <v>42428877</v>
      </c>
      <c r="N230" s="19" t="str">
        <f>IFERROR(IF(VLOOKUP(M230,'Leads no grupo Saibai'!C:C,1,FALSE)=M230,"Sim"),"Não")</f>
        <v>Sim</v>
      </c>
      <c r="O230" s="19"/>
    </row>
    <row r="231">
      <c r="A231" s="14" t="s">
        <v>863</v>
      </c>
      <c r="B231" s="15" t="s">
        <v>864</v>
      </c>
      <c r="C231" s="16">
        <v>1.1966400087E10</v>
      </c>
      <c r="D231" s="16" t="s">
        <v>865</v>
      </c>
      <c r="E231" s="17" t="s">
        <v>866</v>
      </c>
      <c r="F231" s="18" t="str">
        <f>IFERROR(__xludf.DUMMYFUNCTION("""COMPUTED_VALUE"""),"MetaAds")</f>
        <v>MetaAds</v>
      </c>
      <c r="G231" s="18" t="str">
        <f>IFERROR(__xludf.DUMMYFUNCTION("""COMPUTED_VALUE"""),"ADV - [IG] [FB] [30%2B] [SP METROPOLE] V%C3%81RIOS")</f>
        <v>ADV - [IG] [FB] [30%2B] [SP METROPOLE] V%C3%81RIOS</v>
      </c>
      <c r="H231" s="18" t="str">
        <f>IFERROR(__xludf.DUMMYFUNCTION("""COMPUTED_VALUE"""),"Facebook_Mobile_Feed")</f>
        <v>Facebook_Mobile_Feed</v>
      </c>
      <c r="I231" s="18" t="str">
        <f>IFERROR(__xludf.DUMMYFUNCTION("""COMPUTED_VALUE"""),"07.04 [IMG] [AD04] Pedidos abertos")</f>
        <v>07.04 [IMG] [AD04] Pedidos abertos</v>
      </c>
      <c r="J231" s="18" t="str">
        <f>IFERROR(__xludf.DUMMYFUNCTION("""COMPUTED_VALUE"""),"22.04.2026 [V4] [WB] [LEADS-GRUPO-WHATS] 02")</f>
        <v>22.04.2026 [V4] [WB] [LEADS-GRUPO-WHATS] 02</v>
      </c>
      <c r="K231" s="19" t="str">
        <f t="shared" si="1"/>
        <v>2026-05-22</v>
      </c>
      <c r="L231" s="20">
        <f t="shared" si="2"/>
        <v>46164</v>
      </c>
      <c r="M231" s="19" t="str">
        <f t="shared" si="3"/>
        <v>66400087</v>
      </c>
      <c r="N231" s="19" t="str">
        <f>IFERROR(IF(VLOOKUP(M231,'Leads no grupo Saibai'!C:C,1,FALSE)=M231,"Sim"),"Não")</f>
        <v>Sim</v>
      </c>
      <c r="O231" s="19"/>
    </row>
    <row r="232">
      <c r="A232" s="14" t="s">
        <v>867</v>
      </c>
      <c r="B232" s="15" t="s">
        <v>784</v>
      </c>
      <c r="C232" s="16">
        <v>1.1950763723E10</v>
      </c>
      <c r="D232" s="16" t="s">
        <v>785</v>
      </c>
      <c r="E232" s="17" t="s">
        <v>868</v>
      </c>
      <c r="F232" s="18" t="str">
        <f>IFERROR(__xludf.DUMMYFUNCTION("""COMPUTED_VALUE"""),"MetaAds")</f>
        <v>MetaAds</v>
      </c>
      <c r="G232" s="18" t="str">
        <f>IFERROR(__xludf.DUMMYFUNCTION("""COMPUTED_VALUE"""),"ADV - [IG] [FB] [30%2B] [SP METROPOLE] V%C3%81RIOS")</f>
        <v>ADV - [IG] [FB] [30%2B] [SP METROPOLE] V%C3%81RIOS</v>
      </c>
      <c r="H232" s="18" t="str">
        <f>IFERROR(__xludf.DUMMYFUNCTION("""COMPUTED_VALUE"""),"Facebook_Mobile_Feed")</f>
        <v>Facebook_Mobile_Feed</v>
      </c>
      <c r="I232" s="18" t="str">
        <f>IFERROR(__xludf.DUMMYFUNCTION("""COMPUTED_VALUE"""),"07.04 [IMG] [AD04] Pedidos abertos")</f>
        <v>07.04 [IMG] [AD04] Pedidos abertos</v>
      </c>
      <c r="J232" s="18" t="str">
        <f>IFERROR(__xludf.DUMMYFUNCTION("""COMPUTED_VALUE"""),"22.04.2026 [V4] [WB] [LEADS-GRUPO-WHATS] 02")</f>
        <v>22.04.2026 [V4] [WB] [LEADS-GRUPO-WHATS] 02</v>
      </c>
      <c r="K232" s="19" t="str">
        <f t="shared" si="1"/>
        <v>2026-05-22</v>
      </c>
      <c r="L232" s="20">
        <f t="shared" si="2"/>
        <v>46164</v>
      </c>
      <c r="M232" s="19" t="str">
        <f t="shared" si="3"/>
        <v>50763723</v>
      </c>
      <c r="N232" s="19" t="str">
        <f>IFERROR(IF(VLOOKUP(M232,'Leads no grupo Saibai'!C:C,1,FALSE)=M232,"Sim"),"Não")</f>
        <v>Sim</v>
      </c>
      <c r="O232" s="19"/>
    </row>
    <row r="233">
      <c r="A233" s="14" t="s">
        <v>869</v>
      </c>
      <c r="B233" s="15" t="s">
        <v>870</v>
      </c>
      <c r="C233" s="16">
        <v>1.1999141485E10</v>
      </c>
      <c r="D233" s="16" t="s">
        <v>871</v>
      </c>
      <c r="E233" s="17" t="s">
        <v>872</v>
      </c>
      <c r="F233" s="18" t="str">
        <f>IFERROR(__xludf.DUMMYFUNCTION("""COMPUTED_VALUE"""),"MetaAds")</f>
        <v>MetaAds</v>
      </c>
      <c r="G233" s="18" t="str">
        <f>IFERROR(__xludf.DUMMYFUNCTION("""COMPUTED_VALUE"""),"ADV - [IG] [FB] [30%2B] [SP METROPOLE] V%C3%81RIOS")</f>
        <v>ADV - [IG] [FB] [30%2B] [SP METROPOLE] V%C3%81RIOS</v>
      </c>
      <c r="H233" s="18" t="str">
        <f>IFERROR(__xludf.DUMMYFUNCTION("""COMPUTED_VALUE"""),"Facebook_Mobile_Feed")</f>
        <v>Facebook_Mobile_Feed</v>
      </c>
      <c r="I233" s="18" t="str">
        <f>IFERROR(__xludf.DUMMYFUNCTION("""COMPUTED_VALUE"""),"07.04 [IMG] [AD04] Pedidos abertos")</f>
        <v>07.04 [IMG] [AD04] Pedidos abertos</v>
      </c>
      <c r="J233" s="18" t="str">
        <f>IFERROR(__xludf.DUMMYFUNCTION("""COMPUTED_VALUE"""),"22.04.2026 [V4] [WB] [LEADS-GRUPO-WHATS] 02")</f>
        <v>22.04.2026 [V4] [WB] [LEADS-GRUPO-WHATS] 02</v>
      </c>
      <c r="K233" s="19" t="str">
        <f t="shared" si="1"/>
        <v>2026-05-22</v>
      </c>
      <c r="L233" s="20">
        <f t="shared" si="2"/>
        <v>46164</v>
      </c>
      <c r="M233" s="19" t="str">
        <f t="shared" si="3"/>
        <v>99141485</v>
      </c>
      <c r="N233" s="19" t="str">
        <f>IFERROR(IF(VLOOKUP(M233,'Leads no grupo Saibai'!C:C,1,FALSE)=M233,"Sim"),"Não")</f>
        <v>Sim</v>
      </c>
      <c r="O233" s="19"/>
    </row>
    <row r="234">
      <c r="A234" s="14" t="s">
        <v>873</v>
      </c>
      <c r="B234" s="15" t="s">
        <v>874</v>
      </c>
      <c r="C234" s="16">
        <v>5.5119471918E10</v>
      </c>
      <c r="D234" s="16" t="s">
        <v>875</v>
      </c>
      <c r="E234" s="17" t="s">
        <v>876</v>
      </c>
      <c r="F234" s="18" t="str">
        <f>IFERROR(__xludf.DUMMYFUNCTION("""COMPUTED_VALUE"""),"MetaAds")</f>
        <v>MetaAds</v>
      </c>
      <c r="G234" s="18" t="str">
        <f>IFERROR(__xludf.DUMMYFUNCTION("""COMPUTED_VALUE"""),"ADV - [IG] [FB] [30%2B] [SP METROPOLE] V%C3%81RIOS")</f>
        <v>ADV - [IG] [FB] [30%2B] [SP METROPOLE] V%C3%81RIOS</v>
      </c>
      <c r="H234" s="18" t="str">
        <f>IFERROR(__xludf.DUMMYFUNCTION("""COMPUTED_VALUE"""),"Facebook_Mobile_Feed")</f>
        <v>Facebook_Mobile_Feed</v>
      </c>
      <c r="I234" s="18" t="str">
        <f>IFERROR(__xludf.DUMMYFUNCTION("""COMPUTED_VALUE"""),"07.04 [IMG] [AD04] Pedidos abertos")</f>
        <v>07.04 [IMG] [AD04] Pedidos abertos</v>
      </c>
      <c r="J234" s="18" t="str">
        <f>IFERROR(__xludf.DUMMYFUNCTION("""COMPUTED_VALUE"""),"22.04.2026 [V4] [WB] [LEADS-GRUPO-WHATS] 02")</f>
        <v>22.04.2026 [V4] [WB] [LEADS-GRUPO-WHATS] 02</v>
      </c>
      <c r="K234" s="19" t="str">
        <f t="shared" si="1"/>
        <v>2026-05-22</v>
      </c>
      <c r="L234" s="20">
        <f t="shared" si="2"/>
        <v>46164</v>
      </c>
      <c r="M234" s="19" t="str">
        <f t="shared" si="3"/>
        <v>19471918</v>
      </c>
      <c r="N234" s="19" t="str">
        <f>IFERROR(IF(VLOOKUP(M234,'Leads no grupo Saibai'!C:C,1,FALSE)=M234,"Sim"),"Não")</f>
        <v>Não</v>
      </c>
      <c r="O234" s="19"/>
    </row>
    <row r="235">
      <c r="A235" s="14" t="s">
        <v>877</v>
      </c>
      <c r="B235" s="15" t="s">
        <v>878</v>
      </c>
      <c r="C235" s="16">
        <v>5.5119963744E10</v>
      </c>
      <c r="D235" s="16" t="s">
        <v>879</v>
      </c>
      <c r="E235" s="17" t="s">
        <v>880</v>
      </c>
      <c r="F235" s="18" t="str">
        <f>IFERROR(__xludf.DUMMYFUNCTION("""COMPUTED_VALUE"""),"MetaAds")</f>
        <v>MetaAds</v>
      </c>
      <c r="G235" s="18" t="str">
        <f>IFERROR(__xludf.DUMMYFUNCTION("""COMPUTED_VALUE"""),"ADV - [IG] [FB] [30%2B] [SP METROPOLE] V%C3%81RIOS")</f>
        <v>ADV - [IG] [FB] [30%2B] [SP METROPOLE] V%C3%81RIOS</v>
      </c>
      <c r="H235" s="18" t="str">
        <f>IFERROR(__xludf.DUMMYFUNCTION("""COMPUTED_VALUE"""),"Instagram_Reels")</f>
        <v>Instagram_Reels</v>
      </c>
      <c r="I235" s="18" t="str">
        <f>IFERROR(__xludf.DUMMYFUNCTION("""COMPUTED_VALUE"""),"07.04 [IMG] [AD04] Pedidos abertos")</f>
        <v>07.04 [IMG] [AD04] Pedidos abertos</v>
      </c>
      <c r="J235" s="18" t="str">
        <f>IFERROR(__xludf.DUMMYFUNCTION("""COMPUTED_VALUE"""),"22.04.2026 [V4] [WB] [LEADS-GRUPO-WHATS] 02")</f>
        <v>22.04.2026 [V4] [WB] [LEADS-GRUPO-WHATS] 02</v>
      </c>
      <c r="K235" s="19" t="str">
        <f t="shared" si="1"/>
        <v>2026-05-22</v>
      </c>
      <c r="L235" s="20">
        <f t="shared" si="2"/>
        <v>46164</v>
      </c>
      <c r="M235" s="19" t="str">
        <f t="shared" si="3"/>
        <v>19963744</v>
      </c>
      <c r="N235" s="19" t="str">
        <f>IFERROR(IF(VLOOKUP(M235,'Leads no grupo Saibai'!C:C,1,FALSE)=M235,"Sim"),"Não")</f>
        <v>Não</v>
      </c>
      <c r="O235" s="19"/>
    </row>
    <row r="236">
      <c r="A236" s="14" t="s">
        <v>881</v>
      </c>
      <c r="B236" s="15" t="s">
        <v>882</v>
      </c>
      <c r="C236" s="16">
        <v>1.1999733003E10</v>
      </c>
      <c r="D236" s="16" t="s">
        <v>883</v>
      </c>
      <c r="E236" s="17" t="s">
        <v>884</v>
      </c>
      <c r="F236" s="18" t="str">
        <f>IFERROR(__xludf.DUMMYFUNCTION("""COMPUTED_VALUE"""),"MetaAds")</f>
        <v>MetaAds</v>
      </c>
      <c r="G236" s="18" t="str">
        <f>IFERROR(__xludf.DUMMYFUNCTION("""COMPUTED_VALUE"""),"ADV - [IG] [FB] [30%2B] [SP METROPOLE] V%C3%81RIOS")</f>
        <v>ADV - [IG] [FB] [30%2B] [SP METROPOLE] V%C3%81RIOS</v>
      </c>
      <c r="H236" s="18" t="str">
        <f>IFERROR(__xludf.DUMMYFUNCTION("""COMPUTED_VALUE"""),"Instagram_Feed")</f>
        <v>Instagram_Feed</v>
      </c>
      <c r="I236" s="18" t="str">
        <f>IFERROR(__xludf.DUMMYFUNCTION("""COMPUTED_VALUE"""),"07.04 [IMG] [AD04] Pedidos abertos")</f>
        <v>07.04 [IMG] [AD04] Pedidos abertos</v>
      </c>
      <c r="J236" s="18" t="str">
        <f>IFERROR(__xludf.DUMMYFUNCTION("""COMPUTED_VALUE"""),"22.04.2026 [V4] [WB] [LEADS-GRUPO-WHATS] 02")</f>
        <v>22.04.2026 [V4] [WB] [LEADS-GRUPO-WHATS] 02</v>
      </c>
      <c r="K236" s="19" t="str">
        <f t="shared" si="1"/>
        <v>2026-05-23</v>
      </c>
      <c r="L236" s="20">
        <f t="shared" si="2"/>
        <v>46165</v>
      </c>
      <c r="M236" s="19" t="str">
        <f t="shared" si="3"/>
        <v>99733003</v>
      </c>
      <c r="N236" s="19" t="str">
        <f>IFERROR(IF(VLOOKUP(M236,'Leads no grupo Saibai'!C:C,1,FALSE)=M236,"Sim"),"Não")</f>
        <v>Sim</v>
      </c>
      <c r="O236" s="19"/>
    </row>
    <row r="237">
      <c r="A237" s="14" t="s">
        <v>885</v>
      </c>
      <c r="B237" s="15" t="s">
        <v>886</v>
      </c>
      <c r="C237" s="16">
        <v>1.1954284451E10</v>
      </c>
      <c r="D237" s="16" t="s">
        <v>887</v>
      </c>
      <c r="E237" s="17" t="s">
        <v>888</v>
      </c>
      <c r="F237" s="18" t="str">
        <f>IFERROR(__xludf.DUMMYFUNCTION("""COMPUTED_VALUE"""),"MetaAds")</f>
        <v>MetaAds</v>
      </c>
      <c r="G237" s="18" t="str">
        <f>IFERROR(__xludf.DUMMYFUNCTION("""COMPUTED_VALUE"""),"ADV - [IG] [FB] [30%2B] [SP METROPOLE] V%C3%81RIOS")</f>
        <v>ADV - [IG] [FB] [30%2B] [SP METROPOLE] V%C3%81RIOS</v>
      </c>
      <c r="H237" s="18" t="str">
        <f>IFERROR(__xludf.DUMMYFUNCTION("""COMPUTED_VALUE"""),"Facebook_Mobile_Feed")</f>
        <v>Facebook_Mobile_Feed</v>
      </c>
      <c r="I237" s="18" t="str">
        <f>IFERROR(__xludf.DUMMYFUNCTION("""COMPUTED_VALUE"""),"07.04 [IMG] [AD04] Pedidos abertos")</f>
        <v>07.04 [IMG] [AD04] Pedidos abertos</v>
      </c>
      <c r="J237" s="18" t="str">
        <f>IFERROR(__xludf.DUMMYFUNCTION("""COMPUTED_VALUE"""),"22.04.2026 [V4] [WB] [LEADS-GRUPO-WHATS] 02")</f>
        <v>22.04.2026 [V4] [WB] [LEADS-GRUPO-WHATS] 02</v>
      </c>
      <c r="K237" s="19" t="str">
        <f t="shared" si="1"/>
        <v>2026-05-23</v>
      </c>
      <c r="L237" s="20">
        <f t="shared" si="2"/>
        <v>46165</v>
      </c>
      <c r="M237" s="19" t="str">
        <f t="shared" si="3"/>
        <v>54284451</v>
      </c>
      <c r="N237" s="19" t="str">
        <f>IFERROR(IF(VLOOKUP(M237,'Leads no grupo Saibai'!C:C,1,FALSE)=M237,"Sim"),"Não")</f>
        <v>Não</v>
      </c>
      <c r="O237" s="19"/>
    </row>
    <row r="238">
      <c r="A238" s="14" t="s">
        <v>889</v>
      </c>
      <c r="B238" s="15" t="s">
        <v>890</v>
      </c>
      <c r="C238" s="16">
        <v>1.1988866777E10</v>
      </c>
      <c r="D238" s="16" t="s">
        <v>891</v>
      </c>
      <c r="E238" s="17" t="s">
        <v>892</v>
      </c>
      <c r="F238" s="18" t="str">
        <f>IFERROR(__xludf.DUMMYFUNCTION("""COMPUTED_VALUE"""),"MetaAds")</f>
        <v>MetaAds</v>
      </c>
      <c r="G238" s="18" t="str">
        <f>IFERROR(__xludf.DUMMYFUNCTION("""COMPUTED_VALUE"""),"ADV - [IG] [FB] [30%2B] [SP METROPOLE] V%C3%81RIOS")</f>
        <v>ADV - [IG] [FB] [30%2B] [SP METROPOLE] V%C3%81RIOS</v>
      </c>
      <c r="H238" s="18" t="str">
        <f>IFERROR(__xludf.DUMMYFUNCTION("""COMPUTED_VALUE"""),"Facebook_Mobile_Feed")</f>
        <v>Facebook_Mobile_Feed</v>
      </c>
      <c r="I238" s="18" t="str">
        <f>IFERROR(__xludf.DUMMYFUNCTION("""COMPUTED_VALUE"""),"07.04 [IMG] [AD04] Pedidos abertos")</f>
        <v>07.04 [IMG] [AD04] Pedidos abertos</v>
      </c>
      <c r="J238" s="18" t="str">
        <f>IFERROR(__xludf.DUMMYFUNCTION("""COMPUTED_VALUE"""),"22.04.2026 [V4] [WB] [LEADS-GRUPO-WHATS] 02")</f>
        <v>22.04.2026 [V4] [WB] [LEADS-GRUPO-WHATS] 02</v>
      </c>
      <c r="K238" s="19" t="str">
        <f t="shared" si="1"/>
        <v>2026-05-23</v>
      </c>
      <c r="L238" s="20">
        <f t="shared" si="2"/>
        <v>46165</v>
      </c>
      <c r="M238" s="19" t="str">
        <f t="shared" si="3"/>
        <v>88866777</v>
      </c>
      <c r="N238" s="19" t="str">
        <f>IFERROR(IF(VLOOKUP(M238,'Leads no grupo Saibai'!C:C,1,FALSE)=M238,"Sim"),"Não")</f>
        <v>Não</v>
      </c>
      <c r="O238" s="19"/>
    </row>
    <row r="239">
      <c r="A239" s="14" t="s">
        <v>893</v>
      </c>
      <c r="B239" s="15" t="s">
        <v>894</v>
      </c>
      <c r="C239" s="16">
        <v>1.1991665521E10</v>
      </c>
      <c r="D239" s="16" t="s">
        <v>895</v>
      </c>
      <c r="E239" s="17" t="s">
        <v>896</v>
      </c>
      <c r="F239" s="18" t="str">
        <f>IFERROR(__xludf.DUMMYFUNCTION("""COMPUTED_VALUE"""),"MetaAds")</f>
        <v>MetaAds</v>
      </c>
      <c r="G239" s="18" t="str">
        <f>IFERROR(__xludf.DUMMYFUNCTION("""COMPUTED_VALUE"""),"ADV - [IG] [FB] [30%2B] [SP METROPOLE] V%C3%81RIOS")</f>
        <v>ADV - [IG] [FB] [30%2B] [SP METROPOLE] V%C3%81RIOS</v>
      </c>
      <c r="H239" s="18" t="str">
        <f>IFERROR(__xludf.DUMMYFUNCTION("""COMPUTED_VALUE"""),"Instagram_Feed")</f>
        <v>Instagram_Feed</v>
      </c>
      <c r="I239" s="18" t="str">
        <f>IFERROR(__xludf.DUMMYFUNCTION("""COMPUTED_VALUE"""),"07.04 [IMG] [AD04] Pedidos abertos")</f>
        <v>07.04 [IMG] [AD04] Pedidos abertos</v>
      </c>
      <c r="J239" s="18" t="str">
        <f>IFERROR(__xludf.DUMMYFUNCTION("""COMPUTED_VALUE"""),"22.04.2026 [V4] [WB] [LEADS-GRUPO-WHATS] 02")</f>
        <v>22.04.2026 [V4] [WB] [LEADS-GRUPO-WHATS] 02</v>
      </c>
      <c r="K239" s="19" t="str">
        <f t="shared" si="1"/>
        <v>2026-05-23</v>
      </c>
      <c r="L239" s="20">
        <f t="shared" si="2"/>
        <v>46165</v>
      </c>
      <c r="M239" s="19" t="str">
        <f t="shared" si="3"/>
        <v>91665521</v>
      </c>
      <c r="N239" s="19" t="str">
        <f>IFERROR(IF(VLOOKUP(M239,'Leads no grupo Saibai'!C:C,1,FALSE)=M239,"Sim"),"Não")</f>
        <v>Não</v>
      </c>
      <c r="O239" s="19"/>
    </row>
    <row r="240">
      <c r="A240" s="14" t="s">
        <v>897</v>
      </c>
      <c r="B240" s="15" t="s">
        <v>898</v>
      </c>
      <c r="C240" s="16">
        <v>1.1963292262E10</v>
      </c>
      <c r="D240" s="16" t="s">
        <v>899</v>
      </c>
      <c r="E240" s="17" t="s">
        <v>900</v>
      </c>
      <c r="F240" s="18" t="str">
        <f>IFERROR(__xludf.DUMMYFUNCTION("""COMPUTED_VALUE"""),"MetaAds")</f>
        <v>MetaAds</v>
      </c>
      <c r="G240" s="18" t="str">
        <f>IFERROR(__xludf.DUMMYFUNCTION("""COMPUTED_VALUE"""),"ADV - [IG] [FB] [30%2B] [SP METROPOLE] V%C3%81RIOS")</f>
        <v>ADV - [IG] [FB] [30%2B] [SP METROPOLE] V%C3%81RIOS</v>
      </c>
      <c r="H240" s="18" t="str">
        <f>IFERROR(__xludf.DUMMYFUNCTION("""COMPUTED_VALUE"""),"Facebook_Stories")</f>
        <v>Facebook_Stories</v>
      </c>
      <c r="I240" s="18" t="str">
        <f>IFERROR(__xludf.DUMMYFUNCTION("""COMPUTED_VALUE"""),"07.04 [IMG] [AD04] Pedidos abertos")</f>
        <v>07.04 [IMG] [AD04] Pedidos abertos</v>
      </c>
      <c r="J240" s="18" t="str">
        <f>IFERROR(__xludf.DUMMYFUNCTION("""COMPUTED_VALUE"""),"22.04.2026 [V4] [WB] [LEADS-GRUPO-WHATS] 02")</f>
        <v>22.04.2026 [V4] [WB] [LEADS-GRUPO-WHATS] 02</v>
      </c>
      <c r="K240" s="19" t="str">
        <f t="shared" si="1"/>
        <v>2026-05-24</v>
      </c>
      <c r="L240" s="20">
        <f t="shared" si="2"/>
        <v>46166</v>
      </c>
      <c r="M240" s="19" t="str">
        <f t="shared" si="3"/>
        <v>63292262</v>
      </c>
      <c r="N240" s="19" t="str">
        <f>IFERROR(IF(VLOOKUP(M240,'Leads no grupo Saibai'!C:C,1,FALSE)=M240,"Sim"),"Não")</f>
        <v>Sim</v>
      </c>
      <c r="O240" s="19"/>
    </row>
    <row r="241">
      <c r="A241" s="14" t="s">
        <v>901</v>
      </c>
      <c r="B241" s="15" t="s">
        <v>902</v>
      </c>
      <c r="C241" s="16">
        <v>4.1991535216E10</v>
      </c>
      <c r="D241" s="16" t="s">
        <v>903</v>
      </c>
      <c r="E241" s="17" t="s">
        <v>904</v>
      </c>
      <c r="F241" s="18" t="str">
        <f>IFERROR(__xludf.DUMMYFUNCTION("""COMPUTED_VALUE"""),"MetaAds")</f>
        <v>MetaAds</v>
      </c>
      <c r="G241" s="18" t="str">
        <f>IFERROR(__xludf.DUMMYFUNCTION("""COMPUTED_VALUE"""),"ADV - [IG] [FB] [30%2B] [SP METROPOLE] V%C3%81RIOS")</f>
        <v>ADV - [IG] [FB] [30%2B] [SP METROPOLE] V%C3%81RIOS</v>
      </c>
      <c r="H241" s="18" t="str">
        <f>IFERROR(__xludf.DUMMYFUNCTION("""COMPUTED_VALUE"""),"Facebook_Mobile_Reels")</f>
        <v>Facebook_Mobile_Reels</v>
      </c>
      <c r="I241" s="18" t="str">
        <f>IFERROR(__xludf.DUMMYFUNCTION("""COMPUTED_VALUE"""),"07.04 [IMG] [AD04] Pedidos abertos")</f>
        <v>07.04 [IMG] [AD04] Pedidos abertos</v>
      </c>
      <c r="J241" s="18" t="str">
        <f>IFERROR(__xludf.DUMMYFUNCTION("""COMPUTED_VALUE"""),"22.04.2026 [V4] [WB] [LEADS-GRUPO-WHATS] 02")</f>
        <v>22.04.2026 [V4] [WB] [LEADS-GRUPO-WHATS] 02</v>
      </c>
      <c r="K241" s="19" t="str">
        <f t="shared" si="1"/>
        <v>2026-05-24</v>
      </c>
      <c r="L241" s="20">
        <f t="shared" si="2"/>
        <v>46166</v>
      </c>
      <c r="M241" s="19" t="str">
        <f t="shared" si="3"/>
        <v>91535216</v>
      </c>
      <c r="N241" s="19" t="str">
        <f>IFERROR(IF(VLOOKUP(M241,'Leads no grupo Saibai'!C:C,1,FALSE)=M241,"Sim"),"Não")</f>
        <v>Não</v>
      </c>
      <c r="O241" s="19"/>
    </row>
    <row r="242">
      <c r="A242" s="14" t="s">
        <v>905</v>
      </c>
      <c r="B242" s="15" t="s">
        <v>906</v>
      </c>
      <c r="C242" s="16">
        <v>1.1982142902E10</v>
      </c>
      <c r="D242" s="16" t="s">
        <v>907</v>
      </c>
      <c r="E242" s="17" t="s">
        <v>908</v>
      </c>
      <c r="F242" s="18" t="str">
        <f>IFERROR(__xludf.DUMMYFUNCTION("""COMPUTED_VALUE"""),"MetaAds")</f>
        <v>MetaAds</v>
      </c>
      <c r="G242" s="18" t="str">
        <f>IFERROR(__xludf.DUMMYFUNCTION("""COMPUTED_VALUE"""),"ADV - [IG] [FB] [30%2B] [SP METROPOLE] V%C3%81RIOS")</f>
        <v>ADV - [IG] [FB] [30%2B] [SP METROPOLE] V%C3%81RIOS</v>
      </c>
      <c r="H242" s="18" t="str">
        <f>IFERROR(__xludf.DUMMYFUNCTION("""COMPUTED_VALUE"""),"Instagram_Feed")</f>
        <v>Instagram_Feed</v>
      </c>
      <c r="I242" s="18" t="str">
        <f>IFERROR(__xludf.DUMMYFUNCTION("""COMPUTED_VALUE"""),"07.04 [IMG] [AD04] Pedidos abertos")</f>
        <v>07.04 [IMG] [AD04] Pedidos abertos</v>
      </c>
      <c r="J242" s="18" t="str">
        <f>IFERROR(__xludf.DUMMYFUNCTION("""COMPUTED_VALUE"""),"22.04.2026 [V4] [WB] [LEADS-GRUPO-WHATS] 02")</f>
        <v>22.04.2026 [V4] [WB] [LEADS-GRUPO-WHATS] 02</v>
      </c>
      <c r="K242" s="19" t="str">
        <f t="shared" si="1"/>
        <v>2026-05-24</v>
      </c>
      <c r="L242" s="20">
        <f t="shared" si="2"/>
        <v>46166</v>
      </c>
      <c r="M242" s="19" t="str">
        <f t="shared" si="3"/>
        <v>82142902</v>
      </c>
      <c r="N242" s="19" t="str">
        <f>IFERROR(IF(VLOOKUP(M242,'Leads no grupo Saibai'!C:C,1,FALSE)=M242,"Sim"),"Não")</f>
        <v>Sim</v>
      </c>
      <c r="O242" s="19"/>
    </row>
    <row r="243">
      <c r="A243" s="14" t="s">
        <v>909</v>
      </c>
      <c r="B243" s="15" t="s">
        <v>910</v>
      </c>
      <c r="C243" s="16">
        <v>1.1999080667E10</v>
      </c>
      <c r="D243" s="16" t="s">
        <v>911</v>
      </c>
      <c r="E243" s="17" t="s">
        <v>912</v>
      </c>
      <c r="F243" s="18" t="str">
        <f>IFERROR(__xludf.DUMMYFUNCTION("""COMPUTED_VALUE"""),"MetaAds")</f>
        <v>MetaAds</v>
      </c>
      <c r="G243" s="18" t="str">
        <f>IFERROR(__xludf.DUMMYFUNCTION("""COMPUTED_VALUE"""),"ADV - [IG] [FB] [30%2B] [SP METROPOLE] V%C3%81RIOS")</f>
        <v>ADV - [IG] [FB] [30%2B] [SP METROPOLE] V%C3%81RIOS</v>
      </c>
      <c r="H243" s="18" t="str">
        <f>IFERROR(__xludf.DUMMYFUNCTION("""COMPUTED_VALUE"""),"Facebook_Mobile_Feed")</f>
        <v>Facebook_Mobile_Feed</v>
      </c>
      <c r="I243" s="18" t="str">
        <f>IFERROR(__xludf.DUMMYFUNCTION("""COMPUTED_VALUE"""),"07.04 [IMG] [AD04] Pedidos abertos")</f>
        <v>07.04 [IMG] [AD04] Pedidos abertos</v>
      </c>
      <c r="J243" s="18" t="str">
        <f>IFERROR(__xludf.DUMMYFUNCTION("""COMPUTED_VALUE"""),"22.04.2026 [V4] [WB] [LEADS-GRUPO-WHATS] 02")</f>
        <v>22.04.2026 [V4] [WB] [LEADS-GRUPO-WHATS] 02</v>
      </c>
      <c r="K243" s="19" t="str">
        <f t="shared" si="1"/>
        <v>2026-05-24</v>
      </c>
      <c r="L243" s="20">
        <f t="shared" si="2"/>
        <v>46166</v>
      </c>
      <c r="M243" s="19" t="str">
        <f t="shared" si="3"/>
        <v>99080667</v>
      </c>
      <c r="N243" s="19" t="str">
        <f>IFERROR(IF(VLOOKUP(M243,'Leads no grupo Saibai'!C:C,1,FALSE)=M243,"Sim"),"Não")</f>
        <v>Sim</v>
      </c>
      <c r="O243" s="19"/>
    </row>
    <row r="244">
      <c r="A244" s="14" t="s">
        <v>913</v>
      </c>
      <c r="B244" s="15" t="s">
        <v>914</v>
      </c>
      <c r="C244" s="16">
        <v>1.1947711434E10</v>
      </c>
      <c r="D244" s="16" t="s">
        <v>915</v>
      </c>
      <c r="E244" s="17" t="s">
        <v>916</v>
      </c>
      <c r="F244" s="18" t="str">
        <f>IFERROR(__xludf.DUMMYFUNCTION("""COMPUTED_VALUE"""),"MetaAds")</f>
        <v>MetaAds</v>
      </c>
      <c r="G244" s="18" t="str">
        <f>IFERROR(__xludf.DUMMYFUNCTION("""COMPUTED_VALUE"""),"ADV - [IG] [FB] [30%2B] [SP METROPOLE] V%C3%81RIOS")</f>
        <v>ADV - [IG] [FB] [30%2B] [SP METROPOLE] V%C3%81RIOS</v>
      </c>
      <c r="H244" s="18" t="str">
        <f>IFERROR(__xludf.DUMMYFUNCTION("""COMPUTED_VALUE"""),"Facebook_Mobile_Feed")</f>
        <v>Facebook_Mobile_Feed</v>
      </c>
      <c r="I244" s="18" t="str">
        <f>IFERROR(__xludf.DUMMYFUNCTION("""COMPUTED_VALUE"""),"07.04 [IMG] [AD04] Pedidos abertos")</f>
        <v>07.04 [IMG] [AD04] Pedidos abertos</v>
      </c>
      <c r="J244" s="18" t="str">
        <f>IFERROR(__xludf.DUMMYFUNCTION("""COMPUTED_VALUE"""),"22.04.2026 [V4] [WB] [LEADS-GRUPO-WHATS] 02")</f>
        <v>22.04.2026 [V4] [WB] [LEADS-GRUPO-WHATS] 02</v>
      </c>
      <c r="K244" s="19" t="str">
        <f t="shared" si="1"/>
        <v>2026-05-24</v>
      </c>
      <c r="L244" s="20">
        <f t="shared" si="2"/>
        <v>46166</v>
      </c>
      <c r="M244" s="19" t="str">
        <f t="shared" si="3"/>
        <v>47711434</v>
      </c>
      <c r="N244" s="19" t="str">
        <f>IFERROR(IF(VLOOKUP(M244,'Leads no grupo Saibai'!C:C,1,FALSE)=M244,"Sim"),"Não")</f>
        <v>Sim</v>
      </c>
      <c r="O244" s="19"/>
    </row>
    <row r="245">
      <c r="A245" s="14" t="s">
        <v>917</v>
      </c>
      <c r="B245" s="15" t="s">
        <v>918</v>
      </c>
      <c r="C245" s="16">
        <v>1.199979241E10</v>
      </c>
      <c r="D245" s="16" t="s">
        <v>919</v>
      </c>
      <c r="E245" s="28" t="s">
        <v>920</v>
      </c>
      <c r="F245" s="18" t="str">
        <f>IFERROR(__xludf.DUMMYFUNCTION("""COMPUTED_VALUE"""),"MetaAds")</f>
        <v>MetaAds</v>
      </c>
      <c r="G245" s="18" t="str">
        <f>IFERROR(__xludf.DUMMYFUNCTION("""COMPUTED_VALUE"""),"ADV - [IG] [FB] [30%2B] [SP METROPOLE] V%C3%81RIOS")</f>
        <v>ADV - [IG] [FB] [30%2B] [SP METROPOLE] V%C3%81RIOS</v>
      </c>
      <c r="H245" s="18" t="str">
        <f>IFERROR(__xludf.DUMMYFUNCTION("""COMPUTED_VALUE"""),"Instagram_Feed")</f>
        <v>Instagram_Feed</v>
      </c>
      <c r="I245" s="18" t="str">
        <f>IFERROR(__xludf.DUMMYFUNCTION("""COMPUTED_VALUE"""),"07.04 [IMG] [AD04] Pedidos abertos")</f>
        <v>07.04 [IMG] [AD04] Pedidos abertos</v>
      </c>
      <c r="J245" s="18" t="str">
        <f>IFERROR(__xludf.DUMMYFUNCTION("""COMPUTED_VALUE"""),"22.04.2026 [V4] [WB] [LEADS-GRUPO-WHATS] 02")</f>
        <v>22.04.2026 [V4] [WB] [LEADS-GRUPO-WHATS] 02</v>
      </c>
      <c r="K245" s="19" t="str">
        <f t="shared" si="1"/>
        <v>2026-05-25</v>
      </c>
      <c r="L245" s="20">
        <f t="shared" si="2"/>
        <v>46167</v>
      </c>
      <c r="M245" s="19" t="str">
        <f t="shared" si="3"/>
        <v>99792410</v>
      </c>
      <c r="N245" s="19" t="str">
        <f>IFERROR(IF(VLOOKUP(M245,'Leads no grupo Saibai'!C:C,1,FALSE)=M245,"Sim"),"Não")</f>
        <v>Sim</v>
      </c>
      <c r="O245" s="19"/>
    </row>
    <row r="246">
      <c r="A246" s="14" t="s">
        <v>921</v>
      </c>
      <c r="B246" s="15" t="s">
        <v>922</v>
      </c>
      <c r="C246" s="16">
        <v>1.1996033406E10</v>
      </c>
      <c r="D246" s="16" t="s">
        <v>923</v>
      </c>
      <c r="E246" s="17" t="s">
        <v>924</v>
      </c>
      <c r="F246" s="18" t="str">
        <f>IFERROR(__xludf.DUMMYFUNCTION("""COMPUTED_VALUE"""),"MetaAds")</f>
        <v>MetaAds</v>
      </c>
      <c r="G246" s="18" t="str">
        <f>IFERROR(__xludf.DUMMYFUNCTION("""COMPUTED_VALUE"""),"ADV - [IG] [FB] [30%2B] [SP METROPOLE] V%C3%81RIOS")</f>
        <v>ADV - [IG] [FB] [30%2B] [SP METROPOLE] V%C3%81RIOS</v>
      </c>
      <c r="H246" s="18" t="str">
        <f>IFERROR(__xludf.DUMMYFUNCTION("""COMPUTED_VALUE"""),"Facebook_Mobile_Feed")</f>
        <v>Facebook_Mobile_Feed</v>
      </c>
      <c r="I246" s="18" t="str">
        <f>IFERROR(__xludf.DUMMYFUNCTION("""COMPUTED_VALUE"""),"07.04 [IMG] [AD04] Pedidos abertos")</f>
        <v>07.04 [IMG] [AD04] Pedidos abertos</v>
      </c>
      <c r="J246" s="18" t="str">
        <f>IFERROR(__xludf.DUMMYFUNCTION("""COMPUTED_VALUE"""),"22.04.2026 [V4] [WB] [LEADS-GRUPO-WHATS] 02")</f>
        <v>22.04.2026 [V4] [WB] [LEADS-GRUPO-WHATS] 02</v>
      </c>
      <c r="K246" s="19" t="str">
        <f t="shared" si="1"/>
        <v>2026-05-25</v>
      </c>
      <c r="L246" s="20">
        <f t="shared" si="2"/>
        <v>46167</v>
      </c>
      <c r="M246" s="19" t="str">
        <f t="shared" si="3"/>
        <v>96033406</v>
      </c>
      <c r="N246" s="19" t="str">
        <f>IFERROR(IF(VLOOKUP(M246,'Leads no grupo Saibai'!C:C,1,FALSE)=M246,"Sim"),"Não")</f>
        <v>Sim</v>
      </c>
      <c r="O246" s="19"/>
    </row>
    <row r="247">
      <c r="A247" s="14" t="s">
        <v>925</v>
      </c>
      <c r="B247" s="15" t="s">
        <v>926</v>
      </c>
      <c r="C247" s="16">
        <v>1.1991327933E10</v>
      </c>
      <c r="D247" s="16" t="s">
        <v>927</v>
      </c>
      <c r="E247" s="17" t="s">
        <v>928</v>
      </c>
      <c r="F247" s="18" t="str">
        <f>IFERROR(__xludf.DUMMYFUNCTION("""COMPUTED_VALUE"""),"MetaAds")</f>
        <v>MetaAds</v>
      </c>
      <c r="G247" s="18" t="str">
        <f>IFERROR(__xludf.DUMMYFUNCTION("""COMPUTED_VALUE"""),"ADV - [IG] [FB] [30%2B] [SP METROPOLE] V%C3%81RIOS")</f>
        <v>ADV - [IG] [FB] [30%2B] [SP METROPOLE] V%C3%81RIOS</v>
      </c>
      <c r="H247" s="18" t="str">
        <f>IFERROR(__xludf.DUMMYFUNCTION("""COMPUTED_VALUE"""),"Facebook_Mobile_Reels")</f>
        <v>Facebook_Mobile_Reels</v>
      </c>
      <c r="I247" s="18" t="str">
        <f>IFERROR(__xludf.DUMMYFUNCTION("""COMPUTED_VALUE"""),"07.04 [IMG] [AD04] Pedidos abertos")</f>
        <v>07.04 [IMG] [AD04] Pedidos abertos</v>
      </c>
      <c r="J247" s="18" t="str">
        <f>IFERROR(__xludf.DUMMYFUNCTION("""COMPUTED_VALUE"""),"22.04.2026 [V4] [WB] [LEADS-GRUPO-WHATS] 02")</f>
        <v>22.04.2026 [V4] [WB] [LEADS-GRUPO-WHATS] 02</v>
      </c>
      <c r="K247" s="19" t="str">
        <f t="shared" si="1"/>
        <v>2026-05-26</v>
      </c>
      <c r="L247" s="20">
        <f t="shared" si="2"/>
        <v>46168</v>
      </c>
      <c r="M247" s="19" t="str">
        <f t="shared" si="3"/>
        <v>91327933</v>
      </c>
      <c r="N247" s="19" t="str">
        <f>IFERROR(IF(VLOOKUP(M247,'Leads no grupo Saibai'!C:C,1,FALSE)=M247,"Sim"),"Não")</f>
        <v>Sim</v>
      </c>
      <c r="O247" s="19"/>
    </row>
    <row r="248">
      <c r="A248" s="14" t="s">
        <v>929</v>
      </c>
      <c r="B248" s="15" t="s">
        <v>930</v>
      </c>
      <c r="C248" s="16">
        <v>1.198156882E10</v>
      </c>
      <c r="D248" s="16" t="s">
        <v>931</v>
      </c>
      <c r="E248" s="17" t="s">
        <v>932</v>
      </c>
      <c r="F248" s="18" t="str">
        <f>IFERROR(__xludf.DUMMYFUNCTION("""COMPUTED_VALUE"""),"MetaAds")</f>
        <v>MetaAds</v>
      </c>
      <c r="G248" s="18" t="str">
        <f>IFERROR(__xludf.DUMMYFUNCTION("""COMPUTED_VALUE"""),"ADV - [IG] [FB] [30%2B] [SP METROPOLE] V%C3%81RIOS")</f>
        <v>ADV - [IG] [FB] [30%2B] [SP METROPOLE] V%C3%81RIOS</v>
      </c>
      <c r="H248" s="18" t="str">
        <f>IFERROR(__xludf.DUMMYFUNCTION("""COMPUTED_VALUE"""),"Facebook_Mobile_Feed")</f>
        <v>Facebook_Mobile_Feed</v>
      </c>
      <c r="I248" s="18" t="str">
        <f>IFERROR(__xludf.DUMMYFUNCTION("""COMPUTED_VALUE"""),"07.04 [IMG] [AD04] Pedidos abertos")</f>
        <v>07.04 [IMG] [AD04] Pedidos abertos</v>
      </c>
      <c r="J248" s="18" t="str">
        <f>IFERROR(__xludf.DUMMYFUNCTION("""COMPUTED_VALUE"""),"22.04.2026 [V4] [WB] [LEADS-GRUPO-WHATS] 02")</f>
        <v>22.04.2026 [V4] [WB] [LEADS-GRUPO-WHATS] 02</v>
      </c>
      <c r="K248" s="19" t="str">
        <f t="shared" si="1"/>
        <v>2026-05-26</v>
      </c>
      <c r="L248" s="20">
        <f t="shared" si="2"/>
        <v>46168</v>
      </c>
      <c r="M248" s="19" t="str">
        <f t="shared" si="3"/>
        <v>81568820</v>
      </c>
      <c r="N248" s="19" t="str">
        <f>IFERROR(IF(VLOOKUP(M248,'Leads no grupo Saibai'!C:C,1,FALSE)=M248,"Sim"),"Não")</f>
        <v>Sim</v>
      </c>
      <c r="O248" s="19"/>
    </row>
    <row r="249">
      <c r="A249" s="14" t="s">
        <v>933</v>
      </c>
      <c r="B249" s="15" t="s">
        <v>934</v>
      </c>
      <c r="C249" s="16">
        <v>5.5119993565E10</v>
      </c>
      <c r="D249" s="16" t="s">
        <v>935</v>
      </c>
      <c r="E249" s="17" t="s">
        <v>936</v>
      </c>
      <c r="F249" s="18" t="str">
        <f>IFERROR(__xludf.DUMMYFUNCTION("""COMPUTED_VALUE"""),"MetaAds")</f>
        <v>MetaAds</v>
      </c>
      <c r="G249" s="18" t="str">
        <f>IFERROR(__xludf.DUMMYFUNCTION("""COMPUTED_VALUE"""),"ADV - [IG] [FB] [30%2B] [SP METROPOLE] V%C3%81RIOS")</f>
        <v>ADV - [IG] [FB] [30%2B] [SP METROPOLE] V%C3%81RIOS</v>
      </c>
      <c r="H249" s="18" t="str">
        <f>IFERROR(__xludf.DUMMYFUNCTION("""COMPUTED_VALUE"""),"Facebook_Mobile_Feed")</f>
        <v>Facebook_Mobile_Feed</v>
      </c>
      <c r="I249" s="18" t="str">
        <f>IFERROR(__xludf.DUMMYFUNCTION("""COMPUTED_VALUE"""),"07.04 [IMG] [AD04] Pedidos abertos")</f>
        <v>07.04 [IMG] [AD04] Pedidos abertos</v>
      </c>
      <c r="J249" s="18" t="str">
        <f>IFERROR(__xludf.DUMMYFUNCTION("""COMPUTED_VALUE"""),"22.04.2026 [V4] [WB] [LEADS-GRUPO-WHATS] 02")</f>
        <v>22.04.2026 [V4] [WB] [LEADS-GRUPO-WHATS] 02</v>
      </c>
      <c r="K249" s="19" t="str">
        <f t="shared" si="1"/>
        <v>2026-05-26</v>
      </c>
      <c r="L249" s="20">
        <f t="shared" si="2"/>
        <v>46168</v>
      </c>
      <c r="M249" s="19" t="str">
        <f t="shared" si="3"/>
        <v>19993565</v>
      </c>
      <c r="N249" s="19" t="str">
        <f>IFERROR(IF(VLOOKUP(M249,'Leads no grupo Saibai'!C:C,1,FALSE)=M249,"Sim"),"Não")</f>
        <v>Não</v>
      </c>
      <c r="O249" s="19"/>
    </row>
    <row r="250">
      <c r="A250" s="14" t="s">
        <v>937</v>
      </c>
      <c r="B250" s="15" t="s">
        <v>938</v>
      </c>
      <c r="C250" s="16">
        <v>1.1947017707E10</v>
      </c>
      <c r="D250" s="16" t="s">
        <v>939</v>
      </c>
      <c r="E250" s="17" t="s">
        <v>940</v>
      </c>
      <c r="F250" s="18" t="str">
        <f>IFERROR(__xludf.DUMMYFUNCTION("""COMPUTED_VALUE"""),"MetaAds")</f>
        <v>MetaAds</v>
      </c>
      <c r="G250" s="18" t="str">
        <f>IFERROR(__xludf.DUMMYFUNCTION("""COMPUTED_VALUE"""),"ADV - [IG] [FB] [30%2B] [SP METROPOLE] V%C3%81RIOS")</f>
        <v>ADV - [IG] [FB] [30%2B] [SP METROPOLE] V%C3%81RIOS</v>
      </c>
      <c r="H250" s="18" t="str">
        <f>IFERROR(__xludf.DUMMYFUNCTION("""COMPUTED_VALUE"""),"Instagram_Feed")</f>
        <v>Instagram_Feed</v>
      </c>
      <c r="I250" s="18" t="str">
        <f>IFERROR(__xludf.DUMMYFUNCTION("""COMPUTED_VALUE"""),"07.04 [IMG] [AD04] Pedidos abertos")</f>
        <v>07.04 [IMG] [AD04] Pedidos abertos</v>
      </c>
      <c r="J250" s="18" t="str">
        <f>IFERROR(__xludf.DUMMYFUNCTION("""COMPUTED_VALUE"""),"22.04.2026 [V4] [WB] [LEADS-GRUPO-WHATS] 02")</f>
        <v>22.04.2026 [V4] [WB] [LEADS-GRUPO-WHATS] 02</v>
      </c>
      <c r="K250" s="19" t="str">
        <f t="shared" si="1"/>
        <v>2026-05-26</v>
      </c>
      <c r="L250" s="20">
        <f t="shared" si="2"/>
        <v>46168</v>
      </c>
      <c r="M250" s="19" t="str">
        <f t="shared" si="3"/>
        <v>47017707</v>
      </c>
      <c r="N250" s="19" t="str">
        <f>IFERROR(IF(VLOOKUP(M250,'Leads no grupo Saibai'!C:C,1,FALSE)=M250,"Sim"),"Não")</f>
        <v>Sim</v>
      </c>
      <c r="O250" s="19"/>
    </row>
    <row r="251">
      <c r="A251" s="14" t="s">
        <v>941</v>
      </c>
      <c r="B251" s="15" t="s">
        <v>942</v>
      </c>
      <c r="C251" s="16">
        <v>1.1961377462E10</v>
      </c>
      <c r="D251" s="16" t="s">
        <v>943</v>
      </c>
      <c r="E251" s="17" t="s">
        <v>944</v>
      </c>
      <c r="F251" s="18" t="str">
        <f>IFERROR(__xludf.DUMMYFUNCTION("""COMPUTED_VALUE"""),"MetaAds")</f>
        <v>MetaAds</v>
      </c>
      <c r="G251" s="18" t="str">
        <f>IFERROR(__xludf.DUMMYFUNCTION("""COMPUTED_VALUE"""),"ADV - [IG] [FB] [30%2B] [SP METROPOLE] V%C3%81RIOS")</f>
        <v>ADV - [IG] [FB] [30%2B] [SP METROPOLE] V%C3%81RIOS</v>
      </c>
      <c r="H251" s="18" t="str">
        <f>IFERROR(__xludf.DUMMYFUNCTION("""COMPUTED_VALUE"""),"Instagram_Stories")</f>
        <v>Instagram_Stories</v>
      </c>
      <c r="I251" s="18" t="str">
        <f>IFERROR(__xludf.DUMMYFUNCTION("""COMPUTED_VALUE"""),"07.04 [IMG] [AD04] Pedidos abertos")</f>
        <v>07.04 [IMG] [AD04] Pedidos abertos</v>
      </c>
      <c r="J251" s="18" t="str">
        <f>IFERROR(__xludf.DUMMYFUNCTION("""COMPUTED_VALUE"""),"22.04.2026 [V4] [WB] [LEADS-GRUPO-WHATS] 02")</f>
        <v>22.04.2026 [V4] [WB] [LEADS-GRUPO-WHATS] 02</v>
      </c>
      <c r="K251" s="19" t="str">
        <f t="shared" si="1"/>
        <v>2026-05-26</v>
      </c>
      <c r="L251" s="20">
        <f t="shared" si="2"/>
        <v>46168</v>
      </c>
      <c r="M251" s="19" t="str">
        <f t="shared" si="3"/>
        <v>61377462</v>
      </c>
      <c r="N251" s="19" t="str">
        <f>IFERROR(IF(VLOOKUP(M251,'Leads no grupo Saibai'!C:C,1,FALSE)=M251,"Sim"),"Não")</f>
        <v>Sim</v>
      </c>
      <c r="O251" s="19"/>
    </row>
    <row r="252">
      <c r="A252" s="14" t="s">
        <v>945</v>
      </c>
      <c r="B252" s="15" t="s">
        <v>946</v>
      </c>
      <c r="C252" s="16">
        <v>1.199121813E10</v>
      </c>
      <c r="D252" s="16" t="s">
        <v>947</v>
      </c>
      <c r="E252" s="17" t="s">
        <v>948</v>
      </c>
      <c r="F252" s="18" t="str">
        <f>IFERROR(__xludf.DUMMYFUNCTION("""COMPUTED_VALUE"""),"MetaAds")</f>
        <v>MetaAds</v>
      </c>
      <c r="G252" s="18" t="str">
        <f>IFERROR(__xludf.DUMMYFUNCTION("""COMPUTED_VALUE"""),"ADV - [IG] [FB] [30%2B] [SP METROPOLE] V%C3%81RIOS")</f>
        <v>ADV - [IG] [FB] [30%2B] [SP METROPOLE] V%C3%81RIOS</v>
      </c>
      <c r="H252" s="18" t="str">
        <f>IFERROR(__xludf.DUMMYFUNCTION("""COMPUTED_VALUE"""),"Others")</f>
        <v>Others</v>
      </c>
      <c r="I252" s="18" t="str">
        <f>IFERROR(__xludf.DUMMYFUNCTION("""COMPUTED_VALUE"""),"07.04 [IMG] [AD04] Pedidos abertos")</f>
        <v>07.04 [IMG] [AD04] Pedidos abertos</v>
      </c>
      <c r="J252" s="18" t="str">
        <f>IFERROR(__xludf.DUMMYFUNCTION("""COMPUTED_VALUE"""),"22.04.2026 [V4] [WB] [LEADS-GRUPO-WHATS] 02")</f>
        <v>22.04.2026 [V4] [WB] [LEADS-GRUPO-WHATS] 02</v>
      </c>
      <c r="K252" s="19" t="str">
        <f t="shared" si="1"/>
        <v>2026-05-26</v>
      </c>
      <c r="L252" s="20">
        <f t="shared" si="2"/>
        <v>46168</v>
      </c>
      <c r="M252" s="19" t="str">
        <f t="shared" si="3"/>
        <v>91218130</v>
      </c>
      <c r="N252" s="19" t="str">
        <f>IFERROR(IF(VLOOKUP(M252,'Leads no grupo Saibai'!C:C,1,FALSE)=M252,"Sim"),"Não")</f>
        <v>Não</v>
      </c>
      <c r="O252" s="19"/>
    </row>
    <row r="253">
      <c r="A253" s="14" t="s">
        <v>949</v>
      </c>
      <c r="B253" s="15" t="s">
        <v>950</v>
      </c>
      <c r="C253" s="16">
        <v>1.1999676362E10</v>
      </c>
      <c r="D253" s="16" t="s">
        <v>951</v>
      </c>
      <c r="E253" s="17" t="s">
        <v>952</v>
      </c>
      <c r="F253" s="18" t="str">
        <f>IFERROR(__xludf.DUMMYFUNCTION("""COMPUTED_VALUE"""),"MetaAds")</f>
        <v>MetaAds</v>
      </c>
      <c r="G253" s="18" t="str">
        <f>IFERROR(__xludf.DUMMYFUNCTION("""COMPUTED_VALUE"""),"ADV - [IG] [FB] [30%2B] [SP METROPOLE] V%C3%81RIOS")</f>
        <v>ADV - [IG] [FB] [30%2B] [SP METROPOLE] V%C3%81RIOS</v>
      </c>
      <c r="H253" s="18" t="str">
        <f>IFERROR(__xludf.DUMMYFUNCTION("""COMPUTED_VALUE"""),"Instagram_Feed")</f>
        <v>Instagram_Feed</v>
      </c>
      <c r="I253" s="18" t="str">
        <f>IFERROR(__xludf.DUMMYFUNCTION("""COMPUTED_VALUE"""),"07.04 [IMG] [AD04] Pedidos abertos")</f>
        <v>07.04 [IMG] [AD04] Pedidos abertos</v>
      </c>
      <c r="J253" s="18" t="str">
        <f>IFERROR(__xludf.DUMMYFUNCTION("""COMPUTED_VALUE"""),"22.04.2026 [V4] [WB] [LEADS-GRUPO-WHATS] 02")</f>
        <v>22.04.2026 [V4] [WB] [LEADS-GRUPO-WHATS] 02</v>
      </c>
      <c r="K253" s="19" t="str">
        <f t="shared" si="1"/>
        <v>2026-05-26</v>
      </c>
      <c r="L253" s="20">
        <f t="shared" si="2"/>
        <v>46168</v>
      </c>
      <c r="M253" s="19" t="str">
        <f t="shared" si="3"/>
        <v>99676362</v>
      </c>
      <c r="N253" s="19" t="str">
        <f>IFERROR(IF(VLOOKUP(M253,'Leads no grupo Saibai'!C:C,1,FALSE)=M253,"Sim"),"Não")</f>
        <v>Sim</v>
      </c>
      <c r="O253" s="19"/>
    </row>
    <row r="254">
      <c r="A254" s="14" t="s">
        <v>953</v>
      </c>
      <c r="B254" s="15" t="s">
        <v>954</v>
      </c>
      <c r="C254" s="16">
        <v>1.1099155067E10</v>
      </c>
      <c r="D254" s="16" t="s">
        <v>955</v>
      </c>
      <c r="E254" s="17" t="s">
        <v>770</v>
      </c>
      <c r="F254" s="18" t="str">
        <f>IFERROR(__xludf.DUMMYFUNCTION("""COMPUTED_VALUE"""),"MetaAds")</f>
        <v>MetaAds</v>
      </c>
      <c r="G254" s="18" t="str">
        <f>IFERROR(__xludf.DUMMYFUNCTION("""COMPUTED_VALUE"""),"ADV - [IG] [FB] [30%2B] [SP METROPOLE] V%C3%81RIOS")</f>
        <v>ADV - [IG] [FB] [30%2B] [SP METROPOLE] V%C3%81RIOS</v>
      </c>
      <c r="H254" s="18" t="str">
        <f>IFERROR(__xludf.DUMMYFUNCTION("""COMPUTED_VALUE"""),"Facebook_Mobile_Feed")</f>
        <v>Facebook_Mobile_Feed</v>
      </c>
      <c r="I254" s="18" t="str">
        <f>IFERROR(__xludf.DUMMYFUNCTION("""COMPUTED_VALUE"""),"07.04 [IMG] [AD04] Pedidos abertos")</f>
        <v>07.04 [IMG] [AD04] Pedidos abertos</v>
      </c>
      <c r="J254" s="18" t="str">
        <f>IFERROR(__xludf.DUMMYFUNCTION("""COMPUTED_VALUE"""),"22.04.2026 [V4] [WB] [LEADS-GRUPO-WHATS] 02")</f>
        <v>22.04.2026 [V4] [WB] [LEADS-GRUPO-WHATS] 02</v>
      </c>
      <c r="K254" s="19" t="str">
        <f t="shared" si="1"/>
        <v>2026-05-26</v>
      </c>
      <c r="L254" s="20">
        <f t="shared" si="2"/>
        <v>46168</v>
      </c>
      <c r="M254" s="19" t="str">
        <f t="shared" si="3"/>
        <v>99155067</v>
      </c>
      <c r="N254" s="19" t="str">
        <f>IFERROR(IF(VLOOKUP(M254,'Leads no grupo Saibai'!C:C,1,FALSE)=M254,"Sim"),"Não")</f>
        <v>Não</v>
      </c>
      <c r="O254" s="19"/>
    </row>
    <row r="255">
      <c r="A255" s="14" t="s">
        <v>956</v>
      </c>
      <c r="B255" s="15" t="s">
        <v>957</v>
      </c>
      <c r="C255" s="16">
        <v>1.1991843981E10</v>
      </c>
      <c r="D255" s="16" t="s">
        <v>958</v>
      </c>
      <c r="E255" s="17" t="s">
        <v>770</v>
      </c>
      <c r="F255" s="18" t="str">
        <f>IFERROR(__xludf.DUMMYFUNCTION("""COMPUTED_VALUE"""),"MetaAds")</f>
        <v>MetaAds</v>
      </c>
      <c r="G255" s="18" t="str">
        <f>IFERROR(__xludf.DUMMYFUNCTION("""COMPUTED_VALUE"""),"ADV - [IG] [FB] [30%2B] [SP METROPOLE] V%C3%81RIOS")</f>
        <v>ADV - [IG] [FB] [30%2B] [SP METROPOLE] V%C3%81RIOS</v>
      </c>
      <c r="H255" s="18" t="str">
        <f>IFERROR(__xludf.DUMMYFUNCTION("""COMPUTED_VALUE"""),"Facebook_Mobile_Feed")</f>
        <v>Facebook_Mobile_Feed</v>
      </c>
      <c r="I255" s="18" t="str">
        <f>IFERROR(__xludf.DUMMYFUNCTION("""COMPUTED_VALUE"""),"07.04 [IMG] [AD04] Pedidos abertos")</f>
        <v>07.04 [IMG] [AD04] Pedidos abertos</v>
      </c>
      <c r="J255" s="18" t="str">
        <f>IFERROR(__xludf.DUMMYFUNCTION("""COMPUTED_VALUE"""),"22.04.2026 [V4] [WB] [LEADS-GRUPO-WHATS] 02")</f>
        <v>22.04.2026 [V4] [WB] [LEADS-GRUPO-WHATS] 02</v>
      </c>
      <c r="K255" s="19" t="str">
        <f t="shared" si="1"/>
        <v>2026-05-26</v>
      </c>
      <c r="L255" s="20">
        <f t="shared" si="2"/>
        <v>46168</v>
      </c>
      <c r="M255" s="19" t="str">
        <f t="shared" si="3"/>
        <v>91843981</v>
      </c>
      <c r="N255" s="19" t="str">
        <f>IFERROR(IF(VLOOKUP(M255,'Leads no grupo Saibai'!C:C,1,FALSE)=M255,"Sim"),"Não")</f>
        <v>Sim</v>
      </c>
      <c r="O255" s="19"/>
    </row>
    <row r="256">
      <c r="A256" s="14" t="s">
        <v>959</v>
      </c>
      <c r="B256" s="15" t="s">
        <v>960</v>
      </c>
      <c r="C256" s="16">
        <v>1.1977809996E10</v>
      </c>
      <c r="D256" s="16" t="s">
        <v>961</v>
      </c>
      <c r="E256" s="17" t="s">
        <v>962</v>
      </c>
      <c r="F256" s="18" t="str">
        <f>IFERROR(__xludf.DUMMYFUNCTION("""COMPUTED_VALUE"""),"MetaAds")</f>
        <v>MetaAds</v>
      </c>
      <c r="G256" s="18" t="str">
        <f>IFERROR(__xludf.DUMMYFUNCTION("""COMPUTED_VALUE"""),"ADV - [IG] [FB] [30%2B] [SP METROPOLE] V%C3%81RIOS")</f>
        <v>ADV - [IG] [FB] [30%2B] [SP METROPOLE] V%C3%81RIOS</v>
      </c>
      <c r="H256" s="18" t="str">
        <f>IFERROR(__xludf.DUMMYFUNCTION("""COMPUTED_VALUE"""),"Facebook_Mobile_Feed")</f>
        <v>Facebook_Mobile_Feed</v>
      </c>
      <c r="I256" s="18" t="str">
        <f>IFERROR(__xludf.DUMMYFUNCTION("""COMPUTED_VALUE"""),"07.04 [IMG] [AD04] Pedidos abertos")</f>
        <v>07.04 [IMG] [AD04] Pedidos abertos</v>
      </c>
      <c r="J256" s="18" t="str">
        <f>IFERROR(__xludf.DUMMYFUNCTION("""COMPUTED_VALUE"""),"22.04.2026 [V4] [WB] [LEADS-GRUPO-WHATS] 02")</f>
        <v>22.04.2026 [V4] [WB] [LEADS-GRUPO-WHATS] 02</v>
      </c>
      <c r="K256" s="19" t="str">
        <f t="shared" si="1"/>
        <v>2026-05-26</v>
      </c>
      <c r="L256" s="20">
        <f t="shared" si="2"/>
        <v>46168</v>
      </c>
      <c r="M256" s="19" t="str">
        <f t="shared" si="3"/>
        <v>77809996</v>
      </c>
      <c r="N256" s="19" t="str">
        <f>IFERROR(IF(VLOOKUP(M256,'Leads no grupo Saibai'!C:C,1,FALSE)=M256,"Sim"),"Não")</f>
        <v>Sim</v>
      </c>
      <c r="O256" s="19"/>
    </row>
    <row r="257">
      <c r="A257" s="14" t="s">
        <v>963</v>
      </c>
      <c r="B257" s="15" t="s">
        <v>964</v>
      </c>
      <c r="C257" s="16">
        <v>1.1989337755E10</v>
      </c>
      <c r="D257" s="16" t="s">
        <v>965</v>
      </c>
      <c r="E257" s="17" t="s">
        <v>966</v>
      </c>
      <c r="F257" s="18" t="str">
        <f>IFERROR(__xludf.DUMMYFUNCTION("""COMPUTED_VALUE"""),"MetaAds")</f>
        <v>MetaAds</v>
      </c>
      <c r="G257" s="18" t="str">
        <f>IFERROR(__xludf.DUMMYFUNCTION("""COMPUTED_VALUE"""),"ADV - [IG] [FB] [30%2B] [SP METROPOLE] V%C3%81RIOS")</f>
        <v>ADV - [IG] [FB] [30%2B] [SP METROPOLE] V%C3%81RIOS</v>
      </c>
      <c r="H257" s="18" t="str">
        <f>IFERROR(__xludf.DUMMYFUNCTION("""COMPUTED_VALUE"""),"Facebook_Mobile_Feed")</f>
        <v>Facebook_Mobile_Feed</v>
      </c>
      <c r="I257" s="18" t="str">
        <f>IFERROR(__xludf.DUMMYFUNCTION("""COMPUTED_VALUE"""),"07.04 [IMG] [AD04] Pedidos abertos")</f>
        <v>07.04 [IMG] [AD04] Pedidos abertos</v>
      </c>
      <c r="J257" s="18" t="str">
        <f>IFERROR(__xludf.DUMMYFUNCTION("""COMPUTED_VALUE"""),"22.04.2026 [V4] [WB] [LEADS-GRUPO-WHATS] 02")</f>
        <v>22.04.2026 [V4] [WB] [LEADS-GRUPO-WHATS] 02</v>
      </c>
      <c r="K257" s="19" t="str">
        <f t="shared" si="1"/>
        <v>2026-05-26</v>
      </c>
      <c r="L257" s="20">
        <f t="shared" si="2"/>
        <v>46168</v>
      </c>
      <c r="M257" s="19" t="str">
        <f t="shared" si="3"/>
        <v>89337755</v>
      </c>
      <c r="N257" s="19" t="str">
        <f>IFERROR(IF(VLOOKUP(M257,'Leads no grupo Saibai'!C:C,1,FALSE)=M257,"Sim"),"Não")</f>
        <v>Sim</v>
      </c>
      <c r="O257" s="19"/>
    </row>
    <row r="258">
      <c r="A258" s="14" t="s">
        <v>967</v>
      </c>
      <c r="B258" s="15" t="s">
        <v>968</v>
      </c>
      <c r="C258" s="16">
        <v>1.1995177815E10</v>
      </c>
      <c r="D258" s="16" t="s">
        <v>969</v>
      </c>
      <c r="E258" s="17" t="s">
        <v>970</v>
      </c>
      <c r="F258" s="18" t="str">
        <f>IFERROR(__xludf.DUMMYFUNCTION("""COMPUTED_VALUE"""),"MetaAds")</f>
        <v>MetaAds</v>
      </c>
      <c r="G258" s="18" t="str">
        <f>IFERROR(__xludf.DUMMYFUNCTION("""COMPUTED_VALUE"""),"ADV - [IG] [FB] [30%2B] [SP METROPOLE] V%C3%81RIOS")</f>
        <v>ADV - [IG] [FB] [30%2B] [SP METROPOLE] V%C3%81RIOS</v>
      </c>
      <c r="H258" s="18" t="str">
        <f>IFERROR(__xludf.DUMMYFUNCTION("""COMPUTED_VALUE"""),"Instagram_Reels")</f>
        <v>Instagram_Reels</v>
      </c>
      <c r="I258" s="18" t="str">
        <f>IFERROR(__xludf.DUMMYFUNCTION("""COMPUTED_VALUE"""),"07.04 [IMG] [AD04] Pedidos abertos")</f>
        <v>07.04 [IMG] [AD04] Pedidos abertos</v>
      </c>
      <c r="J258" s="18" t="str">
        <f>IFERROR(__xludf.DUMMYFUNCTION("""COMPUTED_VALUE"""),"22.04.2026 [V4] [WB] [LEADS-GRUPO-WHATS] 02")</f>
        <v>22.04.2026 [V4] [WB] [LEADS-GRUPO-WHATS] 02</v>
      </c>
      <c r="K258" s="19" t="str">
        <f t="shared" si="1"/>
        <v>2026-05-26</v>
      </c>
      <c r="L258" s="20">
        <f t="shared" si="2"/>
        <v>46168</v>
      </c>
      <c r="M258" s="19" t="str">
        <f t="shared" si="3"/>
        <v>95177815</v>
      </c>
      <c r="N258" s="19" t="str">
        <f>IFERROR(IF(VLOOKUP(M258,'Leads no grupo Saibai'!C:C,1,FALSE)=M258,"Sim"),"Não")</f>
        <v>Sim</v>
      </c>
      <c r="O258" s="19"/>
    </row>
    <row r="259">
      <c r="A259" s="14" t="s">
        <v>971</v>
      </c>
      <c r="B259" s="15" t="s">
        <v>972</v>
      </c>
      <c r="C259" s="16">
        <v>1.1984112526E10</v>
      </c>
      <c r="D259" s="16" t="s">
        <v>973</v>
      </c>
      <c r="E259" s="17" t="s">
        <v>974</v>
      </c>
      <c r="F259" s="18" t="str">
        <f>IFERROR(__xludf.DUMMYFUNCTION("""COMPUTED_VALUE"""),"MetaAds")</f>
        <v>MetaAds</v>
      </c>
      <c r="G259" s="18" t="str">
        <f>IFERROR(__xludf.DUMMYFUNCTION("""COMPUTED_VALUE"""),"ADV - [IG] [FB] [30%2B] [SP METROPOLE] V%C3%81RIOS")</f>
        <v>ADV - [IG] [FB] [30%2B] [SP METROPOLE] V%C3%81RIOS</v>
      </c>
      <c r="H259" s="18" t="str">
        <f>IFERROR(__xludf.DUMMYFUNCTION("""COMPUTED_VALUE"""),"Instagram_Feed")</f>
        <v>Instagram_Feed</v>
      </c>
      <c r="I259" s="18" t="str">
        <f>IFERROR(__xludf.DUMMYFUNCTION("""COMPUTED_VALUE"""),"07.04 [IMG] [AD04] Pedidos abertos")</f>
        <v>07.04 [IMG] [AD04] Pedidos abertos</v>
      </c>
      <c r="J259" s="18" t="str">
        <f>IFERROR(__xludf.DUMMYFUNCTION("""COMPUTED_VALUE"""),"22.04.2026 [V4] [WB] [LEADS-GRUPO-WHATS] 02")</f>
        <v>22.04.2026 [V4] [WB] [LEADS-GRUPO-WHATS] 02</v>
      </c>
      <c r="K259" s="19" t="str">
        <f t="shared" si="1"/>
        <v>2026-05-27</v>
      </c>
      <c r="L259" s="20">
        <f t="shared" si="2"/>
        <v>46169</v>
      </c>
      <c r="M259" s="19" t="str">
        <f t="shared" si="3"/>
        <v>84112526</v>
      </c>
      <c r="N259" s="19" t="str">
        <f>IFERROR(IF(VLOOKUP(M259,'Leads no grupo Saibai'!C:C,1,FALSE)=M259,"Sim"),"Não")</f>
        <v>Não</v>
      </c>
      <c r="O259" s="19"/>
    </row>
    <row r="260">
      <c r="A260" s="14" t="s">
        <v>975</v>
      </c>
      <c r="B260" s="15" t="s">
        <v>976</v>
      </c>
      <c r="C260" s="16">
        <v>1.1982742002E10</v>
      </c>
      <c r="D260" s="16" t="s">
        <v>977</v>
      </c>
      <c r="E260" s="17" t="s">
        <v>978</v>
      </c>
      <c r="F260" s="18" t="str">
        <f>IFERROR(__xludf.DUMMYFUNCTION("""COMPUTED_VALUE"""),"MetaAds")</f>
        <v>MetaAds</v>
      </c>
      <c r="G260" s="18" t="str">
        <f>IFERROR(__xludf.DUMMYFUNCTION("""COMPUTED_VALUE"""),"ADV - [IG] [FB] [30%2B] [SP METROPOLE] V%C3%81RIOS")</f>
        <v>ADV - [IG] [FB] [30%2B] [SP METROPOLE] V%C3%81RIOS</v>
      </c>
      <c r="H260" s="18" t="str">
        <f>IFERROR(__xludf.DUMMYFUNCTION("""COMPUTED_VALUE"""),"Instagram_Stories")</f>
        <v>Instagram_Stories</v>
      </c>
      <c r="I260" s="18" t="str">
        <f>IFERROR(__xludf.DUMMYFUNCTION("""COMPUTED_VALUE"""),"07.04 [IMG] [AD04] Pedidos abertos")</f>
        <v>07.04 [IMG] [AD04] Pedidos abertos</v>
      </c>
      <c r="J260" s="18" t="str">
        <f>IFERROR(__xludf.DUMMYFUNCTION("""COMPUTED_VALUE"""),"22.04.2026 [V4] [WB] [LEADS-GRUPO-WHATS] 02")</f>
        <v>22.04.2026 [V4] [WB] [LEADS-GRUPO-WHATS] 02</v>
      </c>
      <c r="K260" s="19" t="str">
        <f t="shared" si="1"/>
        <v>2026-05-27</v>
      </c>
      <c r="L260" s="20">
        <f t="shared" si="2"/>
        <v>46169</v>
      </c>
      <c r="M260" s="19" t="str">
        <f t="shared" si="3"/>
        <v>82742002</v>
      </c>
      <c r="N260" s="19" t="str">
        <f>IFERROR(IF(VLOOKUP(M260,'Leads no grupo Saibai'!C:C,1,FALSE)=M260,"Sim"),"Não")</f>
        <v>Sim</v>
      </c>
      <c r="O260" s="19"/>
    </row>
    <row r="261">
      <c r="A261" s="14" t="s">
        <v>979</v>
      </c>
      <c r="B261" s="15" t="s">
        <v>980</v>
      </c>
      <c r="C261" s="16">
        <v>1.1983362833E10</v>
      </c>
      <c r="D261" s="16" t="s">
        <v>981</v>
      </c>
      <c r="E261" s="17" t="s">
        <v>982</v>
      </c>
      <c r="F261" s="18" t="str">
        <f>IFERROR(__xludf.DUMMYFUNCTION("""COMPUTED_VALUE"""),"MetaAds")</f>
        <v>MetaAds</v>
      </c>
      <c r="G261" s="18" t="str">
        <f>IFERROR(__xludf.DUMMYFUNCTION("""COMPUTED_VALUE"""),"ADV - [IG] [FB] [30%2B] [SP METROPOLE] V%C3%81RIOS")</f>
        <v>ADV - [IG] [FB] [30%2B] [SP METROPOLE] V%C3%81RIOS</v>
      </c>
      <c r="H261" s="18" t="str">
        <f>IFERROR(__xludf.DUMMYFUNCTION("""COMPUTED_VALUE"""),"Facebook_Stories")</f>
        <v>Facebook_Stories</v>
      </c>
      <c r="I261" s="18" t="str">
        <f>IFERROR(__xludf.DUMMYFUNCTION("""COMPUTED_VALUE"""),"07.04 [IMG] [AD04] Pedidos abertos")</f>
        <v>07.04 [IMG] [AD04] Pedidos abertos</v>
      </c>
      <c r="J261" s="18" t="str">
        <f>IFERROR(__xludf.DUMMYFUNCTION("""COMPUTED_VALUE"""),"22.04.2026 [V4] [WB] [LEADS-GRUPO-WHATS] 02")</f>
        <v>22.04.2026 [V4] [WB] [LEADS-GRUPO-WHATS] 02</v>
      </c>
      <c r="K261" s="19" t="str">
        <f t="shared" si="1"/>
        <v>2026-05-27</v>
      </c>
      <c r="L261" s="20">
        <f t="shared" si="2"/>
        <v>46169</v>
      </c>
      <c r="M261" s="19" t="str">
        <f t="shared" si="3"/>
        <v>83362833</v>
      </c>
      <c r="N261" s="19" t="str">
        <f>IFERROR(IF(VLOOKUP(M261,'Leads no grupo Saibai'!C:C,1,FALSE)=M261,"Sim"),"Não")</f>
        <v>Sim</v>
      </c>
      <c r="O261" s="19"/>
    </row>
    <row r="262">
      <c r="A262" s="14" t="s">
        <v>983</v>
      </c>
      <c r="B262" s="15" t="s">
        <v>984</v>
      </c>
      <c r="C262" s="16">
        <v>1.1998961331E10</v>
      </c>
      <c r="D262" s="16" t="s">
        <v>985</v>
      </c>
      <c r="E262" s="17" t="s">
        <v>986</v>
      </c>
      <c r="F262" s="18" t="str">
        <f>IFERROR(__xludf.DUMMYFUNCTION("""COMPUTED_VALUE"""),"MetaAds")</f>
        <v>MetaAds</v>
      </c>
      <c r="G262" s="18" t="str">
        <f>IFERROR(__xludf.DUMMYFUNCTION("""COMPUTED_VALUE"""),"ADV - [IG] [FB] [30%2B] [SP METROPOLE] V%C3%81RIOS")</f>
        <v>ADV - [IG] [FB] [30%2B] [SP METROPOLE] V%C3%81RIOS</v>
      </c>
      <c r="H262" s="18" t="str">
        <f>IFERROR(__xludf.DUMMYFUNCTION("""COMPUTED_VALUE"""),"Instagram_Stories")</f>
        <v>Instagram_Stories</v>
      </c>
      <c r="I262" s="18" t="str">
        <f>IFERROR(__xludf.DUMMYFUNCTION("""COMPUTED_VALUE"""),"07.04 [IMG] [AD04] Pedidos abertos")</f>
        <v>07.04 [IMG] [AD04] Pedidos abertos</v>
      </c>
      <c r="J262" s="18" t="str">
        <f>IFERROR(__xludf.DUMMYFUNCTION("""COMPUTED_VALUE"""),"22.04.2026 [V4] [WB] [LEADS-GRUPO-WHATS] 02")</f>
        <v>22.04.2026 [V4] [WB] [LEADS-GRUPO-WHATS] 02</v>
      </c>
      <c r="K262" s="19" t="str">
        <f t="shared" si="1"/>
        <v>2026-05-27</v>
      </c>
      <c r="L262" s="20">
        <f t="shared" si="2"/>
        <v>46169</v>
      </c>
      <c r="M262" s="19" t="str">
        <f t="shared" si="3"/>
        <v>98961331</v>
      </c>
      <c r="N262" s="19" t="str">
        <f>IFERROR(IF(VLOOKUP(M262,'Leads no grupo Saibai'!C:C,1,FALSE)=M262,"Sim"),"Não")</f>
        <v>Sim</v>
      </c>
      <c r="O262" s="19"/>
    </row>
    <row r="263">
      <c r="A263" s="14" t="s">
        <v>987</v>
      </c>
      <c r="B263" s="15" t="s">
        <v>988</v>
      </c>
      <c r="C263" s="16">
        <v>1.1942044007E10</v>
      </c>
      <c r="D263" s="16" t="s">
        <v>989</v>
      </c>
      <c r="E263" s="17" t="s">
        <v>990</v>
      </c>
      <c r="F263" s="18" t="str">
        <f>IFERROR(__xludf.DUMMYFUNCTION("""COMPUTED_VALUE"""),"MetaAds")</f>
        <v>MetaAds</v>
      </c>
      <c r="G263" s="18" t="str">
        <f>IFERROR(__xludf.DUMMYFUNCTION("""COMPUTED_VALUE"""),"ADV - [IG] [FB] [30%2B] [SP METROPOLE] V%C3%81RIOS")</f>
        <v>ADV - [IG] [FB] [30%2B] [SP METROPOLE] V%C3%81RIOS</v>
      </c>
      <c r="H263" s="18" t="str">
        <f>IFERROR(__xludf.DUMMYFUNCTION("""COMPUTED_VALUE"""),"Facebook_Mobile_Reels")</f>
        <v>Facebook_Mobile_Reels</v>
      </c>
      <c r="I263" s="18" t="str">
        <f>IFERROR(__xludf.DUMMYFUNCTION("""COMPUTED_VALUE"""),"07.04 [IMG] [AD04] Pedidos abertos")</f>
        <v>07.04 [IMG] [AD04] Pedidos abertos</v>
      </c>
      <c r="J263" s="18" t="str">
        <f>IFERROR(__xludf.DUMMYFUNCTION("""COMPUTED_VALUE"""),"22.04.2026 [V4] [WB] [LEADS-GRUPO-WHATS] 02")</f>
        <v>22.04.2026 [V4] [WB] [LEADS-GRUPO-WHATS] 02</v>
      </c>
      <c r="K263" s="19" t="str">
        <f t="shared" si="1"/>
        <v>2026-05-27</v>
      </c>
      <c r="L263" s="20">
        <f t="shared" si="2"/>
        <v>46169</v>
      </c>
      <c r="M263" s="19" t="str">
        <f t="shared" si="3"/>
        <v>42044007</v>
      </c>
      <c r="N263" s="19" t="str">
        <f>IFERROR(IF(VLOOKUP(M263,'Leads no grupo Saibai'!C:C,1,FALSE)=M263,"Sim"),"Não")</f>
        <v>Não</v>
      </c>
      <c r="O263" s="19"/>
    </row>
    <row r="264">
      <c r="A264" s="14" t="s">
        <v>991</v>
      </c>
      <c r="B264" s="15" t="s">
        <v>992</v>
      </c>
      <c r="C264" s="16">
        <v>1.1976295334E10</v>
      </c>
      <c r="D264" s="16" t="s">
        <v>993</v>
      </c>
      <c r="E264" s="17" t="s">
        <v>994</v>
      </c>
      <c r="F264" s="18" t="str">
        <f>IFERROR(__xludf.DUMMYFUNCTION("""COMPUTED_VALUE"""),"MetaAds")</f>
        <v>MetaAds</v>
      </c>
      <c r="G264" s="18" t="str">
        <f>IFERROR(__xludf.DUMMYFUNCTION("""COMPUTED_VALUE"""),"ADV - [IG] [FB] [30%2B] [SP METROPOLE] V%C3%81RIOS")</f>
        <v>ADV - [IG] [FB] [30%2B] [SP METROPOLE] V%C3%81RIOS</v>
      </c>
      <c r="H264" s="18" t="str">
        <f>IFERROR(__xludf.DUMMYFUNCTION("""COMPUTED_VALUE"""),"Instagram_Feed")</f>
        <v>Instagram_Feed</v>
      </c>
      <c r="I264" s="18" t="str">
        <f>IFERROR(__xludf.DUMMYFUNCTION("""COMPUTED_VALUE"""),"07.04 [IMG] [AD04] Pedidos abertos")</f>
        <v>07.04 [IMG] [AD04] Pedidos abertos</v>
      </c>
      <c r="J264" s="18" t="str">
        <f>IFERROR(__xludf.DUMMYFUNCTION("""COMPUTED_VALUE"""),"22.04.2026 [V4] [WB] [LEADS-GRUPO-WHATS] 02")</f>
        <v>22.04.2026 [V4] [WB] [LEADS-GRUPO-WHATS] 02</v>
      </c>
      <c r="K264" s="19" t="str">
        <f t="shared" si="1"/>
        <v>2026-05-27</v>
      </c>
      <c r="L264" s="20">
        <f t="shared" si="2"/>
        <v>46169</v>
      </c>
      <c r="M264" s="19" t="str">
        <f t="shared" si="3"/>
        <v>76295334</v>
      </c>
      <c r="N264" s="19" t="str">
        <f>IFERROR(IF(VLOOKUP(M264,'Leads no grupo Saibai'!C:C,1,FALSE)=M264,"Sim"),"Não")</f>
        <v>Sim</v>
      </c>
      <c r="O264" s="19"/>
    </row>
    <row r="265">
      <c r="A265" s="14" t="s">
        <v>995</v>
      </c>
      <c r="B265" s="15" t="s">
        <v>996</v>
      </c>
      <c r="C265" s="16">
        <v>1.5997898423E10</v>
      </c>
      <c r="D265" s="16" t="s">
        <v>997</v>
      </c>
      <c r="E265" s="17" t="s">
        <v>998</v>
      </c>
      <c r="F265" s="18" t="str">
        <f>IFERROR(__xludf.DUMMYFUNCTION("""COMPUTED_VALUE"""),"MetaAds")</f>
        <v>MetaAds</v>
      </c>
      <c r="G265" s="18" t="str">
        <f>IFERROR(__xludf.DUMMYFUNCTION("""COMPUTED_VALUE"""),"ADV - [IG] [FB] [30%2B] [SP METROPOLE] V%C3%81RIOS")</f>
        <v>ADV - [IG] [FB] [30%2B] [SP METROPOLE] V%C3%81RIOS</v>
      </c>
      <c r="H265" s="18" t="str">
        <f>IFERROR(__xludf.DUMMYFUNCTION("""COMPUTED_VALUE"""),"Facebook_Mobile_Feed")</f>
        <v>Facebook_Mobile_Feed</v>
      </c>
      <c r="I265" s="18" t="str">
        <f>IFERROR(__xludf.DUMMYFUNCTION("""COMPUTED_VALUE"""),"07.04 [IMG] [AD04] Pedidos abertos")</f>
        <v>07.04 [IMG] [AD04] Pedidos abertos</v>
      </c>
      <c r="J265" s="18" t="str">
        <f>IFERROR(__xludf.DUMMYFUNCTION("""COMPUTED_VALUE"""),"22.04.2026 [V4] [WB] [LEADS-GRUPO-WHATS] 02")</f>
        <v>22.04.2026 [V4] [WB] [LEADS-GRUPO-WHATS] 02</v>
      </c>
      <c r="K265" s="19" t="str">
        <f t="shared" si="1"/>
        <v>2026-05-27</v>
      </c>
      <c r="L265" s="20">
        <f t="shared" si="2"/>
        <v>46169</v>
      </c>
      <c r="M265" s="19" t="str">
        <f t="shared" si="3"/>
        <v>97898423</v>
      </c>
      <c r="N265" s="19" t="str">
        <f>IFERROR(IF(VLOOKUP(M265,'Leads no grupo Saibai'!C:C,1,FALSE)=M265,"Sim"),"Não")</f>
        <v>Sim</v>
      </c>
      <c r="O265" s="19"/>
    </row>
    <row r="266">
      <c r="A266" s="14" t="s">
        <v>999</v>
      </c>
      <c r="B266" s="15" t="s">
        <v>1000</v>
      </c>
      <c r="C266" s="16">
        <v>1.1999931307E10</v>
      </c>
      <c r="D266" s="16" t="s">
        <v>1001</v>
      </c>
      <c r="E266" s="17" t="s">
        <v>1002</v>
      </c>
      <c r="F266" s="18" t="str">
        <f>IFERROR(__xludf.DUMMYFUNCTION("""COMPUTED_VALUE"""),"MetaAds")</f>
        <v>MetaAds</v>
      </c>
      <c r="G266" s="18" t="str">
        <f>IFERROR(__xludf.DUMMYFUNCTION("""COMPUTED_VALUE"""),"ADV - [IG] [FB] [30%2B] [SP METROPOLE] V%C3%81RIOS")</f>
        <v>ADV - [IG] [FB] [30%2B] [SP METROPOLE] V%C3%81RIOS</v>
      </c>
      <c r="H266" s="18" t="str">
        <f>IFERROR(__xludf.DUMMYFUNCTION("""COMPUTED_VALUE"""),"Facebook_Mobile_Reels")</f>
        <v>Facebook_Mobile_Reels</v>
      </c>
      <c r="I266" s="18" t="str">
        <f>IFERROR(__xludf.DUMMYFUNCTION("""COMPUTED_VALUE"""),"07.04 [IMG] [AD04] Pedidos abertos")</f>
        <v>07.04 [IMG] [AD04] Pedidos abertos</v>
      </c>
      <c r="J266" s="18" t="str">
        <f>IFERROR(__xludf.DUMMYFUNCTION("""COMPUTED_VALUE"""),"22.04.2026 [V4] [WB] [LEADS-GRUPO-WHATS] 02")</f>
        <v>22.04.2026 [V4] [WB] [LEADS-GRUPO-WHATS] 02</v>
      </c>
      <c r="K266" s="19" t="str">
        <f t="shared" si="1"/>
        <v>2026-05-27</v>
      </c>
      <c r="L266" s="20">
        <f t="shared" si="2"/>
        <v>46169</v>
      </c>
      <c r="M266" s="19" t="str">
        <f t="shared" si="3"/>
        <v>99931307</v>
      </c>
      <c r="N266" s="19" t="str">
        <f>IFERROR(IF(VLOOKUP(M266,'Leads no grupo Saibai'!C:C,1,FALSE)=M266,"Sim"),"Não")</f>
        <v>Sim</v>
      </c>
      <c r="O266" s="19"/>
    </row>
    <row r="267">
      <c r="A267" s="14" t="s">
        <v>1003</v>
      </c>
      <c r="B267" s="15" t="s">
        <v>1004</v>
      </c>
      <c r="C267" s="16">
        <v>1.1997638433E10</v>
      </c>
      <c r="D267" s="16" t="s">
        <v>1005</v>
      </c>
      <c r="E267" s="17" t="s">
        <v>1006</v>
      </c>
      <c r="F267" s="18" t="str">
        <f>IFERROR(__xludf.DUMMYFUNCTION("""COMPUTED_VALUE"""),"MetaAds")</f>
        <v>MetaAds</v>
      </c>
      <c r="G267" s="18" t="str">
        <f>IFERROR(__xludf.DUMMYFUNCTION("""COMPUTED_VALUE"""),"ADV - [IG] [FB] [30%2B] [SP METROPOLE] V%C3%81RIOS")</f>
        <v>ADV - [IG] [FB] [30%2B] [SP METROPOLE] V%C3%81RIOS</v>
      </c>
      <c r="H267" s="18" t="str">
        <f>IFERROR(__xludf.DUMMYFUNCTION("""COMPUTED_VALUE"""),"Facebook_Mobile_Feed")</f>
        <v>Facebook_Mobile_Feed</v>
      </c>
      <c r="I267" s="18" t="str">
        <f>IFERROR(__xludf.DUMMYFUNCTION("""COMPUTED_VALUE"""),"07.04 [IMG] [AD04] Pedidos abertos")</f>
        <v>07.04 [IMG] [AD04] Pedidos abertos</v>
      </c>
      <c r="J267" s="18" t="str">
        <f>IFERROR(__xludf.DUMMYFUNCTION("""COMPUTED_VALUE"""),"22.04.2026 [V4] [WB] [LEADS-GRUPO-WHATS] 02")</f>
        <v>22.04.2026 [V4] [WB] [LEADS-GRUPO-WHATS] 02</v>
      </c>
      <c r="K267" s="19" t="str">
        <f t="shared" si="1"/>
        <v>2026-05-27</v>
      </c>
      <c r="L267" s="20">
        <f t="shared" si="2"/>
        <v>46169</v>
      </c>
      <c r="M267" s="19" t="str">
        <f t="shared" si="3"/>
        <v>97638433</v>
      </c>
      <c r="N267" s="19" t="str">
        <f>IFERROR(IF(VLOOKUP(M267,'Leads no grupo Saibai'!C:C,1,FALSE)=M267,"Sim"),"Não")</f>
        <v>Sim</v>
      </c>
      <c r="O267" s="19"/>
    </row>
    <row r="268">
      <c r="A268" s="14" t="s">
        <v>1007</v>
      </c>
      <c r="B268" s="15" t="s">
        <v>1008</v>
      </c>
      <c r="C268" s="16">
        <v>1.1971918977E10</v>
      </c>
      <c r="D268" s="16" t="s">
        <v>1009</v>
      </c>
      <c r="E268" s="17" t="s">
        <v>1010</v>
      </c>
      <c r="F268" s="18" t="str">
        <f>IFERROR(__xludf.DUMMYFUNCTION("""COMPUTED_VALUE"""),"MetaAds")</f>
        <v>MetaAds</v>
      </c>
      <c r="G268" s="18" t="str">
        <f>IFERROR(__xludf.DUMMYFUNCTION("""COMPUTED_VALUE"""),"ADV - [IG] [FB] [30%2B] [SP METROPOLE] V%C3%81RIOS")</f>
        <v>ADV - [IG] [FB] [30%2B] [SP METROPOLE] V%C3%81RIOS</v>
      </c>
      <c r="H268" s="18" t="str">
        <f>IFERROR(__xludf.DUMMYFUNCTION("""COMPUTED_VALUE"""),"Instagram_Feed")</f>
        <v>Instagram_Feed</v>
      </c>
      <c r="I268" s="18" t="str">
        <f>IFERROR(__xludf.DUMMYFUNCTION("""COMPUTED_VALUE"""),"07.04 [IMG] [AD04] Pedidos abertos")</f>
        <v>07.04 [IMG] [AD04] Pedidos abertos</v>
      </c>
      <c r="J268" s="18" t="str">
        <f>IFERROR(__xludf.DUMMYFUNCTION("""COMPUTED_VALUE"""),"22.04.2026 [V4] [WB] [LEADS-GRUPO-WHATS] 02")</f>
        <v>22.04.2026 [V4] [WB] [LEADS-GRUPO-WHATS] 02</v>
      </c>
      <c r="K268" s="19" t="str">
        <f t="shared" si="1"/>
        <v>2026-05-27</v>
      </c>
      <c r="L268" s="20">
        <f t="shared" si="2"/>
        <v>46169</v>
      </c>
      <c r="M268" s="19" t="str">
        <f t="shared" si="3"/>
        <v>71918977</v>
      </c>
      <c r="N268" s="19" t="str">
        <f>IFERROR(IF(VLOOKUP(M268,'Leads no grupo Saibai'!C:C,1,FALSE)=M268,"Sim"),"Não")</f>
        <v>Sim</v>
      </c>
      <c r="O268" s="19"/>
    </row>
    <row r="269">
      <c r="A269" s="14" t="s">
        <v>1011</v>
      </c>
      <c r="B269" s="15" t="s">
        <v>1012</v>
      </c>
      <c r="C269" s="16">
        <v>1.195445179E10</v>
      </c>
      <c r="D269" s="16" t="s">
        <v>1013</v>
      </c>
      <c r="E269" s="17" t="s">
        <v>1014</v>
      </c>
      <c r="F269" s="18" t="str">
        <f>IFERROR(__xludf.DUMMYFUNCTION("""COMPUTED_VALUE"""),"MetaAds")</f>
        <v>MetaAds</v>
      </c>
      <c r="G269" s="18" t="str">
        <f>IFERROR(__xludf.DUMMYFUNCTION("""COMPUTED_VALUE"""),"ADV - [IG] [FB] [30%2B] [SP METROPOLE] V%C3%81RIOS")</f>
        <v>ADV - [IG] [FB] [30%2B] [SP METROPOLE] V%C3%81RIOS</v>
      </c>
      <c r="H269" s="18" t="str">
        <f>IFERROR(__xludf.DUMMYFUNCTION("""COMPUTED_VALUE"""),"Facebook_Mobile_Feed")</f>
        <v>Facebook_Mobile_Feed</v>
      </c>
      <c r="I269" s="18" t="str">
        <f>IFERROR(__xludf.DUMMYFUNCTION("""COMPUTED_VALUE"""),"07.04 [IMG] [AD04] Pedidos abertos")</f>
        <v>07.04 [IMG] [AD04] Pedidos abertos</v>
      </c>
      <c r="J269" s="18" t="str">
        <f>IFERROR(__xludf.DUMMYFUNCTION("""COMPUTED_VALUE"""),"22.04.2026 [V4] [WB] [LEADS-GRUPO-WHATS] 02")</f>
        <v>22.04.2026 [V4] [WB] [LEADS-GRUPO-WHATS] 02</v>
      </c>
      <c r="K269" s="19" t="str">
        <f t="shared" si="1"/>
        <v>2026-05-28</v>
      </c>
      <c r="L269" s="20">
        <f t="shared" si="2"/>
        <v>46170</v>
      </c>
      <c r="M269" s="19" t="str">
        <f t="shared" si="3"/>
        <v>54451790</v>
      </c>
      <c r="N269" s="19" t="str">
        <f>IFERROR(IF(VLOOKUP(M269,'Leads no grupo Saibai'!C:C,1,FALSE)=M269,"Sim"),"Não")</f>
        <v>Sim</v>
      </c>
      <c r="O269" s="19"/>
    </row>
    <row r="270">
      <c r="A270" s="14" t="s">
        <v>1015</v>
      </c>
      <c r="B270" s="15" t="s">
        <v>1016</v>
      </c>
      <c r="C270" s="16">
        <v>1.1994877555E10</v>
      </c>
      <c r="D270" s="16" t="s">
        <v>1017</v>
      </c>
      <c r="E270" s="17" t="s">
        <v>1018</v>
      </c>
      <c r="F270" s="18" t="str">
        <f>IFERROR(__xludf.DUMMYFUNCTION("""COMPUTED_VALUE"""),"")</f>
        <v/>
      </c>
      <c r="G270" s="18" t="str">
        <f>IFERROR(__xludf.DUMMYFUNCTION("""COMPUTED_VALUE"""),"paid")</f>
        <v>paid</v>
      </c>
      <c r="H270" s="18" t="str">
        <f>IFERROR(__xludf.DUMMYFUNCTION("""COMPUTED_VALUE"""),"120249883219690155")</f>
        <v>120249883219690155</v>
      </c>
      <c r="I270" s="18" t="str">
        <f>IFERROR(__xludf.DUMMYFUNCTION("""COMPUTED_VALUE"""),"120249883219710155")</f>
        <v>120249883219710155</v>
      </c>
      <c r="J270" s="18" t="str">
        <f>IFERROR(__xludf.DUMMYFUNCTION("""COMPUTED_VALUE"""),"120248254459350155")</f>
        <v>120248254459350155</v>
      </c>
      <c r="K270" s="19" t="str">
        <f t="shared" si="1"/>
        <v>2026-05-28</v>
      </c>
      <c r="L270" s="20">
        <f t="shared" si="2"/>
        <v>46170</v>
      </c>
      <c r="M270" s="19" t="str">
        <f t="shared" si="3"/>
        <v>94877555</v>
      </c>
      <c r="N270" s="19" t="str">
        <f>IFERROR(IF(VLOOKUP(M270,'Leads no grupo Saibai'!C:C,1,FALSE)=M270,"Sim"),"Não")</f>
        <v>Não</v>
      </c>
      <c r="O270" s="19"/>
    </row>
    <row r="271">
      <c r="A271" s="14" t="s">
        <v>1019</v>
      </c>
      <c r="B271" s="15" t="s">
        <v>1020</v>
      </c>
      <c r="C271" s="16">
        <v>1.1941469436E10</v>
      </c>
      <c r="D271" s="16" t="s">
        <v>1021</v>
      </c>
      <c r="E271" s="17" t="s">
        <v>1022</v>
      </c>
      <c r="F271" s="18" t="str">
        <f>IFERROR(__xludf.DUMMYFUNCTION("""COMPUTED_VALUE"""),"MetaAds")</f>
        <v>MetaAds</v>
      </c>
      <c r="G271" s="18" t="str">
        <f>IFERROR(__xludf.DUMMYFUNCTION("""COMPUTED_VALUE"""),"ADV - [IG] [FB] [30%2B] [SP METROPOLE] V%C3%81RIOS")</f>
        <v>ADV - [IG] [FB] [30%2B] [SP METROPOLE] V%C3%81RIOS</v>
      </c>
      <c r="H271" s="18" t="str">
        <f>IFERROR(__xludf.DUMMYFUNCTION("""COMPUTED_VALUE"""),"Facebook_Mobile_Feed")</f>
        <v>Facebook_Mobile_Feed</v>
      </c>
      <c r="I271" s="18" t="str">
        <f>IFERROR(__xludf.DUMMYFUNCTION("""COMPUTED_VALUE"""),"07.04 [IMG] [AD04] Pedidos abertos")</f>
        <v>07.04 [IMG] [AD04] Pedidos abertos</v>
      </c>
      <c r="J271" s="18" t="str">
        <f>IFERROR(__xludf.DUMMYFUNCTION("""COMPUTED_VALUE"""),"22.04.2026 [V4] [WB] [LEADS-GRUPO-WHATS] 02")</f>
        <v>22.04.2026 [V4] [WB] [LEADS-GRUPO-WHATS] 02</v>
      </c>
      <c r="K271" s="19" t="str">
        <f t="shared" si="1"/>
        <v>2026-05-28</v>
      </c>
      <c r="L271" s="20">
        <f t="shared" si="2"/>
        <v>46170</v>
      </c>
      <c r="M271" s="19" t="str">
        <f t="shared" si="3"/>
        <v>41469436</v>
      </c>
      <c r="N271" s="19" t="str">
        <f>IFERROR(IF(VLOOKUP(M271,'Leads no grupo Saibai'!C:C,1,FALSE)=M271,"Sim"),"Não")</f>
        <v>Não</v>
      </c>
      <c r="O271" s="19"/>
    </row>
    <row r="272">
      <c r="A272" s="14" t="s">
        <v>1023</v>
      </c>
      <c r="B272" s="15" t="s">
        <v>1024</v>
      </c>
      <c r="C272" s="16">
        <v>1.1966092923E10</v>
      </c>
      <c r="D272" s="16" t="s">
        <v>1025</v>
      </c>
      <c r="E272" s="17" t="s">
        <v>1026</v>
      </c>
      <c r="F272" s="18" t="str">
        <f>IFERROR(__xludf.DUMMYFUNCTION("""COMPUTED_VALUE"""),"MetaAds")</f>
        <v>MetaAds</v>
      </c>
      <c r="G272" s="18" t="str">
        <f>IFERROR(__xludf.DUMMYFUNCTION("""COMPUTED_VALUE"""),"ADV - [IG] [FB] [30%2B] [SP METROPOLE] V%C3%81RIOS")</f>
        <v>ADV - [IG] [FB] [30%2B] [SP METROPOLE] V%C3%81RIOS</v>
      </c>
      <c r="H272" s="18" t="str">
        <f>IFERROR(__xludf.DUMMYFUNCTION("""COMPUTED_VALUE"""),"Facebook_Stories")</f>
        <v>Facebook_Stories</v>
      </c>
      <c r="I272" s="18" t="str">
        <f>IFERROR(__xludf.DUMMYFUNCTION("""COMPUTED_VALUE"""),"07.04 [IMG] [AD04] Pedidos abertos")</f>
        <v>07.04 [IMG] [AD04] Pedidos abertos</v>
      </c>
      <c r="J272" s="18" t="str">
        <f>IFERROR(__xludf.DUMMYFUNCTION("""COMPUTED_VALUE"""),"22.04.2026 [V4] [WB] [LEADS-GRUPO-WHATS] 02")</f>
        <v>22.04.2026 [V4] [WB] [LEADS-GRUPO-WHATS] 02</v>
      </c>
      <c r="K272" s="19" t="str">
        <f t="shared" si="1"/>
        <v>2026-05-28</v>
      </c>
      <c r="L272" s="20">
        <f t="shared" si="2"/>
        <v>46170</v>
      </c>
      <c r="M272" s="19" t="str">
        <f t="shared" si="3"/>
        <v>66092923</v>
      </c>
      <c r="N272" s="19" t="str">
        <f>IFERROR(IF(VLOOKUP(M272,'Leads no grupo Saibai'!C:C,1,FALSE)=M272,"Sim"),"Não")</f>
        <v>Não</v>
      </c>
      <c r="O272" s="19"/>
    </row>
    <row r="273">
      <c r="A273" s="14" t="s">
        <v>1027</v>
      </c>
      <c r="B273" s="15" t="s">
        <v>1028</v>
      </c>
      <c r="C273" s="16">
        <v>1.1963238073E10</v>
      </c>
      <c r="D273" s="16" t="s">
        <v>1029</v>
      </c>
      <c r="E273" s="17" t="s">
        <v>1030</v>
      </c>
      <c r="F273" s="18" t="str">
        <f>IFERROR(__xludf.DUMMYFUNCTION("""COMPUTED_VALUE"""),"google-ads")</f>
        <v>google-ads</v>
      </c>
      <c r="G273" s="18" t="str">
        <f>IFERROR(__xludf.DUMMYFUNCTION("""COMPUTED_VALUE"""),"branding-terms")</f>
        <v>branding-terms</v>
      </c>
      <c r="H273" s="18" t="str">
        <f>IFERROR(__xludf.DUMMYFUNCTION("""COMPUTED_VALUE"""),"saibai")</f>
        <v>saibai</v>
      </c>
      <c r="I273" s="18" t="str">
        <f>IFERROR(__xludf.DUMMYFUNCTION("""COMPUTED_VALUE"""),"786538028159")</f>
        <v>786538028159</v>
      </c>
      <c r="J273" s="18" t="str">
        <f>IFERROR(__xludf.DUMMYFUNCTION("""COMPUTED_VALUE"""),"venda-direta")</f>
        <v>venda-direta</v>
      </c>
      <c r="K273" s="19" t="str">
        <f t="shared" si="1"/>
        <v>2026-05-28</v>
      </c>
      <c r="L273" s="20">
        <f t="shared" si="2"/>
        <v>46170</v>
      </c>
      <c r="M273" s="19" t="str">
        <f t="shared" si="3"/>
        <v>63238073</v>
      </c>
      <c r="N273" s="19" t="str">
        <f>IFERROR(IF(VLOOKUP(M273,'Leads no grupo Saibai'!C:C,1,FALSE)=M273,"Sim"),"Não")</f>
        <v>Sim</v>
      </c>
      <c r="O273" s="19"/>
    </row>
    <row r="274">
      <c r="A274" s="14" t="s">
        <v>1031</v>
      </c>
      <c r="B274" s="15" t="s">
        <v>1032</v>
      </c>
      <c r="C274" s="16">
        <v>1.198645682E10</v>
      </c>
      <c r="D274" s="16" t="s">
        <v>1033</v>
      </c>
      <c r="E274" s="17" t="s">
        <v>1034</v>
      </c>
      <c r="F274" s="18" t="str">
        <f>IFERROR(__xludf.DUMMYFUNCTION("""COMPUTED_VALUE"""),"MetaAds")</f>
        <v>MetaAds</v>
      </c>
      <c r="G274" s="18" t="str">
        <f>IFERROR(__xludf.DUMMYFUNCTION("""COMPUTED_VALUE"""),"ADV - [IG] [FB] [30%2B] [SP METROPOLE] V%C3%81RIOS")</f>
        <v>ADV - [IG] [FB] [30%2B] [SP METROPOLE] V%C3%81RIOS</v>
      </c>
      <c r="H274" s="18" t="str">
        <f>IFERROR(__xludf.DUMMYFUNCTION("""COMPUTED_VALUE"""),"Facebook_Mobile_Feed")</f>
        <v>Facebook_Mobile_Feed</v>
      </c>
      <c r="I274" s="18" t="str">
        <f>IFERROR(__xludf.DUMMYFUNCTION("""COMPUTED_VALUE"""),"07.04 [IMG] [AD04] Pedidos abertos")</f>
        <v>07.04 [IMG] [AD04] Pedidos abertos</v>
      </c>
      <c r="J274" s="18" t="str">
        <f>IFERROR(__xludf.DUMMYFUNCTION("""COMPUTED_VALUE"""),"22.04.2026 [V4] [WB] [LEADS-GRUPO-WHATS] 02")</f>
        <v>22.04.2026 [V4] [WB] [LEADS-GRUPO-WHATS] 02</v>
      </c>
      <c r="K274" s="19" t="str">
        <f t="shared" si="1"/>
        <v>2026-05-28</v>
      </c>
      <c r="L274" s="20">
        <f t="shared" si="2"/>
        <v>46170</v>
      </c>
      <c r="M274" s="19" t="str">
        <f t="shared" si="3"/>
        <v>86456820</v>
      </c>
      <c r="N274" s="19" t="str">
        <f>IFERROR(IF(VLOOKUP(M274,'Leads no grupo Saibai'!C:C,1,FALSE)=M274,"Sim"),"Não")</f>
        <v>Sim</v>
      </c>
      <c r="O274" s="19"/>
    </row>
    <row r="275">
      <c r="A275" s="14" t="s">
        <v>1035</v>
      </c>
      <c r="B275" s="15" t="s">
        <v>1036</v>
      </c>
      <c r="C275" s="16">
        <v>1.1992952226E10</v>
      </c>
      <c r="D275" s="16" t="s">
        <v>1037</v>
      </c>
      <c r="E275" s="17" t="s">
        <v>1038</v>
      </c>
      <c r="F275" s="18" t="str">
        <f>IFERROR(__xludf.DUMMYFUNCTION("""COMPUTED_VALUE"""),"MetaAds")</f>
        <v>MetaAds</v>
      </c>
      <c r="G275" s="18" t="str">
        <f>IFERROR(__xludf.DUMMYFUNCTION("""COMPUTED_VALUE"""),"ADV - [IG] [FB] [30%2B] [SP METROPOLE] V%C3%81RIOS")</f>
        <v>ADV - [IG] [FB] [30%2B] [SP METROPOLE] V%C3%81RIOS</v>
      </c>
      <c r="H275" s="18" t="str">
        <f>IFERROR(__xludf.DUMMYFUNCTION("""COMPUTED_VALUE"""),"Facebook_Mobile_Feed")</f>
        <v>Facebook_Mobile_Feed</v>
      </c>
      <c r="I275" s="18" t="str">
        <f>IFERROR(__xludf.DUMMYFUNCTION("""COMPUTED_VALUE"""),"07.04 [IMG] [AD04] Pedidos abertos")</f>
        <v>07.04 [IMG] [AD04] Pedidos abertos</v>
      </c>
      <c r="J275" s="18" t="str">
        <f>IFERROR(__xludf.DUMMYFUNCTION("""COMPUTED_VALUE"""),"22.04.2026 [V4] [WB] [LEADS-GRUPO-WHATS] 02")</f>
        <v>22.04.2026 [V4] [WB] [LEADS-GRUPO-WHATS] 02</v>
      </c>
      <c r="K275" s="19" t="str">
        <f t="shared" si="1"/>
        <v>2026-05-28</v>
      </c>
      <c r="L275" s="20">
        <f t="shared" si="2"/>
        <v>46170</v>
      </c>
      <c r="M275" s="19" t="str">
        <f t="shared" si="3"/>
        <v>92952226</v>
      </c>
      <c r="N275" s="19" t="str">
        <f>IFERROR(IF(VLOOKUP(M275,'Leads no grupo Saibai'!C:C,1,FALSE)=M275,"Sim"),"Não")</f>
        <v>Sim</v>
      </c>
      <c r="O275" s="19"/>
    </row>
    <row r="276">
      <c r="A276" s="14" t="s">
        <v>1039</v>
      </c>
      <c r="B276" s="15" t="s">
        <v>1040</v>
      </c>
      <c r="C276" s="16">
        <v>1.3981424689E10</v>
      </c>
      <c r="D276" s="16" t="s">
        <v>1041</v>
      </c>
      <c r="E276" s="17" t="s">
        <v>1042</v>
      </c>
      <c r="F276" s="18" t="str">
        <f>IFERROR(__xludf.DUMMYFUNCTION("""COMPUTED_VALUE"""),"MetaAds")</f>
        <v>MetaAds</v>
      </c>
      <c r="G276" s="18" t="str">
        <f>IFERROR(__xludf.DUMMYFUNCTION("""COMPUTED_VALUE"""),"ADV - [IG] [FB] [30%2B] [SP METROPOLE] V%C3%81RIOS")</f>
        <v>ADV - [IG] [FB] [30%2B] [SP METROPOLE] V%C3%81RIOS</v>
      </c>
      <c r="H276" s="18" t="str">
        <f>IFERROR(__xludf.DUMMYFUNCTION("""COMPUTED_VALUE"""),"Instagram_Feed")</f>
        <v>Instagram_Feed</v>
      </c>
      <c r="I276" s="18" t="str">
        <f>IFERROR(__xludf.DUMMYFUNCTION("""COMPUTED_VALUE"""),"07.04 [IMG] [AD04] Pedidos abertos")</f>
        <v>07.04 [IMG] [AD04] Pedidos abertos</v>
      </c>
      <c r="J276" s="18" t="str">
        <f>IFERROR(__xludf.DUMMYFUNCTION("""COMPUTED_VALUE"""),"22.04.2026 [V4] [WB] [LEADS-GRUPO-WHATS] 02")</f>
        <v>22.04.2026 [V4] [WB] [LEADS-GRUPO-WHATS] 02</v>
      </c>
      <c r="K276" s="19" t="str">
        <f t="shared" si="1"/>
        <v>2026-05-28</v>
      </c>
      <c r="L276" s="20">
        <f t="shared" si="2"/>
        <v>46170</v>
      </c>
      <c r="M276" s="19" t="str">
        <f t="shared" si="3"/>
        <v>81424689</v>
      </c>
      <c r="N276" s="19" t="str">
        <f>IFERROR(IF(VLOOKUP(M276,'Leads no grupo Saibai'!C:C,1,FALSE)=M276,"Sim"),"Não")</f>
        <v>Sim</v>
      </c>
      <c r="O276" s="19"/>
    </row>
    <row r="277">
      <c r="A277" s="14" t="s">
        <v>1043</v>
      </c>
      <c r="B277" s="15" t="s">
        <v>1044</v>
      </c>
      <c r="C277" s="16">
        <v>1.1999108091E10</v>
      </c>
      <c r="D277" s="16" t="s">
        <v>1045</v>
      </c>
      <c r="E277" s="17" t="s">
        <v>1046</v>
      </c>
      <c r="F277" s="18" t="str">
        <f>IFERROR(__xludf.DUMMYFUNCTION("""COMPUTED_VALUE"""),"MetaAds")</f>
        <v>MetaAds</v>
      </c>
      <c r="G277" s="18" t="str">
        <f>IFERROR(__xludf.DUMMYFUNCTION("""COMPUTED_VALUE"""),"ADV - [IG] [FB] [30%2B] [SP METROPOLE] V%C3%81RIOS")</f>
        <v>ADV - [IG] [FB] [30%2B] [SP METROPOLE] V%C3%81RIOS</v>
      </c>
      <c r="H277" s="18" t="str">
        <f>IFERROR(__xludf.DUMMYFUNCTION("""COMPUTED_VALUE"""),"Facebook_Mobile_Feed")</f>
        <v>Facebook_Mobile_Feed</v>
      </c>
      <c r="I277" s="18" t="str">
        <f>IFERROR(__xludf.DUMMYFUNCTION("""COMPUTED_VALUE"""),"07.04 [IMG] [AD04] Pedidos abertos")</f>
        <v>07.04 [IMG] [AD04] Pedidos abertos</v>
      </c>
      <c r="J277" s="18" t="str">
        <f>IFERROR(__xludf.DUMMYFUNCTION("""COMPUTED_VALUE"""),"22.04.2026 [V4] [WB] [LEADS-GRUPO-WHATS] 02")</f>
        <v>22.04.2026 [V4] [WB] [LEADS-GRUPO-WHATS] 02</v>
      </c>
      <c r="K277" s="19" t="str">
        <f t="shared" si="1"/>
        <v>2026-05-28</v>
      </c>
      <c r="L277" s="20">
        <f t="shared" si="2"/>
        <v>46170</v>
      </c>
      <c r="M277" s="19" t="str">
        <f t="shared" si="3"/>
        <v>99108091</v>
      </c>
      <c r="N277" s="19" t="str">
        <f>IFERROR(IF(VLOOKUP(M277,'Leads no grupo Saibai'!C:C,1,FALSE)=M277,"Sim"),"Não")</f>
        <v>Sim</v>
      </c>
      <c r="O277" s="19"/>
    </row>
    <row r="278">
      <c r="A278" s="14" t="s">
        <v>1047</v>
      </c>
      <c r="B278" s="15" t="s">
        <v>1048</v>
      </c>
      <c r="C278" s="16">
        <v>1.1992318478E10</v>
      </c>
      <c r="D278" s="16" t="s">
        <v>1049</v>
      </c>
      <c r="E278" s="17" t="s">
        <v>1050</v>
      </c>
      <c r="F278" s="18" t="str">
        <f>IFERROR(__xludf.DUMMYFUNCTION("""COMPUTED_VALUE"""),"MetaAds")</f>
        <v>MetaAds</v>
      </c>
      <c r="G278" s="18" t="str">
        <f>IFERROR(__xludf.DUMMYFUNCTION("""COMPUTED_VALUE"""),"ADV - [IG] [FB] [30%2B] [SP METROPOLE] V%C3%81RIOS")</f>
        <v>ADV - [IG] [FB] [30%2B] [SP METROPOLE] V%C3%81RIOS</v>
      </c>
      <c r="H278" s="18" t="str">
        <f>IFERROR(__xludf.DUMMYFUNCTION("""COMPUTED_VALUE"""),"Instagram_Feed")</f>
        <v>Instagram_Feed</v>
      </c>
      <c r="I278" s="18" t="str">
        <f>IFERROR(__xludf.DUMMYFUNCTION("""COMPUTED_VALUE"""),"07.04 [IMG] [AD04] Pedidos abertos")</f>
        <v>07.04 [IMG] [AD04] Pedidos abertos</v>
      </c>
      <c r="J278" s="18" t="str">
        <f>IFERROR(__xludf.DUMMYFUNCTION("""COMPUTED_VALUE"""),"22.04.2026 [V4] [WB] [LEADS-GRUPO-WHATS] 02")</f>
        <v>22.04.2026 [V4] [WB] [LEADS-GRUPO-WHATS] 02</v>
      </c>
      <c r="K278" s="19" t="str">
        <f t="shared" si="1"/>
        <v>2026-05-29</v>
      </c>
      <c r="L278" s="20">
        <f t="shared" si="2"/>
        <v>46171</v>
      </c>
      <c r="M278" s="19" t="str">
        <f t="shared" si="3"/>
        <v>92318478</v>
      </c>
      <c r="N278" s="19" t="str">
        <f>IFERROR(IF(VLOOKUP(M278,'Leads no grupo Saibai'!C:C,1,FALSE)=M278,"Sim"),"Não")</f>
        <v>Sim</v>
      </c>
      <c r="O278" s="19"/>
    </row>
    <row r="279">
      <c r="A279" s="14" t="s">
        <v>1051</v>
      </c>
      <c r="B279" s="15" t="s">
        <v>1052</v>
      </c>
      <c r="C279" s="16">
        <v>1.1999089797E10</v>
      </c>
      <c r="D279" s="16" t="s">
        <v>1053</v>
      </c>
      <c r="E279" s="17" t="s">
        <v>1054</v>
      </c>
      <c r="F279" s="18" t="str">
        <f>IFERROR(__xludf.DUMMYFUNCTION("""COMPUTED_VALUE"""),"MetaAds")</f>
        <v>MetaAds</v>
      </c>
      <c r="G279" s="18" t="str">
        <f>IFERROR(__xludf.DUMMYFUNCTION("""COMPUTED_VALUE"""),"ADV - [IG] [FB] [30%2B] [SP METROPOLE] V%C3%81RIOS")</f>
        <v>ADV - [IG] [FB] [30%2B] [SP METROPOLE] V%C3%81RIOS</v>
      </c>
      <c r="H279" s="18" t="str">
        <f>IFERROR(__xludf.DUMMYFUNCTION("""COMPUTED_VALUE"""),"Facebook_Mobile_Feed")</f>
        <v>Facebook_Mobile_Feed</v>
      </c>
      <c r="I279" s="18" t="str">
        <f>IFERROR(__xludf.DUMMYFUNCTION("""COMPUTED_VALUE"""),"07.04 [IMG] [AD04] Pedidos abertos")</f>
        <v>07.04 [IMG] [AD04] Pedidos abertos</v>
      </c>
      <c r="J279" s="18" t="str">
        <f>IFERROR(__xludf.DUMMYFUNCTION("""COMPUTED_VALUE"""),"22.04.2026 [V4] [WB] [LEADS-GRUPO-WHATS] 02")</f>
        <v>22.04.2026 [V4] [WB] [LEADS-GRUPO-WHATS] 02</v>
      </c>
      <c r="K279" s="19" t="str">
        <f t="shared" si="1"/>
        <v>2026-05-29</v>
      </c>
      <c r="L279" s="20">
        <f t="shared" si="2"/>
        <v>46171</v>
      </c>
      <c r="M279" s="19" t="str">
        <f t="shared" si="3"/>
        <v>99089797</v>
      </c>
      <c r="N279" s="19" t="str">
        <f>IFERROR(IF(VLOOKUP(M279,'Leads no grupo Saibai'!C:C,1,FALSE)=M279,"Sim"),"Não")</f>
        <v>Não</v>
      </c>
      <c r="O279" s="19"/>
    </row>
    <row r="280">
      <c r="A280" s="14" t="s">
        <v>1055</v>
      </c>
      <c r="B280" s="15" t="s">
        <v>1056</v>
      </c>
      <c r="C280" s="16">
        <v>1.1971350678E10</v>
      </c>
      <c r="D280" s="16" t="s">
        <v>1057</v>
      </c>
      <c r="E280" s="17" t="s">
        <v>1058</v>
      </c>
      <c r="F280" s="18" t="str">
        <f>IFERROR(__xludf.DUMMYFUNCTION("""COMPUTED_VALUE"""),"MetaAds")</f>
        <v>MetaAds</v>
      </c>
      <c r="G280" s="18" t="str">
        <f>IFERROR(__xludf.DUMMYFUNCTION("""COMPUTED_VALUE"""),"ADV - [IG] [FB] [30%2B] [SP METROPOLE] V%C3%81RIOS")</f>
        <v>ADV - [IG] [FB] [30%2B] [SP METROPOLE] V%C3%81RIOS</v>
      </c>
      <c r="H280" s="18" t="str">
        <f>IFERROR(__xludf.DUMMYFUNCTION("""COMPUTED_VALUE"""),"Facebook_Mobile_Feed")</f>
        <v>Facebook_Mobile_Feed</v>
      </c>
      <c r="I280" s="18" t="str">
        <f>IFERROR(__xludf.DUMMYFUNCTION("""COMPUTED_VALUE"""),"07.04 [IMG] [AD04] Pedidos abertos")</f>
        <v>07.04 [IMG] [AD04] Pedidos abertos</v>
      </c>
      <c r="J280" s="18" t="str">
        <f>IFERROR(__xludf.DUMMYFUNCTION("""COMPUTED_VALUE"""),"22.04.2026 [V4] [WB] [LEADS-GRUPO-WHATS] 02")</f>
        <v>22.04.2026 [V4] [WB] [LEADS-GRUPO-WHATS] 02</v>
      </c>
      <c r="K280" s="19" t="str">
        <f t="shared" si="1"/>
        <v>2026-05-29</v>
      </c>
      <c r="L280" s="20">
        <f t="shared" si="2"/>
        <v>46171</v>
      </c>
      <c r="M280" s="19" t="str">
        <f t="shared" si="3"/>
        <v>71350678</v>
      </c>
      <c r="N280" s="19" t="str">
        <f>IFERROR(IF(VLOOKUP(M280,'Leads no grupo Saibai'!C:C,1,FALSE)=M280,"Sim"),"Não")</f>
        <v>Sim</v>
      </c>
      <c r="O280" s="19"/>
    </row>
    <row r="281">
      <c r="A281" s="14" t="s">
        <v>1059</v>
      </c>
      <c r="B281" s="15" t="s">
        <v>1060</v>
      </c>
      <c r="C281" s="16">
        <v>1.1999324996E10</v>
      </c>
      <c r="D281" s="16" t="s">
        <v>1061</v>
      </c>
      <c r="E281" s="17" t="s">
        <v>1062</v>
      </c>
      <c r="F281" s="18" t="str">
        <f>IFERROR(__xludf.DUMMYFUNCTION("""COMPUTED_VALUE"""),"MetaAds")</f>
        <v>MetaAds</v>
      </c>
      <c r="G281" s="18" t="str">
        <f>IFERROR(__xludf.DUMMYFUNCTION("""COMPUTED_VALUE"""),"ADV - [IG] [FB] [30%2B] [SP METROPOLE] V%C3%81RIOS")</f>
        <v>ADV - [IG] [FB] [30%2B] [SP METROPOLE] V%C3%81RIOS</v>
      </c>
      <c r="H281" s="18" t="str">
        <f>IFERROR(__xludf.DUMMYFUNCTION("""COMPUTED_VALUE"""),"Threads_Feed")</f>
        <v>Threads_Feed</v>
      </c>
      <c r="I281" s="18" t="str">
        <f>IFERROR(__xludf.DUMMYFUNCTION("""COMPUTED_VALUE"""),"07.04 [IMG] [AD04] Pedidos abertos")</f>
        <v>07.04 [IMG] [AD04] Pedidos abertos</v>
      </c>
      <c r="J281" s="18" t="str">
        <f>IFERROR(__xludf.DUMMYFUNCTION("""COMPUTED_VALUE"""),"22.04.2026 [V4] [WB] [LEADS-GRUPO-WHATS] 02")</f>
        <v>22.04.2026 [V4] [WB] [LEADS-GRUPO-WHATS] 02</v>
      </c>
      <c r="K281" s="19" t="str">
        <f t="shared" si="1"/>
        <v>2026-05-29</v>
      </c>
      <c r="L281" s="20">
        <f t="shared" si="2"/>
        <v>46171</v>
      </c>
      <c r="M281" s="19" t="str">
        <f t="shared" si="3"/>
        <v>99324996</v>
      </c>
      <c r="N281" s="19" t="str">
        <f>IFERROR(IF(VLOOKUP(M281,'Leads no grupo Saibai'!C:C,1,FALSE)=M281,"Sim"),"Não")</f>
        <v>Sim</v>
      </c>
      <c r="O281" s="19"/>
    </row>
    <row r="282">
      <c r="A282" s="14" t="s">
        <v>1063</v>
      </c>
      <c r="B282" s="15" t="s">
        <v>1064</v>
      </c>
      <c r="C282" s="16">
        <v>1.1938011745E10</v>
      </c>
      <c r="D282" s="16" t="s">
        <v>1065</v>
      </c>
      <c r="E282" s="17" t="s">
        <v>1066</v>
      </c>
      <c r="F282" s="18" t="str">
        <f>IFERROR(__xludf.DUMMYFUNCTION("""COMPUTED_VALUE"""),"MetaAds")</f>
        <v>MetaAds</v>
      </c>
      <c r="G282" s="18" t="str">
        <f>IFERROR(__xludf.DUMMYFUNCTION("""COMPUTED_VALUE"""),"ADV - [IG] [FB] [30%2B] [SP METROPOLE] V%C3%81RIOS")</f>
        <v>ADV - [IG] [FB] [30%2B] [SP METROPOLE] V%C3%81RIOS</v>
      </c>
      <c r="H282" s="18" t="str">
        <f>IFERROR(__xludf.DUMMYFUNCTION("""COMPUTED_VALUE"""),"Instagram_Stories")</f>
        <v>Instagram_Stories</v>
      </c>
      <c r="I282" s="18" t="str">
        <f>IFERROR(__xludf.DUMMYFUNCTION("""COMPUTED_VALUE"""),"07.04 [IMG] [AD04] Pedidos abertos")</f>
        <v>07.04 [IMG] [AD04] Pedidos abertos</v>
      </c>
      <c r="J282" s="18" t="str">
        <f>IFERROR(__xludf.DUMMYFUNCTION("""COMPUTED_VALUE"""),"22.04.2026 [V4] [WB] [LEADS-GRUPO-WHATS] 02")</f>
        <v>22.04.2026 [V4] [WB] [LEADS-GRUPO-WHATS] 02</v>
      </c>
      <c r="K282" s="19" t="str">
        <f t="shared" si="1"/>
        <v>2026-05-29</v>
      </c>
      <c r="L282" s="20">
        <f t="shared" si="2"/>
        <v>46171</v>
      </c>
      <c r="M282" s="19" t="str">
        <f t="shared" si="3"/>
        <v>38011745</v>
      </c>
      <c r="N282" s="19" t="str">
        <f>IFERROR(IF(VLOOKUP(M282,'Leads no grupo Saibai'!C:C,1,FALSE)=M282,"Sim"),"Não")</f>
        <v>Sim</v>
      </c>
      <c r="O282" s="19"/>
    </row>
    <row r="283">
      <c r="A283" s="14" t="s">
        <v>1067</v>
      </c>
      <c r="B283" s="15" t="s">
        <v>1068</v>
      </c>
      <c r="C283" s="16">
        <v>1.9999176613E10</v>
      </c>
      <c r="D283" s="16" t="s">
        <v>1069</v>
      </c>
      <c r="E283" s="17" t="s">
        <v>1070</v>
      </c>
      <c r="F283" s="18" t="str">
        <f>IFERROR(__xludf.DUMMYFUNCTION("""COMPUTED_VALUE"""),"MetaAds")</f>
        <v>MetaAds</v>
      </c>
      <c r="G283" s="18" t="str">
        <f>IFERROR(__xludf.DUMMYFUNCTION("""COMPUTED_VALUE"""),"ADV - [IG] [FB] [30%2B] [SP METROPOLE] V%C3%81RIOS")</f>
        <v>ADV - [IG] [FB] [30%2B] [SP METROPOLE] V%C3%81RIOS</v>
      </c>
      <c r="H283" s="18" t="str">
        <f>IFERROR(__xludf.DUMMYFUNCTION("""COMPUTED_VALUE"""),"Instagram_Stories")</f>
        <v>Instagram_Stories</v>
      </c>
      <c r="I283" s="18" t="str">
        <f>IFERROR(__xludf.DUMMYFUNCTION("""COMPUTED_VALUE"""),"07.04 [IMG] [AD04] Pedidos abertos")</f>
        <v>07.04 [IMG] [AD04] Pedidos abertos</v>
      </c>
      <c r="J283" s="18" t="str">
        <f>IFERROR(__xludf.DUMMYFUNCTION("""COMPUTED_VALUE"""),"22.04.2026 [V4] [WB] [LEADS-GRUPO-WHATS] 02")</f>
        <v>22.04.2026 [V4] [WB] [LEADS-GRUPO-WHATS] 02</v>
      </c>
      <c r="K283" s="19" t="str">
        <f t="shared" si="1"/>
        <v>2026-05-29</v>
      </c>
      <c r="L283" s="20">
        <f t="shared" si="2"/>
        <v>46171</v>
      </c>
      <c r="M283" s="19" t="str">
        <f t="shared" si="3"/>
        <v>99176613</v>
      </c>
      <c r="N283" s="19" t="str">
        <f>IFERROR(IF(VLOOKUP(M283,'Leads no grupo Saibai'!C:C,1,FALSE)=M283,"Sim"),"Não")</f>
        <v>Sim</v>
      </c>
      <c r="O283" s="19"/>
    </row>
    <row r="284">
      <c r="A284" s="14" t="s">
        <v>1071</v>
      </c>
      <c r="B284" s="15" t="s">
        <v>1072</v>
      </c>
      <c r="C284" s="16">
        <v>1.1930769954E10</v>
      </c>
      <c r="D284" s="16" t="s">
        <v>1073</v>
      </c>
      <c r="E284" s="17" t="s">
        <v>1074</v>
      </c>
      <c r="F284" s="18" t="str">
        <f>IFERROR(__xludf.DUMMYFUNCTION("""COMPUTED_VALUE"""),"MetaAds")</f>
        <v>MetaAds</v>
      </c>
      <c r="G284" s="18" t="str">
        <f>IFERROR(__xludf.DUMMYFUNCTION("""COMPUTED_VALUE"""),"ADV - [IG] [FB] [30%2B] [SP METROPOLE] V%C3%81RIOS")</f>
        <v>ADV - [IG] [FB] [30%2B] [SP METROPOLE] V%C3%81RIOS</v>
      </c>
      <c r="H284" s="18" t="str">
        <f>IFERROR(__xludf.DUMMYFUNCTION("""COMPUTED_VALUE"""),"Instagram_Feed")</f>
        <v>Instagram_Feed</v>
      </c>
      <c r="I284" s="18" t="str">
        <f>IFERROR(__xludf.DUMMYFUNCTION("""COMPUTED_VALUE"""),"07.04 [IMG] [AD04] Pedidos abertos")</f>
        <v>07.04 [IMG] [AD04] Pedidos abertos</v>
      </c>
      <c r="J284" s="18" t="str">
        <f>IFERROR(__xludf.DUMMYFUNCTION("""COMPUTED_VALUE"""),"22.04.2026 [V4] [WB] [LEADS-GRUPO-WHATS] 02")</f>
        <v>22.04.2026 [V4] [WB] [LEADS-GRUPO-WHATS] 02</v>
      </c>
      <c r="K284" s="19" t="str">
        <f t="shared" si="1"/>
        <v>2026-05-29</v>
      </c>
      <c r="L284" s="20">
        <f t="shared" si="2"/>
        <v>46171</v>
      </c>
      <c r="M284" s="19" t="str">
        <f t="shared" si="3"/>
        <v>30769954</v>
      </c>
      <c r="N284" s="19" t="str">
        <f>IFERROR(IF(VLOOKUP(M284,'Leads no grupo Saibai'!C:C,1,FALSE)=M284,"Sim"),"Não")</f>
        <v>Sim</v>
      </c>
      <c r="O284" s="19"/>
    </row>
    <row r="285">
      <c r="A285" s="14" t="s">
        <v>1075</v>
      </c>
      <c r="B285" s="15" t="s">
        <v>1076</v>
      </c>
      <c r="C285" s="16">
        <v>1.1977731301E10</v>
      </c>
      <c r="D285" s="16" t="s">
        <v>1077</v>
      </c>
      <c r="E285" s="17" t="s">
        <v>1078</v>
      </c>
      <c r="F285" s="18" t="str">
        <f>IFERROR(__xludf.DUMMYFUNCTION("""COMPUTED_VALUE"""),"MetaAds")</f>
        <v>MetaAds</v>
      </c>
      <c r="G285" s="18" t="str">
        <f>IFERROR(__xludf.DUMMYFUNCTION("""COMPUTED_VALUE"""),"ADV - [IG] [FB] [30%2B] [SP METROPOLE] V%C3%81RIOS")</f>
        <v>ADV - [IG] [FB] [30%2B] [SP METROPOLE] V%C3%81RIOS</v>
      </c>
      <c r="H285" s="18" t="str">
        <f>IFERROR(__xludf.DUMMYFUNCTION("""COMPUTED_VALUE"""),"Facebook_Mobile_Feed")</f>
        <v>Facebook_Mobile_Feed</v>
      </c>
      <c r="I285" s="18" t="str">
        <f>IFERROR(__xludf.DUMMYFUNCTION("""COMPUTED_VALUE"""),"07.04 [IMG] [AD04] Pedidos abertos")</f>
        <v>07.04 [IMG] [AD04] Pedidos abertos</v>
      </c>
      <c r="J285" s="18" t="str">
        <f>IFERROR(__xludf.DUMMYFUNCTION("""COMPUTED_VALUE"""),"22.04.2026 [V4] [WB] [LEADS-GRUPO-WHATS] 02")</f>
        <v>22.04.2026 [V4] [WB] [LEADS-GRUPO-WHATS] 02</v>
      </c>
      <c r="K285" s="19" t="str">
        <f t="shared" si="1"/>
        <v>2026-05-29</v>
      </c>
      <c r="L285" s="20">
        <f t="shared" si="2"/>
        <v>46171</v>
      </c>
      <c r="M285" s="19" t="str">
        <f t="shared" si="3"/>
        <v>77731301</v>
      </c>
      <c r="N285" s="19" t="str">
        <f>IFERROR(IF(VLOOKUP(M285,'Leads no grupo Saibai'!C:C,1,FALSE)=M285,"Sim"),"Não")</f>
        <v>Sim</v>
      </c>
      <c r="O285" s="19"/>
    </row>
    <row r="286">
      <c r="A286" s="14" t="s">
        <v>1079</v>
      </c>
      <c r="B286" s="15" t="s">
        <v>1080</v>
      </c>
      <c r="C286" s="16">
        <v>1.1983516724E10</v>
      </c>
      <c r="D286" s="16" t="s">
        <v>1081</v>
      </c>
      <c r="E286" s="17" t="s">
        <v>1082</v>
      </c>
      <c r="F286" s="18" t="str">
        <f>IFERROR(__xludf.DUMMYFUNCTION("""COMPUTED_VALUE"""),"MetaAds")</f>
        <v>MetaAds</v>
      </c>
      <c r="G286" s="18" t="str">
        <f>IFERROR(__xludf.DUMMYFUNCTION("""COMPUTED_VALUE"""),"ADV - [IG] [FB] [30%2B] [SP METROPOLE] V%C3%81RIOS")</f>
        <v>ADV - [IG] [FB] [30%2B] [SP METROPOLE] V%C3%81RIOS</v>
      </c>
      <c r="H286" s="18" t="str">
        <f>IFERROR(__xludf.DUMMYFUNCTION("""COMPUTED_VALUE"""),"Instagram_Feed")</f>
        <v>Instagram_Feed</v>
      </c>
      <c r="I286" s="18" t="str">
        <f>IFERROR(__xludf.DUMMYFUNCTION("""COMPUTED_VALUE"""),"07.04 [IMG] [AD04] Pedidos abertos")</f>
        <v>07.04 [IMG] [AD04] Pedidos abertos</v>
      </c>
      <c r="J286" s="18" t="str">
        <f>IFERROR(__xludf.DUMMYFUNCTION("""COMPUTED_VALUE"""),"22.04.2026 [V4] [WB] [LEADS-GRUPO-WHATS] 02")</f>
        <v>22.04.2026 [V4] [WB] [LEADS-GRUPO-WHATS] 02</v>
      </c>
      <c r="K286" s="19" t="str">
        <f t="shared" si="1"/>
        <v>2026-05-30</v>
      </c>
      <c r="L286" s="20">
        <f t="shared" si="2"/>
        <v>46172</v>
      </c>
      <c r="M286" s="19" t="str">
        <f t="shared" si="3"/>
        <v>83516724</v>
      </c>
      <c r="N286" s="19" t="str">
        <f>IFERROR(IF(VLOOKUP(M286,'Leads no grupo Saibai'!C:C,1,FALSE)=M286,"Sim"),"Não")</f>
        <v>Não</v>
      </c>
      <c r="O286" s="19"/>
    </row>
    <row r="287">
      <c r="A287" s="14" t="s">
        <v>1083</v>
      </c>
      <c r="B287" s="15" t="s">
        <v>1084</v>
      </c>
      <c r="C287" s="16">
        <v>1.1984265368E10</v>
      </c>
      <c r="D287" s="16" t="s">
        <v>1085</v>
      </c>
      <c r="E287" s="17" t="s">
        <v>1086</v>
      </c>
      <c r="F287" s="18" t="str">
        <f>IFERROR(__xludf.DUMMYFUNCTION("""COMPUTED_VALUE"""),"google-ads")</f>
        <v>google-ads</v>
      </c>
      <c r="G287" s="18" t="str">
        <f>IFERROR(__xludf.DUMMYFUNCTION("""COMPUTED_VALUE"""),"branding-terms")</f>
        <v>branding-terms</v>
      </c>
      <c r="H287" s="18" t="str">
        <f>IFERROR(__xludf.DUMMYFUNCTION("""COMPUTED_VALUE"""),"saibai")</f>
        <v>saibai</v>
      </c>
      <c r="I287" s="18" t="str">
        <f>IFERROR(__xludf.DUMMYFUNCTION("""COMPUTED_VALUE"""),"786538028159")</f>
        <v>786538028159</v>
      </c>
      <c r="J287" s="18" t="str">
        <f>IFERROR(__xludf.DUMMYFUNCTION("""COMPUTED_VALUE"""),"venda-direta")</f>
        <v>venda-direta</v>
      </c>
      <c r="K287" s="19" t="str">
        <f t="shared" si="1"/>
        <v>2026-05-30</v>
      </c>
      <c r="L287" s="20">
        <f t="shared" si="2"/>
        <v>46172</v>
      </c>
      <c r="M287" s="19" t="str">
        <f t="shared" si="3"/>
        <v>84265368</v>
      </c>
      <c r="N287" s="19" t="str">
        <f>IFERROR(IF(VLOOKUP(M287,'Leads no grupo Saibai'!C:C,1,FALSE)=M287,"Sim"),"Não")</f>
        <v>Sim</v>
      </c>
      <c r="O287" s="19"/>
    </row>
    <row r="288">
      <c r="A288" s="14" t="s">
        <v>1087</v>
      </c>
      <c r="B288" s="15" t="s">
        <v>1088</v>
      </c>
      <c r="C288" s="16">
        <v>1.1999645846E10</v>
      </c>
      <c r="D288" s="16" t="s">
        <v>1089</v>
      </c>
      <c r="E288" s="17" t="s">
        <v>1090</v>
      </c>
      <c r="F288" s="18" t="str">
        <f>IFERROR(__xludf.DUMMYFUNCTION("""COMPUTED_VALUE"""),"MetaAds")</f>
        <v>MetaAds</v>
      </c>
      <c r="G288" s="18" t="str">
        <f>IFERROR(__xludf.DUMMYFUNCTION("""COMPUTED_VALUE"""),"ADV - [IG] [FB] [30%2B] [SP METROPOLE] V%C3%81RIOS")</f>
        <v>ADV - [IG] [FB] [30%2B] [SP METROPOLE] V%C3%81RIOS</v>
      </c>
      <c r="H288" s="18" t="str">
        <f>IFERROR(__xludf.DUMMYFUNCTION("""COMPUTED_VALUE"""),"Instagram_Feed")</f>
        <v>Instagram_Feed</v>
      </c>
      <c r="I288" s="18" t="str">
        <f>IFERROR(__xludf.DUMMYFUNCTION("""COMPUTED_VALUE"""),"07.04 [IMG] [AD04] Pedidos abertos")</f>
        <v>07.04 [IMG] [AD04] Pedidos abertos</v>
      </c>
      <c r="J288" s="18" t="str">
        <f>IFERROR(__xludf.DUMMYFUNCTION("""COMPUTED_VALUE"""),"22.04.2026 [V4] [WB] [LEADS-GRUPO-WHATS] 02")</f>
        <v>22.04.2026 [V4] [WB] [LEADS-GRUPO-WHATS] 02</v>
      </c>
      <c r="K288" s="19" t="str">
        <f t="shared" si="1"/>
        <v>2026-05-30</v>
      </c>
      <c r="L288" s="20">
        <f t="shared" si="2"/>
        <v>46172</v>
      </c>
      <c r="M288" s="19" t="str">
        <f t="shared" si="3"/>
        <v>99645846</v>
      </c>
      <c r="N288" s="19" t="str">
        <f>IFERROR(IF(VLOOKUP(M288,'Leads no grupo Saibai'!C:C,1,FALSE)=M288,"Sim"),"Não")</f>
        <v>Sim</v>
      </c>
      <c r="O288" s="19"/>
    </row>
    <row r="289">
      <c r="A289" s="14" t="s">
        <v>1091</v>
      </c>
      <c r="B289" s="15" t="s">
        <v>1092</v>
      </c>
      <c r="C289" s="16">
        <v>1.1992288806E10</v>
      </c>
      <c r="D289" s="16" t="s">
        <v>1093</v>
      </c>
      <c r="E289" s="17" t="s">
        <v>1094</v>
      </c>
      <c r="F289" s="18" t="str">
        <f>IFERROR(__xludf.DUMMYFUNCTION("""COMPUTED_VALUE"""),"MetaAds")</f>
        <v>MetaAds</v>
      </c>
      <c r="G289" s="18" t="str">
        <f>IFERROR(__xludf.DUMMYFUNCTION("""COMPUTED_VALUE"""),"ADV - [IG] [FB] [30%2B] [SP METROPOLE] V%C3%81RIOS")</f>
        <v>ADV - [IG] [FB] [30%2B] [SP METROPOLE] V%C3%81RIOS</v>
      </c>
      <c r="H289" s="18" t="str">
        <f>IFERROR(__xludf.DUMMYFUNCTION("""COMPUTED_VALUE"""),"Instagram_Feed")</f>
        <v>Instagram_Feed</v>
      </c>
      <c r="I289" s="18" t="str">
        <f>IFERROR(__xludf.DUMMYFUNCTION("""COMPUTED_VALUE"""),"07.04 [IMG] [AD04] Pedidos abertos")</f>
        <v>07.04 [IMG] [AD04] Pedidos abertos</v>
      </c>
      <c r="J289" s="18" t="str">
        <f>IFERROR(__xludf.DUMMYFUNCTION("""COMPUTED_VALUE"""),"22.04.2026 [V4] [WB] [LEADS-GRUPO-WHATS] 02")</f>
        <v>22.04.2026 [V4] [WB] [LEADS-GRUPO-WHATS] 02</v>
      </c>
      <c r="K289" s="19" t="str">
        <f t="shared" si="1"/>
        <v>2026-05-30</v>
      </c>
      <c r="L289" s="20">
        <f t="shared" si="2"/>
        <v>46172</v>
      </c>
      <c r="M289" s="19" t="str">
        <f t="shared" si="3"/>
        <v>92288806</v>
      </c>
      <c r="N289" s="19" t="str">
        <f>IFERROR(IF(VLOOKUP(M289,'Leads no grupo Saibai'!C:C,1,FALSE)=M289,"Sim"),"Não")</f>
        <v>Sim</v>
      </c>
      <c r="O289" s="19"/>
    </row>
    <row r="290">
      <c r="A290" s="14" t="s">
        <v>1095</v>
      </c>
      <c r="B290" s="15" t="s">
        <v>1092</v>
      </c>
      <c r="C290" s="16">
        <v>1.1992288806E10</v>
      </c>
      <c r="D290" s="16" t="s">
        <v>1093</v>
      </c>
      <c r="E290" s="17" t="s">
        <v>1094</v>
      </c>
      <c r="F290" s="18" t="str">
        <f>IFERROR(__xludf.DUMMYFUNCTION("""COMPUTED_VALUE"""),"MetaAds")</f>
        <v>MetaAds</v>
      </c>
      <c r="G290" s="18" t="str">
        <f>IFERROR(__xludf.DUMMYFUNCTION("""COMPUTED_VALUE"""),"ADV - [IG] [FB] [30%2B] [SP METROPOLE] V%C3%81RIOS")</f>
        <v>ADV - [IG] [FB] [30%2B] [SP METROPOLE] V%C3%81RIOS</v>
      </c>
      <c r="H290" s="18" t="str">
        <f>IFERROR(__xludf.DUMMYFUNCTION("""COMPUTED_VALUE"""),"Instagram_Feed")</f>
        <v>Instagram_Feed</v>
      </c>
      <c r="I290" s="18" t="str">
        <f>IFERROR(__xludf.DUMMYFUNCTION("""COMPUTED_VALUE"""),"07.04 [IMG] [AD04] Pedidos abertos")</f>
        <v>07.04 [IMG] [AD04] Pedidos abertos</v>
      </c>
      <c r="J290" s="18" t="str">
        <f>IFERROR(__xludf.DUMMYFUNCTION("""COMPUTED_VALUE"""),"22.04.2026 [V4] [WB] [LEADS-GRUPO-WHATS] 02")</f>
        <v>22.04.2026 [V4] [WB] [LEADS-GRUPO-WHATS] 02</v>
      </c>
      <c r="K290" s="19" t="str">
        <f t="shared" si="1"/>
        <v>2026-05-30</v>
      </c>
      <c r="L290" s="20">
        <f t="shared" si="2"/>
        <v>46172</v>
      </c>
      <c r="M290" s="19" t="str">
        <f t="shared" si="3"/>
        <v>92288806</v>
      </c>
      <c r="N290" s="19" t="str">
        <f>IFERROR(IF(VLOOKUP(M290,'Leads no grupo Saibai'!C:C,1,FALSE)=M290,"Sim"),"Não")</f>
        <v>Sim</v>
      </c>
      <c r="O290" s="19"/>
    </row>
    <row r="291">
      <c r="A291" s="14" t="s">
        <v>1096</v>
      </c>
      <c r="B291" s="15" t="s">
        <v>1097</v>
      </c>
      <c r="C291" s="16">
        <v>1.1999665268E10</v>
      </c>
      <c r="D291" s="16" t="s">
        <v>1098</v>
      </c>
      <c r="E291" s="17" t="s">
        <v>1099</v>
      </c>
      <c r="F291" s="18" t="str">
        <f>IFERROR(__xludf.DUMMYFUNCTION("""COMPUTED_VALUE"""),"MetaAds")</f>
        <v>MetaAds</v>
      </c>
      <c r="G291" s="18" t="str">
        <f>IFERROR(__xludf.DUMMYFUNCTION("""COMPUTED_VALUE"""),"ADV - [IG] [FB] [30%2B] [SP METROPOLE] V%C3%81RIOS")</f>
        <v>ADV - [IG] [FB] [30%2B] [SP METROPOLE] V%C3%81RIOS</v>
      </c>
      <c r="H291" s="18" t="str">
        <f>IFERROR(__xludf.DUMMYFUNCTION("""COMPUTED_VALUE"""),"Facebook_Mobile_Feed")</f>
        <v>Facebook_Mobile_Feed</v>
      </c>
      <c r="I291" s="18" t="str">
        <f>IFERROR(__xludf.DUMMYFUNCTION("""COMPUTED_VALUE"""),"07.04 [IMG] [AD04] Pedidos abertos")</f>
        <v>07.04 [IMG] [AD04] Pedidos abertos</v>
      </c>
      <c r="J291" s="18" t="str">
        <f>IFERROR(__xludf.DUMMYFUNCTION("""COMPUTED_VALUE"""),"22.04.2026 [V4] [WB] [LEADS-GRUPO-WHATS] 02")</f>
        <v>22.04.2026 [V4] [WB] [LEADS-GRUPO-WHATS] 02</v>
      </c>
      <c r="K291" s="19" t="str">
        <f t="shared" si="1"/>
        <v>2026-05-30</v>
      </c>
      <c r="L291" s="20">
        <f t="shared" si="2"/>
        <v>46172</v>
      </c>
      <c r="M291" s="19" t="str">
        <f t="shared" si="3"/>
        <v>99665268</v>
      </c>
      <c r="N291" s="19" t="str">
        <f>IFERROR(IF(VLOOKUP(M291,'Leads no grupo Saibai'!C:C,1,FALSE)=M291,"Sim"),"Não")</f>
        <v>Sim</v>
      </c>
      <c r="O291" s="19"/>
    </row>
    <row r="292">
      <c r="A292" s="14" t="s">
        <v>1100</v>
      </c>
      <c r="B292" s="15" t="s">
        <v>1101</v>
      </c>
      <c r="C292" s="16">
        <v>1.1999806202E10</v>
      </c>
      <c r="D292" s="16" t="s">
        <v>1102</v>
      </c>
      <c r="E292" s="17" t="s">
        <v>1103</v>
      </c>
      <c r="F292" s="18" t="str">
        <f>IFERROR(__xludf.DUMMYFUNCTION("""COMPUTED_VALUE"""),"MetaAds")</f>
        <v>MetaAds</v>
      </c>
      <c r="G292" s="18" t="str">
        <f>IFERROR(__xludf.DUMMYFUNCTION("""COMPUTED_VALUE"""),"ADV - [IG] [FB] [30%2B] [SP METROPOLE] V%C3%81RIOS")</f>
        <v>ADV - [IG] [FB] [30%2B] [SP METROPOLE] V%C3%81RIOS</v>
      </c>
      <c r="H292" s="18" t="str">
        <f>IFERROR(__xludf.DUMMYFUNCTION("""COMPUTED_VALUE"""),"Instagram_Stories")</f>
        <v>Instagram_Stories</v>
      </c>
      <c r="I292" s="18" t="str">
        <f>IFERROR(__xludf.DUMMYFUNCTION("""COMPUTED_VALUE"""),"07.04 [IMG] [AD04] Pedidos abertos")</f>
        <v>07.04 [IMG] [AD04] Pedidos abertos</v>
      </c>
      <c r="J292" s="18" t="str">
        <f>IFERROR(__xludf.DUMMYFUNCTION("""COMPUTED_VALUE"""),"22.04.2026 [V4] [WB] [LEADS-GRUPO-WHATS] 02")</f>
        <v>22.04.2026 [V4] [WB] [LEADS-GRUPO-WHATS] 02</v>
      </c>
      <c r="K292" s="19" t="str">
        <f t="shared" si="1"/>
        <v>2026-05-31</v>
      </c>
      <c r="L292" s="20">
        <f t="shared" si="2"/>
        <v>46173</v>
      </c>
      <c r="M292" s="19" t="str">
        <f t="shared" si="3"/>
        <v>99806202</v>
      </c>
      <c r="N292" s="19" t="str">
        <f>IFERROR(IF(VLOOKUP(M292,'Leads no grupo Saibai'!C:C,1,FALSE)=M292,"Sim"),"Não")</f>
        <v>Sim</v>
      </c>
      <c r="O292" s="19"/>
    </row>
    <row r="293">
      <c r="A293" s="14" t="s">
        <v>1104</v>
      </c>
      <c r="B293" s="15" t="s">
        <v>1105</v>
      </c>
      <c r="C293" s="16">
        <v>1.1990179889E10</v>
      </c>
      <c r="D293" s="16" t="s">
        <v>1106</v>
      </c>
      <c r="E293" s="17" t="s">
        <v>1107</v>
      </c>
      <c r="F293" s="18" t="str">
        <f>IFERROR(__xludf.DUMMYFUNCTION("""COMPUTED_VALUE"""),"MetaAds")</f>
        <v>MetaAds</v>
      </c>
      <c r="G293" s="18" t="str">
        <f>IFERROR(__xludf.DUMMYFUNCTION("""COMPUTED_VALUE"""),"ADV - [IG] [FB] [30%2B] [SP METROPOLE] V%C3%81RIOS")</f>
        <v>ADV - [IG] [FB] [30%2B] [SP METROPOLE] V%C3%81RIOS</v>
      </c>
      <c r="H293" s="18" t="str">
        <f>IFERROR(__xludf.DUMMYFUNCTION("""COMPUTED_VALUE"""),"Facebook_Mobile_Feed")</f>
        <v>Facebook_Mobile_Feed</v>
      </c>
      <c r="I293" s="18" t="str">
        <f>IFERROR(__xludf.DUMMYFUNCTION("""COMPUTED_VALUE"""),"07.04 [IMG] [AD04] Pedidos abertos")</f>
        <v>07.04 [IMG] [AD04] Pedidos abertos</v>
      </c>
      <c r="J293" s="18" t="str">
        <f>IFERROR(__xludf.DUMMYFUNCTION("""COMPUTED_VALUE"""),"22.04.2026 [V4] [WB] [LEADS-GRUPO-WHATS] 02")</f>
        <v>22.04.2026 [V4] [WB] [LEADS-GRUPO-WHATS] 02</v>
      </c>
      <c r="K293" s="19" t="str">
        <f t="shared" si="1"/>
        <v>2026-05-31</v>
      </c>
      <c r="L293" s="20">
        <f t="shared" si="2"/>
        <v>46173</v>
      </c>
      <c r="M293" s="19" t="str">
        <f t="shared" si="3"/>
        <v>90179889</v>
      </c>
      <c r="N293" s="19" t="str">
        <f>IFERROR(IF(VLOOKUP(M293,'Leads no grupo Saibai'!C:C,1,FALSE)=M293,"Sim"),"Não")</f>
        <v>Sim</v>
      </c>
      <c r="O293" s="19"/>
    </row>
    <row r="294">
      <c r="A294" s="14" t="s">
        <v>1108</v>
      </c>
      <c r="B294" s="15" t="s">
        <v>1109</v>
      </c>
      <c r="C294" s="16">
        <v>1.39883813E10</v>
      </c>
      <c r="D294" s="16" t="s">
        <v>1110</v>
      </c>
      <c r="E294" s="17" t="s">
        <v>1111</v>
      </c>
      <c r="F294" s="18" t="str">
        <f>IFERROR(__xludf.DUMMYFUNCTION("""COMPUTED_VALUE"""),"MetaAds")</f>
        <v>MetaAds</v>
      </c>
      <c r="G294" s="18" t="str">
        <f>IFERROR(__xludf.DUMMYFUNCTION("""COMPUTED_VALUE"""),"ADV - [IG] [FB] [30%2B] [SP METROPOLE] V%C3%81RIOS")</f>
        <v>ADV - [IG] [FB] [30%2B] [SP METROPOLE] V%C3%81RIOS</v>
      </c>
      <c r="H294" s="18" t="str">
        <f>IFERROR(__xludf.DUMMYFUNCTION("""COMPUTED_VALUE"""),"Instagram_Stories")</f>
        <v>Instagram_Stories</v>
      </c>
      <c r="I294" s="18" t="str">
        <f>IFERROR(__xludf.DUMMYFUNCTION("""COMPUTED_VALUE"""),"07.04 [IMG] [AD04] Pedidos abertos")</f>
        <v>07.04 [IMG] [AD04] Pedidos abertos</v>
      </c>
      <c r="J294" s="18" t="str">
        <f>IFERROR(__xludf.DUMMYFUNCTION("""COMPUTED_VALUE"""),"22.04.2026 [V4] [WB] [LEADS-GRUPO-WHATS] 02")</f>
        <v>22.04.2026 [V4] [WB] [LEADS-GRUPO-WHATS] 02</v>
      </c>
      <c r="K294" s="19" t="str">
        <f t="shared" si="1"/>
        <v>2026-05-31</v>
      </c>
      <c r="L294" s="20">
        <f t="shared" si="2"/>
        <v>46173</v>
      </c>
      <c r="M294" s="19" t="str">
        <f t="shared" si="3"/>
        <v>88381300</v>
      </c>
      <c r="N294" s="19" t="str">
        <f>IFERROR(IF(VLOOKUP(M294,'Leads no grupo Saibai'!C:C,1,FALSE)=M294,"Sim"),"Não")</f>
        <v>Sim</v>
      </c>
      <c r="O294" s="19"/>
    </row>
    <row r="295">
      <c r="A295" s="14" t="s">
        <v>1112</v>
      </c>
      <c r="B295" s="15" t="s">
        <v>852</v>
      </c>
      <c r="C295" s="16">
        <v>1.1996838261E10</v>
      </c>
      <c r="D295" s="16" t="s">
        <v>1113</v>
      </c>
      <c r="E295" s="17" t="s">
        <v>1114</v>
      </c>
      <c r="F295" s="18" t="str">
        <f>IFERROR(__xludf.DUMMYFUNCTION("""COMPUTED_VALUE"""),"MetaAds")</f>
        <v>MetaAds</v>
      </c>
      <c r="G295" s="18" t="str">
        <f>IFERROR(__xludf.DUMMYFUNCTION("""COMPUTED_VALUE"""),"ADV - [IG] [FB] [30%2B] [SP METROPOLE] V%C3%81RIOS")</f>
        <v>ADV - [IG] [FB] [30%2B] [SP METROPOLE] V%C3%81RIOS</v>
      </c>
      <c r="H295" s="18" t="str">
        <f>IFERROR(__xludf.DUMMYFUNCTION("""COMPUTED_VALUE"""),"Facebook_Mobile_Feed")</f>
        <v>Facebook_Mobile_Feed</v>
      </c>
      <c r="I295" s="18" t="str">
        <f>IFERROR(__xludf.DUMMYFUNCTION("""COMPUTED_VALUE"""),"07.04 [IMG] [AD04] Pedidos abertos")</f>
        <v>07.04 [IMG] [AD04] Pedidos abertos</v>
      </c>
      <c r="J295" s="18" t="str">
        <f>IFERROR(__xludf.DUMMYFUNCTION("""COMPUTED_VALUE"""),"22.04.2026 [V4] [WB] [LEADS-GRUPO-WHATS] 02")</f>
        <v>22.04.2026 [V4] [WB] [LEADS-GRUPO-WHATS] 02</v>
      </c>
      <c r="K295" s="19" t="str">
        <f t="shared" si="1"/>
        <v>2026-05-31</v>
      </c>
      <c r="L295" s="20">
        <f t="shared" si="2"/>
        <v>46173</v>
      </c>
      <c r="M295" s="19" t="str">
        <f t="shared" si="3"/>
        <v>96838261</v>
      </c>
      <c r="N295" s="19" t="str">
        <f>IFERROR(IF(VLOOKUP(M295,'Leads no grupo Saibai'!C:C,1,FALSE)=M295,"Sim"),"Não")</f>
        <v>Não</v>
      </c>
      <c r="O295" s="19"/>
    </row>
    <row r="296">
      <c r="A296" s="14" t="s">
        <v>1115</v>
      </c>
      <c r="B296" s="15" t="s">
        <v>1116</v>
      </c>
      <c r="C296" s="16">
        <v>1.1930995135E10</v>
      </c>
      <c r="D296" s="16" t="s">
        <v>1117</v>
      </c>
      <c r="E296" s="17" t="s">
        <v>1118</v>
      </c>
      <c r="F296" s="18" t="str">
        <f>IFERROR(__xludf.DUMMYFUNCTION("""COMPUTED_VALUE"""),"MetaAds")</f>
        <v>MetaAds</v>
      </c>
      <c r="G296" s="18" t="str">
        <f>IFERROR(__xludf.DUMMYFUNCTION("""COMPUTED_VALUE"""),"ADV - [IG] [FB] [30%2B] [SP METROPOLE] V%C3%81RIOS")</f>
        <v>ADV - [IG] [FB] [30%2B] [SP METROPOLE] V%C3%81RIOS</v>
      </c>
      <c r="H296" s="18" t="str">
        <f>IFERROR(__xludf.DUMMYFUNCTION("""COMPUTED_VALUE"""),"Instagram_Feed")</f>
        <v>Instagram_Feed</v>
      </c>
      <c r="I296" s="18" t="str">
        <f>IFERROR(__xludf.DUMMYFUNCTION("""COMPUTED_VALUE"""),"07.04 [IMG] [AD04] Pedidos abertos")</f>
        <v>07.04 [IMG] [AD04] Pedidos abertos</v>
      </c>
      <c r="J296" s="18" t="str">
        <f>IFERROR(__xludf.DUMMYFUNCTION("""COMPUTED_VALUE"""),"22.04.2026 [V4] [WB] [LEADS-GRUPO-WHATS] 02")</f>
        <v>22.04.2026 [V4] [WB] [LEADS-GRUPO-WHATS] 02</v>
      </c>
      <c r="K296" s="19" t="str">
        <f t="shared" si="1"/>
        <v>2026-05-31</v>
      </c>
      <c r="L296" s="20">
        <f t="shared" si="2"/>
        <v>46173</v>
      </c>
      <c r="M296" s="19" t="str">
        <f t="shared" si="3"/>
        <v>30995135</v>
      </c>
      <c r="N296" s="19" t="str">
        <f>IFERROR(IF(VLOOKUP(M296,'Leads no grupo Saibai'!C:C,1,FALSE)=M296,"Sim"),"Não")</f>
        <v>Sim</v>
      </c>
      <c r="O296" s="19"/>
    </row>
    <row r="297">
      <c r="A297" s="14" t="s">
        <v>1119</v>
      </c>
      <c r="B297" s="15" t="s">
        <v>1120</v>
      </c>
      <c r="C297" s="16">
        <v>1.1913690793E10</v>
      </c>
      <c r="D297" s="16" t="s">
        <v>1121</v>
      </c>
      <c r="E297" s="17" t="s">
        <v>1122</v>
      </c>
      <c r="F297" s="18" t="str">
        <f>IFERROR(__xludf.DUMMYFUNCTION("""COMPUTED_VALUE"""),"MetaAds")</f>
        <v>MetaAds</v>
      </c>
      <c r="G297" s="18" t="str">
        <f>IFERROR(__xludf.DUMMYFUNCTION("""COMPUTED_VALUE"""),"ADV - [IG] [FB] [30%2B] [SP METROPOLE] V%C3%81RIOS")</f>
        <v>ADV - [IG] [FB] [30%2B] [SP METROPOLE] V%C3%81RIOS</v>
      </c>
      <c r="H297" s="18" t="str">
        <f>IFERROR(__xludf.DUMMYFUNCTION("""COMPUTED_VALUE"""),"Instagram_Feed")</f>
        <v>Instagram_Feed</v>
      </c>
      <c r="I297" s="18" t="str">
        <f>IFERROR(__xludf.DUMMYFUNCTION("""COMPUTED_VALUE"""),"07.04 [IMG] [AD04] Pedidos abertos")</f>
        <v>07.04 [IMG] [AD04] Pedidos abertos</v>
      </c>
      <c r="J297" s="18" t="str">
        <f>IFERROR(__xludf.DUMMYFUNCTION("""COMPUTED_VALUE"""),"22.04.2026 [V4] [WB] [LEADS-GRUPO-WHATS] 02")</f>
        <v>22.04.2026 [V4] [WB] [LEADS-GRUPO-WHATS] 02</v>
      </c>
      <c r="K297" s="19" t="str">
        <f t="shared" si="1"/>
        <v>2026-05-31</v>
      </c>
      <c r="L297" s="20">
        <f t="shared" si="2"/>
        <v>46173</v>
      </c>
      <c r="M297" s="19" t="str">
        <f t="shared" si="3"/>
        <v>13690793</v>
      </c>
      <c r="N297" s="19" t="str">
        <f>IFERROR(IF(VLOOKUP(M297,'Leads no grupo Saibai'!C:C,1,FALSE)=M297,"Sim"),"Não")</f>
        <v>Sim</v>
      </c>
      <c r="O297" s="19"/>
    </row>
    <row r="298">
      <c r="A298" s="14" t="s">
        <v>1123</v>
      </c>
      <c r="B298" s="15" t="s">
        <v>1124</v>
      </c>
      <c r="C298" s="16">
        <v>1.1960601661E10</v>
      </c>
      <c r="D298" s="16" t="s">
        <v>1125</v>
      </c>
      <c r="E298" s="17" t="s">
        <v>1126</v>
      </c>
      <c r="F298" s="18" t="str">
        <f>IFERROR(__xludf.DUMMYFUNCTION("""COMPUTED_VALUE"""),"MetaAds")</f>
        <v>MetaAds</v>
      </c>
      <c r="G298" s="18" t="str">
        <f>IFERROR(__xludf.DUMMYFUNCTION("""COMPUTED_VALUE"""),"ADV - [IG] [FB] [30%2B] [SP METROPOLE] V%C3%81RIOS")</f>
        <v>ADV - [IG] [FB] [30%2B] [SP METROPOLE] V%C3%81RIOS</v>
      </c>
      <c r="H298" s="18" t="str">
        <f>IFERROR(__xludf.DUMMYFUNCTION("""COMPUTED_VALUE"""),"Instagram_Feed")</f>
        <v>Instagram_Feed</v>
      </c>
      <c r="I298" s="18" t="str">
        <f>IFERROR(__xludf.DUMMYFUNCTION("""COMPUTED_VALUE"""),"07.04 [IMG] [AD04] Pedidos abertos")</f>
        <v>07.04 [IMG] [AD04] Pedidos abertos</v>
      </c>
      <c r="J298" s="18" t="str">
        <f>IFERROR(__xludf.DUMMYFUNCTION("""COMPUTED_VALUE"""),"22.04.2026 [V4] [WB] [LEADS-GRUPO-WHATS] 02")</f>
        <v>22.04.2026 [V4] [WB] [LEADS-GRUPO-WHATS] 02</v>
      </c>
      <c r="K298" s="19" t="str">
        <f t="shared" si="1"/>
        <v>2026-05-31</v>
      </c>
      <c r="L298" s="20">
        <f t="shared" si="2"/>
        <v>46173</v>
      </c>
      <c r="M298" s="19" t="str">
        <f t="shared" si="3"/>
        <v>60601661</v>
      </c>
      <c r="N298" s="19" t="str">
        <f>IFERROR(IF(VLOOKUP(M298,'Leads no grupo Saibai'!C:C,1,FALSE)=M298,"Sim"),"Não")</f>
        <v>Não</v>
      </c>
      <c r="O298" s="19"/>
    </row>
    <row r="299">
      <c r="A299" s="14" t="s">
        <v>1127</v>
      </c>
      <c r="B299" s="15" t="s">
        <v>1128</v>
      </c>
      <c r="C299" s="16">
        <v>1.1974139621E10</v>
      </c>
      <c r="D299" s="16" t="s">
        <v>1129</v>
      </c>
      <c r="E299" s="17" t="s">
        <v>1130</v>
      </c>
      <c r="F299" s="18" t="str">
        <f>IFERROR(__xludf.DUMMYFUNCTION("""COMPUTED_VALUE"""),"MetaAds")</f>
        <v>MetaAds</v>
      </c>
      <c r="G299" s="18" t="str">
        <f>IFERROR(__xludf.DUMMYFUNCTION("""COMPUTED_VALUE"""),"ADV - [IG] [FB] [30%2B] [SP METROPOLE] V%C3%81RIOS")</f>
        <v>ADV - [IG] [FB] [30%2B] [SP METROPOLE] V%C3%81RIOS</v>
      </c>
      <c r="H299" s="18" t="str">
        <f>IFERROR(__xludf.DUMMYFUNCTION("""COMPUTED_VALUE"""),"Facebook_Mobile_Feed")</f>
        <v>Facebook_Mobile_Feed</v>
      </c>
      <c r="I299" s="18" t="str">
        <f>IFERROR(__xludf.DUMMYFUNCTION("""COMPUTED_VALUE"""),"07.04 [IMG] [AD04] Pedidos abertos")</f>
        <v>07.04 [IMG] [AD04] Pedidos abertos</v>
      </c>
      <c r="J299" s="18" t="str">
        <f>IFERROR(__xludf.DUMMYFUNCTION("""COMPUTED_VALUE"""),"22.04.2026 [V4] [WB] [LEADS-GRUPO-WHATS] 02")</f>
        <v>22.04.2026 [V4] [WB] [LEADS-GRUPO-WHATS] 02</v>
      </c>
      <c r="K299" s="19" t="str">
        <f t="shared" si="1"/>
        <v>2026-05-31</v>
      </c>
      <c r="L299" s="20">
        <f t="shared" si="2"/>
        <v>46173</v>
      </c>
      <c r="M299" s="19" t="str">
        <f t="shared" si="3"/>
        <v>74139621</v>
      </c>
      <c r="N299" s="19" t="str">
        <f>IFERROR(IF(VLOOKUP(M299,'Leads no grupo Saibai'!C:C,1,FALSE)=M299,"Sim"),"Não")</f>
        <v>Sim</v>
      </c>
      <c r="O299" s="19"/>
    </row>
    <row r="300">
      <c r="A300" s="14" t="s">
        <v>1131</v>
      </c>
      <c r="B300" s="15" t="s">
        <v>1080</v>
      </c>
      <c r="C300" s="16">
        <v>1.1983516724E10</v>
      </c>
      <c r="D300" s="16" t="s">
        <v>1081</v>
      </c>
      <c r="E300" s="17" t="s">
        <v>1132</v>
      </c>
      <c r="F300" s="18" t="str">
        <f>IFERROR(__xludf.DUMMYFUNCTION("""COMPUTED_VALUE"""),"MetaAds")</f>
        <v>MetaAds</v>
      </c>
      <c r="G300" s="18" t="str">
        <f>IFERROR(__xludf.DUMMYFUNCTION("""COMPUTED_VALUE"""),"ADV - [IG] [FB] [30%2B] [SP METROPOLE] V%C3%81RIOS")</f>
        <v>ADV - [IG] [FB] [30%2B] [SP METROPOLE] V%C3%81RIOS</v>
      </c>
      <c r="H300" s="18" t="str">
        <f>IFERROR(__xludf.DUMMYFUNCTION("""COMPUTED_VALUE"""),"Instagram_Feed")</f>
        <v>Instagram_Feed</v>
      </c>
      <c r="I300" s="18" t="str">
        <f>IFERROR(__xludf.DUMMYFUNCTION("""COMPUTED_VALUE"""),"07.04 [IMG] [AD04] Pedidos abertos")</f>
        <v>07.04 [IMG] [AD04] Pedidos abertos</v>
      </c>
      <c r="J300" s="18" t="str">
        <f>IFERROR(__xludf.DUMMYFUNCTION("""COMPUTED_VALUE"""),"22.04.2026 [V4] [WB] [LEADS-GRUPO-WHATS] 02")</f>
        <v>22.04.2026 [V4] [WB] [LEADS-GRUPO-WHATS] 02</v>
      </c>
      <c r="K300" s="19" t="str">
        <f t="shared" si="1"/>
        <v>2026-05-31</v>
      </c>
      <c r="L300" s="20">
        <f t="shared" si="2"/>
        <v>46173</v>
      </c>
      <c r="M300" s="19" t="str">
        <f t="shared" si="3"/>
        <v>83516724</v>
      </c>
      <c r="N300" s="19" t="str">
        <f>IFERROR(IF(VLOOKUP(M300,'Leads no grupo Saibai'!C:C,1,FALSE)=M300,"Sim"),"Não")</f>
        <v>Não</v>
      </c>
      <c r="O300" s="19"/>
    </row>
    <row r="301">
      <c r="A301" s="14" t="s">
        <v>1133</v>
      </c>
      <c r="B301" s="15" t="s">
        <v>1134</v>
      </c>
      <c r="C301" s="16">
        <v>1.1997494111E10</v>
      </c>
      <c r="D301" s="16" t="s">
        <v>1135</v>
      </c>
      <c r="E301" s="17" t="s">
        <v>1136</v>
      </c>
      <c r="F301" s="18" t="str">
        <f>IFERROR(__xludf.DUMMYFUNCTION("""COMPUTED_VALUE"""),"MetaAds")</f>
        <v>MetaAds</v>
      </c>
      <c r="G301" s="18" t="str">
        <f>IFERROR(__xludf.DUMMYFUNCTION("""COMPUTED_VALUE"""),"ADV - [IG] [FB] [30%2B] [SP METROPOLE] V%C3%81RIOS")</f>
        <v>ADV - [IG] [FB] [30%2B] [SP METROPOLE] V%C3%81RIOS</v>
      </c>
      <c r="H301" s="18" t="str">
        <f>IFERROR(__xludf.DUMMYFUNCTION("""COMPUTED_VALUE"""),"Instagram_Stories")</f>
        <v>Instagram_Stories</v>
      </c>
      <c r="I301" s="18" t="str">
        <f>IFERROR(__xludf.DUMMYFUNCTION("""COMPUTED_VALUE"""),"07.04 [IMG] [AD04] Pedidos abertos")</f>
        <v>07.04 [IMG] [AD04] Pedidos abertos</v>
      </c>
      <c r="J301" s="18" t="str">
        <f>IFERROR(__xludf.DUMMYFUNCTION("""COMPUTED_VALUE"""),"22.04.2026 [V4] [WB] [LEADS-GRUPO-WHATS] 02")</f>
        <v>22.04.2026 [V4] [WB] [LEADS-GRUPO-WHATS] 02</v>
      </c>
      <c r="K301" s="19" t="str">
        <f t="shared" si="1"/>
        <v>2026-05-31</v>
      </c>
      <c r="L301" s="20">
        <f t="shared" si="2"/>
        <v>46173</v>
      </c>
      <c r="M301" s="19" t="str">
        <f t="shared" si="3"/>
        <v>97494111</v>
      </c>
      <c r="N301" s="19" t="str">
        <f>IFERROR(IF(VLOOKUP(M301,'Leads no grupo Saibai'!C:C,1,FALSE)=M301,"Sim"),"Não")</f>
        <v>Sim</v>
      </c>
      <c r="O301" s="19"/>
    </row>
    <row r="302">
      <c r="A302" s="14" t="s">
        <v>1137</v>
      </c>
      <c r="B302" s="15" t="s">
        <v>1138</v>
      </c>
      <c r="C302" s="16">
        <v>1.199973863E10</v>
      </c>
      <c r="D302" s="16" t="s">
        <v>1139</v>
      </c>
      <c r="E302" s="17" t="s">
        <v>1140</v>
      </c>
      <c r="F302" s="18" t="str">
        <f>IFERROR(__xludf.DUMMYFUNCTION("""COMPUTED_VALUE"""),"MetaAds")</f>
        <v>MetaAds</v>
      </c>
      <c r="G302" s="18" t="str">
        <f>IFERROR(__xludf.DUMMYFUNCTION("""COMPUTED_VALUE"""),"ADV - [IG] [FB] [30%2B] [SP METROPOLE] V%C3%81RIOS")</f>
        <v>ADV - [IG] [FB] [30%2B] [SP METROPOLE] V%C3%81RIOS</v>
      </c>
      <c r="H302" s="18" t="str">
        <f>IFERROR(__xludf.DUMMYFUNCTION("""COMPUTED_VALUE"""),"Instagram_Feed")</f>
        <v>Instagram_Feed</v>
      </c>
      <c r="I302" s="18" t="str">
        <f>IFERROR(__xludf.DUMMYFUNCTION("""COMPUTED_VALUE"""),"07.04 [IMG] [AD04] Pedidos abertos")</f>
        <v>07.04 [IMG] [AD04] Pedidos abertos</v>
      </c>
      <c r="J302" s="18" t="str">
        <f>IFERROR(__xludf.DUMMYFUNCTION("""COMPUTED_VALUE"""),"22.04.2026 [V4] [WB] [LEADS-GRUPO-WHATS] 02")</f>
        <v>22.04.2026 [V4] [WB] [LEADS-GRUPO-WHATS] 02</v>
      </c>
      <c r="K302" s="19" t="str">
        <f t="shared" si="1"/>
        <v>2026-06-01</v>
      </c>
      <c r="L302" s="20">
        <f t="shared" si="2"/>
        <v>46174</v>
      </c>
      <c r="M302" s="19" t="str">
        <f t="shared" si="3"/>
        <v>99738630</v>
      </c>
      <c r="N302" s="19" t="str">
        <f>IFERROR(IF(VLOOKUP(M302,'Leads no grupo Saibai'!C:C,1,FALSE)=M302,"Sim"),"Não")</f>
        <v>Sim</v>
      </c>
      <c r="O302" s="19"/>
    </row>
    <row r="303">
      <c r="A303" s="14" t="s">
        <v>1141</v>
      </c>
      <c r="B303" s="15" t="s">
        <v>1142</v>
      </c>
      <c r="C303" s="16">
        <v>1.1996216092E10</v>
      </c>
      <c r="D303" s="16" t="s">
        <v>1143</v>
      </c>
      <c r="E303" s="17" t="s">
        <v>1144</v>
      </c>
      <c r="F303" s="18" t="str">
        <f>IFERROR(__xludf.DUMMYFUNCTION("""COMPUTED_VALUE"""),"MetaAds")</f>
        <v>MetaAds</v>
      </c>
      <c r="G303" s="18" t="str">
        <f>IFERROR(__xludf.DUMMYFUNCTION("""COMPUTED_VALUE"""),"ADV - [IG] [FB] [30%2B] [SP METROPOLE] V%C3%81RIOS")</f>
        <v>ADV - [IG] [FB] [30%2B] [SP METROPOLE] V%C3%81RIOS</v>
      </c>
      <c r="H303" s="18" t="str">
        <f>IFERROR(__xludf.DUMMYFUNCTION("""COMPUTED_VALUE"""),"Instagram_Stories")</f>
        <v>Instagram_Stories</v>
      </c>
      <c r="I303" s="18" t="str">
        <f>IFERROR(__xludf.DUMMYFUNCTION("""COMPUTED_VALUE"""),"07.04 [IMG] [AD04] Pedidos abertos")</f>
        <v>07.04 [IMG] [AD04] Pedidos abertos</v>
      </c>
      <c r="J303" s="18" t="str">
        <f>IFERROR(__xludf.DUMMYFUNCTION("""COMPUTED_VALUE"""),"22.04.2026 [V4] [WB] [LEADS-GRUPO-WHATS] 02")</f>
        <v>22.04.2026 [V4] [WB] [LEADS-GRUPO-WHATS] 02</v>
      </c>
      <c r="K303" s="19" t="str">
        <f t="shared" si="1"/>
        <v>2026-06-01</v>
      </c>
      <c r="L303" s="20">
        <f t="shared" si="2"/>
        <v>46174</v>
      </c>
      <c r="M303" s="19" t="str">
        <f t="shared" si="3"/>
        <v>96216092</v>
      </c>
      <c r="N303" s="19" t="str">
        <f>IFERROR(IF(VLOOKUP(M303,'Leads no grupo Saibai'!C:C,1,FALSE)=M303,"Sim"),"Não")</f>
        <v>Sim</v>
      </c>
      <c r="O303" s="19"/>
    </row>
    <row r="304">
      <c r="A304" s="14" t="s">
        <v>1145</v>
      </c>
      <c r="B304" s="15" t="s">
        <v>1146</v>
      </c>
      <c r="C304" s="16">
        <v>1.1997447512E10</v>
      </c>
      <c r="D304" s="16" t="s">
        <v>1147</v>
      </c>
      <c r="E304" s="17" t="s">
        <v>1148</v>
      </c>
      <c r="F304" s="18" t="str">
        <f>IFERROR(__xludf.DUMMYFUNCTION("""COMPUTED_VALUE"""),"MetaAds")</f>
        <v>MetaAds</v>
      </c>
      <c r="G304" s="18" t="str">
        <f>IFERROR(__xludf.DUMMYFUNCTION("""COMPUTED_VALUE"""),"ADV - [IG] [FB] [30%2B] [SP METROPOLE] V%C3%81RIOS")</f>
        <v>ADV - [IG] [FB] [30%2B] [SP METROPOLE] V%C3%81RIOS</v>
      </c>
      <c r="H304" s="18" t="str">
        <f>IFERROR(__xludf.DUMMYFUNCTION("""COMPUTED_VALUE"""),"Instagram_Feed")</f>
        <v>Instagram_Feed</v>
      </c>
      <c r="I304" s="18" t="str">
        <f>IFERROR(__xludf.DUMMYFUNCTION("""COMPUTED_VALUE"""),"07.04 [IMG] [AD04] Pedidos abertos")</f>
        <v>07.04 [IMG] [AD04] Pedidos abertos</v>
      </c>
      <c r="J304" s="18" t="str">
        <f>IFERROR(__xludf.DUMMYFUNCTION("""COMPUTED_VALUE"""),"22.04.2026 [V4] [WB] [LEADS-GRUPO-WHATS] 02")</f>
        <v>22.04.2026 [V4] [WB] [LEADS-GRUPO-WHATS] 02</v>
      </c>
      <c r="K304" s="19" t="str">
        <f t="shared" si="1"/>
        <v>2026-06-01</v>
      </c>
      <c r="L304" s="20">
        <f t="shared" si="2"/>
        <v>46174</v>
      </c>
      <c r="M304" s="19" t="str">
        <f t="shared" si="3"/>
        <v>97447512</v>
      </c>
      <c r="N304" s="19" t="str">
        <f>IFERROR(IF(VLOOKUP(M304,'Leads no grupo Saibai'!C:C,1,FALSE)=M304,"Sim"),"Não")</f>
        <v>Sim</v>
      </c>
      <c r="O304" s="19"/>
    </row>
    <row r="305">
      <c r="A305" s="14" t="s">
        <v>1149</v>
      </c>
      <c r="B305" s="15" t="s">
        <v>1150</v>
      </c>
      <c r="C305" s="16">
        <v>1.19510189E9</v>
      </c>
      <c r="D305" s="16" t="s">
        <v>1151</v>
      </c>
      <c r="E305" s="17" t="s">
        <v>1152</v>
      </c>
      <c r="F305" s="18" t="str">
        <f>IFERROR(__xludf.DUMMYFUNCTION("""COMPUTED_VALUE"""),"MetaAds")</f>
        <v>MetaAds</v>
      </c>
      <c r="G305" s="18" t="str">
        <f>IFERROR(__xludf.DUMMYFUNCTION("""COMPUTED_VALUE"""),"ADV - [IG] [FB] [30%2B] [SP METROPOLE] V%C3%81RIOS")</f>
        <v>ADV - [IG] [FB] [30%2B] [SP METROPOLE] V%C3%81RIOS</v>
      </c>
      <c r="H305" s="18" t="str">
        <f>IFERROR(__xludf.DUMMYFUNCTION("""COMPUTED_VALUE"""),"Instagram_Feed")</f>
        <v>Instagram_Feed</v>
      </c>
      <c r="I305" s="18" t="str">
        <f>IFERROR(__xludf.DUMMYFUNCTION("""COMPUTED_VALUE"""),"07.04 [IMG] [AD04] Pedidos abertos")</f>
        <v>07.04 [IMG] [AD04] Pedidos abertos</v>
      </c>
      <c r="J305" s="18" t="str">
        <f>IFERROR(__xludf.DUMMYFUNCTION("""COMPUTED_VALUE"""),"22.04.2026 [V4] [WB] [LEADS-GRUPO-WHATS] 02")</f>
        <v>22.04.2026 [V4] [WB] [LEADS-GRUPO-WHATS] 02</v>
      </c>
      <c r="K305" s="19" t="str">
        <f t="shared" si="1"/>
        <v>2026-06-01</v>
      </c>
      <c r="L305" s="20">
        <f t="shared" si="2"/>
        <v>46174</v>
      </c>
      <c r="M305" s="19" t="str">
        <f t="shared" si="3"/>
        <v>95101890</v>
      </c>
      <c r="N305" s="19" t="str">
        <f>IFERROR(IF(VLOOKUP(M305,'Leads no grupo Saibai'!C:C,1,FALSE)=M305,"Sim"),"Não")</f>
        <v>Não</v>
      </c>
      <c r="O305" s="19"/>
    </row>
    <row r="306">
      <c r="A306" s="14" t="s">
        <v>1153</v>
      </c>
      <c r="B306" s="15" t="s">
        <v>1154</v>
      </c>
      <c r="C306" s="16">
        <v>1.1973801446E10</v>
      </c>
      <c r="D306" s="16" t="s">
        <v>1155</v>
      </c>
      <c r="E306" s="17" t="s">
        <v>1156</v>
      </c>
      <c r="F306" s="18" t="str">
        <f>IFERROR(__xludf.DUMMYFUNCTION("""COMPUTED_VALUE"""),"MetaAds")</f>
        <v>MetaAds</v>
      </c>
      <c r="G306" s="18" t="str">
        <f>IFERROR(__xludf.DUMMYFUNCTION("""COMPUTED_VALUE"""),"ADV - [IG] [FB] [30%2B] [SP METROPOLE] V%C3%81RIOS")</f>
        <v>ADV - [IG] [FB] [30%2B] [SP METROPOLE] V%C3%81RIOS</v>
      </c>
      <c r="H306" s="18" t="str">
        <f>IFERROR(__xludf.DUMMYFUNCTION("""COMPUTED_VALUE"""),"Instagram_Feed")</f>
        <v>Instagram_Feed</v>
      </c>
      <c r="I306" s="18" t="str">
        <f>IFERROR(__xludf.DUMMYFUNCTION("""COMPUTED_VALUE"""),"07.04 [IMG] [AD04] Pedidos abertos")</f>
        <v>07.04 [IMG] [AD04] Pedidos abertos</v>
      </c>
      <c r="J306" s="18" t="str">
        <f>IFERROR(__xludf.DUMMYFUNCTION("""COMPUTED_VALUE"""),"22.04.2026 [V4] [WB] [LEADS-GRUPO-WHATS] 02")</f>
        <v>22.04.2026 [V4] [WB] [LEADS-GRUPO-WHATS] 02</v>
      </c>
      <c r="K306" s="19" t="str">
        <f t="shared" si="1"/>
        <v>2026-06-01</v>
      </c>
      <c r="L306" s="20">
        <f t="shared" si="2"/>
        <v>46174</v>
      </c>
      <c r="M306" s="19" t="str">
        <f t="shared" si="3"/>
        <v>73801446</v>
      </c>
      <c r="N306" s="19" t="str">
        <f>IFERROR(IF(VLOOKUP(M306,'Leads no grupo Saibai'!C:C,1,FALSE)=M306,"Sim"),"Não")</f>
        <v>Não</v>
      </c>
      <c r="O306" s="19"/>
    </row>
    <row r="307">
      <c r="A307" s="14" t="s">
        <v>1157</v>
      </c>
      <c r="B307" s="15" t="s">
        <v>1158</v>
      </c>
      <c r="C307" s="16">
        <v>1.1991243827E10</v>
      </c>
      <c r="D307" s="16" t="s">
        <v>1159</v>
      </c>
      <c r="E307" s="17" t="s">
        <v>1160</v>
      </c>
      <c r="F307" s="18" t="str">
        <f>IFERROR(__xludf.DUMMYFUNCTION("""COMPUTED_VALUE"""),"MetaAds")</f>
        <v>MetaAds</v>
      </c>
      <c r="G307" s="18" t="str">
        <f>IFERROR(__xludf.DUMMYFUNCTION("""COMPUTED_VALUE"""),"ADV - [IG] [FB] [30%2B] [SP METROPOLE] V%C3%81RIOS")</f>
        <v>ADV - [IG] [FB] [30%2B] [SP METROPOLE] V%C3%81RIOS</v>
      </c>
      <c r="H307" s="18" t="str">
        <f>IFERROR(__xludf.DUMMYFUNCTION("""COMPUTED_VALUE"""),"Threads_Feed")</f>
        <v>Threads_Feed</v>
      </c>
      <c r="I307" s="18" t="str">
        <f>IFERROR(__xludf.DUMMYFUNCTION("""COMPUTED_VALUE"""),"07.04 [IMG] [AD04] Pedidos abertos")</f>
        <v>07.04 [IMG] [AD04] Pedidos abertos</v>
      </c>
      <c r="J307" s="18" t="str">
        <f>IFERROR(__xludf.DUMMYFUNCTION("""COMPUTED_VALUE"""),"22.04.2026 [V4] [WB] [LEADS-GRUPO-WHATS] 02")</f>
        <v>22.04.2026 [V4] [WB] [LEADS-GRUPO-WHATS] 02</v>
      </c>
      <c r="K307" s="19" t="str">
        <f t="shared" si="1"/>
        <v>2026-06-01</v>
      </c>
      <c r="L307" s="20">
        <f t="shared" si="2"/>
        <v>46174</v>
      </c>
      <c r="M307" s="19" t="str">
        <f t="shared" si="3"/>
        <v>91243827</v>
      </c>
      <c r="N307" s="19" t="str">
        <f>IFERROR(IF(VLOOKUP(M307,'Leads no grupo Saibai'!C:C,1,FALSE)=M307,"Sim"),"Não")</f>
        <v>Sim</v>
      </c>
      <c r="O307" s="19"/>
    </row>
    <row r="308">
      <c r="A308" s="14" t="s">
        <v>1161</v>
      </c>
      <c r="B308" s="15" t="s">
        <v>1162</v>
      </c>
      <c r="C308" s="16">
        <v>1.1961960973E10</v>
      </c>
      <c r="D308" s="16" t="s">
        <v>1163</v>
      </c>
      <c r="E308" s="17" t="s">
        <v>1164</v>
      </c>
      <c r="F308" s="18" t="str">
        <f>IFERROR(__xludf.DUMMYFUNCTION("""COMPUTED_VALUE"""),"MetaAds")</f>
        <v>MetaAds</v>
      </c>
      <c r="G308" s="18" t="str">
        <f>IFERROR(__xludf.DUMMYFUNCTION("""COMPUTED_VALUE"""),"ADV - [IG] [FB] [30%2B] [SP METROPOLE] V%C3%81RIOS")</f>
        <v>ADV - [IG] [FB] [30%2B] [SP METROPOLE] V%C3%81RIOS</v>
      </c>
      <c r="H308" s="18" t="str">
        <f>IFERROR(__xludf.DUMMYFUNCTION("""COMPUTED_VALUE"""),"Facebook_Mobile_Feed")</f>
        <v>Facebook_Mobile_Feed</v>
      </c>
      <c r="I308" s="18" t="str">
        <f>IFERROR(__xludf.DUMMYFUNCTION("""COMPUTED_VALUE"""),"07.04 [IMG] [AD04] Pedidos abertos")</f>
        <v>07.04 [IMG] [AD04] Pedidos abertos</v>
      </c>
      <c r="J308" s="18" t="str">
        <f>IFERROR(__xludf.DUMMYFUNCTION("""COMPUTED_VALUE"""),"22.04.2026 [V4] [WB] [LEADS-GRUPO-WHATS] 02")</f>
        <v>22.04.2026 [V4] [WB] [LEADS-GRUPO-WHATS] 02</v>
      </c>
      <c r="K308" s="19" t="str">
        <f t="shared" si="1"/>
        <v>2026-06-01</v>
      </c>
      <c r="L308" s="20">
        <f t="shared" si="2"/>
        <v>46174</v>
      </c>
      <c r="M308" s="19" t="str">
        <f t="shared" si="3"/>
        <v>61960973</v>
      </c>
      <c r="N308" s="19" t="str">
        <f>IFERROR(IF(VLOOKUP(M308,'Leads no grupo Saibai'!C:C,1,FALSE)=M308,"Sim"),"Não")</f>
        <v>Sim</v>
      </c>
      <c r="O308" s="19"/>
    </row>
    <row r="309">
      <c r="A309" s="14" t="s">
        <v>1165</v>
      </c>
      <c r="B309" s="15" t="s">
        <v>1166</v>
      </c>
      <c r="C309" s="16">
        <v>1.199605809E10</v>
      </c>
      <c r="D309" s="16" t="s">
        <v>1167</v>
      </c>
      <c r="E309" s="17" t="s">
        <v>1168</v>
      </c>
      <c r="F309" s="18" t="str">
        <f>IFERROR(__xludf.DUMMYFUNCTION("""COMPUTED_VALUE"""),"MetaAds")</f>
        <v>MetaAds</v>
      </c>
      <c r="G309" s="18" t="str">
        <f>IFERROR(__xludf.DUMMYFUNCTION("""COMPUTED_VALUE"""),"ADV - [IG] [FB] [30%2B] [SP METROPOLE] V%C3%81RIOS")</f>
        <v>ADV - [IG] [FB] [30%2B] [SP METROPOLE] V%C3%81RIOS</v>
      </c>
      <c r="H309" s="18" t="str">
        <f>IFERROR(__xludf.DUMMYFUNCTION("""COMPUTED_VALUE"""),"Instagram_Stories")</f>
        <v>Instagram_Stories</v>
      </c>
      <c r="I309" s="18" t="str">
        <f>IFERROR(__xludf.DUMMYFUNCTION("""COMPUTED_VALUE"""),"07.04 [IMG] [AD04] Pedidos abertos")</f>
        <v>07.04 [IMG] [AD04] Pedidos abertos</v>
      </c>
      <c r="J309" s="18" t="str">
        <f>IFERROR(__xludf.DUMMYFUNCTION("""COMPUTED_VALUE"""),"22.04.2026 [V4] [WB] [LEADS-GRUPO-WHATS] 02")</f>
        <v>22.04.2026 [V4] [WB] [LEADS-GRUPO-WHATS] 02</v>
      </c>
      <c r="K309" s="19" t="str">
        <f t="shared" si="1"/>
        <v>2026-06-01</v>
      </c>
      <c r="L309" s="20">
        <f t="shared" si="2"/>
        <v>46174</v>
      </c>
      <c r="M309" s="19" t="str">
        <f t="shared" si="3"/>
        <v>96058090</v>
      </c>
      <c r="N309" s="19" t="str">
        <f>IFERROR(IF(VLOOKUP(M309,'Leads no grupo Saibai'!C:C,1,FALSE)=M309,"Sim"),"Não")</f>
        <v>Sim</v>
      </c>
      <c r="O309" s="19"/>
    </row>
    <row r="310">
      <c r="A310" s="14" t="s">
        <v>1169</v>
      </c>
      <c r="B310" s="15" t="s">
        <v>1170</v>
      </c>
      <c r="C310" s="16">
        <v>1.1974402909E10</v>
      </c>
      <c r="D310" s="16" t="s">
        <v>1171</v>
      </c>
      <c r="E310" s="17" t="s">
        <v>1172</v>
      </c>
      <c r="F310" s="18" t="str">
        <f>IFERROR(__xludf.DUMMYFUNCTION("""COMPUTED_VALUE"""),"MetaAds")</f>
        <v>MetaAds</v>
      </c>
      <c r="G310" s="18" t="str">
        <f>IFERROR(__xludf.DUMMYFUNCTION("""COMPUTED_VALUE"""),"ADV - [IG] [FB] [30%2B] [SP METROPOLE] V%C3%81RIOS")</f>
        <v>ADV - [IG] [FB] [30%2B] [SP METROPOLE] V%C3%81RIOS</v>
      </c>
      <c r="H310" s="18" t="str">
        <f>IFERROR(__xludf.DUMMYFUNCTION("""COMPUTED_VALUE"""),"Instagram_Feed")</f>
        <v>Instagram_Feed</v>
      </c>
      <c r="I310" s="18" t="str">
        <f>IFERROR(__xludf.DUMMYFUNCTION("""COMPUTED_VALUE"""),"07.04 [IMG] [AD04] Pedidos abertos")</f>
        <v>07.04 [IMG] [AD04] Pedidos abertos</v>
      </c>
      <c r="J310" s="18" t="str">
        <f>IFERROR(__xludf.DUMMYFUNCTION("""COMPUTED_VALUE"""),"22.04.2026 [V4] [WB] [LEADS-GRUPO-WHATS] 02")</f>
        <v>22.04.2026 [V4] [WB] [LEADS-GRUPO-WHATS] 02</v>
      </c>
      <c r="K310" s="19" t="str">
        <f t="shared" si="1"/>
        <v>2026-06-01</v>
      </c>
      <c r="L310" s="20">
        <f t="shared" si="2"/>
        <v>46174</v>
      </c>
      <c r="M310" s="19" t="str">
        <f t="shared" si="3"/>
        <v>74402909</v>
      </c>
      <c r="N310" s="19" t="str">
        <f>IFERROR(IF(VLOOKUP(M310,'Leads no grupo Saibai'!C:C,1,FALSE)=M310,"Sim"),"Não")</f>
        <v>Sim</v>
      </c>
      <c r="O310" s="19"/>
    </row>
    <row r="311">
      <c r="A311" s="14" t="s">
        <v>1173</v>
      </c>
      <c r="B311" s="15" t="s">
        <v>1174</v>
      </c>
      <c r="C311" s="16">
        <v>1.1917294176E10</v>
      </c>
      <c r="D311" s="16" t="s">
        <v>1175</v>
      </c>
      <c r="E311" s="17" t="s">
        <v>1176</v>
      </c>
      <c r="F311" s="18" t="str">
        <f>IFERROR(__xludf.DUMMYFUNCTION("""COMPUTED_VALUE"""),"MetaAds")</f>
        <v>MetaAds</v>
      </c>
      <c r="G311" s="18" t="str">
        <f>IFERROR(__xludf.DUMMYFUNCTION("""COMPUTED_VALUE"""),"ADV - [IG] [FB] [30%2B] [SP METROPOLE] V%C3%81RIOS")</f>
        <v>ADV - [IG] [FB] [30%2B] [SP METROPOLE] V%C3%81RIOS</v>
      </c>
      <c r="H311" s="18" t="str">
        <f>IFERROR(__xludf.DUMMYFUNCTION("""COMPUTED_VALUE"""),"Instagram_Stories")</f>
        <v>Instagram_Stories</v>
      </c>
      <c r="I311" s="18" t="str">
        <f>IFERROR(__xludf.DUMMYFUNCTION("""COMPUTED_VALUE"""),"07.04 [IMG] [AD04] Pedidos abertos")</f>
        <v>07.04 [IMG] [AD04] Pedidos abertos</v>
      </c>
      <c r="J311" s="18" t="str">
        <f>IFERROR(__xludf.DUMMYFUNCTION("""COMPUTED_VALUE"""),"22.04.2026 [V4] [WB] [LEADS-GRUPO-WHATS] 02")</f>
        <v>22.04.2026 [V4] [WB] [LEADS-GRUPO-WHATS] 02</v>
      </c>
      <c r="K311" s="19" t="str">
        <f t="shared" si="1"/>
        <v>2026-06-01</v>
      </c>
      <c r="L311" s="20">
        <f t="shared" si="2"/>
        <v>46174</v>
      </c>
      <c r="M311" s="19" t="str">
        <f t="shared" si="3"/>
        <v>17294176</v>
      </c>
      <c r="N311" s="19" t="str">
        <f>IFERROR(IF(VLOOKUP(M311,'Leads no grupo Saibai'!C:C,1,FALSE)=M311,"Sim"),"Não")</f>
        <v>Não</v>
      </c>
      <c r="O311" s="19"/>
    </row>
    <row r="312">
      <c r="A312" s="14" t="s">
        <v>1177</v>
      </c>
      <c r="B312" s="15" t="s">
        <v>1178</v>
      </c>
      <c r="C312" s="16">
        <v>5.5119878714E10</v>
      </c>
      <c r="D312" s="16" t="s">
        <v>1179</v>
      </c>
      <c r="E312" s="17" t="s">
        <v>1180</v>
      </c>
      <c r="F312" s="18" t="str">
        <f>IFERROR(__xludf.DUMMYFUNCTION("""COMPUTED_VALUE"""),"MetaAds")</f>
        <v>MetaAds</v>
      </c>
      <c r="G312" s="18" t="str">
        <f>IFERROR(__xludf.DUMMYFUNCTION("""COMPUTED_VALUE"""),"ADV - [IG] [FB] [30%2B] [SP METROPOLE] V%C3%81RIOS")</f>
        <v>ADV - [IG] [FB] [30%2B] [SP METROPOLE] V%C3%81RIOS</v>
      </c>
      <c r="H312" s="18" t="str">
        <f>IFERROR(__xludf.DUMMYFUNCTION("""COMPUTED_VALUE"""),"Instagram_Stories")</f>
        <v>Instagram_Stories</v>
      </c>
      <c r="I312" s="18" t="str">
        <f>IFERROR(__xludf.DUMMYFUNCTION("""COMPUTED_VALUE"""),"07.04 [IMG] [AD04] Pedidos abertos")</f>
        <v>07.04 [IMG] [AD04] Pedidos abertos</v>
      </c>
      <c r="J312" s="18" t="str">
        <f>IFERROR(__xludf.DUMMYFUNCTION("""COMPUTED_VALUE"""),"22.04.2026 [V4] [WB] [LEADS-GRUPO-WHATS] 02")</f>
        <v>22.04.2026 [V4] [WB] [LEADS-GRUPO-WHATS] 02</v>
      </c>
      <c r="K312" s="19" t="str">
        <f t="shared" si="1"/>
        <v>2026-06-02</v>
      </c>
      <c r="L312" s="20">
        <f t="shared" si="2"/>
        <v>46175</v>
      </c>
      <c r="M312" s="19" t="str">
        <f t="shared" si="3"/>
        <v>19878714</v>
      </c>
      <c r="N312" s="19" t="str">
        <f>IFERROR(IF(VLOOKUP(M312,'Leads no grupo Saibai'!C:C,1,FALSE)=M312,"Sim"),"Não")</f>
        <v>Não</v>
      </c>
      <c r="O312" s="19"/>
    </row>
    <row r="313">
      <c r="A313" s="14" t="s">
        <v>1181</v>
      </c>
      <c r="B313" s="15" t="s">
        <v>1182</v>
      </c>
      <c r="C313" s="16">
        <v>1.1991871043E10</v>
      </c>
      <c r="D313" s="16" t="s">
        <v>1183</v>
      </c>
      <c r="E313" s="17" t="s">
        <v>1184</v>
      </c>
      <c r="F313" s="18" t="str">
        <f>IFERROR(__xludf.DUMMYFUNCTION("""COMPUTED_VALUE"""),"MetaAds")</f>
        <v>MetaAds</v>
      </c>
      <c r="G313" s="18" t="str">
        <f>IFERROR(__xludf.DUMMYFUNCTION("""COMPUTED_VALUE"""),"ADV - [IG] [FB] [30%2B] [SP METROPOLE] V%C3%81RIOS")</f>
        <v>ADV - [IG] [FB] [30%2B] [SP METROPOLE] V%C3%81RIOS</v>
      </c>
      <c r="H313" s="18" t="str">
        <f>IFERROR(__xludf.DUMMYFUNCTION("""COMPUTED_VALUE"""),"Instagram_Feed")</f>
        <v>Instagram_Feed</v>
      </c>
      <c r="I313" s="18" t="str">
        <f>IFERROR(__xludf.DUMMYFUNCTION("""COMPUTED_VALUE"""),"07.04 [IMG] [AD04] Pedidos abertos")</f>
        <v>07.04 [IMG] [AD04] Pedidos abertos</v>
      </c>
      <c r="J313" s="18" t="str">
        <f>IFERROR(__xludf.DUMMYFUNCTION("""COMPUTED_VALUE"""),"22.04.2026 [V4] [WB] [LEADS-GRUPO-WHATS] 02")</f>
        <v>22.04.2026 [V4] [WB] [LEADS-GRUPO-WHATS] 02</v>
      </c>
      <c r="K313" s="19" t="str">
        <f t="shared" si="1"/>
        <v>2026-06-02</v>
      </c>
      <c r="L313" s="20">
        <f t="shared" si="2"/>
        <v>46175</v>
      </c>
      <c r="M313" s="19" t="str">
        <f t="shared" si="3"/>
        <v>91871043</v>
      </c>
      <c r="N313" s="19" t="str">
        <f>IFERROR(IF(VLOOKUP(M313,'Leads no grupo Saibai'!C:C,1,FALSE)=M313,"Sim"),"Não")</f>
        <v>Sim</v>
      </c>
      <c r="O313" s="19"/>
    </row>
    <row r="314">
      <c r="A314" s="14" t="s">
        <v>1185</v>
      </c>
      <c r="B314" s="15" t="s">
        <v>1186</v>
      </c>
      <c r="C314" s="16">
        <v>1.1996432331E10</v>
      </c>
      <c r="D314" s="16" t="s">
        <v>1187</v>
      </c>
      <c r="E314" s="17" t="s">
        <v>1188</v>
      </c>
      <c r="F314" s="18" t="str">
        <f>IFERROR(__xludf.DUMMYFUNCTION("""COMPUTED_VALUE"""),"MetaAds")</f>
        <v>MetaAds</v>
      </c>
      <c r="G314" s="18" t="str">
        <f>IFERROR(__xludf.DUMMYFUNCTION("""COMPUTED_VALUE"""),"ADV - [IG] [FB] [30%2B] [SP METROPOLE] V%C3%81RIOS")</f>
        <v>ADV - [IG] [FB] [30%2B] [SP METROPOLE] V%C3%81RIOS</v>
      </c>
      <c r="H314" s="18" t="str">
        <f>IFERROR(__xludf.DUMMYFUNCTION("""COMPUTED_VALUE"""),"Instagram_Feed")</f>
        <v>Instagram_Feed</v>
      </c>
      <c r="I314" s="18" t="str">
        <f>IFERROR(__xludf.DUMMYFUNCTION("""COMPUTED_VALUE"""),"07.04 [IMG] [AD04] Pedidos abertos")</f>
        <v>07.04 [IMG] [AD04] Pedidos abertos</v>
      </c>
      <c r="J314" s="18" t="str">
        <f>IFERROR(__xludf.DUMMYFUNCTION("""COMPUTED_VALUE"""),"22.04.2026 [V4] [WB] [LEADS-GRUPO-WHATS] 02")</f>
        <v>22.04.2026 [V4] [WB] [LEADS-GRUPO-WHATS] 02</v>
      </c>
      <c r="K314" s="19" t="str">
        <f t="shared" si="1"/>
        <v>2026-06-02</v>
      </c>
      <c r="L314" s="20">
        <f t="shared" si="2"/>
        <v>46175</v>
      </c>
      <c r="M314" s="19" t="str">
        <f t="shared" si="3"/>
        <v>96432331</v>
      </c>
      <c r="N314" s="19" t="str">
        <f>IFERROR(IF(VLOOKUP(M314,'Leads no grupo Saibai'!C:C,1,FALSE)=M314,"Sim"),"Não")</f>
        <v>Sim</v>
      </c>
      <c r="O314" s="19"/>
    </row>
    <row r="315">
      <c r="A315" s="14" t="s">
        <v>1189</v>
      </c>
      <c r="B315" s="15" t="s">
        <v>1190</v>
      </c>
      <c r="C315" s="16">
        <v>1.1992717148E10</v>
      </c>
      <c r="D315" s="16" t="s">
        <v>1191</v>
      </c>
      <c r="E315" s="17" t="s">
        <v>1192</v>
      </c>
      <c r="F315" s="18" t="str">
        <f>IFERROR(__xludf.DUMMYFUNCTION("""COMPUTED_VALUE"""),"MetaAds")</f>
        <v>MetaAds</v>
      </c>
      <c r="G315" s="18" t="str">
        <f>IFERROR(__xludf.DUMMYFUNCTION("""COMPUTED_VALUE"""),"ADV - [IG] [FB] [30%2B] [SP METROPOLE] V%C3%81RIOS")</f>
        <v>ADV - [IG] [FB] [30%2B] [SP METROPOLE] V%C3%81RIOS</v>
      </c>
      <c r="H315" s="18" t="str">
        <f>IFERROR(__xludf.DUMMYFUNCTION("""COMPUTED_VALUE"""),"Instagram_Stories")</f>
        <v>Instagram_Stories</v>
      </c>
      <c r="I315" s="18" t="str">
        <f>IFERROR(__xludf.DUMMYFUNCTION("""COMPUTED_VALUE"""),"07.04 [IMG] [AD04] Pedidos abertos")</f>
        <v>07.04 [IMG] [AD04] Pedidos abertos</v>
      </c>
      <c r="J315" s="18" t="str">
        <f>IFERROR(__xludf.DUMMYFUNCTION("""COMPUTED_VALUE"""),"22.04.2026 [V4] [WB] [LEADS-GRUPO-WHATS] 02")</f>
        <v>22.04.2026 [V4] [WB] [LEADS-GRUPO-WHATS] 02</v>
      </c>
      <c r="K315" s="19" t="str">
        <f t="shared" si="1"/>
        <v>2026-06-02</v>
      </c>
      <c r="L315" s="20">
        <f t="shared" si="2"/>
        <v>46175</v>
      </c>
      <c r="M315" s="19" t="str">
        <f t="shared" si="3"/>
        <v>92717148</v>
      </c>
      <c r="N315" s="19" t="str">
        <f>IFERROR(IF(VLOOKUP(M315,'Leads no grupo Saibai'!C:C,1,FALSE)=M315,"Sim"),"Não")</f>
        <v>Sim</v>
      </c>
      <c r="O315" s="19"/>
    </row>
    <row r="316">
      <c r="A316" s="14" t="s">
        <v>1193</v>
      </c>
      <c r="B316" s="15" t="s">
        <v>1194</v>
      </c>
      <c r="C316" s="16">
        <v>1.1983040404E10</v>
      </c>
      <c r="D316" s="16" t="s">
        <v>1195</v>
      </c>
      <c r="E316" s="17" t="s">
        <v>1196</v>
      </c>
      <c r="F316" s="18" t="str">
        <f>IFERROR(__xludf.DUMMYFUNCTION("""COMPUTED_VALUE"""),"MetaAds")</f>
        <v>MetaAds</v>
      </c>
      <c r="G316" s="18" t="str">
        <f>IFERROR(__xludf.DUMMYFUNCTION("""COMPUTED_VALUE"""),"ADV - [IG] [FB] [30%2B] [SP METROPOLE] V%C3%81RIOS")</f>
        <v>ADV - [IG] [FB] [30%2B] [SP METROPOLE] V%C3%81RIOS</v>
      </c>
      <c r="H316" s="18" t="str">
        <f>IFERROR(__xludf.DUMMYFUNCTION("""COMPUTED_VALUE"""),"Instagram_Stories")</f>
        <v>Instagram_Stories</v>
      </c>
      <c r="I316" s="18" t="str">
        <f>IFERROR(__xludf.DUMMYFUNCTION("""COMPUTED_VALUE"""),"07.04 [IMG] [AD04] Pedidos abertos")</f>
        <v>07.04 [IMG] [AD04] Pedidos abertos</v>
      </c>
      <c r="J316" s="18" t="str">
        <f>IFERROR(__xludf.DUMMYFUNCTION("""COMPUTED_VALUE"""),"22.04.2026 [V4] [WB] [LEADS-GRUPO-WHATS] 02")</f>
        <v>22.04.2026 [V4] [WB] [LEADS-GRUPO-WHATS] 02</v>
      </c>
      <c r="K316" s="19" t="str">
        <f t="shared" si="1"/>
        <v>2026-06-02</v>
      </c>
      <c r="L316" s="20">
        <f t="shared" si="2"/>
        <v>46175</v>
      </c>
      <c r="M316" s="19" t="str">
        <f t="shared" si="3"/>
        <v>83040404</v>
      </c>
      <c r="N316" s="19" t="str">
        <f>IFERROR(IF(VLOOKUP(M316,'Leads no grupo Saibai'!C:C,1,FALSE)=M316,"Sim"),"Não")</f>
        <v>Sim</v>
      </c>
      <c r="O316" s="19"/>
    </row>
    <row r="317">
      <c r="A317" s="14" t="s">
        <v>1197</v>
      </c>
      <c r="B317" s="15" t="s">
        <v>1198</v>
      </c>
      <c r="C317" s="16">
        <v>1.1991080095E10</v>
      </c>
      <c r="D317" s="16" t="s">
        <v>1199</v>
      </c>
      <c r="E317" s="17" t="s">
        <v>1200</v>
      </c>
      <c r="F317" s="18" t="str">
        <f>IFERROR(__xludf.DUMMYFUNCTION("""COMPUTED_VALUE"""),"MetaAds")</f>
        <v>MetaAds</v>
      </c>
      <c r="G317" s="18" t="str">
        <f>IFERROR(__xludf.DUMMYFUNCTION("""COMPUTED_VALUE"""),"ADV - [IG] [FB] [30%2B] [SP METROPOLE] V%C3%81RIOS")</f>
        <v>ADV - [IG] [FB] [30%2B] [SP METROPOLE] V%C3%81RIOS</v>
      </c>
      <c r="H317" s="18" t="str">
        <f>IFERROR(__xludf.DUMMYFUNCTION("""COMPUTED_VALUE"""),"Instagram_Feed")</f>
        <v>Instagram_Feed</v>
      </c>
      <c r="I317" s="18" t="str">
        <f>IFERROR(__xludf.DUMMYFUNCTION("""COMPUTED_VALUE"""),"07.04 [IMG] [AD04] Pedidos abertos")</f>
        <v>07.04 [IMG] [AD04] Pedidos abertos</v>
      </c>
      <c r="J317" s="18" t="str">
        <f>IFERROR(__xludf.DUMMYFUNCTION("""COMPUTED_VALUE"""),"22.04.2026 [V4] [WB] [LEADS-GRUPO-WHATS] 02")</f>
        <v>22.04.2026 [V4] [WB] [LEADS-GRUPO-WHATS] 02</v>
      </c>
      <c r="K317" s="19" t="str">
        <f t="shared" si="1"/>
        <v>2026-06-02</v>
      </c>
      <c r="L317" s="20">
        <f t="shared" si="2"/>
        <v>46175</v>
      </c>
      <c r="M317" s="19" t="str">
        <f t="shared" si="3"/>
        <v>91080095</v>
      </c>
      <c r="N317" s="19" t="str">
        <f>IFERROR(IF(VLOOKUP(M317,'Leads no grupo Saibai'!C:C,1,FALSE)=M317,"Sim"),"Não")</f>
        <v>Sim</v>
      </c>
      <c r="O317" s="19"/>
    </row>
    <row r="318">
      <c r="A318" s="14" t="s">
        <v>1201</v>
      </c>
      <c r="B318" s="15" t="s">
        <v>1202</v>
      </c>
      <c r="C318" s="16">
        <v>1.1984029823E10</v>
      </c>
      <c r="D318" s="16" t="s">
        <v>1203</v>
      </c>
      <c r="E318" s="17" t="s">
        <v>1204</v>
      </c>
      <c r="F318" s="18" t="str">
        <f>IFERROR(__xludf.DUMMYFUNCTION("""COMPUTED_VALUE"""),"MetaAds")</f>
        <v>MetaAds</v>
      </c>
      <c r="G318" s="18" t="str">
        <f>IFERROR(__xludf.DUMMYFUNCTION("""COMPUTED_VALUE"""),"ADV - [IG] [FB] [30%2B] [SP METROPOLE] V%C3%81RIOS")</f>
        <v>ADV - [IG] [FB] [30%2B] [SP METROPOLE] V%C3%81RIOS</v>
      </c>
      <c r="H318" s="18" t="str">
        <f>IFERROR(__xludf.DUMMYFUNCTION("""COMPUTED_VALUE"""),"Instagram_Stories")</f>
        <v>Instagram_Stories</v>
      </c>
      <c r="I318" s="18" t="str">
        <f>IFERROR(__xludf.DUMMYFUNCTION("""COMPUTED_VALUE"""),"07.04 [IMG] [AD04] Pedidos abertos")</f>
        <v>07.04 [IMG] [AD04] Pedidos abertos</v>
      </c>
      <c r="J318" s="18" t="str">
        <f>IFERROR(__xludf.DUMMYFUNCTION("""COMPUTED_VALUE"""),"22.04.2026 [V4] [WB] [LEADS-GRUPO-WHATS] 02")</f>
        <v>22.04.2026 [V4] [WB] [LEADS-GRUPO-WHATS] 02</v>
      </c>
      <c r="K318" s="19" t="str">
        <f t="shared" si="1"/>
        <v>2026-06-02</v>
      </c>
      <c r="L318" s="20">
        <f t="shared" si="2"/>
        <v>46175</v>
      </c>
      <c r="M318" s="19" t="str">
        <f t="shared" si="3"/>
        <v>84029823</v>
      </c>
      <c r="N318" s="19" t="str">
        <f>IFERROR(IF(VLOOKUP(M318,'Leads no grupo Saibai'!C:C,1,FALSE)=M318,"Sim"),"Não")</f>
        <v>Sim</v>
      </c>
      <c r="O318" s="19"/>
    </row>
    <row r="319">
      <c r="A319" s="14" t="s">
        <v>1205</v>
      </c>
      <c r="B319" s="15" t="s">
        <v>1206</v>
      </c>
      <c r="C319" s="16">
        <v>1.1947739323E10</v>
      </c>
      <c r="D319" s="16" t="s">
        <v>1207</v>
      </c>
      <c r="E319" s="17" t="s">
        <v>1208</v>
      </c>
      <c r="F319" s="18" t="str">
        <f>IFERROR(__xludf.DUMMYFUNCTION("""COMPUTED_VALUE"""),"MetaAds")</f>
        <v>MetaAds</v>
      </c>
      <c r="G319" s="18" t="str">
        <f>IFERROR(__xludf.DUMMYFUNCTION("""COMPUTED_VALUE"""),"ADV - [IG] [FB] [30%2B] [SP METROPOLE] V%C3%81RIOS")</f>
        <v>ADV - [IG] [FB] [30%2B] [SP METROPOLE] V%C3%81RIOS</v>
      </c>
      <c r="H319" s="18" t="str">
        <f>IFERROR(__xludf.DUMMYFUNCTION("""COMPUTED_VALUE"""),"Instagram_Stories")</f>
        <v>Instagram_Stories</v>
      </c>
      <c r="I319" s="18" t="str">
        <f>IFERROR(__xludf.DUMMYFUNCTION("""COMPUTED_VALUE"""),"07.04 [IMG] [AD04] Pedidos abertos")</f>
        <v>07.04 [IMG] [AD04] Pedidos abertos</v>
      </c>
      <c r="J319" s="18" t="str">
        <f>IFERROR(__xludf.DUMMYFUNCTION("""COMPUTED_VALUE"""),"22.04.2026 [V4] [WB] [LEADS-GRUPO-WHATS] 02")</f>
        <v>22.04.2026 [V4] [WB] [LEADS-GRUPO-WHATS] 02</v>
      </c>
      <c r="K319" s="19" t="str">
        <f t="shared" si="1"/>
        <v>2026-06-02</v>
      </c>
      <c r="L319" s="20">
        <f t="shared" si="2"/>
        <v>46175</v>
      </c>
      <c r="M319" s="19" t="str">
        <f t="shared" si="3"/>
        <v>47739323</v>
      </c>
      <c r="N319" s="19" t="str">
        <f>IFERROR(IF(VLOOKUP(M319,'Leads no grupo Saibai'!C:C,1,FALSE)=M319,"Sim"),"Não")</f>
        <v>Sim</v>
      </c>
      <c r="O319" s="19"/>
    </row>
    <row r="320">
      <c r="A320" s="14" t="s">
        <v>1209</v>
      </c>
      <c r="B320" s="15" t="s">
        <v>1210</v>
      </c>
      <c r="C320" s="16">
        <v>1.1982084361E10</v>
      </c>
      <c r="D320" s="16" t="s">
        <v>1211</v>
      </c>
      <c r="E320" s="17" t="s">
        <v>1212</v>
      </c>
      <c r="F320" s="18" t="str">
        <f>IFERROR(__xludf.DUMMYFUNCTION("""COMPUTED_VALUE"""),"MetaAds")</f>
        <v>MetaAds</v>
      </c>
      <c r="G320" s="18" t="str">
        <f>IFERROR(__xludf.DUMMYFUNCTION("""COMPUTED_VALUE"""),"ADV - [IG] [FB] [30%2B] [SP METROPOLE] V%C3%81RIOS")</f>
        <v>ADV - [IG] [FB] [30%2B] [SP METROPOLE] V%C3%81RIOS</v>
      </c>
      <c r="H320" s="18" t="str">
        <f>IFERROR(__xludf.DUMMYFUNCTION("""COMPUTED_VALUE"""),"Instagram_Stories")</f>
        <v>Instagram_Stories</v>
      </c>
      <c r="I320" s="18" t="str">
        <f>IFERROR(__xludf.DUMMYFUNCTION("""COMPUTED_VALUE"""),"07.04 [IMG] [AD04] Pedidos abertos")</f>
        <v>07.04 [IMG] [AD04] Pedidos abertos</v>
      </c>
      <c r="J320" s="18" t="str">
        <f>IFERROR(__xludf.DUMMYFUNCTION("""COMPUTED_VALUE"""),"22.04.2026 [V4] [WB] [LEADS-GRUPO-WHATS] 02")</f>
        <v>22.04.2026 [V4] [WB] [LEADS-GRUPO-WHATS] 02</v>
      </c>
      <c r="K320" s="19" t="str">
        <f t="shared" si="1"/>
        <v>2026-06-02</v>
      </c>
      <c r="L320" s="20">
        <f t="shared" si="2"/>
        <v>46175</v>
      </c>
      <c r="M320" s="19" t="str">
        <f t="shared" si="3"/>
        <v>82084361</v>
      </c>
      <c r="N320" s="19" t="str">
        <f>IFERROR(IF(VLOOKUP(M320,'Leads no grupo Saibai'!C:C,1,FALSE)=M320,"Sim"),"Não")</f>
        <v>Sim</v>
      </c>
      <c r="O320" s="19"/>
    </row>
    <row r="321">
      <c r="A321" s="14" t="s">
        <v>1213</v>
      </c>
      <c r="B321" s="15" t="s">
        <v>1214</v>
      </c>
      <c r="C321" s="16">
        <v>1.1998613196E10</v>
      </c>
      <c r="D321" s="16" t="s">
        <v>1215</v>
      </c>
      <c r="E321" s="17" t="s">
        <v>1216</v>
      </c>
      <c r="F321" s="18" t="str">
        <f>IFERROR(__xludf.DUMMYFUNCTION("""COMPUTED_VALUE"""),"MetaAds")</f>
        <v>MetaAds</v>
      </c>
      <c r="G321" s="18" t="str">
        <f>IFERROR(__xludf.DUMMYFUNCTION("""COMPUTED_VALUE"""),"ADV - [IG] [FB] [30%2B] [SP METROPOLE] V%C3%81RIOS")</f>
        <v>ADV - [IG] [FB] [30%2B] [SP METROPOLE] V%C3%81RIOS</v>
      </c>
      <c r="H321" s="18" t="str">
        <f>IFERROR(__xludf.DUMMYFUNCTION("""COMPUTED_VALUE"""),"Facebook_Mobile_Feed")</f>
        <v>Facebook_Mobile_Feed</v>
      </c>
      <c r="I321" s="18" t="str">
        <f>IFERROR(__xludf.DUMMYFUNCTION("""COMPUTED_VALUE"""),"07.04 [IMG] [AD04] Pedidos abertos")</f>
        <v>07.04 [IMG] [AD04] Pedidos abertos</v>
      </c>
      <c r="J321" s="18" t="str">
        <f>IFERROR(__xludf.DUMMYFUNCTION("""COMPUTED_VALUE"""),"22.04.2026 [V4] [WB] [LEADS-GRUPO-WHATS] 02")</f>
        <v>22.04.2026 [V4] [WB] [LEADS-GRUPO-WHATS] 02</v>
      </c>
      <c r="K321" s="19" t="str">
        <f t="shared" si="1"/>
        <v>2026-06-02</v>
      </c>
      <c r="L321" s="20">
        <f t="shared" si="2"/>
        <v>46175</v>
      </c>
      <c r="M321" s="19" t="str">
        <f t="shared" si="3"/>
        <v>98613196</v>
      </c>
      <c r="N321" s="19" t="str">
        <f>IFERROR(IF(VLOOKUP(M321,'Leads no grupo Saibai'!C:C,1,FALSE)=M321,"Sim"),"Não")</f>
        <v>Sim</v>
      </c>
      <c r="O321" s="19"/>
    </row>
    <row r="322">
      <c r="A322" s="14" t="s">
        <v>1217</v>
      </c>
      <c r="B322" s="15" t="s">
        <v>1218</v>
      </c>
      <c r="C322" s="16">
        <v>1.1985621917E10</v>
      </c>
      <c r="D322" s="16" t="s">
        <v>1219</v>
      </c>
      <c r="E322" s="17" t="s">
        <v>1220</v>
      </c>
      <c r="F322" s="18" t="str">
        <f>IFERROR(__xludf.DUMMYFUNCTION("""COMPUTED_VALUE"""),"MetaAds")</f>
        <v>MetaAds</v>
      </c>
      <c r="G322" s="18" t="str">
        <f>IFERROR(__xludf.DUMMYFUNCTION("""COMPUTED_VALUE"""),"ADV - [IG] [FB] [30%2B] [SP METROPOLE] V%C3%81RIOS")</f>
        <v>ADV - [IG] [FB] [30%2B] [SP METROPOLE] V%C3%81RIOS</v>
      </c>
      <c r="H322" s="18" t="str">
        <f>IFERROR(__xludf.DUMMYFUNCTION("""COMPUTED_VALUE"""),"Instagram_Stories")</f>
        <v>Instagram_Stories</v>
      </c>
      <c r="I322" s="18" t="str">
        <f>IFERROR(__xludf.DUMMYFUNCTION("""COMPUTED_VALUE"""),"07.04 [IMG] [AD04] Pedidos abertos")</f>
        <v>07.04 [IMG] [AD04] Pedidos abertos</v>
      </c>
      <c r="J322" s="18" t="str">
        <f>IFERROR(__xludf.DUMMYFUNCTION("""COMPUTED_VALUE"""),"22.04.2026 [V4] [WB] [LEADS-GRUPO-WHATS] 02")</f>
        <v>22.04.2026 [V4] [WB] [LEADS-GRUPO-WHATS] 02</v>
      </c>
      <c r="K322" s="19" t="str">
        <f t="shared" si="1"/>
        <v>2026-06-02</v>
      </c>
      <c r="L322" s="20">
        <f t="shared" si="2"/>
        <v>46175</v>
      </c>
      <c r="M322" s="19" t="str">
        <f t="shared" si="3"/>
        <v>85621917</v>
      </c>
      <c r="N322" s="19" t="str">
        <f>IFERROR(IF(VLOOKUP(M322,'Leads no grupo Saibai'!C:C,1,FALSE)=M322,"Sim"),"Não")</f>
        <v>Sim</v>
      </c>
      <c r="O322" s="19"/>
    </row>
    <row r="323">
      <c r="A323" s="14" t="s">
        <v>1221</v>
      </c>
      <c r="B323" s="15" t="s">
        <v>1222</v>
      </c>
      <c r="C323" s="16">
        <v>1.1971905393E10</v>
      </c>
      <c r="D323" s="16" t="s">
        <v>1223</v>
      </c>
      <c r="E323" s="17" t="s">
        <v>1220</v>
      </c>
      <c r="F323" s="18" t="str">
        <f>IFERROR(__xludf.DUMMYFUNCTION("""COMPUTED_VALUE"""),"MetaAds")</f>
        <v>MetaAds</v>
      </c>
      <c r="G323" s="18" t="str">
        <f>IFERROR(__xludf.DUMMYFUNCTION("""COMPUTED_VALUE"""),"ADV - [IG] [FB] [30%2B] [SP METROPOLE] V%C3%81RIOS")</f>
        <v>ADV - [IG] [FB] [30%2B] [SP METROPOLE] V%C3%81RIOS</v>
      </c>
      <c r="H323" s="18" t="str">
        <f>IFERROR(__xludf.DUMMYFUNCTION("""COMPUTED_VALUE"""),"Instagram_Stories")</f>
        <v>Instagram_Stories</v>
      </c>
      <c r="I323" s="18" t="str">
        <f>IFERROR(__xludf.DUMMYFUNCTION("""COMPUTED_VALUE"""),"07.04 [IMG] [AD04] Pedidos abertos")</f>
        <v>07.04 [IMG] [AD04] Pedidos abertos</v>
      </c>
      <c r="J323" s="18" t="str">
        <f>IFERROR(__xludf.DUMMYFUNCTION("""COMPUTED_VALUE"""),"22.04.2026 [V4] [WB] [LEADS-GRUPO-WHATS] 02")</f>
        <v>22.04.2026 [V4] [WB] [LEADS-GRUPO-WHATS] 02</v>
      </c>
      <c r="K323" s="19" t="str">
        <f t="shared" si="1"/>
        <v>2026-06-03</v>
      </c>
      <c r="L323" s="20">
        <f t="shared" si="2"/>
        <v>46176</v>
      </c>
      <c r="M323" s="19" t="str">
        <f t="shared" si="3"/>
        <v>71905393</v>
      </c>
      <c r="N323" s="19" t="str">
        <f>IFERROR(IF(VLOOKUP(M323,'Leads no grupo Saibai'!C:C,1,FALSE)=M323,"Sim"),"Não")</f>
        <v>Sim</v>
      </c>
      <c r="O323" s="19"/>
    </row>
    <row r="324">
      <c r="A324" s="14" t="s">
        <v>1224</v>
      </c>
      <c r="B324" s="15" t="s">
        <v>1225</v>
      </c>
      <c r="C324" s="16">
        <v>1.197249112E10</v>
      </c>
      <c r="D324" s="16" t="s">
        <v>1226</v>
      </c>
      <c r="E324" s="17" t="s">
        <v>1227</v>
      </c>
      <c r="F324" s="18" t="str">
        <f>IFERROR(__xludf.DUMMYFUNCTION("""COMPUTED_VALUE"""),"MetaAds")</f>
        <v>MetaAds</v>
      </c>
      <c r="G324" s="18" t="str">
        <f>IFERROR(__xludf.DUMMYFUNCTION("""COMPUTED_VALUE"""),"ADV - [IG] [FB] [30%2B] [SP METROPOLE] V%C3%81RIOS")</f>
        <v>ADV - [IG] [FB] [30%2B] [SP METROPOLE] V%C3%81RIOS</v>
      </c>
      <c r="H324" s="18" t="str">
        <f>IFERROR(__xludf.DUMMYFUNCTION("""COMPUTED_VALUE"""),"Facebook_Mobile_Feed")</f>
        <v>Facebook_Mobile_Feed</v>
      </c>
      <c r="I324" s="18" t="str">
        <f>IFERROR(__xludf.DUMMYFUNCTION("""COMPUTED_VALUE"""),"07.04 [IMG] [AD04] Pedidos abertos")</f>
        <v>07.04 [IMG] [AD04] Pedidos abertos</v>
      </c>
      <c r="J324" s="18" t="str">
        <f>IFERROR(__xludf.DUMMYFUNCTION("""COMPUTED_VALUE"""),"22.04.2026 [V4] [WB] [LEADS-GRUPO-WHATS] 02")</f>
        <v>22.04.2026 [V4] [WB] [LEADS-GRUPO-WHATS] 02</v>
      </c>
      <c r="K324" s="19" t="str">
        <f t="shared" si="1"/>
        <v>2026-06-03</v>
      </c>
      <c r="L324" s="20">
        <f t="shared" si="2"/>
        <v>46176</v>
      </c>
      <c r="M324" s="19" t="str">
        <f t="shared" si="3"/>
        <v>72491120</v>
      </c>
      <c r="N324" s="19" t="str">
        <f>IFERROR(IF(VLOOKUP(M324,'Leads no grupo Saibai'!C:C,1,FALSE)=M324,"Sim"),"Não")</f>
        <v>Sim</v>
      </c>
      <c r="O324" s="19"/>
    </row>
    <row r="325">
      <c r="A325" s="14" t="s">
        <v>1228</v>
      </c>
      <c r="B325" s="15" t="s">
        <v>1229</v>
      </c>
      <c r="C325" s="16">
        <v>1.1952234182E10</v>
      </c>
      <c r="D325" s="16" t="s">
        <v>1230</v>
      </c>
      <c r="E325" s="17" t="s">
        <v>1231</v>
      </c>
      <c r="F325" s="18" t="str">
        <f>IFERROR(__xludf.DUMMYFUNCTION("""COMPUTED_VALUE"""),"MetaAds")</f>
        <v>MetaAds</v>
      </c>
      <c r="G325" s="18" t="str">
        <f>IFERROR(__xludf.DUMMYFUNCTION("""COMPUTED_VALUE"""),"ADV - [IG] [FB] [30%2B] [SP METROPOLE] V%C3%81RIOS")</f>
        <v>ADV - [IG] [FB] [30%2B] [SP METROPOLE] V%C3%81RIOS</v>
      </c>
      <c r="H325" s="18" t="str">
        <f>IFERROR(__xludf.DUMMYFUNCTION("""COMPUTED_VALUE"""),"Instagram_Stories")</f>
        <v>Instagram_Stories</v>
      </c>
      <c r="I325" s="18" t="str">
        <f>IFERROR(__xludf.DUMMYFUNCTION("""COMPUTED_VALUE"""),"07.04 [IMG] [AD04] Pedidos abertos")</f>
        <v>07.04 [IMG] [AD04] Pedidos abertos</v>
      </c>
      <c r="J325" s="18" t="str">
        <f>IFERROR(__xludf.DUMMYFUNCTION("""COMPUTED_VALUE"""),"22.04.2026 [V4] [WB] [LEADS-GRUPO-WHATS] 02")</f>
        <v>22.04.2026 [V4] [WB] [LEADS-GRUPO-WHATS] 02</v>
      </c>
      <c r="K325" s="19" t="str">
        <f t="shared" si="1"/>
        <v>2026-06-03</v>
      </c>
      <c r="L325" s="20">
        <f t="shared" si="2"/>
        <v>46176</v>
      </c>
      <c r="M325" s="19" t="str">
        <f t="shared" si="3"/>
        <v>52234182</v>
      </c>
      <c r="N325" s="19" t="str">
        <f>IFERROR(IF(VLOOKUP(M325,'Leads no grupo Saibai'!C:C,1,FALSE)=M325,"Sim"),"Não")</f>
        <v>Sim</v>
      </c>
      <c r="O325" s="19"/>
    </row>
    <row r="326">
      <c r="A326" s="14" t="s">
        <v>1232</v>
      </c>
      <c r="B326" s="15" t="s">
        <v>367</v>
      </c>
      <c r="C326" s="16">
        <v>1.1964128289E10</v>
      </c>
      <c r="D326" s="16" t="s">
        <v>368</v>
      </c>
      <c r="E326" s="17" t="s">
        <v>1220</v>
      </c>
      <c r="F326" s="18" t="str">
        <f>IFERROR(__xludf.DUMMYFUNCTION("""COMPUTED_VALUE"""),"MetaAds")</f>
        <v>MetaAds</v>
      </c>
      <c r="G326" s="18" t="str">
        <f>IFERROR(__xludf.DUMMYFUNCTION("""COMPUTED_VALUE"""),"ADV - [IG] [FB] [30%2B] [SP METROPOLE] V%C3%81RIOS")</f>
        <v>ADV - [IG] [FB] [30%2B] [SP METROPOLE] V%C3%81RIOS</v>
      </c>
      <c r="H326" s="18" t="str">
        <f>IFERROR(__xludf.DUMMYFUNCTION("""COMPUTED_VALUE"""),"Instagram_Stories")</f>
        <v>Instagram_Stories</v>
      </c>
      <c r="I326" s="18" t="str">
        <f>IFERROR(__xludf.DUMMYFUNCTION("""COMPUTED_VALUE"""),"07.04 [IMG] [AD04] Pedidos abertos")</f>
        <v>07.04 [IMG] [AD04] Pedidos abertos</v>
      </c>
      <c r="J326" s="18" t="str">
        <f>IFERROR(__xludf.DUMMYFUNCTION("""COMPUTED_VALUE"""),"22.04.2026 [V4] [WB] [LEADS-GRUPO-WHATS] 02")</f>
        <v>22.04.2026 [V4] [WB] [LEADS-GRUPO-WHATS] 02</v>
      </c>
      <c r="K326" s="19" t="str">
        <f t="shared" si="1"/>
        <v>2026-06-03</v>
      </c>
      <c r="L326" s="20">
        <f t="shared" si="2"/>
        <v>46176</v>
      </c>
      <c r="M326" s="19" t="str">
        <f t="shared" si="3"/>
        <v>64128289</v>
      </c>
      <c r="N326" s="19" t="str">
        <f>IFERROR(IF(VLOOKUP(M326,'Leads no grupo Saibai'!C:C,1,FALSE)=M326,"Sim"),"Não")</f>
        <v>Sim</v>
      </c>
      <c r="O326" s="19"/>
    </row>
    <row r="327">
      <c r="A327" s="14" t="s">
        <v>1233</v>
      </c>
      <c r="B327" s="15" t="s">
        <v>1234</v>
      </c>
      <c r="C327" s="16">
        <v>1.1982728525E10</v>
      </c>
      <c r="D327" s="16" t="s">
        <v>1235</v>
      </c>
      <c r="E327" s="17" t="s">
        <v>1236</v>
      </c>
      <c r="F327" s="18" t="str">
        <f>IFERROR(__xludf.DUMMYFUNCTION("""COMPUTED_VALUE"""),"MetaAds")</f>
        <v>MetaAds</v>
      </c>
      <c r="G327" s="18" t="str">
        <f>IFERROR(__xludf.DUMMYFUNCTION("""COMPUTED_VALUE"""),"ADV - [IG] [FB] [30%2B] [SP METROPOLE] V%C3%81RIOS")</f>
        <v>ADV - [IG] [FB] [30%2B] [SP METROPOLE] V%C3%81RIOS</v>
      </c>
      <c r="H327" s="18" t="str">
        <f>IFERROR(__xludf.DUMMYFUNCTION("""COMPUTED_VALUE"""),"Instagram_Feed")</f>
        <v>Instagram_Feed</v>
      </c>
      <c r="I327" s="18" t="str">
        <f>IFERROR(__xludf.DUMMYFUNCTION("""COMPUTED_VALUE"""),"07.04 [IMG] [AD04] Pedidos abertos")</f>
        <v>07.04 [IMG] [AD04] Pedidos abertos</v>
      </c>
      <c r="J327" s="18" t="str">
        <f>IFERROR(__xludf.DUMMYFUNCTION("""COMPUTED_VALUE"""),"22.04.2026 [V4] [WB] [LEADS-GRUPO-WHATS] 02")</f>
        <v>22.04.2026 [V4] [WB] [LEADS-GRUPO-WHATS] 02</v>
      </c>
      <c r="K327" s="19" t="str">
        <f t="shared" si="1"/>
        <v>2026-06-03</v>
      </c>
      <c r="L327" s="20">
        <f t="shared" si="2"/>
        <v>46176</v>
      </c>
      <c r="M327" s="19" t="str">
        <f t="shared" si="3"/>
        <v>82728525</v>
      </c>
      <c r="N327" s="19" t="str">
        <f>IFERROR(IF(VLOOKUP(M327,'Leads no grupo Saibai'!C:C,1,FALSE)=M327,"Sim"),"Não")</f>
        <v>Não</v>
      </c>
      <c r="O327" s="19"/>
    </row>
    <row r="328">
      <c r="A328" s="14" t="s">
        <v>1237</v>
      </c>
      <c r="B328" s="15" t="s">
        <v>1238</v>
      </c>
      <c r="C328" s="16">
        <v>1.1982828058E10</v>
      </c>
      <c r="D328" s="16" t="s">
        <v>1239</v>
      </c>
      <c r="E328" s="17" t="s">
        <v>1240</v>
      </c>
      <c r="F328" s="18" t="str">
        <f>IFERROR(__xludf.DUMMYFUNCTION("""COMPUTED_VALUE"""),"MetaAds")</f>
        <v>MetaAds</v>
      </c>
      <c r="G328" s="18" t="str">
        <f>IFERROR(__xludf.DUMMYFUNCTION("""COMPUTED_VALUE"""),"ADV - [IG] [FB] [30%2B] [SP METROPOLE] V%C3%81RIOS")</f>
        <v>ADV - [IG] [FB] [30%2B] [SP METROPOLE] V%C3%81RIOS</v>
      </c>
      <c r="H328" s="18" t="str">
        <f>IFERROR(__xludf.DUMMYFUNCTION("""COMPUTED_VALUE"""),"Instagram_Feed")</f>
        <v>Instagram_Feed</v>
      </c>
      <c r="I328" s="18" t="str">
        <f>IFERROR(__xludf.DUMMYFUNCTION("""COMPUTED_VALUE"""),"07.04 [IMG] [AD04] Pedidos abertos")</f>
        <v>07.04 [IMG] [AD04] Pedidos abertos</v>
      </c>
      <c r="J328" s="18" t="str">
        <f>IFERROR(__xludf.DUMMYFUNCTION("""COMPUTED_VALUE"""),"22.04.2026 [V4] [WB] [LEADS-GRUPO-WHATS] 02")</f>
        <v>22.04.2026 [V4] [WB] [LEADS-GRUPO-WHATS] 02</v>
      </c>
      <c r="K328" s="19"/>
      <c r="L328" s="19"/>
      <c r="M328" s="19"/>
      <c r="N328" s="19"/>
      <c r="O328" s="19"/>
    </row>
    <row r="329">
      <c r="A329" s="14" t="s">
        <v>1241</v>
      </c>
      <c r="B329" s="15" t="s">
        <v>1242</v>
      </c>
      <c r="C329" s="16">
        <v>1.199509681E10</v>
      </c>
      <c r="D329" s="16" t="s">
        <v>1243</v>
      </c>
      <c r="E329" s="17" t="s">
        <v>1244</v>
      </c>
      <c r="F329" s="18" t="str">
        <f>IFERROR(__xludf.DUMMYFUNCTION("""COMPUTED_VALUE"""),"MetaAds")</f>
        <v>MetaAds</v>
      </c>
      <c r="G329" s="18" t="str">
        <f>IFERROR(__xludf.DUMMYFUNCTION("""COMPUTED_VALUE"""),"ADV - [IG] [FB] [30%2B] [SP METROPOLE] V%C3%81RIOS")</f>
        <v>ADV - [IG] [FB] [30%2B] [SP METROPOLE] V%C3%81RIOS</v>
      </c>
      <c r="H329" s="18" t="str">
        <f>IFERROR(__xludf.DUMMYFUNCTION("""COMPUTED_VALUE"""),"Instagram_Feed")</f>
        <v>Instagram_Feed</v>
      </c>
      <c r="I329" s="18" t="str">
        <f>IFERROR(__xludf.DUMMYFUNCTION("""COMPUTED_VALUE"""),"07.04 [IMG] [AD04] Pedidos abertos")</f>
        <v>07.04 [IMG] [AD04] Pedidos abertos</v>
      </c>
      <c r="J329" s="18" t="str">
        <f>IFERROR(__xludf.DUMMYFUNCTION("""COMPUTED_VALUE"""),"22.04.2026 [V4] [WB] [LEADS-GRUPO-WHATS] 02")</f>
        <v>22.04.2026 [V4] [WB] [LEADS-GRUPO-WHATS] 02</v>
      </c>
      <c r="K329" s="19"/>
      <c r="L329" s="19"/>
      <c r="M329" s="19"/>
      <c r="N329" s="19"/>
      <c r="O329" s="19"/>
    </row>
    <row r="330">
      <c r="A330" s="14" t="s">
        <v>1245</v>
      </c>
      <c r="B330" s="15" t="s">
        <v>1246</v>
      </c>
      <c r="C330" s="16">
        <v>1.1992670307E10</v>
      </c>
      <c r="D330" s="16" t="s">
        <v>1247</v>
      </c>
      <c r="E330" s="17" t="s">
        <v>1248</v>
      </c>
      <c r="F330" s="18" t="str">
        <f>IFERROR(__xludf.DUMMYFUNCTION("""COMPUTED_VALUE"""),"MetaAds")</f>
        <v>MetaAds</v>
      </c>
      <c r="G330" s="18" t="str">
        <f>IFERROR(__xludf.DUMMYFUNCTION("""COMPUTED_VALUE"""),"ADV - [IG] [FB] [30%2B] [SP METROPOLE] V%C3%81RIOS")</f>
        <v>ADV - [IG] [FB] [30%2B] [SP METROPOLE] V%C3%81RIOS</v>
      </c>
      <c r="H330" s="18" t="str">
        <f>IFERROR(__xludf.DUMMYFUNCTION("""COMPUTED_VALUE"""),"Facebook_Mobile_Feed")</f>
        <v>Facebook_Mobile_Feed</v>
      </c>
      <c r="I330" s="18" t="str">
        <f>IFERROR(__xludf.DUMMYFUNCTION("""COMPUTED_VALUE"""),"07.04 [IMG] [AD04] Pedidos abertos")</f>
        <v>07.04 [IMG] [AD04] Pedidos abertos</v>
      </c>
      <c r="J330" s="18" t="str">
        <f>IFERROR(__xludf.DUMMYFUNCTION("""COMPUTED_VALUE"""),"22.04.2026 [V4] [WB] [LEADS-GRUPO-WHATS] 02")</f>
        <v>22.04.2026 [V4] [WB] [LEADS-GRUPO-WHATS] 02</v>
      </c>
      <c r="K330" s="19"/>
      <c r="L330" s="19"/>
      <c r="M330" s="19"/>
      <c r="N330" s="19"/>
      <c r="O330" s="19"/>
    </row>
    <row r="331">
      <c r="A331" s="14" t="s">
        <v>1249</v>
      </c>
      <c r="B331" s="15" t="s">
        <v>1250</v>
      </c>
      <c r="C331" s="16">
        <v>5.5119547263E10</v>
      </c>
      <c r="D331" s="16" t="s">
        <v>1251</v>
      </c>
      <c r="E331" s="17" t="s">
        <v>1252</v>
      </c>
      <c r="F331" s="18" t="str">
        <f>IFERROR(__xludf.DUMMYFUNCTION("""COMPUTED_VALUE"""),"MetaAds")</f>
        <v>MetaAds</v>
      </c>
      <c r="G331" s="18" t="str">
        <f>IFERROR(__xludf.DUMMYFUNCTION("""COMPUTED_VALUE"""),"ADV - [IG] [FB] [30%2B] [SP METROPOLE] V%C3%81RIOS")</f>
        <v>ADV - [IG] [FB] [30%2B] [SP METROPOLE] V%C3%81RIOS</v>
      </c>
      <c r="H331" s="18" t="str">
        <f>IFERROR(__xludf.DUMMYFUNCTION("""COMPUTED_VALUE"""),"Facebook_Mobile_Reels")</f>
        <v>Facebook_Mobile_Reels</v>
      </c>
      <c r="I331" s="18" t="str">
        <f>IFERROR(__xludf.DUMMYFUNCTION("""COMPUTED_VALUE"""),"07.04 [IMG] [AD04] Pedidos abertos")</f>
        <v>07.04 [IMG] [AD04] Pedidos abertos</v>
      </c>
      <c r="J331" s="18" t="str">
        <f>IFERROR(__xludf.DUMMYFUNCTION("""COMPUTED_VALUE"""),"22.04.2026 [V4] [WB] [LEADS-GRUPO-WHATS] 02")</f>
        <v>22.04.2026 [V4] [WB] [LEADS-GRUPO-WHATS] 02</v>
      </c>
      <c r="K331" s="19"/>
      <c r="L331" s="19"/>
      <c r="M331" s="19"/>
      <c r="N331" s="19"/>
      <c r="O331" s="19"/>
    </row>
    <row r="332">
      <c r="A332" s="14" t="s">
        <v>1253</v>
      </c>
      <c r="B332" s="15" t="s">
        <v>1254</v>
      </c>
      <c r="C332" s="16">
        <v>1.1999630472E10</v>
      </c>
      <c r="D332" s="16" t="s">
        <v>1255</v>
      </c>
      <c r="E332" s="17" t="s">
        <v>1256</v>
      </c>
      <c r="F332" s="18" t="str">
        <f>IFERROR(__xludf.DUMMYFUNCTION("""COMPUTED_VALUE"""),"MetaAds")</f>
        <v>MetaAds</v>
      </c>
      <c r="G332" s="18" t="str">
        <f>IFERROR(__xludf.DUMMYFUNCTION("""COMPUTED_VALUE"""),"ADV - [IG] [FB] [30%2B] [SP METROPOLE] V%C3%81RIOS")</f>
        <v>ADV - [IG] [FB] [30%2B] [SP METROPOLE] V%C3%81RIOS</v>
      </c>
      <c r="H332" s="18" t="str">
        <f>IFERROR(__xludf.DUMMYFUNCTION("""COMPUTED_VALUE"""),"Instagram_Stories")</f>
        <v>Instagram_Stories</v>
      </c>
      <c r="I332" s="18" t="str">
        <f>IFERROR(__xludf.DUMMYFUNCTION("""COMPUTED_VALUE"""),"07.04 [IMG] [AD04] Pedidos abertos")</f>
        <v>07.04 [IMG] [AD04] Pedidos abertos</v>
      </c>
      <c r="J332" s="18" t="str">
        <f>IFERROR(__xludf.DUMMYFUNCTION("""COMPUTED_VALUE"""),"22.04.2026 [V4] [WB] [LEADS-GRUPO-WHATS] 02")</f>
        <v>22.04.2026 [V4] [WB] [LEADS-GRUPO-WHATS] 02</v>
      </c>
      <c r="K332" s="19"/>
      <c r="L332" s="19"/>
      <c r="M332" s="19"/>
      <c r="N332" s="19"/>
      <c r="O332" s="19"/>
    </row>
    <row r="333">
      <c r="A333" s="14" t="s">
        <v>1257</v>
      </c>
      <c r="B333" s="15" t="s">
        <v>1258</v>
      </c>
      <c r="C333" s="16">
        <v>1.1993752884E10</v>
      </c>
      <c r="D333" s="16" t="s">
        <v>1259</v>
      </c>
      <c r="E333" s="17" t="s">
        <v>1260</v>
      </c>
      <c r="F333" s="18" t="str">
        <f>IFERROR(__xludf.DUMMYFUNCTION("""COMPUTED_VALUE"""),"MetaAds")</f>
        <v>MetaAds</v>
      </c>
      <c r="G333" s="18" t="str">
        <f>IFERROR(__xludf.DUMMYFUNCTION("""COMPUTED_VALUE"""),"ADV - [IG] [FB] [30%2B] [SP METROPOLE] V%C3%81RIOS")</f>
        <v>ADV - [IG] [FB] [30%2B] [SP METROPOLE] V%C3%81RIOS</v>
      </c>
      <c r="H333" s="18" t="str">
        <f>IFERROR(__xludf.DUMMYFUNCTION("""COMPUTED_VALUE"""),"Instagram_Stories")</f>
        <v>Instagram_Stories</v>
      </c>
      <c r="I333" s="18" t="str">
        <f>IFERROR(__xludf.DUMMYFUNCTION("""COMPUTED_VALUE"""),"07.04 [IMG] [AD04] Pedidos abertos")</f>
        <v>07.04 [IMG] [AD04] Pedidos abertos</v>
      </c>
      <c r="J333" s="18" t="str">
        <f>IFERROR(__xludf.DUMMYFUNCTION("""COMPUTED_VALUE"""),"22.04.2026 [V4] [WB] [LEADS-GRUPO-WHATS] 02")</f>
        <v>22.04.2026 [V4] [WB] [LEADS-GRUPO-WHATS] 02</v>
      </c>
      <c r="K333" s="19"/>
      <c r="L333" s="19"/>
      <c r="M333" s="19"/>
      <c r="N333" s="19"/>
      <c r="O333" s="19"/>
    </row>
    <row r="334">
      <c r="A334" s="14" t="s">
        <v>1261</v>
      </c>
      <c r="B334" s="15" t="s">
        <v>1262</v>
      </c>
      <c r="C334" s="16">
        <v>1.1997570802E10</v>
      </c>
      <c r="D334" s="16" t="s">
        <v>1263</v>
      </c>
      <c r="E334" s="17" t="s">
        <v>1264</v>
      </c>
      <c r="F334" s="18" t="str">
        <f>IFERROR(__xludf.DUMMYFUNCTION("""COMPUTED_VALUE"""),"MetaAds")</f>
        <v>MetaAds</v>
      </c>
      <c r="G334" s="18" t="str">
        <f>IFERROR(__xludf.DUMMYFUNCTION("""COMPUTED_VALUE"""),"ADV - [IG] [FB] [30%2B] [SP METROPOLE] V%C3%81RIOS")</f>
        <v>ADV - [IG] [FB] [30%2B] [SP METROPOLE] V%C3%81RIOS</v>
      </c>
      <c r="H334" s="18" t="str">
        <f>IFERROR(__xludf.DUMMYFUNCTION("""COMPUTED_VALUE"""),"Instagram_Reels")</f>
        <v>Instagram_Reels</v>
      </c>
      <c r="I334" s="18" t="str">
        <f>IFERROR(__xludf.DUMMYFUNCTION("""COMPUTED_VALUE"""),"07.04 [IMG] [AD04] Pedidos abertos")</f>
        <v>07.04 [IMG] [AD04] Pedidos abertos</v>
      </c>
      <c r="J334" s="18" t="str">
        <f>IFERROR(__xludf.DUMMYFUNCTION("""COMPUTED_VALUE"""),"22.04.2026 [V4] [WB] [LEADS-GRUPO-WHATS] 02")</f>
        <v>22.04.2026 [V4] [WB] [LEADS-GRUPO-WHATS] 02</v>
      </c>
      <c r="K334" s="19"/>
      <c r="L334" s="19"/>
      <c r="M334" s="19"/>
      <c r="N334" s="19"/>
      <c r="O334" s="19"/>
    </row>
    <row r="335">
      <c r="A335" s="14" t="s">
        <v>1265</v>
      </c>
      <c r="B335" s="15" t="s">
        <v>1266</v>
      </c>
      <c r="C335" s="16">
        <v>1.1996665589E10</v>
      </c>
      <c r="D335" s="16" t="s">
        <v>1267</v>
      </c>
      <c r="E335" s="17" t="s">
        <v>1268</v>
      </c>
      <c r="F335" s="18" t="str">
        <f>IFERROR(__xludf.DUMMYFUNCTION("""COMPUTED_VALUE"""),"MetaAds")</f>
        <v>MetaAds</v>
      </c>
      <c r="G335" s="18" t="str">
        <f>IFERROR(__xludf.DUMMYFUNCTION("""COMPUTED_VALUE"""),"ADV - [IG] [FB] [30%2B] [SP METROPOLE] V%C3%81RIOS")</f>
        <v>ADV - [IG] [FB] [30%2B] [SP METROPOLE] V%C3%81RIOS</v>
      </c>
      <c r="H335" s="18" t="str">
        <f>IFERROR(__xludf.DUMMYFUNCTION("""COMPUTED_VALUE"""),"Instagram_Feed")</f>
        <v>Instagram_Feed</v>
      </c>
      <c r="I335" s="18" t="str">
        <f>IFERROR(__xludf.DUMMYFUNCTION("""COMPUTED_VALUE"""),"07.04 [IMG] [AD04] Pedidos abertos")</f>
        <v>07.04 [IMG] [AD04] Pedidos abertos</v>
      </c>
      <c r="J335" s="18" t="str">
        <f>IFERROR(__xludf.DUMMYFUNCTION("""COMPUTED_VALUE"""),"22.04.2026 [V4] [WB] [LEADS-GRUPO-WHATS] 02")</f>
        <v>22.04.2026 [V4] [WB] [LEADS-GRUPO-WHATS] 02</v>
      </c>
      <c r="K335" s="19"/>
      <c r="L335" s="19"/>
      <c r="M335" s="19"/>
      <c r="N335" s="19"/>
      <c r="O335" s="19"/>
    </row>
    <row r="336">
      <c r="A336" s="14" t="s">
        <v>1269</v>
      </c>
      <c r="B336" s="15" t="s">
        <v>1270</v>
      </c>
      <c r="C336" s="16">
        <v>5.5119966655E10</v>
      </c>
      <c r="D336" s="16" t="s">
        <v>1267</v>
      </c>
      <c r="E336" s="17" t="s">
        <v>1271</v>
      </c>
      <c r="F336" s="18" t="str">
        <f>IFERROR(__xludf.DUMMYFUNCTION("""COMPUTED_VALUE"""),"MetaAds")</f>
        <v>MetaAds</v>
      </c>
      <c r="G336" s="18" t="str">
        <f>IFERROR(__xludf.DUMMYFUNCTION("""COMPUTED_VALUE"""),"ADV - [IG] [FB] [30%2B] [SP METROPOLE] V%C3%81RIOS")</f>
        <v>ADV - [IG] [FB] [30%2B] [SP METROPOLE] V%C3%81RIOS</v>
      </c>
      <c r="H336" s="18" t="str">
        <f>IFERROR(__xludf.DUMMYFUNCTION("""COMPUTED_VALUE"""),"Instagram_Feed")</f>
        <v>Instagram_Feed</v>
      </c>
      <c r="I336" s="18" t="str">
        <f>IFERROR(__xludf.DUMMYFUNCTION("""COMPUTED_VALUE"""),"07.04 [IMG] [AD04] Pedidos abertos")</f>
        <v>07.04 [IMG] [AD04] Pedidos abertos</v>
      </c>
      <c r="J336" s="18" t="str">
        <f>IFERROR(__xludf.DUMMYFUNCTION("""COMPUTED_VALUE"""),"22.04.2026 [V4] [WB] [LEADS-GRUPO-WHATS] 02")</f>
        <v>22.04.2026 [V4] [WB] [LEADS-GRUPO-WHATS] 02</v>
      </c>
      <c r="K336" s="19"/>
      <c r="L336" s="19"/>
      <c r="M336" s="19"/>
      <c r="N336" s="19"/>
      <c r="O336" s="19"/>
    </row>
    <row r="337">
      <c r="A337" s="14" t="s">
        <v>1272</v>
      </c>
      <c r="B337" s="15" t="s">
        <v>1270</v>
      </c>
      <c r="C337" s="16">
        <v>5.5119966655E10</v>
      </c>
      <c r="D337" s="16" t="s">
        <v>1267</v>
      </c>
      <c r="E337" s="17" t="s">
        <v>1271</v>
      </c>
      <c r="F337" s="18" t="str">
        <f>IFERROR(__xludf.DUMMYFUNCTION("""COMPUTED_VALUE"""),"MetaAds")</f>
        <v>MetaAds</v>
      </c>
      <c r="G337" s="18" t="str">
        <f>IFERROR(__xludf.DUMMYFUNCTION("""COMPUTED_VALUE"""),"ADV - [IG] [FB] [30%2B] [SP METROPOLE] V%C3%81RIOS")</f>
        <v>ADV - [IG] [FB] [30%2B] [SP METROPOLE] V%C3%81RIOS</v>
      </c>
      <c r="H337" s="18" t="str">
        <f>IFERROR(__xludf.DUMMYFUNCTION("""COMPUTED_VALUE"""),"Instagram_Feed")</f>
        <v>Instagram_Feed</v>
      </c>
      <c r="I337" s="18" t="str">
        <f>IFERROR(__xludf.DUMMYFUNCTION("""COMPUTED_VALUE"""),"07.04 [IMG] [AD04] Pedidos abertos")</f>
        <v>07.04 [IMG] [AD04] Pedidos abertos</v>
      </c>
      <c r="J337" s="18" t="str">
        <f>IFERROR(__xludf.DUMMYFUNCTION("""COMPUTED_VALUE"""),"22.04.2026 [V4] [WB] [LEADS-GRUPO-WHATS] 02")</f>
        <v>22.04.2026 [V4] [WB] [LEADS-GRUPO-WHATS] 02</v>
      </c>
      <c r="K337" s="19"/>
      <c r="L337" s="19"/>
      <c r="M337" s="19"/>
      <c r="N337" s="19"/>
      <c r="O337" s="19"/>
    </row>
    <row r="338">
      <c r="A338" s="14" t="s">
        <v>1273</v>
      </c>
      <c r="B338" s="15" t="s">
        <v>1270</v>
      </c>
      <c r="C338" s="16">
        <v>5.5119966655E10</v>
      </c>
      <c r="D338" s="16" t="s">
        <v>1267</v>
      </c>
      <c r="E338" s="17" t="s">
        <v>1271</v>
      </c>
      <c r="F338" s="18" t="str">
        <f>IFERROR(__xludf.DUMMYFUNCTION("""COMPUTED_VALUE"""),"MetaAds")</f>
        <v>MetaAds</v>
      </c>
      <c r="G338" s="18" t="str">
        <f>IFERROR(__xludf.DUMMYFUNCTION("""COMPUTED_VALUE"""),"ADV - [IG] [FB] [30%2B] [SP METROPOLE] V%C3%81RIOS")</f>
        <v>ADV - [IG] [FB] [30%2B] [SP METROPOLE] V%C3%81RIOS</v>
      </c>
      <c r="H338" s="18" t="str">
        <f>IFERROR(__xludf.DUMMYFUNCTION("""COMPUTED_VALUE"""),"Instagram_Feed")</f>
        <v>Instagram_Feed</v>
      </c>
      <c r="I338" s="18" t="str">
        <f>IFERROR(__xludf.DUMMYFUNCTION("""COMPUTED_VALUE"""),"07.04 [IMG] [AD04] Pedidos abertos")</f>
        <v>07.04 [IMG] [AD04] Pedidos abertos</v>
      </c>
      <c r="J338" s="18" t="str">
        <f>IFERROR(__xludf.DUMMYFUNCTION("""COMPUTED_VALUE"""),"22.04.2026 [V4] [WB] [LEADS-GRUPO-WHATS] 02")</f>
        <v>22.04.2026 [V4] [WB] [LEADS-GRUPO-WHATS] 02</v>
      </c>
      <c r="K338" s="19"/>
      <c r="L338" s="19"/>
      <c r="M338" s="19"/>
      <c r="N338" s="19"/>
      <c r="O338" s="19"/>
    </row>
    <row r="339">
      <c r="A339" s="14" t="s">
        <v>1274</v>
      </c>
      <c r="B339" s="15" t="s">
        <v>1275</v>
      </c>
      <c r="C339" s="16">
        <v>5.5119819399E10</v>
      </c>
      <c r="D339" s="16" t="s">
        <v>1276</v>
      </c>
      <c r="E339" s="17" t="s">
        <v>1277</v>
      </c>
      <c r="F339" s="18" t="str">
        <f>IFERROR(__xludf.DUMMYFUNCTION("""COMPUTED_VALUE"""),"MetaAds")</f>
        <v>MetaAds</v>
      </c>
      <c r="G339" s="18" t="str">
        <f>IFERROR(__xludf.DUMMYFUNCTION("""COMPUTED_VALUE"""),"ADV - [IG] [FB] [30%2B] [SP METROPOLE] V%C3%81RIOS")</f>
        <v>ADV - [IG] [FB] [30%2B] [SP METROPOLE] V%C3%81RIOS</v>
      </c>
      <c r="H339" s="18" t="str">
        <f>IFERROR(__xludf.DUMMYFUNCTION("""COMPUTED_VALUE"""),"Facebook_Mobile_Reels")</f>
        <v>Facebook_Mobile_Reels</v>
      </c>
      <c r="I339" s="18" t="str">
        <f>IFERROR(__xludf.DUMMYFUNCTION("""COMPUTED_VALUE"""),"07.04 [IMG] [AD04] Pedidos abertos")</f>
        <v>07.04 [IMG] [AD04] Pedidos abertos</v>
      </c>
      <c r="J339" s="18" t="str">
        <f>IFERROR(__xludf.DUMMYFUNCTION("""COMPUTED_VALUE"""),"22.04.2026 [V4] [WB] [LEADS-GRUPO-WHATS] 02")</f>
        <v>22.04.2026 [V4] [WB] [LEADS-GRUPO-WHATS] 02</v>
      </c>
      <c r="K339" s="19"/>
      <c r="L339" s="19"/>
      <c r="M339" s="19"/>
      <c r="N339" s="19"/>
      <c r="O339" s="19"/>
    </row>
    <row r="340">
      <c r="A340" s="14" t="s">
        <v>1278</v>
      </c>
      <c r="B340" s="15" t="s">
        <v>1279</v>
      </c>
      <c r="C340" s="16">
        <v>1.191939962E9</v>
      </c>
      <c r="D340" s="16" t="s">
        <v>1276</v>
      </c>
      <c r="E340" s="17" t="s">
        <v>1277</v>
      </c>
      <c r="F340" s="18" t="str">
        <f>IFERROR(__xludf.DUMMYFUNCTION("""COMPUTED_VALUE"""),"MetaAds")</f>
        <v>MetaAds</v>
      </c>
      <c r="G340" s="18" t="str">
        <f>IFERROR(__xludf.DUMMYFUNCTION("""COMPUTED_VALUE"""),"ADV - [IG] [FB] [30%2B] [SP METROPOLE] V%C3%81RIOS")</f>
        <v>ADV - [IG] [FB] [30%2B] [SP METROPOLE] V%C3%81RIOS</v>
      </c>
      <c r="H340" s="18" t="str">
        <f>IFERROR(__xludf.DUMMYFUNCTION("""COMPUTED_VALUE"""),"Facebook_Mobile_Reels")</f>
        <v>Facebook_Mobile_Reels</v>
      </c>
      <c r="I340" s="18" t="str">
        <f>IFERROR(__xludf.DUMMYFUNCTION("""COMPUTED_VALUE"""),"07.04 [IMG] [AD04] Pedidos abertos")</f>
        <v>07.04 [IMG] [AD04] Pedidos abertos</v>
      </c>
      <c r="J340" s="18" t="str">
        <f>IFERROR(__xludf.DUMMYFUNCTION("""COMPUTED_VALUE"""),"22.04.2026 [V4] [WB] [LEADS-GRUPO-WHATS] 02")</f>
        <v>22.04.2026 [V4] [WB] [LEADS-GRUPO-WHATS] 02</v>
      </c>
      <c r="K340" s="19"/>
      <c r="L340" s="19"/>
      <c r="M340" s="19"/>
      <c r="N340" s="19"/>
      <c r="O340" s="19"/>
    </row>
    <row r="341">
      <c r="A341" s="14" t="s">
        <v>1280</v>
      </c>
      <c r="B341" s="15" t="s">
        <v>1281</v>
      </c>
      <c r="C341" s="16">
        <v>1.1991754934E10</v>
      </c>
      <c r="D341" s="16" t="s">
        <v>1282</v>
      </c>
      <c r="E341" s="17" t="s">
        <v>1283</v>
      </c>
      <c r="F341" s="18" t="str">
        <f>IFERROR(__xludf.DUMMYFUNCTION("""COMPUTED_VALUE"""),"MetaAds")</f>
        <v>MetaAds</v>
      </c>
      <c r="G341" s="18" t="str">
        <f>IFERROR(__xludf.DUMMYFUNCTION("""COMPUTED_VALUE"""),"ADV - [IG] [FB] [30%2B] [SP METROPOLE] V%C3%81RIOS")</f>
        <v>ADV - [IG] [FB] [30%2B] [SP METROPOLE] V%C3%81RIOS</v>
      </c>
      <c r="H341" s="18" t="str">
        <f>IFERROR(__xludf.DUMMYFUNCTION("""COMPUTED_VALUE"""),"Facebook_Mobile_Feed")</f>
        <v>Facebook_Mobile_Feed</v>
      </c>
      <c r="I341" s="18" t="str">
        <f>IFERROR(__xludf.DUMMYFUNCTION("""COMPUTED_VALUE"""),"07.04 [IMG] [AD04] Pedidos abertos")</f>
        <v>07.04 [IMG] [AD04] Pedidos abertos</v>
      </c>
      <c r="J341" s="18" t="str">
        <f>IFERROR(__xludf.DUMMYFUNCTION("""COMPUTED_VALUE"""),"22.04.2026 [V4] [WB] [LEADS-GRUPO-WHATS] 02")</f>
        <v>22.04.2026 [V4] [WB] [LEADS-GRUPO-WHATS] 02</v>
      </c>
      <c r="K341" s="19"/>
      <c r="L341" s="19"/>
      <c r="M341" s="19"/>
      <c r="N341" s="19"/>
      <c r="O341" s="19"/>
    </row>
    <row r="342">
      <c r="A342" s="14" t="s">
        <v>1284</v>
      </c>
      <c r="B342" s="15" t="s">
        <v>1285</v>
      </c>
      <c r="C342" s="16">
        <v>1.3997150073E10</v>
      </c>
      <c r="D342" s="16" t="s">
        <v>1286</v>
      </c>
      <c r="E342" s="17" t="s">
        <v>1287</v>
      </c>
      <c r="F342" s="18" t="str">
        <f>IFERROR(__xludf.DUMMYFUNCTION("""COMPUTED_VALUE"""),"MetaAds")</f>
        <v>MetaAds</v>
      </c>
      <c r="G342" s="18" t="str">
        <f>IFERROR(__xludf.DUMMYFUNCTION("""COMPUTED_VALUE"""),"ADV - [IG] [FB] [30%2B] [SP METROPOLE] V%C3%81RIOS")</f>
        <v>ADV - [IG] [FB] [30%2B] [SP METROPOLE] V%C3%81RIOS</v>
      </c>
      <c r="H342" s="18" t="str">
        <f>IFERROR(__xludf.DUMMYFUNCTION("""COMPUTED_VALUE"""),"Instagram_Stories")</f>
        <v>Instagram_Stories</v>
      </c>
      <c r="I342" s="18" t="str">
        <f>IFERROR(__xludf.DUMMYFUNCTION("""COMPUTED_VALUE"""),"07.04 [IMG] [AD04] Pedidos abertos")</f>
        <v>07.04 [IMG] [AD04] Pedidos abertos</v>
      </c>
      <c r="J342" s="18" t="str">
        <f>IFERROR(__xludf.DUMMYFUNCTION("""COMPUTED_VALUE"""),"22.04.2026 [V4] [WB] [LEADS-GRUPO-WHATS] 02")</f>
        <v>22.04.2026 [V4] [WB] [LEADS-GRUPO-WHATS] 02</v>
      </c>
      <c r="K342" s="19"/>
      <c r="L342" s="19"/>
      <c r="M342" s="19"/>
      <c r="N342" s="19"/>
      <c r="O342" s="19"/>
    </row>
    <row r="343">
      <c r="A343" s="14" t="s">
        <v>1288</v>
      </c>
      <c r="B343" s="15" t="s">
        <v>1289</v>
      </c>
      <c r="C343" s="16">
        <v>5.5119990833E10</v>
      </c>
      <c r="D343" s="16" t="s">
        <v>1290</v>
      </c>
      <c r="E343" s="17" t="s">
        <v>1291</v>
      </c>
      <c r="F343" s="18" t="str">
        <f>IFERROR(__xludf.DUMMYFUNCTION("""COMPUTED_VALUE"""),"MetaAds")</f>
        <v>MetaAds</v>
      </c>
      <c r="G343" s="18" t="str">
        <f>IFERROR(__xludf.DUMMYFUNCTION("""COMPUTED_VALUE"""),"ADV - [IG] [FB] [30%2B] [SP METROPOLE] V%C3%81RIOS")</f>
        <v>ADV - [IG] [FB] [30%2B] [SP METROPOLE] V%C3%81RIOS</v>
      </c>
      <c r="H343" s="18" t="str">
        <f>IFERROR(__xludf.DUMMYFUNCTION("""COMPUTED_VALUE"""),"Instagram_Feed")</f>
        <v>Instagram_Feed</v>
      </c>
      <c r="I343" s="18" t="str">
        <f>IFERROR(__xludf.DUMMYFUNCTION("""COMPUTED_VALUE"""),"07.04 [IMG] [AD04] Pedidos abertos")</f>
        <v>07.04 [IMG] [AD04] Pedidos abertos</v>
      </c>
      <c r="J343" s="18" t="str">
        <f>IFERROR(__xludf.DUMMYFUNCTION("""COMPUTED_VALUE"""),"22.04.2026 [V4] [WB] [LEADS-GRUPO-WHATS] 02")</f>
        <v>22.04.2026 [V4] [WB] [LEADS-GRUPO-WHATS] 02</v>
      </c>
      <c r="K343" s="19"/>
      <c r="L343" s="19"/>
      <c r="M343" s="19"/>
      <c r="N343" s="19"/>
      <c r="O343" s="19"/>
    </row>
    <row r="344">
      <c r="A344" s="14" t="s">
        <v>1292</v>
      </c>
      <c r="B344" s="15" t="s">
        <v>367</v>
      </c>
      <c r="C344" s="16">
        <v>1.1964128289E10</v>
      </c>
      <c r="D344" s="16" t="s">
        <v>368</v>
      </c>
      <c r="E344" s="17" t="s">
        <v>1293</v>
      </c>
      <c r="F344" s="18" t="str">
        <f>IFERROR(__xludf.DUMMYFUNCTION("""COMPUTED_VALUE"""),"MetaAds")</f>
        <v>MetaAds</v>
      </c>
      <c r="G344" s="18" t="str">
        <f>IFERROR(__xludf.DUMMYFUNCTION("""COMPUTED_VALUE"""),"ADV - [IG] [FB] [30%2B] [SP METROPOLE] V%C3%81RIOS")</f>
        <v>ADV - [IG] [FB] [30%2B] [SP METROPOLE] V%C3%81RIOS</v>
      </c>
      <c r="H344" s="18" t="str">
        <f>IFERROR(__xludf.DUMMYFUNCTION("""COMPUTED_VALUE"""),"Facebook_Mobile_Feed")</f>
        <v>Facebook_Mobile_Feed</v>
      </c>
      <c r="I344" s="18" t="str">
        <f>IFERROR(__xludf.DUMMYFUNCTION("""COMPUTED_VALUE"""),"07.04 [IMG] [AD02] N%C3%A3o %C3%A9 sobre comida")</f>
        <v>07.04 [IMG] [AD02] N%C3%A3o %C3%A9 sobre comida</v>
      </c>
      <c r="J344" s="18" t="str">
        <f>IFERROR(__xludf.DUMMYFUNCTION("""COMPUTED_VALUE"""),"22.04.2026 [V4] [WB] [LEADS-GRUPO-WHATS] 02")</f>
        <v>22.04.2026 [V4] [WB] [LEADS-GRUPO-WHATS] 02</v>
      </c>
      <c r="K344" s="19"/>
      <c r="L344" s="19"/>
      <c r="M344" s="19"/>
      <c r="N344" s="19"/>
      <c r="O344" s="19"/>
    </row>
    <row r="345">
      <c r="A345" s="18"/>
      <c r="B345" s="29"/>
      <c r="C345" s="19"/>
      <c r="D345" s="19"/>
      <c r="E345" s="18"/>
      <c r="F345" s="18" t="str">
        <f>IFERROR(__xludf.DUMMYFUNCTION("""COMPUTED_VALUE"""),"")</f>
        <v/>
      </c>
      <c r="G345" s="18" t="str">
        <f>IFERROR(__xludf.DUMMYFUNCTION("""COMPUTED_VALUE"""),"")</f>
        <v/>
      </c>
      <c r="H345" s="18" t="str">
        <f>IFERROR(__xludf.DUMMYFUNCTION("""COMPUTED_VALUE"""),"")</f>
        <v/>
      </c>
      <c r="I345" s="18" t="str">
        <f>IFERROR(__xludf.DUMMYFUNCTION("""COMPUTED_VALUE"""),"")</f>
        <v/>
      </c>
      <c r="J345" s="18" t="str">
        <f>IFERROR(__xludf.DUMMYFUNCTION("""COMPUTED_VALUE"""),"")</f>
        <v/>
      </c>
      <c r="K345" s="19"/>
      <c r="L345" s="19"/>
      <c r="M345" s="19"/>
      <c r="N345" s="19"/>
      <c r="O345" s="19"/>
    </row>
    <row r="346">
      <c r="A346" s="18"/>
      <c r="B346" s="29"/>
      <c r="C346" s="19"/>
      <c r="D346" s="19"/>
      <c r="E346" s="18"/>
      <c r="F346" s="18" t="str">
        <f>IFERROR(__xludf.DUMMYFUNCTION("""COMPUTED_VALUE"""),"")</f>
        <v/>
      </c>
      <c r="G346" s="18" t="str">
        <f>IFERROR(__xludf.DUMMYFUNCTION("""COMPUTED_VALUE"""),"")</f>
        <v/>
      </c>
      <c r="H346" s="18" t="str">
        <f>IFERROR(__xludf.DUMMYFUNCTION("""COMPUTED_VALUE"""),"")</f>
        <v/>
      </c>
      <c r="I346" s="18" t="str">
        <f>IFERROR(__xludf.DUMMYFUNCTION("""COMPUTED_VALUE"""),"")</f>
        <v/>
      </c>
      <c r="J346" s="18" t="str">
        <f>IFERROR(__xludf.DUMMYFUNCTION("""COMPUTED_VALUE"""),"")</f>
        <v/>
      </c>
      <c r="K346" s="19"/>
      <c r="L346" s="19"/>
      <c r="M346" s="19"/>
      <c r="N346" s="19"/>
      <c r="O346" s="19"/>
    </row>
    <row r="347">
      <c r="A347" s="18"/>
      <c r="B347" s="29"/>
      <c r="C347" s="19"/>
      <c r="D347" s="19"/>
      <c r="E347" s="18"/>
      <c r="F347" s="18" t="str">
        <f>IFERROR(__xludf.DUMMYFUNCTION("""COMPUTED_VALUE"""),"")</f>
        <v/>
      </c>
      <c r="G347" s="18" t="str">
        <f>IFERROR(__xludf.DUMMYFUNCTION("""COMPUTED_VALUE"""),"")</f>
        <v/>
      </c>
      <c r="H347" s="18" t="str">
        <f>IFERROR(__xludf.DUMMYFUNCTION("""COMPUTED_VALUE"""),"")</f>
        <v/>
      </c>
      <c r="I347" s="18" t="str">
        <f>IFERROR(__xludf.DUMMYFUNCTION("""COMPUTED_VALUE"""),"")</f>
        <v/>
      </c>
      <c r="J347" s="18" t="str">
        <f>IFERROR(__xludf.DUMMYFUNCTION("""COMPUTED_VALUE"""),"")</f>
        <v/>
      </c>
      <c r="K347" s="19"/>
      <c r="L347" s="19"/>
      <c r="M347" s="19"/>
      <c r="N347" s="19"/>
      <c r="O347" s="19"/>
    </row>
    <row r="348">
      <c r="A348" s="18"/>
      <c r="B348" s="29"/>
      <c r="C348" s="19"/>
      <c r="D348" s="19"/>
      <c r="E348" s="18"/>
      <c r="F348" s="18" t="str">
        <f>IFERROR(__xludf.DUMMYFUNCTION("""COMPUTED_VALUE"""),"")</f>
        <v/>
      </c>
      <c r="G348" s="18" t="str">
        <f>IFERROR(__xludf.DUMMYFUNCTION("""COMPUTED_VALUE"""),"")</f>
        <v/>
      </c>
      <c r="H348" s="18" t="str">
        <f>IFERROR(__xludf.DUMMYFUNCTION("""COMPUTED_VALUE"""),"")</f>
        <v/>
      </c>
      <c r="I348" s="18" t="str">
        <f>IFERROR(__xludf.DUMMYFUNCTION("""COMPUTED_VALUE"""),"")</f>
        <v/>
      </c>
      <c r="J348" s="18" t="str">
        <f>IFERROR(__xludf.DUMMYFUNCTION("""COMPUTED_VALUE"""),"")</f>
        <v/>
      </c>
      <c r="K348" s="19"/>
      <c r="L348" s="19"/>
      <c r="M348" s="19"/>
      <c r="N348" s="19"/>
      <c r="O348" s="19"/>
    </row>
    <row r="349">
      <c r="A349" s="18"/>
      <c r="B349" s="29"/>
      <c r="C349" s="19"/>
      <c r="D349" s="19"/>
      <c r="E349" s="18"/>
      <c r="F349" s="18" t="str">
        <f>IFERROR(__xludf.DUMMYFUNCTION("""COMPUTED_VALUE"""),"")</f>
        <v/>
      </c>
      <c r="G349" s="18" t="str">
        <f>IFERROR(__xludf.DUMMYFUNCTION("""COMPUTED_VALUE"""),"")</f>
        <v/>
      </c>
      <c r="H349" s="18" t="str">
        <f>IFERROR(__xludf.DUMMYFUNCTION("""COMPUTED_VALUE"""),"")</f>
        <v/>
      </c>
      <c r="I349" s="18" t="str">
        <f>IFERROR(__xludf.DUMMYFUNCTION("""COMPUTED_VALUE"""),"")</f>
        <v/>
      </c>
      <c r="J349" s="18" t="str">
        <f>IFERROR(__xludf.DUMMYFUNCTION("""COMPUTED_VALUE"""),"")</f>
        <v/>
      </c>
      <c r="K349" s="19"/>
      <c r="L349" s="19"/>
      <c r="M349" s="19"/>
      <c r="N349" s="19"/>
      <c r="O349" s="19"/>
    </row>
    <row r="350">
      <c r="A350" s="18"/>
      <c r="B350" s="29"/>
      <c r="C350" s="19"/>
      <c r="D350" s="19"/>
      <c r="E350" s="18"/>
      <c r="F350" s="18" t="str">
        <f>IFERROR(__xludf.DUMMYFUNCTION("""COMPUTED_VALUE"""),"")</f>
        <v/>
      </c>
      <c r="G350" s="18" t="str">
        <f>IFERROR(__xludf.DUMMYFUNCTION("""COMPUTED_VALUE"""),"")</f>
        <v/>
      </c>
      <c r="H350" s="18" t="str">
        <f>IFERROR(__xludf.DUMMYFUNCTION("""COMPUTED_VALUE"""),"")</f>
        <v/>
      </c>
      <c r="I350" s="18" t="str">
        <f>IFERROR(__xludf.DUMMYFUNCTION("""COMPUTED_VALUE"""),"")</f>
        <v/>
      </c>
      <c r="J350" s="18" t="str">
        <f>IFERROR(__xludf.DUMMYFUNCTION("""COMPUTED_VALUE"""),"")</f>
        <v/>
      </c>
      <c r="K350" s="19"/>
      <c r="L350" s="19"/>
      <c r="M350" s="19"/>
      <c r="N350" s="19"/>
      <c r="O350" s="19"/>
    </row>
    <row r="351">
      <c r="A351" s="18"/>
      <c r="B351" s="29"/>
      <c r="C351" s="19"/>
      <c r="D351" s="19"/>
      <c r="E351" s="18"/>
      <c r="F351" s="18" t="str">
        <f>IFERROR(__xludf.DUMMYFUNCTION("""COMPUTED_VALUE"""),"")</f>
        <v/>
      </c>
      <c r="G351" s="18" t="str">
        <f>IFERROR(__xludf.DUMMYFUNCTION("""COMPUTED_VALUE"""),"")</f>
        <v/>
      </c>
      <c r="H351" s="18" t="str">
        <f>IFERROR(__xludf.DUMMYFUNCTION("""COMPUTED_VALUE"""),"")</f>
        <v/>
      </c>
      <c r="I351" s="18" t="str">
        <f>IFERROR(__xludf.DUMMYFUNCTION("""COMPUTED_VALUE"""),"")</f>
        <v/>
      </c>
      <c r="J351" s="18" t="str">
        <f>IFERROR(__xludf.DUMMYFUNCTION("""COMPUTED_VALUE"""),"")</f>
        <v/>
      </c>
      <c r="K351" s="19"/>
      <c r="L351" s="19"/>
      <c r="M351" s="19"/>
      <c r="N351" s="19"/>
      <c r="O351" s="19"/>
    </row>
    <row r="352">
      <c r="A352" s="18"/>
      <c r="B352" s="29"/>
      <c r="C352" s="19"/>
      <c r="D352" s="19"/>
      <c r="E352" s="18"/>
      <c r="F352" s="18" t="str">
        <f>IFERROR(__xludf.DUMMYFUNCTION("""COMPUTED_VALUE"""),"")</f>
        <v/>
      </c>
      <c r="G352" s="18" t="str">
        <f>IFERROR(__xludf.DUMMYFUNCTION("""COMPUTED_VALUE"""),"")</f>
        <v/>
      </c>
      <c r="H352" s="18" t="str">
        <f>IFERROR(__xludf.DUMMYFUNCTION("""COMPUTED_VALUE"""),"")</f>
        <v/>
      </c>
      <c r="I352" s="18" t="str">
        <f>IFERROR(__xludf.DUMMYFUNCTION("""COMPUTED_VALUE"""),"")</f>
        <v/>
      </c>
      <c r="J352" s="18" t="str">
        <f>IFERROR(__xludf.DUMMYFUNCTION("""COMPUTED_VALUE"""),"")</f>
        <v/>
      </c>
      <c r="K352" s="19"/>
      <c r="L352" s="19"/>
      <c r="M352" s="19"/>
      <c r="N352" s="19"/>
      <c r="O352" s="19"/>
    </row>
    <row r="353">
      <c r="A353" s="18"/>
      <c r="B353" s="29"/>
      <c r="C353" s="19"/>
      <c r="D353" s="19"/>
      <c r="E353" s="18"/>
      <c r="F353" s="18" t="str">
        <f>IFERROR(__xludf.DUMMYFUNCTION("""COMPUTED_VALUE"""),"")</f>
        <v/>
      </c>
      <c r="G353" s="18" t="str">
        <f>IFERROR(__xludf.DUMMYFUNCTION("""COMPUTED_VALUE"""),"")</f>
        <v/>
      </c>
      <c r="H353" s="18" t="str">
        <f>IFERROR(__xludf.DUMMYFUNCTION("""COMPUTED_VALUE"""),"")</f>
        <v/>
      </c>
      <c r="I353" s="18" t="str">
        <f>IFERROR(__xludf.DUMMYFUNCTION("""COMPUTED_VALUE"""),"")</f>
        <v/>
      </c>
      <c r="J353" s="18" t="str">
        <f>IFERROR(__xludf.DUMMYFUNCTION("""COMPUTED_VALUE"""),"")</f>
        <v/>
      </c>
      <c r="K353" s="19"/>
      <c r="L353" s="19"/>
      <c r="M353" s="19"/>
      <c r="N353" s="19"/>
      <c r="O353" s="19"/>
    </row>
    <row r="354">
      <c r="A354" s="18"/>
      <c r="B354" s="29"/>
      <c r="C354" s="19"/>
      <c r="D354" s="19"/>
      <c r="E354" s="18"/>
      <c r="F354" s="18" t="str">
        <f>IFERROR(__xludf.DUMMYFUNCTION("""COMPUTED_VALUE"""),"")</f>
        <v/>
      </c>
      <c r="G354" s="18" t="str">
        <f>IFERROR(__xludf.DUMMYFUNCTION("""COMPUTED_VALUE"""),"")</f>
        <v/>
      </c>
      <c r="H354" s="18" t="str">
        <f>IFERROR(__xludf.DUMMYFUNCTION("""COMPUTED_VALUE"""),"")</f>
        <v/>
      </c>
      <c r="I354" s="18" t="str">
        <f>IFERROR(__xludf.DUMMYFUNCTION("""COMPUTED_VALUE"""),"")</f>
        <v/>
      </c>
      <c r="J354" s="18" t="str">
        <f>IFERROR(__xludf.DUMMYFUNCTION("""COMPUTED_VALUE"""),"")</f>
        <v/>
      </c>
      <c r="K354" s="19"/>
      <c r="L354" s="19"/>
      <c r="M354" s="19"/>
      <c r="N354" s="19"/>
      <c r="O354" s="19"/>
    </row>
    <row r="355">
      <c r="A355" s="18"/>
      <c r="B355" s="29"/>
      <c r="C355" s="19"/>
      <c r="D355" s="19"/>
      <c r="E355" s="18"/>
      <c r="F355" s="18" t="str">
        <f>IFERROR(__xludf.DUMMYFUNCTION("""COMPUTED_VALUE"""),"")</f>
        <v/>
      </c>
      <c r="G355" s="18" t="str">
        <f>IFERROR(__xludf.DUMMYFUNCTION("""COMPUTED_VALUE"""),"")</f>
        <v/>
      </c>
      <c r="H355" s="18" t="str">
        <f>IFERROR(__xludf.DUMMYFUNCTION("""COMPUTED_VALUE"""),"")</f>
        <v/>
      </c>
      <c r="I355" s="18" t="str">
        <f>IFERROR(__xludf.DUMMYFUNCTION("""COMPUTED_VALUE"""),"")</f>
        <v/>
      </c>
      <c r="J355" s="18" t="str">
        <f>IFERROR(__xludf.DUMMYFUNCTION("""COMPUTED_VALUE"""),"")</f>
        <v/>
      </c>
      <c r="K355" s="19"/>
      <c r="L355" s="19"/>
      <c r="M355" s="19"/>
      <c r="N355" s="19"/>
      <c r="O355" s="19"/>
    </row>
    <row r="356">
      <c r="A356" s="18"/>
      <c r="B356" s="29"/>
      <c r="C356" s="19"/>
      <c r="D356" s="19"/>
      <c r="E356" s="18"/>
      <c r="F356" s="18" t="str">
        <f>IFERROR(__xludf.DUMMYFUNCTION("""COMPUTED_VALUE"""),"")</f>
        <v/>
      </c>
      <c r="G356" s="18" t="str">
        <f>IFERROR(__xludf.DUMMYFUNCTION("""COMPUTED_VALUE"""),"")</f>
        <v/>
      </c>
      <c r="H356" s="18" t="str">
        <f>IFERROR(__xludf.DUMMYFUNCTION("""COMPUTED_VALUE"""),"")</f>
        <v/>
      </c>
      <c r="I356" s="18" t="str">
        <f>IFERROR(__xludf.DUMMYFUNCTION("""COMPUTED_VALUE"""),"")</f>
        <v/>
      </c>
      <c r="J356" s="18" t="str">
        <f>IFERROR(__xludf.DUMMYFUNCTION("""COMPUTED_VALUE"""),"")</f>
        <v/>
      </c>
      <c r="K356" s="19"/>
      <c r="L356" s="19"/>
      <c r="M356" s="19"/>
      <c r="N356" s="19"/>
      <c r="O356" s="19"/>
    </row>
    <row r="357">
      <c r="A357" s="18"/>
      <c r="B357" s="29"/>
      <c r="C357" s="19"/>
      <c r="D357" s="19"/>
      <c r="E357" s="18"/>
      <c r="F357" s="18" t="str">
        <f>IFERROR(__xludf.DUMMYFUNCTION("""COMPUTED_VALUE"""),"")</f>
        <v/>
      </c>
      <c r="G357" s="18" t="str">
        <f>IFERROR(__xludf.DUMMYFUNCTION("""COMPUTED_VALUE"""),"")</f>
        <v/>
      </c>
      <c r="H357" s="18" t="str">
        <f>IFERROR(__xludf.DUMMYFUNCTION("""COMPUTED_VALUE"""),"")</f>
        <v/>
      </c>
      <c r="I357" s="18" t="str">
        <f>IFERROR(__xludf.DUMMYFUNCTION("""COMPUTED_VALUE"""),"")</f>
        <v/>
      </c>
      <c r="J357" s="18" t="str">
        <f>IFERROR(__xludf.DUMMYFUNCTION("""COMPUTED_VALUE"""),"")</f>
        <v/>
      </c>
      <c r="K357" s="19"/>
      <c r="L357" s="19"/>
      <c r="M357" s="19"/>
      <c r="N357" s="19"/>
      <c r="O357" s="19"/>
    </row>
    <row r="358">
      <c r="A358" s="18"/>
      <c r="B358" s="29"/>
      <c r="C358" s="19"/>
      <c r="D358" s="19"/>
      <c r="E358" s="18"/>
      <c r="F358" s="18" t="str">
        <f>IFERROR(__xludf.DUMMYFUNCTION("""COMPUTED_VALUE"""),"")</f>
        <v/>
      </c>
      <c r="G358" s="18" t="str">
        <f>IFERROR(__xludf.DUMMYFUNCTION("""COMPUTED_VALUE"""),"")</f>
        <v/>
      </c>
      <c r="H358" s="18" t="str">
        <f>IFERROR(__xludf.DUMMYFUNCTION("""COMPUTED_VALUE"""),"")</f>
        <v/>
      </c>
      <c r="I358" s="18" t="str">
        <f>IFERROR(__xludf.DUMMYFUNCTION("""COMPUTED_VALUE"""),"")</f>
        <v/>
      </c>
      <c r="J358" s="18" t="str">
        <f>IFERROR(__xludf.DUMMYFUNCTION("""COMPUTED_VALUE"""),"")</f>
        <v/>
      </c>
      <c r="K358" s="19"/>
      <c r="L358" s="19"/>
      <c r="M358" s="19"/>
      <c r="N358" s="19"/>
      <c r="O358" s="19"/>
    </row>
    <row r="359">
      <c r="A359" s="18"/>
      <c r="B359" s="29"/>
      <c r="C359" s="19"/>
      <c r="D359" s="19"/>
      <c r="E359" s="18"/>
      <c r="F359" s="18" t="str">
        <f>IFERROR(__xludf.DUMMYFUNCTION("""COMPUTED_VALUE"""),"")</f>
        <v/>
      </c>
      <c r="G359" s="18" t="str">
        <f>IFERROR(__xludf.DUMMYFUNCTION("""COMPUTED_VALUE"""),"")</f>
        <v/>
      </c>
      <c r="H359" s="18" t="str">
        <f>IFERROR(__xludf.DUMMYFUNCTION("""COMPUTED_VALUE"""),"")</f>
        <v/>
      </c>
      <c r="I359" s="18" t="str">
        <f>IFERROR(__xludf.DUMMYFUNCTION("""COMPUTED_VALUE"""),"")</f>
        <v/>
      </c>
      <c r="J359" s="18" t="str">
        <f>IFERROR(__xludf.DUMMYFUNCTION("""COMPUTED_VALUE"""),"")</f>
        <v/>
      </c>
      <c r="K359" s="19"/>
      <c r="L359" s="19"/>
      <c r="M359" s="19"/>
      <c r="N359" s="19"/>
      <c r="O359" s="19"/>
    </row>
    <row r="360">
      <c r="A360" s="18"/>
      <c r="B360" s="29"/>
      <c r="C360" s="19"/>
      <c r="D360" s="19"/>
      <c r="E360" s="18"/>
      <c r="F360" s="18" t="str">
        <f>IFERROR(__xludf.DUMMYFUNCTION("""COMPUTED_VALUE"""),"")</f>
        <v/>
      </c>
      <c r="G360" s="18" t="str">
        <f>IFERROR(__xludf.DUMMYFUNCTION("""COMPUTED_VALUE"""),"")</f>
        <v/>
      </c>
      <c r="H360" s="18" t="str">
        <f>IFERROR(__xludf.DUMMYFUNCTION("""COMPUTED_VALUE"""),"")</f>
        <v/>
      </c>
      <c r="I360" s="18" t="str">
        <f>IFERROR(__xludf.DUMMYFUNCTION("""COMPUTED_VALUE"""),"")</f>
        <v/>
      </c>
      <c r="J360" s="18" t="str">
        <f>IFERROR(__xludf.DUMMYFUNCTION("""COMPUTED_VALUE"""),"")</f>
        <v/>
      </c>
      <c r="K360" s="19"/>
      <c r="L360" s="19"/>
      <c r="M360" s="19"/>
      <c r="N360" s="19"/>
      <c r="O360" s="19"/>
    </row>
    <row r="361">
      <c r="A361" s="18"/>
      <c r="B361" s="29"/>
      <c r="C361" s="19"/>
      <c r="D361" s="19"/>
      <c r="E361" s="18"/>
      <c r="F361" s="18" t="str">
        <f>IFERROR(__xludf.DUMMYFUNCTION("""COMPUTED_VALUE"""),"")</f>
        <v/>
      </c>
      <c r="G361" s="18" t="str">
        <f>IFERROR(__xludf.DUMMYFUNCTION("""COMPUTED_VALUE"""),"")</f>
        <v/>
      </c>
      <c r="H361" s="18" t="str">
        <f>IFERROR(__xludf.DUMMYFUNCTION("""COMPUTED_VALUE"""),"")</f>
        <v/>
      </c>
      <c r="I361" s="18" t="str">
        <f>IFERROR(__xludf.DUMMYFUNCTION("""COMPUTED_VALUE"""),"")</f>
        <v/>
      </c>
      <c r="J361" s="18" t="str">
        <f>IFERROR(__xludf.DUMMYFUNCTION("""COMPUTED_VALUE"""),"")</f>
        <v/>
      </c>
      <c r="K361" s="19"/>
      <c r="L361" s="19"/>
      <c r="M361" s="19"/>
      <c r="N361" s="19"/>
      <c r="O361" s="19"/>
    </row>
    <row r="362">
      <c r="A362" s="18"/>
      <c r="B362" s="29"/>
      <c r="C362" s="19"/>
      <c r="D362" s="19"/>
      <c r="E362" s="18"/>
      <c r="F362" s="18" t="str">
        <f>IFERROR(__xludf.DUMMYFUNCTION("""COMPUTED_VALUE"""),"")</f>
        <v/>
      </c>
      <c r="G362" s="18" t="str">
        <f>IFERROR(__xludf.DUMMYFUNCTION("""COMPUTED_VALUE"""),"")</f>
        <v/>
      </c>
      <c r="H362" s="18" t="str">
        <f>IFERROR(__xludf.DUMMYFUNCTION("""COMPUTED_VALUE"""),"")</f>
        <v/>
      </c>
      <c r="I362" s="18" t="str">
        <f>IFERROR(__xludf.DUMMYFUNCTION("""COMPUTED_VALUE"""),"")</f>
        <v/>
      </c>
      <c r="J362" s="18" t="str">
        <f>IFERROR(__xludf.DUMMYFUNCTION("""COMPUTED_VALUE"""),"")</f>
        <v/>
      </c>
      <c r="K362" s="19"/>
      <c r="L362" s="19"/>
      <c r="M362" s="19"/>
      <c r="N362" s="19"/>
      <c r="O362" s="19"/>
    </row>
    <row r="363">
      <c r="A363" s="18"/>
      <c r="B363" s="29"/>
      <c r="C363" s="19"/>
      <c r="D363" s="19"/>
      <c r="E363" s="18"/>
      <c r="F363" s="18" t="str">
        <f>IFERROR(__xludf.DUMMYFUNCTION("""COMPUTED_VALUE"""),"")</f>
        <v/>
      </c>
      <c r="G363" s="18" t="str">
        <f>IFERROR(__xludf.DUMMYFUNCTION("""COMPUTED_VALUE"""),"")</f>
        <v/>
      </c>
      <c r="H363" s="18" t="str">
        <f>IFERROR(__xludf.DUMMYFUNCTION("""COMPUTED_VALUE"""),"")</f>
        <v/>
      </c>
      <c r="I363" s="18" t="str">
        <f>IFERROR(__xludf.DUMMYFUNCTION("""COMPUTED_VALUE"""),"")</f>
        <v/>
      </c>
      <c r="J363" s="18" t="str">
        <f>IFERROR(__xludf.DUMMYFUNCTION("""COMPUTED_VALUE"""),"")</f>
        <v/>
      </c>
      <c r="K363" s="19"/>
      <c r="L363" s="19"/>
      <c r="M363" s="19"/>
      <c r="N363" s="19"/>
      <c r="O363" s="19"/>
    </row>
    <row r="364">
      <c r="A364" s="18"/>
      <c r="B364" s="29"/>
      <c r="C364" s="19"/>
      <c r="D364" s="19"/>
      <c r="E364" s="18"/>
      <c r="F364" s="18" t="str">
        <f>IFERROR(__xludf.DUMMYFUNCTION("""COMPUTED_VALUE"""),"")</f>
        <v/>
      </c>
      <c r="G364" s="18" t="str">
        <f>IFERROR(__xludf.DUMMYFUNCTION("""COMPUTED_VALUE"""),"")</f>
        <v/>
      </c>
      <c r="H364" s="18" t="str">
        <f>IFERROR(__xludf.DUMMYFUNCTION("""COMPUTED_VALUE"""),"")</f>
        <v/>
      </c>
      <c r="I364" s="18" t="str">
        <f>IFERROR(__xludf.DUMMYFUNCTION("""COMPUTED_VALUE"""),"")</f>
        <v/>
      </c>
      <c r="J364" s="18" t="str">
        <f>IFERROR(__xludf.DUMMYFUNCTION("""COMPUTED_VALUE"""),"")</f>
        <v/>
      </c>
      <c r="K364" s="19"/>
      <c r="L364" s="19"/>
      <c r="M364" s="19"/>
      <c r="N364" s="19"/>
      <c r="O364" s="19"/>
    </row>
    <row r="365">
      <c r="A365" s="18"/>
      <c r="B365" s="29"/>
      <c r="C365" s="19"/>
      <c r="D365" s="19"/>
      <c r="E365" s="18"/>
      <c r="F365" s="18" t="str">
        <f>IFERROR(__xludf.DUMMYFUNCTION("""COMPUTED_VALUE"""),"")</f>
        <v/>
      </c>
      <c r="G365" s="18" t="str">
        <f>IFERROR(__xludf.DUMMYFUNCTION("""COMPUTED_VALUE"""),"")</f>
        <v/>
      </c>
      <c r="H365" s="18" t="str">
        <f>IFERROR(__xludf.DUMMYFUNCTION("""COMPUTED_VALUE"""),"")</f>
        <v/>
      </c>
      <c r="I365" s="18" t="str">
        <f>IFERROR(__xludf.DUMMYFUNCTION("""COMPUTED_VALUE"""),"")</f>
        <v/>
      </c>
      <c r="J365" s="18" t="str">
        <f>IFERROR(__xludf.DUMMYFUNCTION("""COMPUTED_VALUE"""),"")</f>
        <v/>
      </c>
      <c r="K365" s="19"/>
      <c r="L365" s="19"/>
      <c r="M365" s="19"/>
      <c r="N365" s="19"/>
      <c r="O365" s="19"/>
    </row>
    <row r="366">
      <c r="A366" s="18"/>
      <c r="B366" s="29"/>
      <c r="C366" s="19"/>
      <c r="D366" s="19"/>
      <c r="E366" s="18"/>
      <c r="F366" s="18" t="str">
        <f>IFERROR(__xludf.DUMMYFUNCTION("""COMPUTED_VALUE"""),"")</f>
        <v/>
      </c>
      <c r="G366" s="18" t="str">
        <f>IFERROR(__xludf.DUMMYFUNCTION("""COMPUTED_VALUE"""),"")</f>
        <v/>
      </c>
      <c r="H366" s="18" t="str">
        <f>IFERROR(__xludf.DUMMYFUNCTION("""COMPUTED_VALUE"""),"")</f>
        <v/>
      </c>
      <c r="I366" s="18" t="str">
        <f>IFERROR(__xludf.DUMMYFUNCTION("""COMPUTED_VALUE"""),"")</f>
        <v/>
      </c>
      <c r="J366" s="18" t="str">
        <f>IFERROR(__xludf.DUMMYFUNCTION("""COMPUTED_VALUE"""),"")</f>
        <v/>
      </c>
      <c r="K366" s="19"/>
      <c r="L366" s="19"/>
      <c r="M366" s="19"/>
      <c r="N366" s="19"/>
      <c r="O366" s="19"/>
    </row>
    <row r="367">
      <c r="A367" s="18"/>
      <c r="B367" s="29"/>
      <c r="C367" s="19"/>
      <c r="D367" s="19"/>
      <c r="E367" s="18"/>
      <c r="F367" s="18" t="str">
        <f>IFERROR(__xludf.DUMMYFUNCTION("""COMPUTED_VALUE"""),"")</f>
        <v/>
      </c>
      <c r="G367" s="18" t="str">
        <f>IFERROR(__xludf.DUMMYFUNCTION("""COMPUTED_VALUE"""),"")</f>
        <v/>
      </c>
      <c r="H367" s="18" t="str">
        <f>IFERROR(__xludf.DUMMYFUNCTION("""COMPUTED_VALUE"""),"")</f>
        <v/>
      </c>
      <c r="I367" s="18" t="str">
        <f>IFERROR(__xludf.DUMMYFUNCTION("""COMPUTED_VALUE"""),"")</f>
        <v/>
      </c>
      <c r="J367" s="18" t="str">
        <f>IFERROR(__xludf.DUMMYFUNCTION("""COMPUTED_VALUE"""),"")</f>
        <v/>
      </c>
      <c r="K367" s="19"/>
      <c r="L367" s="19"/>
      <c r="M367" s="19"/>
      <c r="N367" s="19"/>
      <c r="O367" s="19"/>
    </row>
    <row r="368">
      <c r="A368" s="18"/>
      <c r="B368" s="29"/>
      <c r="C368" s="19"/>
      <c r="D368" s="19"/>
      <c r="E368" s="18"/>
      <c r="F368" s="18" t="str">
        <f>IFERROR(__xludf.DUMMYFUNCTION("""COMPUTED_VALUE"""),"")</f>
        <v/>
      </c>
      <c r="G368" s="18" t="str">
        <f>IFERROR(__xludf.DUMMYFUNCTION("""COMPUTED_VALUE"""),"")</f>
        <v/>
      </c>
      <c r="H368" s="18" t="str">
        <f>IFERROR(__xludf.DUMMYFUNCTION("""COMPUTED_VALUE"""),"")</f>
        <v/>
      </c>
      <c r="I368" s="18" t="str">
        <f>IFERROR(__xludf.DUMMYFUNCTION("""COMPUTED_VALUE"""),"")</f>
        <v/>
      </c>
      <c r="J368" s="18" t="str">
        <f>IFERROR(__xludf.DUMMYFUNCTION("""COMPUTED_VALUE"""),"")</f>
        <v/>
      </c>
      <c r="K368" s="19"/>
      <c r="L368" s="19"/>
      <c r="M368" s="19"/>
      <c r="N368" s="19"/>
      <c r="O368" s="19"/>
    </row>
    <row r="369">
      <c r="A369" s="18"/>
      <c r="B369" s="29"/>
      <c r="C369" s="19"/>
      <c r="D369" s="19"/>
      <c r="E369" s="18"/>
      <c r="F369" s="18" t="str">
        <f>IFERROR(__xludf.DUMMYFUNCTION("""COMPUTED_VALUE"""),"")</f>
        <v/>
      </c>
      <c r="G369" s="18" t="str">
        <f>IFERROR(__xludf.DUMMYFUNCTION("""COMPUTED_VALUE"""),"")</f>
        <v/>
      </c>
      <c r="H369" s="18" t="str">
        <f>IFERROR(__xludf.DUMMYFUNCTION("""COMPUTED_VALUE"""),"")</f>
        <v/>
      </c>
      <c r="I369" s="18" t="str">
        <f>IFERROR(__xludf.DUMMYFUNCTION("""COMPUTED_VALUE"""),"")</f>
        <v/>
      </c>
      <c r="J369" s="18" t="str">
        <f>IFERROR(__xludf.DUMMYFUNCTION("""COMPUTED_VALUE"""),"")</f>
        <v/>
      </c>
      <c r="K369" s="19"/>
      <c r="L369" s="19"/>
      <c r="M369" s="19"/>
      <c r="N369" s="19"/>
      <c r="O369" s="19"/>
    </row>
    <row r="370">
      <c r="A370" s="18"/>
      <c r="B370" s="29"/>
      <c r="C370" s="19"/>
      <c r="D370" s="19"/>
      <c r="E370" s="18"/>
      <c r="F370" s="18" t="str">
        <f>IFERROR(__xludf.DUMMYFUNCTION("""COMPUTED_VALUE"""),"")</f>
        <v/>
      </c>
      <c r="G370" s="18" t="str">
        <f>IFERROR(__xludf.DUMMYFUNCTION("""COMPUTED_VALUE"""),"")</f>
        <v/>
      </c>
      <c r="H370" s="18" t="str">
        <f>IFERROR(__xludf.DUMMYFUNCTION("""COMPUTED_VALUE"""),"")</f>
        <v/>
      </c>
      <c r="I370" s="18" t="str">
        <f>IFERROR(__xludf.DUMMYFUNCTION("""COMPUTED_VALUE"""),"")</f>
        <v/>
      </c>
      <c r="J370" s="18" t="str">
        <f>IFERROR(__xludf.DUMMYFUNCTION("""COMPUTED_VALUE"""),"")</f>
        <v/>
      </c>
      <c r="K370" s="19"/>
      <c r="L370" s="19"/>
      <c r="M370" s="19"/>
      <c r="N370" s="19"/>
      <c r="O370" s="19"/>
    </row>
    <row r="371">
      <c r="A371" s="18"/>
      <c r="B371" s="29"/>
      <c r="C371" s="19"/>
      <c r="D371" s="19"/>
      <c r="E371" s="18"/>
      <c r="F371" s="18" t="str">
        <f>IFERROR(__xludf.DUMMYFUNCTION("""COMPUTED_VALUE"""),"")</f>
        <v/>
      </c>
      <c r="G371" s="18" t="str">
        <f>IFERROR(__xludf.DUMMYFUNCTION("""COMPUTED_VALUE"""),"")</f>
        <v/>
      </c>
      <c r="H371" s="18" t="str">
        <f>IFERROR(__xludf.DUMMYFUNCTION("""COMPUTED_VALUE"""),"")</f>
        <v/>
      </c>
      <c r="I371" s="18" t="str">
        <f>IFERROR(__xludf.DUMMYFUNCTION("""COMPUTED_VALUE"""),"")</f>
        <v/>
      </c>
      <c r="J371" s="18" t="str">
        <f>IFERROR(__xludf.DUMMYFUNCTION("""COMPUTED_VALUE"""),"")</f>
        <v/>
      </c>
      <c r="K371" s="19"/>
      <c r="L371" s="19"/>
      <c r="M371" s="19"/>
      <c r="N371" s="19"/>
      <c r="O371" s="19"/>
    </row>
    <row r="372">
      <c r="A372" s="18"/>
      <c r="B372" s="29"/>
      <c r="C372" s="19"/>
      <c r="D372" s="19"/>
      <c r="E372" s="18"/>
      <c r="F372" s="18" t="str">
        <f>IFERROR(__xludf.DUMMYFUNCTION("""COMPUTED_VALUE"""),"")</f>
        <v/>
      </c>
      <c r="G372" s="18" t="str">
        <f>IFERROR(__xludf.DUMMYFUNCTION("""COMPUTED_VALUE"""),"")</f>
        <v/>
      </c>
      <c r="H372" s="18" t="str">
        <f>IFERROR(__xludf.DUMMYFUNCTION("""COMPUTED_VALUE"""),"")</f>
        <v/>
      </c>
      <c r="I372" s="18" t="str">
        <f>IFERROR(__xludf.DUMMYFUNCTION("""COMPUTED_VALUE"""),"")</f>
        <v/>
      </c>
      <c r="J372" s="18" t="str">
        <f>IFERROR(__xludf.DUMMYFUNCTION("""COMPUTED_VALUE"""),"")</f>
        <v/>
      </c>
      <c r="K372" s="19"/>
      <c r="L372" s="19"/>
      <c r="M372" s="19"/>
      <c r="N372" s="19"/>
      <c r="O372" s="19"/>
    </row>
    <row r="373">
      <c r="A373" s="18"/>
      <c r="B373" s="29"/>
      <c r="C373" s="19"/>
      <c r="D373" s="19"/>
      <c r="E373" s="18"/>
      <c r="F373" s="18" t="str">
        <f>IFERROR(__xludf.DUMMYFUNCTION("""COMPUTED_VALUE"""),"")</f>
        <v/>
      </c>
      <c r="G373" s="18" t="str">
        <f>IFERROR(__xludf.DUMMYFUNCTION("""COMPUTED_VALUE"""),"")</f>
        <v/>
      </c>
      <c r="H373" s="18" t="str">
        <f>IFERROR(__xludf.DUMMYFUNCTION("""COMPUTED_VALUE"""),"")</f>
        <v/>
      </c>
      <c r="I373" s="18" t="str">
        <f>IFERROR(__xludf.DUMMYFUNCTION("""COMPUTED_VALUE"""),"")</f>
        <v/>
      </c>
      <c r="J373" s="18" t="str">
        <f>IFERROR(__xludf.DUMMYFUNCTION("""COMPUTED_VALUE"""),"")</f>
        <v/>
      </c>
      <c r="K373" s="19"/>
      <c r="L373" s="19"/>
      <c r="M373" s="19"/>
      <c r="N373" s="19"/>
      <c r="O373" s="19"/>
    </row>
    <row r="374">
      <c r="A374" s="18"/>
      <c r="B374" s="29"/>
      <c r="C374" s="19"/>
      <c r="D374" s="19"/>
      <c r="E374" s="18"/>
      <c r="F374" s="18" t="str">
        <f>IFERROR(__xludf.DUMMYFUNCTION("""COMPUTED_VALUE"""),"")</f>
        <v/>
      </c>
      <c r="G374" s="18" t="str">
        <f>IFERROR(__xludf.DUMMYFUNCTION("""COMPUTED_VALUE"""),"")</f>
        <v/>
      </c>
      <c r="H374" s="18" t="str">
        <f>IFERROR(__xludf.DUMMYFUNCTION("""COMPUTED_VALUE"""),"")</f>
        <v/>
      </c>
      <c r="I374" s="18" t="str">
        <f>IFERROR(__xludf.DUMMYFUNCTION("""COMPUTED_VALUE"""),"")</f>
        <v/>
      </c>
      <c r="J374" s="18" t="str">
        <f>IFERROR(__xludf.DUMMYFUNCTION("""COMPUTED_VALUE"""),"")</f>
        <v/>
      </c>
      <c r="K374" s="19"/>
      <c r="L374" s="19"/>
      <c r="M374" s="19"/>
      <c r="N374" s="19"/>
      <c r="O374" s="19"/>
    </row>
    <row r="375">
      <c r="A375" s="18"/>
      <c r="B375" s="29"/>
      <c r="C375" s="19"/>
      <c r="D375" s="19"/>
      <c r="E375" s="18"/>
      <c r="F375" s="18" t="str">
        <f>IFERROR(__xludf.DUMMYFUNCTION("""COMPUTED_VALUE"""),"")</f>
        <v/>
      </c>
      <c r="G375" s="18" t="str">
        <f>IFERROR(__xludf.DUMMYFUNCTION("""COMPUTED_VALUE"""),"")</f>
        <v/>
      </c>
      <c r="H375" s="18" t="str">
        <f>IFERROR(__xludf.DUMMYFUNCTION("""COMPUTED_VALUE"""),"")</f>
        <v/>
      </c>
      <c r="I375" s="18" t="str">
        <f>IFERROR(__xludf.DUMMYFUNCTION("""COMPUTED_VALUE"""),"")</f>
        <v/>
      </c>
      <c r="J375" s="18" t="str">
        <f>IFERROR(__xludf.DUMMYFUNCTION("""COMPUTED_VALUE"""),"")</f>
        <v/>
      </c>
      <c r="K375" s="19"/>
      <c r="L375" s="19"/>
      <c r="M375" s="19"/>
      <c r="N375" s="19"/>
      <c r="O375" s="19"/>
    </row>
    <row r="376">
      <c r="A376" s="18"/>
      <c r="B376" s="29"/>
      <c r="C376" s="19"/>
      <c r="D376" s="19"/>
      <c r="E376" s="18"/>
      <c r="F376" s="18" t="str">
        <f>IFERROR(__xludf.DUMMYFUNCTION("""COMPUTED_VALUE"""),"")</f>
        <v/>
      </c>
      <c r="G376" s="18" t="str">
        <f>IFERROR(__xludf.DUMMYFUNCTION("""COMPUTED_VALUE"""),"")</f>
        <v/>
      </c>
      <c r="H376" s="18" t="str">
        <f>IFERROR(__xludf.DUMMYFUNCTION("""COMPUTED_VALUE"""),"")</f>
        <v/>
      </c>
      <c r="I376" s="18" t="str">
        <f>IFERROR(__xludf.DUMMYFUNCTION("""COMPUTED_VALUE"""),"")</f>
        <v/>
      </c>
      <c r="J376" s="18" t="str">
        <f>IFERROR(__xludf.DUMMYFUNCTION("""COMPUTED_VALUE"""),"")</f>
        <v/>
      </c>
      <c r="K376" s="19"/>
      <c r="L376" s="19"/>
      <c r="M376" s="19"/>
      <c r="N376" s="19"/>
      <c r="O376" s="19"/>
    </row>
    <row r="377">
      <c r="A377" s="18"/>
      <c r="B377" s="29"/>
      <c r="C377" s="19"/>
      <c r="D377" s="19"/>
      <c r="E377" s="18"/>
      <c r="F377" s="18" t="str">
        <f>IFERROR(__xludf.DUMMYFUNCTION("""COMPUTED_VALUE"""),"")</f>
        <v/>
      </c>
      <c r="G377" s="18" t="str">
        <f>IFERROR(__xludf.DUMMYFUNCTION("""COMPUTED_VALUE"""),"")</f>
        <v/>
      </c>
      <c r="H377" s="18" t="str">
        <f>IFERROR(__xludf.DUMMYFUNCTION("""COMPUTED_VALUE"""),"")</f>
        <v/>
      </c>
      <c r="I377" s="18" t="str">
        <f>IFERROR(__xludf.DUMMYFUNCTION("""COMPUTED_VALUE"""),"")</f>
        <v/>
      </c>
      <c r="J377" s="18" t="str">
        <f>IFERROR(__xludf.DUMMYFUNCTION("""COMPUTED_VALUE"""),"")</f>
        <v/>
      </c>
      <c r="K377" s="19"/>
      <c r="L377" s="19"/>
      <c r="M377" s="19"/>
      <c r="N377" s="19"/>
      <c r="O377" s="19"/>
    </row>
    <row r="378">
      <c r="A378" s="18"/>
      <c r="B378" s="29"/>
      <c r="C378" s="19"/>
      <c r="D378" s="19"/>
      <c r="E378" s="18"/>
      <c r="F378" s="18" t="str">
        <f>IFERROR(__xludf.DUMMYFUNCTION("""COMPUTED_VALUE"""),"")</f>
        <v/>
      </c>
      <c r="G378" s="18" t="str">
        <f>IFERROR(__xludf.DUMMYFUNCTION("""COMPUTED_VALUE"""),"")</f>
        <v/>
      </c>
      <c r="H378" s="18" t="str">
        <f>IFERROR(__xludf.DUMMYFUNCTION("""COMPUTED_VALUE"""),"")</f>
        <v/>
      </c>
      <c r="I378" s="18" t="str">
        <f>IFERROR(__xludf.DUMMYFUNCTION("""COMPUTED_VALUE"""),"")</f>
        <v/>
      </c>
      <c r="J378" s="18" t="str">
        <f>IFERROR(__xludf.DUMMYFUNCTION("""COMPUTED_VALUE"""),"")</f>
        <v/>
      </c>
      <c r="K378" s="19"/>
      <c r="L378" s="19"/>
      <c r="M378" s="19"/>
      <c r="N378" s="19"/>
      <c r="O378" s="19"/>
    </row>
    <row r="379">
      <c r="A379" s="18"/>
      <c r="B379" s="29"/>
      <c r="C379" s="19"/>
      <c r="D379" s="19"/>
      <c r="E379" s="18"/>
      <c r="F379" s="18" t="str">
        <f>IFERROR(__xludf.DUMMYFUNCTION("""COMPUTED_VALUE"""),"")</f>
        <v/>
      </c>
      <c r="G379" s="18" t="str">
        <f>IFERROR(__xludf.DUMMYFUNCTION("""COMPUTED_VALUE"""),"")</f>
        <v/>
      </c>
      <c r="H379" s="18" t="str">
        <f>IFERROR(__xludf.DUMMYFUNCTION("""COMPUTED_VALUE"""),"")</f>
        <v/>
      </c>
      <c r="I379" s="18" t="str">
        <f>IFERROR(__xludf.DUMMYFUNCTION("""COMPUTED_VALUE"""),"")</f>
        <v/>
      </c>
      <c r="J379" s="18" t="str">
        <f>IFERROR(__xludf.DUMMYFUNCTION("""COMPUTED_VALUE"""),"")</f>
        <v/>
      </c>
      <c r="K379" s="19"/>
      <c r="L379" s="19"/>
      <c r="M379" s="19"/>
      <c r="N379" s="19"/>
      <c r="O379" s="19"/>
    </row>
    <row r="380">
      <c r="A380" s="18"/>
      <c r="B380" s="29"/>
      <c r="C380" s="19"/>
      <c r="D380" s="19"/>
      <c r="E380" s="18"/>
      <c r="F380" s="18" t="str">
        <f>IFERROR(__xludf.DUMMYFUNCTION("""COMPUTED_VALUE"""),"")</f>
        <v/>
      </c>
      <c r="G380" s="18" t="str">
        <f>IFERROR(__xludf.DUMMYFUNCTION("""COMPUTED_VALUE"""),"")</f>
        <v/>
      </c>
      <c r="H380" s="18" t="str">
        <f>IFERROR(__xludf.DUMMYFUNCTION("""COMPUTED_VALUE"""),"")</f>
        <v/>
      </c>
      <c r="I380" s="18" t="str">
        <f>IFERROR(__xludf.DUMMYFUNCTION("""COMPUTED_VALUE"""),"")</f>
        <v/>
      </c>
      <c r="J380" s="18" t="str">
        <f>IFERROR(__xludf.DUMMYFUNCTION("""COMPUTED_VALUE"""),"")</f>
        <v/>
      </c>
      <c r="K380" s="19"/>
      <c r="L380" s="19"/>
      <c r="M380" s="19"/>
      <c r="N380" s="19"/>
      <c r="O380" s="19"/>
    </row>
    <row r="381">
      <c r="A381" s="18"/>
      <c r="B381" s="29"/>
      <c r="C381" s="19"/>
      <c r="D381" s="19"/>
      <c r="E381" s="18"/>
      <c r="F381" s="18" t="str">
        <f>IFERROR(__xludf.DUMMYFUNCTION("""COMPUTED_VALUE"""),"")</f>
        <v/>
      </c>
      <c r="G381" s="18" t="str">
        <f>IFERROR(__xludf.DUMMYFUNCTION("""COMPUTED_VALUE"""),"")</f>
        <v/>
      </c>
      <c r="H381" s="18" t="str">
        <f>IFERROR(__xludf.DUMMYFUNCTION("""COMPUTED_VALUE"""),"")</f>
        <v/>
      </c>
      <c r="I381" s="18" t="str">
        <f>IFERROR(__xludf.DUMMYFUNCTION("""COMPUTED_VALUE"""),"")</f>
        <v/>
      </c>
      <c r="J381" s="18" t="str">
        <f>IFERROR(__xludf.DUMMYFUNCTION("""COMPUTED_VALUE"""),"")</f>
        <v/>
      </c>
      <c r="K381" s="19"/>
      <c r="L381" s="19"/>
      <c r="M381" s="19"/>
      <c r="N381" s="19"/>
      <c r="O381" s="19"/>
    </row>
    <row r="382">
      <c r="A382" s="18"/>
      <c r="B382" s="29"/>
      <c r="C382" s="19"/>
      <c r="D382" s="19"/>
      <c r="E382" s="18"/>
      <c r="F382" s="18" t="str">
        <f>IFERROR(__xludf.DUMMYFUNCTION("""COMPUTED_VALUE"""),"")</f>
        <v/>
      </c>
      <c r="G382" s="18" t="str">
        <f>IFERROR(__xludf.DUMMYFUNCTION("""COMPUTED_VALUE"""),"")</f>
        <v/>
      </c>
      <c r="H382" s="18" t="str">
        <f>IFERROR(__xludf.DUMMYFUNCTION("""COMPUTED_VALUE"""),"")</f>
        <v/>
      </c>
      <c r="I382" s="18" t="str">
        <f>IFERROR(__xludf.DUMMYFUNCTION("""COMPUTED_VALUE"""),"")</f>
        <v/>
      </c>
      <c r="J382" s="18" t="str">
        <f>IFERROR(__xludf.DUMMYFUNCTION("""COMPUTED_VALUE"""),"")</f>
        <v/>
      </c>
      <c r="K382" s="19"/>
      <c r="L382" s="19"/>
      <c r="M382" s="19"/>
      <c r="N382" s="19"/>
      <c r="O382" s="19"/>
    </row>
    <row r="383">
      <c r="A383" s="18"/>
      <c r="B383" s="29"/>
      <c r="C383" s="19"/>
      <c r="D383" s="19"/>
      <c r="E383" s="18"/>
      <c r="F383" s="18" t="str">
        <f>IFERROR(__xludf.DUMMYFUNCTION("""COMPUTED_VALUE"""),"")</f>
        <v/>
      </c>
      <c r="G383" s="18" t="str">
        <f>IFERROR(__xludf.DUMMYFUNCTION("""COMPUTED_VALUE"""),"")</f>
        <v/>
      </c>
      <c r="H383" s="18" t="str">
        <f>IFERROR(__xludf.DUMMYFUNCTION("""COMPUTED_VALUE"""),"")</f>
        <v/>
      </c>
      <c r="I383" s="18" t="str">
        <f>IFERROR(__xludf.DUMMYFUNCTION("""COMPUTED_VALUE"""),"")</f>
        <v/>
      </c>
      <c r="J383" s="18" t="str">
        <f>IFERROR(__xludf.DUMMYFUNCTION("""COMPUTED_VALUE"""),"")</f>
        <v/>
      </c>
      <c r="K383" s="19"/>
      <c r="L383" s="19"/>
      <c r="M383" s="19"/>
      <c r="N383" s="19"/>
      <c r="O383" s="19"/>
    </row>
    <row r="384">
      <c r="A384" s="18"/>
      <c r="B384" s="29"/>
      <c r="C384" s="19"/>
      <c r="D384" s="19"/>
      <c r="E384" s="18"/>
      <c r="F384" s="18" t="str">
        <f>IFERROR(__xludf.DUMMYFUNCTION("""COMPUTED_VALUE"""),"")</f>
        <v/>
      </c>
      <c r="G384" s="18" t="str">
        <f>IFERROR(__xludf.DUMMYFUNCTION("""COMPUTED_VALUE"""),"")</f>
        <v/>
      </c>
      <c r="H384" s="18" t="str">
        <f>IFERROR(__xludf.DUMMYFUNCTION("""COMPUTED_VALUE"""),"")</f>
        <v/>
      </c>
      <c r="I384" s="18" t="str">
        <f>IFERROR(__xludf.DUMMYFUNCTION("""COMPUTED_VALUE"""),"")</f>
        <v/>
      </c>
      <c r="J384" s="18" t="str">
        <f>IFERROR(__xludf.DUMMYFUNCTION("""COMPUTED_VALUE"""),"")</f>
        <v/>
      </c>
      <c r="K384" s="19"/>
      <c r="L384" s="19"/>
      <c r="M384" s="19"/>
      <c r="N384" s="19"/>
      <c r="O384" s="19"/>
    </row>
    <row r="385">
      <c r="A385" s="18"/>
      <c r="B385" s="29"/>
      <c r="C385" s="19"/>
      <c r="D385" s="19"/>
      <c r="E385" s="18"/>
      <c r="F385" s="18" t="str">
        <f>IFERROR(__xludf.DUMMYFUNCTION("""COMPUTED_VALUE"""),"")</f>
        <v/>
      </c>
      <c r="G385" s="18" t="str">
        <f>IFERROR(__xludf.DUMMYFUNCTION("""COMPUTED_VALUE"""),"")</f>
        <v/>
      </c>
      <c r="H385" s="18" t="str">
        <f>IFERROR(__xludf.DUMMYFUNCTION("""COMPUTED_VALUE"""),"")</f>
        <v/>
      </c>
      <c r="I385" s="18" t="str">
        <f>IFERROR(__xludf.DUMMYFUNCTION("""COMPUTED_VALUE"""),"")</f>
        <v/>
      </c>
      <c r="J385" s="18" t="str">
        <f>IFERROR(__xludf.DUMMYFUNCTION("""COMPUTED_VALUE"""),"")</f>
        <v/>
      </c>
      <c r="K385" s="19"/>
      <c r="L385" s="19"/>
      <c r="M385" s="19"/>
      <c r="N385" s="19"/>
      <c r="O385" s="19"/>
    </row>
    <row r="386">
      <c r="A386" s="18"/>
      <c r="B386" s="29"/>
      <c r="C386" s="19"/>
      <c r="D386" s="19"/>
      <c r="E386" s="18"/>
      <c r="F386" s="18" t="str">
        <f>IFERROR(__xludf.DUMMYFUNCTION("""COMPUTED_VALUE"""),"")</f>
        <v/>
      </c>
      <c r="G386" s="18" t="str">
        <f>IFERROR(__xludf.DUMMYFUNCTION("""COMPUTED_VALUE"""),"")</f>
        <v/>
      </c>
      <c r="H386" s="18" t="str">
        <f>IFERROR(__xludf.DUMMYFUNCTION("""COMPUTED_VALUE"""),"")</f>
        <v/>
      </c>
      <c r="I386" s="18" t="str">
        <f>IFERROR(__xludf.DUMMYFUNCTION("""COMPUTED_VALUE"""),"")</f>
        <v/>
      </c>
      <c r="J386" s="18" t="str">
        <f>IFERROR(__xludf.DUMMYFUNCTION("""COMPUTED_VALUE"""),"")</f>
        <v/>
      </c>
      <c r="K386" s="19"/>
      <c r="L386" s="19"/>
      <c r="M386" s="19"/>
      <c r="N386" s="19"/>
      <c r="O386" s="19"/>
    </row>
    <row r="387">
      <c r="A387" s="18"/>
      <c r="B387" s="29"/>
      <c r="C387" s="19"/>
      <c r="D387" s="19"/>
      <c r="E387" s="18"/>
      <c r="F387" s="18" t="str">
        <f>IFERROR(__xludf.DUMMYFUNCTION("""COMPUTED_VALUE"""),"")</f>
        <v/>
      </c>
      <c r="G387" s="18" t="str">
        <f>IFERROR(__xludf.DUMMYFUNCTION("""COMPUTED_VALUE"""),"")</f>
        <v/>
      </c>
      <c r="H387" s="18" t="str">
        <f>IFERROR(__xludf.DUMMYFUNCTION("""COMPUTED_VALUE"""),"")</f>
        <v/>
      </c>
      <c r="I387" s="18" t="str">
        <f>IFERROR(__xludf.DUMMYFUNCTION("""COMPUTED_VALUE"""),"")</f>
        <v/>
      </c>
      <c r="J387" s="18" t="str">
        <f>IFERROR(__xludf.DUMMYFUNCTION("""COMPUTED_VALUE"""),"")</f>
        <v/>
      </c>
      <c r="K387" s="19"/>
      <c r="L387" s="19"/>
      <c r="M387" s="19"/>
      <c r="N387" s="19"/>
      <c r="O387" s="19"/>
    </row>
    <row r="388">
      <c r="A388" s="18"/>
      <c r="B388" s="29"/>
      <c r="C388" s="19"/>
      <c r="D388" s="19"/>
      <c r="E388" s="18"/>
      <c r="F388" s="18" t="str">
        <f>IFERROR(__xludf.DUMMYFUNCTION("""COMPUTED_VALUE"""),"")</f>
        <v/>
      </c>
      <c r="G388" s="18" t="str">
        <f>IFERROR(__xludf.DUMMYFUNCTION("""COMPUTED_VALUE"""),"")</f>
        <v/>
      </c>
      <c r="H388" s="18" t="str">
        <f>IFERROR(__xludf.DUMMYFUNCTION("""COMPUTED_VALUE"""),"")</f>
        <v/>
      </c>
      <c r="I388" s="18" t="str">
        <f>IFERROR(__xludf.DUMMYFUNCTION("""COMPUTED_VALUE"""),"")</f>
        <v/>
      </c>
      <c r="J388" s="18" t="str">
        <f>IFERROR(__xludf.DUMMYFUNCTION("""COMPUTED_VALUE"""),"")</f>
        <v/>
      </c>
      <c r="K388" s="19"/>
      <c r="L388" s="19"/>
      <c r="M388" s="19"/>
      <c r="N388" s="19"/>
      <c r="O388" s="19"/>
    </row>
    <row r="389">
      <c r="A389" s="18"/>
      <c r="B389" s="29"/>
      <c r="C389" s="19"/>
      <c r="D389" s="19"/>
      <c r="E389" s="18"/>
      <c r="F389" s="18" t="str">
        <f>IFERROR(__xludf.DUMMYFUNCTION("""COMPUTED_VALUE"""),"")</f>
        <v/>
      </c>
      <c r="G389" s="18" t="str">
        <f>IFERROR(__xludf.DUMMYFUNCTION("""COMPUTED_VALUE"""),"")</f>
        <v/>
      </c>
      <c r="H389" s="18" t="str">
        <f>IFERROR(__xludf.DUMMYFUNCTION("""COMPUTED_VALUE"""),"")</f>
        <v/>
      </c>
      <c r="I389" s="18" t="str">
        <f>IFERROR(__xludf.DUMMYFUNCTION("""COMPUTED_VALUE"""),"")</f>
        <v/>
      </c>
      <c r="J389" s="18" t="str">
        <f>IFERROR(__xludf.DUMMYFUNCTION("""COMPUTED_VALUE"""),"")</f>
        <v/>
      </c>
      <c r="K389" s="19"/>
      <c r="L389" s="19"/>
      <c r="M389" s="19"/>
      <c r="N389" s="19"/>
      <c r="O389" s="19"/>
    </row>
    <row r="390">
      <c r="A390" s="18"/>
      <c r="B390" s="29"/>
      <c r="C390" s="19"/>
      <c r="D390" s="19"/>
      <c r="E390" s="18"/>
      <c r="F390" s="18" t="str">
        <f>IFERROR(__xludf.DUMMYFUNCTION("""COMPUTED_VALUE"""),"")</f>
        <v/>
      </c>
      <c r="G390" s="18" t="str">
        <f>IFERROR(__xludf.DUMMYFUNCTION("""COMPUTED_VALUE"""),"")</f>
        <v/>
      </c>
      <c r="H390" s="18" t="str">
        <f>IFERROR(__xludf.DUMMYFUNCTION("""COMPUTED_VALUE"""),"")</f>
        <v/>
      </c>
      <c r="I390" s="18" t="str">
        <f>IFERROR(__xludf.DUMMYFUNCTION("""COMPUTED_VALUE"""),"")</f>
        <v/>
      </c>
      <c r="J390" s="18" t="str">
        <f>IFERROR(__xludf.DUMMYFUNCTION("""COMPUTED_VALUE"""),"")</f>
        <v/>
      </c>
      <c r="K390" s="19"/>
      <c r="L390" s="19"/>
      <c r="M390" s="19"/>
      <c r="N390" s="19"/>
      <c r="O390" s="19"/>
    </row>
    <row r="391">
      <c r="A391" s="18"/>
      <c r="B391" s="29"/>
      <c r="C391" s="19"/>
      <c r="D391" s="19"/>
      <c r="E391" s="18"/>
      <c r="F391" s="18" t="str">
        <f>IFERROR(__xludf.DUMMYFUNCTION("""COMPUTED_VALUE"""),"")</f>
        <v/>
      </c>
      <c r="G391" s="18" t="str">
        <f>IFERROR(__xludf.DUMMYFUNCTION("""COMPUTED_VALUE"""),"")</f>
        <v/>
      </c>
      <c r="H391" s="18" t="str">
        <f>IFERROR(__xludf.DUMMYFUNCTION("""COMPUTED_VALUE"""),"")</f>
        <v/>
      </c>
      <c r="I391" s="18" t="str">
        <f>IFERROR(__xludf.DUMMYFUNCTION("""COMPUTED_VALUE"""),"")</f>
        <v/>
      </c>
      <c r="J391" s="18" t="str">
        <f>IFERROR(__xludf.DUMMYFUNCTION("""COMPUTED_VALUE"""),"")</f>
        <v/>
      </c>
      <c r="K391" s="19"/>
      <c r="L391" s="19"/>
      <c r="M391" s="19"/>
      <c r="N391" s="19"/>
      <c r="O391" s="19"/>
    </row>
    <row r="392">
      <c r="A392" s="18"/>
      <c r="B392" s="29"/>
      <c r="C392" s="19"/>
      <c r="D392" s="19"/>
      <c r="E392" s="18"/>
      <c r="F392" s="18" t="str">
        <f>IFERROR(__xludf.DUMMYFUNCTION("""COMPUTED_VALUE"""),"")</f>
        <v/>
      </c>
      <c r="G392" s="18" t="str">
        <f>IFERROR(__xludf.DUMMYFUNCTION("""COMPUTED_VALUE"""),"")</f>
        <v/>
      </c>
      <c r="H392" s="18" t="str">
        <f>IFERROR(__xludf.DUMMYFUNCTION("""COMPUTED_VALUE"""),"")</f>
        <v/>
      </c>
      <c r="I392" s="18" t="str">
        <f>IFERROR(__xludf.DUMMYFUNCTION("""COMPUTED_VALUE"""),"")</f>
        <v/>
      </c>
      <c r="J392" s="18" t="str">
        <f>IFERROR(__xludf.DUMMYFUNCTION("""COMPUTED_VALUE"""),"")</f>
        <v/>
      </c>
      <c r="K392" s="19"/>
      <c r="L392" s="19"/>
      <c r="M392" s="19"/>
      <c r="N392" s="19"/>
      <c r="O392" s="19"/>
    </row>
    <row r="393">
      <c r="A393" s="18"/>
      <c r="B393" s="29"/>
      <c r="C393" s="19"/>
      <c r="D393" s="19"/>
      <c r="E393" s="18"/>
      <c r="F393" s="18" t="str">
        <f>IFERROR(__xludf.DUMMYFUNCTION("""COMPUTED_VALUE"""),"")</f>
        <v/>
      </c>
      <c r="G393" s="18" t="str">
        <f>IFERROR(__xludf.DUMMYFUNCTION("""COMPUTED_VALUE"""),"")</f>
        <v/>
      </c>
      <c r="H393" s="18" t="str">
        <f>IFERROR(__xludf.DUMMYFUNCTION("""COMPUTED_VALUE"""),"")</f>
        <v/>
      </c>
      <c r="I393" s="18" t="str">
        <f>IFERROR(__xludf.DUMMYFUNCTION("""COMPUTED_VALUE"""),"")</f>
        <v/>
      </c>
      <c r="J393" s="18" t="str">
        <f>IFERROR(__xludf.DUMMYFUNCTION("""COMPUTED_VALUE"""),"")</f>
        <v/>
      </c>
      <c r="K393" s="19"/>
      <c r="L393" s="19"/>
      <c r="M393" s="19"/>
      <c r="N393" s="19"/>
      <c r="O393" s="19"/>
    </row>
    <row r="394">
      <c r="A394" s="18"/>
      <c r="B394" s="29"/>
      <c r="C394" s="19"/>
      <c r="D394" s="19"/>
      <c r="E394" s="18"/>
      <c r="F394" s="18" t="str">
        <f>IFERROR(__xludf.DUMMYFUNCTION("""COMPUTED_VALUE"""),"")</f>
        <v/>
      </c>
      <c r="G394" s="18" t="str">
        <f>IFERROR(__xludf.DUMMYFUNCTION("""COMPUTED_VALUE"""),"")</f>
        <v/>
      </c>
      <c r="H394" s="18" t="str">
        <f>IFERROR(__xludf.DUMMYFUNCTION("""COMPUTED_VALUE"""),"")</f>
        <v/>
      </c>
      <c r="I394" s="18" t="str">
        <f>IFERROR(__xludf.DUMMYFUNCTION("""COMPUTED_VALUE"""),"")</f>
        <v/>
      </c>
      <c r="J394" s="18" t="str">
        <f>IFERROR(__xludf.DUMMYFUNCTION("""COMPUTED_VALUE"""),"")</f>
        <v/>
      </c>
      <c r="K394" s="19"/>
      <c r="L394" s="19"/>
      <c r="M394" s="19"/>
      <c r="N394" s="19"/>
      <c r="O394" s="19"/>
    </row>
    <row r="395">
      <c r="A395" s="18"/>
      <c r="B395" s="29"/>
      <c r="C395" s="19"/>
      <c r="D395" s="19"/>
      <c r="E395" s="18"/>
      <c r="F395" s="18" t="str">
        <f>IFERROR(__xludf.DUMMYFUNCTION("""COMPUTED_VALUE"""),"")</f>
        <v/>
      </c>
      <c r="G395" s="18" t="str">
        <f>IFERROR(__xludf.DUMMYFUNCTION("""COMPUTED_VALUE"""),"")</f>
        <v/>
      </c>
      <c r="H395" s="18" t="str">
        <f>IFERROR(__xludf.DUMMYFUNCTION("""COMPUTED_VALUE"""),"")</f>
        <v/>
      </c>
      <c r="I395" s="18" t="str">
        <f>IFERROR(__xludf.DUMMYFUNCTION("""COMPUTED_VALUE"""),"")</f>
        <v/>
      </c>
      <c r="J395" s="18" t="str">
        <f>IFERROR(__xludf.DUMMYFUNCTION("""COMPUTED_VALUE"""),"")</f>
        <v/>
      </c>
      <c r="K395" s="19"/>
      <c r="L395" s="19"/>
      <c r="M395" s="19"/>
      <c r="N395" s="19"/>
      <c r="O395" s="19"/>
    </row>
    <row r="396">
      <c r="A396" s="18"/>
      <c r="B396" s="29"/>
      <c r="C396" s="19"/>
      <c r="D396" s="19"/>
      <c r="E396" s="18"/>
      <c r="F396" s="18" t="str">
        <f>IFERROR(__xludf.DUMMYFUNCTION("""COMPUTED_VALUE"""),"")</f>
        <v/>
      </c>
      <c r="G396" s="18" t="str">
        <f>IFERROR(__xludf.DUMMYFUNCTION("""COMPUTED_VALUE"""),"")</f>
        <v/>
      </c>
      <c r="H396" s="18" t="str">
        <f>IFERROR(__xludf.DUMMYFUNCTION("""COMPUTED_VALUE"""),"")</f>
        <v/>
      </c>
      <c r="I396" s="18" t="str">
        <f>IFERROR(__xludf.DUMMYFUNCTION("""COMPUTED_VALUE"""),"")</f>
        <v/>
      </c>
      <c r="J396" s="18" t="str">
        <f>IFERROR(__xludf.DUMMYFUNCTION("""COMPUTED_VALUE"""),"")</f>
        <v/>
      </c>
      <c r="K396" s="19"/>
      <c r="L396" s="19"/>
      <c r="M396" s="19"/>
      <c r="N396" s="19"/>
      <c r="O396" s="19"/>
    </row>
    <row r="397">
      <c r="A397" s="18"/>
      <c r="B397" s="29"/>
      <c r="C397" s="19"/>
      <c r="D397" s="19"/>
      <c r="E397" s="18"/>
      <c r="F397" s="18" t="str">
        <f>IFERROR(__xludf.DUMMYFUNCTION("""COMPUTED_VALUE"""),"")</f>
        <v/>
      </c>
      <c r="G397" s="18" t="str">
        <f>IFERROR(__xludf.DUMMYFUNCTION("""COMPUTED_VALUE"""),"")</f>
        <v/>
      </c>
      <c r="H397" s="18" t="str">
        <f>IFERROR(__xludf.DUMMYFUNCTION("""COMPUTED_VALUE"""),"")</f>
        <v/>
      </c>
      <c r="I397" s="18" t="str">
        <f>IFERROR(__xludf.DUMMYFUNCTION("""COMPUTED_VALUE"""),"")</f>
        <v/>
      </c>
      <c r="J397" s="18" t="str">
        <f>IFERROR(__xludf.DUMMYFUNCTION("""COMPUTED_VALUE"""),"")</f>
        <v/>
      </c>
      <c r="K397" s="19"/>
      <c r="L397" s="19"/>
      <c r="M397" s="19"/>
      <c r="N397" s="19"/>
      <c r="O397" s="19"/>
    </row>
    <row r="398">
      <c r="A398" s="18"/>
      <c r="B398" s="29"/>
      <c r="C398" s="19"/>
      <c r="D398" s="19"/>
      <c r="E398" s="18"/>
      <c r="F398" s="18" t="str">
        <f>IFERROR(__xludf.DUMMYFUNCTION("""COMPUTED_VALUE"""),"")</f>
        <v/>
      </c>
      <c r="G398" s="18" t="str">
        <f>IFERROR(__xludf.DUMMYFUNCTION("""COMPUTED_VALUE"""),"")</f>
        <v/>
      </c>
      <c r="H398" s="18" t="str">
        <f>IFERROR(__xludf.DUMMYFUNCTION("""COMPUTED_VALUE"""),"")</f>
        <v/>
      </c>
      <c r="I398" s="18" t="str">
        <f>IFERROR(__xludf.DUMMYFUNCTION("""COMPUTED_VALUE"""),"")</f>
        <v/>
      </c>
      <c r="J398" s="18" t="str">
        <f>IFERROR(__xludf.DUMMYFUNCTION("""COMPUTED_VALUE"""),"")</f>
        <v/>
      </c>
      <c r="K398" s="19"/>
      <c r="L398" s="19"/>
      <c r="M398" s="19"/>
      <c r="N398" s="19"/>
      <c r="O398" s="19"/>
    </row>
    <row r="399">
      <c r="A399" s="18"/>
      <c r="B399" s="29"/>
      <c r="C399" s="19"/>
      <c r="D399" s="19"/>
      <c r="E399" s="18"/>
      <c r="F399" s="18" t="str">
        <f>IFERROR(__xludf.DUMMYFUNCTION("""COMPUTED_VALUE"""),"")</f>
        <v/>
      </c>
      <c r="G399" s="18" t="str">
        <f>IFERROR(__xludf.DUMMYFUNCTION("""COMPUTED_VALUE"""),"")</f>
        <v/>
      </c>
      <c r="H399" s="18" t="str">
        <f>IFERROR(__xludf.DUMMYFUNCTION("""COMPUTED_VALUE"""),"")</f>
        <v/>
      </c>
      <c r="I399" s="18" t="str">
        <f>IFERROR(__xludf.DUMMYFUNCTION("""COMPUTED_VALUE"""),"")</f>
        <v/>
      </c>
      <c r="J399" s="18" t="str">
        <f>IFERROR(__xludf.DUMMYFUNCTION("""COMPUTED_VALUE"""),"")</f>
        <v/>
      </c>
      <c r="K399" s="19"/>
      <c r="L399" s="19"/>
      <c r="M399" s="19"/>
      <c r="N399" s="19"/>
      <c r="O399" s="19"/>
    </row>
    <row r="400">
      <c r="A400" s="18"/>
      <c r="B400" s="29"/>
      <c r="C400" s="19"/>
      <c r="D400" s="19"/>
      <c r="E400" s="18"/>
      <c r="F400" s="18" t="str">
        <f>IFERROR(__xludf.DUMMYFUNCTION("""COMPUTED_VALUE"""),"")</f>
        <v/>
      </c>
      <c r="G400" s="18" t="str">
        <f>IFERROR(__xludf.DUMMYFUNCTION("""COMPUTED_VALUE"""),"")</f>
        <v/>
      </c>
      <c r="H400" s="18" t="str">
        <f>IFERROR(__xludf.DUMMYFUNCTION("""COMPUTED_VALUE"""),"")</f>
        <v/>
      </c>
      <c r="I400" s="18" t="str">
        <f>IFERROR(__xludf.DUMMYFUNCTION("""COMPUTED_VALUE"""),"")</f>
        <v/>
      </c>
      <c r="J400" s="18" t="str">
        <f>IFERROR(__xludf.DUMMYFUNCTION("""COMPUTED_VALUE"""),"")</f>
        <v/>
      </c>
      <c r="K400" s="19"/>
      <c r="L400" s="19"/>
      <c r="M400" s="19"/>
      <c r="N400" s="19"/>
      <c r="O400" s="19"/>
    </row>
    <row r="401">
      <c r="A401" s="18"/>
      <c r="B401" s="29"/>
      <c r="C401" s="19"/>
      <c r="D401" s="19"/>
      <c r="E401" s="18"/>
      <c r="F401" s="18" t="str">
        <f>IFERROR(__xludf.DUMMYFUNCTION("""COMPUTED_VALUE"""),"")</f>
        <v/>
      </c>
      <c r="G401" s="18" t="str">
        <f>IFERROR(__xludf.DUMMYFUNCTION("""COMPUTED_VALUE"""),"")</f>
        <v/>
      </c>
      <c r="H401" s="18" t="str">
        <f>IFERROR(__xludf.DUMMYFUNCTION("""COMPUTED_VALUE"""),"")</f>
        <v/>
      </c>
      <c r="I401" s="18" t="str">
        <f>IFERROR(__xludf.DUMMYFUNCTION("""COMPUTED_VALUE"""),"")</f>
        <v/>
      </c>
      <c r="J401" s="18" t="str">
        <f>IFERROR(__xludf.DUMMYFUNCTION("""COMPUTED_VALUE"""),"")</f>
        <v/>
      </c>
      <c r="K401" s="19"/>
      <c r="L401" s="19"/>
      <c r="M401" s="19"/>
      <c r="N401" s="19"/>
      <c r="O401" s="19"/>
    </row>
    <row r="402">
      <c r="A402" s="18"/>
      <c r="B402" s="29"/>
      <c r="C402" s="19"/>
      <c r="D402" s="19"/>
      <c r="E402" s="18"/>
      <c r="F402" s="18" t="str">
        <f>IFERROR(__xludf.DUMMYFUNCTION("""COMPUTED_VALUE"""),"")</f>
        <v/>
      </c>
      <c r="G402" s="18" t="str">
        <f>IFERROR(__xludf.DUMMYFUNCTION("""COMPUTED_VALUE"""),"")</f>
        <v/>
      </c>
      <c r="H402" s="18" t="str">
        <f>IFERROR(__xludf.DUMMYFUNCTION("""COMPUTED_VALUE"""),"")</f>
        <v/>
      </c>
      <c r="I402" s="18" t="str">
        <f>IFERROR(__xludf.DUMMYFUNCTION("""COMPUTED_VALUE"""),"")</f>
        <v/>
      </c>
      <c r="J402" s="18" t="str">
        <f>IFERROR(__xludf.DUMMYFUNCTION("""COMPUTED_VALUE"""),"")</f>
        <v/>
      </c>
      <c r="K402" s="19"/>
      <c r="L402" s="19"/>
      <c r="M402" s="19"/>
      <c r="N402" s="19"/>
      <c r="O402" s="19"/>
    </row>
    <row r="403">
      <c r="A403" s="18"/>
      <c r="B403" s="29"/>
      <c r="C403" s="19"/>
      <c r="D403" s="19"/>
      <c r="E403" s="18"/>
      <c r="F403" s="18" t="str">
        <f>IFERROR(__xludf.DUMMYFUNCTION("""COMPUTED_VALUE"""),"")</f>
        <v/>
      </c>
      <c r="G403" s="18" t="str">
        <f>IFERROR(__xludf.DUMMYFUNCTION("""COMPUTED_VALUE"""),"")</f>
        <v/>
      </c>
      <c r="H403" s="18" t="str">
        <f>IFERROR(__xludf.DUMMYFUNCTION("""COMPUTED_VALUE"""),"")</f>
        <v/>
      </c>
      <c r="I403" s="18" t="str">
        <f>IFERROR(__xludf.DUMMYFUNCTION("""COMPUTED_VALUE"""),"")</f>
        <v/>
      </c>
      <c r="J403" s="18" t="str">
        <f>IFERROR(__xludf.DUMMYFUNCTION("""COMPUTED_VALUE"""),"")</f>
        <v/>
      </c>
      <c r="K403" s="19"/>
      <c r="L403" s="19"/>
      <c r="M403" s="19"/>
      <c r="N403" s="19"/>
      <c r="O403" s="19"/>
    </row>
    <row r="404">
      <c r="A404" s="18"/>
      <c r="B404" s="29"/>
      <c r="C404" s="19"/>
      <c r="D404" s="19"/>
      <c r="E404" s="18"/>
      <c r="F404" s="18" t="str">
        <f>IFERROR(__xludf.DUMMYFUNCTION("""COMPUTED_VALUE"""),"")</f>
        <v/>
      </c>
      <c r="G404" s="18" t="str">
        <f>IFERROR(__xludf.DUMMYFUNCTION("""COMPUTED_VALUE"""),"")</f>
        <v/>
      </c>
      <c r="H404" s="18" t="str">
        <f>IFERROR(__xludf.DUMMYFUNCTION("""COMPUTED_VALUE"""),"")</f>
        <v/>
      </c>
      <c r="I404" s="18" t="str">
        <f>IFERROR(__xludf.DUMMYFUNCTION("""COMPUTED_VALUE"""),"")</f>
        <v/>
      </c>
      <c r="J404" s="18" t="str">
        <f>IFERROR(__xludf.DUMMYFUNCTION("""COMPUTED_VALUE"""),"")</f>
        <v/>
      </c>
      <c r="K404" s="19"/>
      <c r="L404" s="19"/>
      <c r="M404" s="19"/>
      <c r="N404" s="19"/>
      <c r="O404" s="19"/>
    </row>
    <row r="405">
      <c r="A405" s="18"/>
      <c r="B405" s="29"/>
      <c r="C405" s="19"/>
      <c r="D405" s="19"/>
      <c r="E405" s="18"/>
      <c r="F405" s="18" t="str">
        <f>IFERROR(__xludf.DUMMYFUNCTION("""COMPUTED_VALUE"""),"")</f>
        <v/>
      </c>
      <c r="G405" s="18" t="str">
        <f>IFERROR(__xludf.DUMMYFUNCTION("""COMPUTED_VALUE"""),"")</f>
        <v/>
      </c>
      <c r="H405" s="18" t="str">
        <f>IFERROR(__xludf.DUMMYFUNCTION("""COMPUTED_VALUE"""),"")</f>
        <v/>
      </c>
      <c r="I405" s="18" t="str">
        <f>IFERROR(__xludf.DUMMYFUNCTION("""COMPUTED_VALUE"""),"")</f>
        <v/>
      </c>
      <c r="J405" s="18" t="str">
        <f>IFERROR(__xludf.DUMMYFUNCTION("""COMPUTED_VALUE"""),"")</f>
        <v/>
      </c>
      <c r="K405" s="19"/>
      <c r="L405" s="19"/>
      <c r="M405" s="19"/>
      <c r="N405" s="19"/>
      <c r="O405" s="19"/>
    </row>
    <row r="406">
      <c r="A406" s="18"/>
      <c r="B406" s="29"/>
      <c r="C406" s="19"/>
      <c r="D406" s="19"/>
      <c r="E406" s="18"/>
      <c r="F406" s="18" t="str">
        <f>IFERROR(__xludf.DUMMYFUNCTION("""COMPUTED_VALUE"""),"")</f>
        <v/>
      </c>
      <c r="G406" s="18" t="str">
        <f>IFERROR(__xludf.DUMMYFUNCTION("""COMPUTED_VALUE"""),"")</f>
        <v/>
      </c>
      <c r="H406" s="18" t="str">
        <f>IFERROR(__xludf.DUMMYFUNCTION("""COMPUTED_VALUE"""),"")</f>
        <v/>
      </c>
      <c r="I406" s="18" t="str">
        <f>IFERROR(__xludf.DUMMYFUNCTION("""COMPUTED_VALUE"""),"")</f>
        <v/>
      </c>
      <c r="J406" s="18" t="str">
        <f>IFERROR(__xludf.DUMMYFUNCTION("""COMPUTED_VALUE"""),"")</f>
        <v/>
      </c>
      <c r="K406" s="19"/>
      <c r="L406" s="19"/>
      <c r="M406" s="19"/>
      <c r="N406" s="19"/>
      <c r="O406" s="19"/>
    </row>
    <row r="407">
      <c r="A407" s="18"/>
      <c r="B407" s="29"/>
      <c r="C407" s="19"/>
      <c r="D407" s="19"/>
      <c r="E407" s="18"/>
      <c r="F407" s="18" t="str">
        <f>IFERROR(__xludf.DUMMYFUNCTION("""COMPUTED_VALUE"""),"")</f>
        <v/>
      </c>
      <c r="G407" s="18" t="str">
        <f>IFERROR(__xludf.DUMMYFUNCTION("""COMPUTED_VALUE"""),"")</f>
        <v/>
      </c>
      <c r="H407" s="18" t="str">
        <f>IFERROR(__xludf.DUMMYFUNCTION("""COMPUTED_VALUE"""),"")</f>
        <v/>
      </c>
      <c r="I407" s="18" t="str">
        <f>IFERROR(__xludf.DUMMYFUNCTION("""COMPUTED_VALUE"""),"")</f>
        <v/>
      </c>
      <c r="J407" s="18" t="str">
        <f>IFERROR(__xludf.DUMMYFUNCTION("""COMPUTED_VALUE"""),"")</f>
        <v/>
      </c>
      <c r="K407" s="19"/>
      <c r="L407" s="19"/>
      <c r="M407" s="19"/>
      <c r="N407" s="19"/>
      <c r="O407" s="19"/>
    </row>
    <row r="408">
      <c r="A408" s="18"/>
      <c r="B408" s="29"/>
      <c r="C408" s="19"/>
      <c r="D408" s="19"/>
      <c r="E408" s="18"/>
      <c r="F408" s="18" t="str">
        <f>IFERROR(__xludf.DUMMYFUNCTION("""COMPUTED_VALUE"""),"")</f>
        <v/>
      </c>
      <c r="G408" s="18" t="str">
        <f>IFERROR(__xludf.DUMMYFUNCTION("""COMPUTED_VALUE"""),"")</f>
        <v/>
      </c>
      <c r="H408" s="18" t="str">
        <f>IFERROR(__xludf.DUMMYFUNCTION("""COMPUTED_VALUE"""),"")</f>
        <v/>
      </c>
      <c r="I408" s="18" t="str">
        <f>IFERROR(__xludf.DUMMYFUNCTION("""COMPUTED_VALUE"""),"")</f>
        <v/>
      </c>
      <c r="J408" s="18" t="str">
        <f>IFERROR(__xludf.DUMMYFUNCTION("""COMPUTED_VALUE"""),"")</f>
        <v/>
      </c>
      <c r="K408" s="19"/>
      <c r="L408" s="19"/>
      <c r="M408" s="19"/>
      <c r="N408" s="19"/>
      <c r="O408" s="19"/>
    </row>
    <row r="409">
      <c r="A409" s="18"/>
      <c r="B409" s="29"/>
      <c r="C409" s="19"/>
      <c r="D409" s="19"/>
      <c r="E409" s="18"/>
      <c r="F409" s="18" t="str">
        <f>IFERROR(__xludf.DUMMYFUNCTION("""COMPUTED_VALUE"""),"")</f>
        <v/>
      </c>
      <c r="G409" s="18" t="str">
        <f>IFERROR(__xludf.DUMMYFUNCTION("""COMPUTED_VALUE"""),"")</f>
        <v/>
      </c>
      <c r="H409" s="18" t="str">
        <f>IFERROR(__xludf.DUMMYFUNCTION("""COMPUTED_VALUE"""),"")</f>
        <v/>
      </c>
      <c r="I409" s="18" t="str">
        <f>IFERROR(__xludf.DUMMYFUNCTION("""COMPUTED_VALUE"""),"")</f>
        <v/>
      </c>
      <c r="J409" s="18" t="str">
        <f>IFERROR(__xludf.DUMMYFUNCTION("""COMPUTED_VALUE"""),"")</f>
        <v/>
      </c>
      <c r="K409" s="19"/>
      <c r="L409" s="19"/>
      <c r="M409" s="19"/>
      <c r="N409" s="19"/>
      <c r="O409" s="19"/>
    </row>
    <row r="410">
      <c r="A410" s="18"/>
      <c r="B410" s="29"/>
      <c r="C410" s="19"/>
      <c r="D410" s="19"/>
      <c r="E410" s="18"/>
      <c r="F410" s="18" t="str">
        <f>IFERROR(__xludf.DUMMYFUNCTION("""COMPUTED_VALUE"""),"")</f>
        <v/>
      </c>
      <c r="G410" s="18" t="str">
        <f>IFERROR(__xludf.DUMMYFUNCTION("""COMPUTED_VALUE"""),"")</f>
        <v/>
      </c>
      <c r="H410" s="18" t="str">
        <f>IFERROR(__xludf.DUMMYFUNCTION("""COMPUTED_VALUE"""),"")</f>
        <v/>
      </c>
      <c r="I410" s="18" t="str">
        <f>IFERROR(__xludf.DUMMYFUNCTION("""COMPUTED_VALUE"""),"")</f>
        <v/>
      </c>
      <c r="J410" s="18" t="str">
        <f>IFERROR(__xludf.DUMMYFUNCTION("""COMPUTED_VALUE"""),"")</f>
        <v/>
      </c>
      <c r="K410" s="19"/>
      <c r="L410" s="19"/>
      <c r="M410" s="19"/>
      <c r="N410" s="19"/>
      <c r="O410" s="19"/>
    </row>
    <row r="411">
      <c r="A411" s="18"/>
      <c r="B411" s="29"/>
      <c r="C411" s="19"/>
      <c r="D411" s="19"/>
      <c r="E411" s="18"/>
      <c r="F411" s="18" t="str">
        <f>IFERROR(__xludf.DUMMYFUNCTION("""COMPUTED_VALUE"""),"")</f>
        <v/>
      </c>
      <c r="G411" s="18" t="str">
        <f>IFERROR(__xludf.DUMMYFUNCTION("""COMPUTED_VALUE"""),"")</f>
        <v/>
      </c>
      <c r="H411" s="18" t="str">
        <f>IFERROR(__xludf.DUMMYFUNCTION("""COMPUTED_VALUE"""),"")</f>
        <v/>
      </c>
      <c r="I411" s="18" t="str">
        <f>IFERROR(__xludf.DUMMYFUNCTION("""COMPUTED_VALUE"""),"")</f>
        <v/>
      </c>
      <c r="J411" s="18" t="str">
        <f>IFERROR(__xludf.DUMMYFUNCTION("""COMPUTED_VALUE"""),"")</f>
        <v/>
      </c>
      <c r="K411" s="19"/>
      <c r="L411" s="19"/>
      <c r="M411" s="19"/>
      <c r="N411" s="19"/>
      <c r="O411" s="19"/>
    </row>
    <row r="412">
      <c r="A412" s="18"/>
      <c r="B412" s="29"/>
      <c r="C412" s="19"/>
      <c r="D412" s="19"/>
      <c r="E412" s="18"/>
      <c r="F412" s="18" t="str">
        <f>IFERROR(__xludf.DUMMYFUNCTION("""COMPUTED_VALUE"""),"")</f>
        <v/>
      </c>
      <c r="G412" s="18" t="str">
        <f>IFERROR(__xludf.DUMMYFUNCTION("""COMPUTED_VALUE"""),"")</f>
        <v/>
      </c>
      <c r="H412" s="18" t="str">
        <f>IFERROR(__xludf.DUMMYFUNCTION("""COMPUTED_VALUE"""),"")</f>
        <v/>
      </c>
      <c r="I412" s="18" t="str">
        <f>IFERROR(__xludf.DUMMYFUNCTION("""COMPUTED_VALUE"""),"")</f>
        <v/>
      </c>
      <c r="J412" s="18" t="str">
        <f>IFERROR(__xludf.DUMMYFUNCTION("""COMPUTED_VALUE"""),"")</f>
        <v/>
      </c>
      <c r="K412" s="19"/>
      <c r="L412" s="19"/>
      <c r="M412" s="19"/>
      <c r="N412" s="19"/>
      <c r="O412" s="19"/>
    </row>
    <row r="413">
      <c r="A413" s="18"/>
      <c r="B413" s="29"/>
      <c r="C413" s="19"/>
      <c r="D413" s="19"/>
      <c r="E413" s="18"/>
      <c r="F413" s="18" t="str">
        <f>IFERROR(__xludf.DUMMYFUNCTION("""COMPUTED_VALUE"""),"")</f>
        <v/>
      </c>
      <c r="G413" s="18" t="str">
        <f>IFERROR(__xludf.DUMMYFUNCTION("""COMPUTED_VALUE"""),"")</f>
        <v/>
      </c>
      <c r="H413" s="18" t="str">
        <f>IFERROR(__xludf.DUMMYFUNCTION("""COMPUTED_VALUE"""),"")</f>
        <v/>
      </c>
      <c r="I413" s="18" t="str">
        <f>IFERROR(__xludf.DUMMYFUNCTION("""COMPUTED_VALUE"""),"")</f>
        <v/>
      </c>
      <c r="J413" s="18" t="str">
        <f>IFERROR(__xludf.DUMMYFUNCTION("""COMPUTED_VALUE"""),"")</f>
        <v/>
      </c>
      <c r="K413" s="19"/>
      <c r="L413" s="19"/>
      <c r="M413" s="19"/>
      <c r="N413" s="19"/>
      <c r="O413" s="19"/>
    </row>
    <row r="414">
      <c r="A414" s="18"/>
      <c r="B414" s="29"/>
      <c r="C414" s="19"/>
      <c r="D414" s="19"/>
      <c r="E414" s="18"/>
      <c r="F414" s="18" t="str">
        <f>IFERROR(__xludf.DUMMYFUNCTION("""COMPUTED_VALUE"""),"")</f>
        <v/>
      </c>
      <c r="G414" s="18" t="str">
        <f>IFERROR(__xludf.DUMMYFUNCTION("""COMPUTED_VALUE"""),"")</f>
        <v/>
      </c>
      <c r="H414" s="18" t="str">
        <f>IFERROR(__xludf.DUMMYFUNCTION("""COMPUTED_VALUE"""),"")</f>
        <v/>
      </c>
      <c r="I414" s="18" t="str">
        <f>IFERROR(__xludf.DUMMYFUNCTION("""COMPUTED_VALUE"""),"")</f>
        <v/>
      </c>
      <c r="J414" s="18" t="str">
        <f>IFERROR(__xludf.DUMMYFUNCTION("""COMPUTED_VALUE"""),"")</f>
        <v/>
      </c>
      <c r="K414" s="19"/>
      <c r="L414" s="19"/>
      <c r="M414" s="19"/>
      <c r="N414" s="19"/>
      <c r="O414" s="19"/>
    </row>
    <row r="415">
      <c r="A415" s="18"/>
      <c r="B415" s="29"/>
      <c r="C415" s="19"/>
      <c r="D415" s="19"/>
      <c r="E415" s="18"/>
      <c r="F415" s="18" t="str">
        <f>IFERROR(__xludf.DUMMYFUNCTION("""COMPUTED_VALUE"""),"")</f>
        <v/>
      </c>
      <c r="G415" s="18" t="str">
        <f>IFERROR(__xludf.DUMMYFUNCTION("""COMPUTED_VALUE"""),"")</f>
        <v/>
      </c>
      <c r="H415" s="18" t="str">
        <f>IFERROR(__xludf.DUMMYFUNCTION("""COMPUTED_VALUE"""),"")</f>
        <v/>
      </c>
      <c r="I415" s="18" t="str">
        <f>IFERROR(__xludf.DUMMYFUNCTION("""COMPUTED_VALUE"""),"")</f>
        <v/>
      </c>
      <c r="J415" s="18" t="str">
        <f>IFERROR(__xludf.DUMMYFUNCTION("""COMPUTED_VALUE"""),"")</f>
        <v/>
      </c>
      <c r="K415" s="19"/>
      <c r="L415" s="19"/>
      <c r="M415" s="19"/>
      <c r="N415" s="19"/>
      <c r="O415" s="19"/>
    </row>
    <row r="416">
      <c r="A416" s="18"/>
      <c r="B416" s="29"/>
      <c r="C416" s="19"/>
      <c r="D416" s="19"/>
      <c r="E416" s="18"/>
      <c r="F416" s="18" t="str">
        <f>IFERROR(__xludf.DUMMYFUNCTION("""COMPUTED_VALUE"""),"")</f>
        <v/>
      </c>
      <c r="G416" s="18" t="str">
        <f>IFERROR(__xludf.DUMMYFUNCTION("""COMPUTED_VALUE"""),"")</f>
        <v/>
      </c>
      <c r="H416" s="18" t="str">
        <f>IFERROR(__xludf.DUMMYFUNCTION("""COMPUTED_VALUE"""),"")</f>
        <v/>
      </c>
      <c r="I416" s="18" t="str">
        <f>IFERROR(__xludf.DUMMYFUNCTION("""COMPUTED_VALUE"""),"")</f>
        <v/>
      </c>
      <c r="J416" s="18" t="str">
        <f>IFERROR(__xludf.DUMMYFUNCTION("""COMPUTED_VALUE"""),"")</f>
        <v/>
      </c>
      <c r="K416" s="19"/>
      <c r="L416" s="19"/>
      <c r="M416" s="19"/>
      <c r="N416" s="19"/>
      <c r="O416" s="19"/>
    </row>
    <row r="417">
      <c r="A417" s="18"/>
      <c r="B417" s="29"/>
      <c r="C417" s="19"/>
      <c r="D417" s="19"/>
      <c r="E417" s="18"/>
      <c r="F417" s="18" t="str">
        <f>IFERROR(__xludf.DUMMYFUNCTION("""COMPUTED_VALUE"""),"")</f>
        <v/>
      </c>
      <c r="G417" s="18" t="str">
        <f>IFERROR(__xludf.DUMMYFUNCTION("""COMPUTED_VALUE"""),"")</f>
        <v/>
      </c>
      <c r="H417" s="18" t="str">
        <f>IFERROR(__xludf.DUMMYFUNCTION("""COMPUTED_VALUE"""),"")</f>
        <v/>
      </c>
      <c r="I417" s="18" t="str">
        <f>IFERROR(__xludf.DUMMYFUNCTION("""COMPUTED_VALUE"""),"")</f>
        <v/>
      </c>
      <c r="J417" s="18" t="str">
        <f>IFERROR(__xludf.DUMMYFUNCTION("""COMPUTED_VALUE"""),"")</f>
        <v/>
      </c>
      <c r="K417" s="19"/>
      <c r="L417" s="19"/>
      <c r="M417" s="19"/>
      <c r="N417" s="19"/>
      <c r="O417" s="19"/>
    </row>
    <row r="418">
      <c r="A418" s="18"/>
      <c r="B418" s="29"/>
      <c r="C418" s="19"/>
      <c r="D418" s="19"/>
      <c r="E418" s="18"/>
      <c r="F418" s="18" t="str">
        <f>IFERROR(__xludf.DUMMYFUNCTION("""COMPUTED_VALUE"""),"")</f>
        <v/>
      </c>
      <c r="G418" s="18" t="str">
        <f>IFERROR(__xludf.DUMMYFUNCTION("""COMPUTED_VALUE"""),"")</f>
        <v/>
      </c>
      <c r="H418" s="18" t="str">
        <f>IFERROR(__xludf.DUMMYFUNCTION("""COMPUTED_VALUE"""),"")</f>
        <v/>
      </c>
      <c r="I418" s="18" t="str">
        <f>IFERROR(__xludf.DUMMYFUNCTION("""COMPUTED_VALUE"""),"")</f>
        <v/>
      </c>
      <c r="J418" s="18" t="str">
        <f>IFERROR(__xludf.DUMMYFUNCTION("""COMPUTED_VALUE"""),"")</f>
        <v/>
      </c>
      <c r="K418" s="19"/>
      <c r="L418" s="19"/>
      <c r="M418" s="19"/>
      <c r="N418" s="19"/>
      <c r="O418" s="19"/>
    </row>
    <row r="419">
      <c r="A419" s="18"/>
      <c r="B419" s="29"/>
      <c r="C419" s="19"/>
      <c r="D419" s="19"/>
      <c r="E419" s="18"/>
      <c r="F419" s="18" t="str">
        <f>IFERROR(__xludf.DUMMYFUNCTION("""COMPUTED_VALUE"""),"")</f>
        <v/>
      </c>
      <c r="G419" s="18" t="str">
        <f>IFERROR(__xludf.DUMMYFUNCTION("""COMPUTED_VALUE"""),"")</f>
        <v/>
      </c>
      <c r="H419" s="18" t="str">
        <f>IFERROR(__xludf.DUMMYFUNCTION("""COMPUTED_VALUE"""),"")</f>
        <v/>
      </c>
      <c r="I419" s="18" t="str">
        <f>IFERROR(__xludf.DUMMYFUNCTION("""COMPUTED_VALUE"""),"")</f>
        <v/>
      </c>
      <c r="J419" s="18" t="str">
        <f>IFERROR(__xludf.DUMMYFUNCTION("""COMPUTED_VALUE"""),"")</f>
        <v/>
      </c>
      <c r="K419" s="19"/>
      <c r="L419" s="19"/>
      <c r="M419" s="19"/>
      <c r="N419" s="19"/>
      <c r="O419" s="19"/>
    </row>
    <row r="420">
      <c r="A420" s="18"/>
      <c r="B420" s="29"/>
      <c r="C420" s="19"/>
      <c r="D420" s="19"/>
      <c r="E420" s="18"/>
      <c r="F420" s="18" t="str">
        <f>IFERROR(__xludf.DUMMYFUNCTION("""COMPUTED_VALUE"""),"")</f>
        <v/>
      </c>
      <c r="G420" s="18" t="str">
        <f>IFERROR(__xludf.DUMMYFUNCTION("""COMPUTED_VALUE"""),"")</f>
        <v/>
      </c>
      <c r="H420" s="18" t="str">
        <f>IFERROR(__xludf.DUMMYFUNCTION("""COMPUTED_VALUE"""),"")</f>
        <v/>
      </c>
      <c r="I420" s="18" t="str">
        <f>IFERROR(__xludf.DUMMYFUNCTION("""COMPUTED_VALUE"""),"")</f>
        <v/>
      </c>
      <c r="J420" s="18" t="str">
        <f>IFERROR(__xludf.DUMMYFUNCTION("""COMPUTED_VALUE"""),"")</f>
        <v/>
      </c>
      <c r="K420" s="19"/>
      <c r="L420" s="19"/>
      <c r="M420" s="19"/>
      <c r="N420" s="19"/>
      <c r="O420" s="19"/>
    </row>
    <row r="421">
      <c r="A421" s="18"/>
      <c r="B421" s="29"/>
      <c r="C421" s="19"/>
      <c r="D421" s="19"/>
      <c r="E421" s="18"/>
      <c r="F421" s="18" t="str">
        <f>IFERROR(__xludf.DUMMYFUNCTION("""COMPUTED_VALUE"""),"")</f>
        <v/>
      </c>
      <c r="G421" s="18" t="str">
        <f>IFERROR(__xludf.DUMMYFUNCTION("""COMPUTED_VALUE"""),"")</f>
        <v/>
      </c>
      <c r="H421" s="18" t="str">
        <f>IFERROR(__xludf.DUMMYFUNCTION("""COMPUTED_VALUE"""),"")</f>
        <v/>
      </c>
      <c r="I421" s="18" t="str">
        <f>IFERROR(__xludf.DUMMYFUNCTION("""COMPUTED_VALUE"""),"")</f>
        <v/>
      </c>
      <c r="J421" s="18" t="str">
        <f>IFERROR(__xludf.DUMMYFUNCTION("""COMPUTED_VALUE"""),"")</f>
        <v/>
      </c>
      <c r="K421" s="19"/>
      <c r="L421" s="19"/>
      <c r="M421" s="19"/>
      <c r="N421" s="19"/>
      <c r="O421" s="19"/>
    </row>
    <row r="422">
      <c r="A422" s="18"/>
      <c r="B422" s="29"/>
      <c r="C422" s="19"/>
      <c r="D422" s="19"/>
      <c r="E422" s="18"/>
      <c r="F422" s="18" t="str">
        <f>IFERROR(__xludf.DUMMYFUNCTION("""COMPUTED_VALUE"""),"")</f>
        <v/>
      </c>
      <c r="G422" s="18" t="str">
        <f>IFERROR(__xludf.DUMMYFUNCTION("""COMPUTED_VALUE"""),"")</f>
        <v/>
      </c>
      <c r="H422" s="18" t="str">
        <f>IFERROR(__xludf.DUMMYFUNCTION("""COMPUTED_VALUE"""),"")</f>
        <v/>
      </c>
      <c r="I422" s="18" t="str">
        <f>IFERROR(__xludf.DUMMYFUNCTION("""COMPUTED_VALUE"""),"")</f>
        <v/>
      </c>
      <c r="J422" s="18" t="str">
        <f>IFERROR(__xludf.DUMMYFUNCTION("""COMPUTED_VALUE"""),"")</f>
        <v/>
      </c>
      <c r="K422" s="19"/>
      <c r="L422" s="19"/>
      <c r="M422" s="19"/>
      <c r="N422" s="19"/>
      <c r="O422" s="19"/>
    </row>
    <row r="423">
      <c r="A423" s="18"/>
      <c r="B423" s="29"/>
      <c r="C423" s="19"/>
      <c r="D423" s="19"/>
      <c r="E423" s="18"/>
      <c r="F423" s="18" t="str">
        <f>IFERROR(__xludf.DUMMYFUNCTION("""COMPUTED_VALUE"""),"")</f>
        <v/>
      </c>
      <c r="G423" s="18" t="str">
        <f>IFERROR(__xludf.DUMMYFUNCTION("""COMPUTED_VALUE"""),"")</f>
        <v/>
      </c>
      <c r="H423" s="18" t="str">
        <f>IFERROR(__xludf.DUMMYFUNCTION("""COMPUTED_VALUE"""),"")</f>
        <v/>
      </c>
      <c r="I423" s="18" t="str">
        <f>IFERROR(__xludf.DUMMYFUNCTION("""COMPUTED_VALUE"""),"")</f>
        <v/>
      </c>
      <c r="J423" s="18" t="str">
        <f>IFERROR(__xludf.DUMMYFUNCTION("""COMPUTED_VALUE"""),"")</f>
        <v/>
      </c>
      <c r="K423" s="19"/>
      <c r="L423" s="19"/>
      <c r="M423" s="19"/>
      <c r="N423" s="19"/>
      <c r="O423" s="19"/>
    </row>
    <row r="424">
      <c r="A424" s="18"/>
      <c r="B424" s="29"/>
      <c r="C424" s="19"/>
      <c r="D424" s="19"/>
      <c r="E424" s="18"/>
      <c r="F424" s="18" t="str">
        <f>IFERROR(__xludf.DUMMYFUNCTION("""COMPUTED_VALUE"""),"")</f>
        <v/>
      </c>
      <c r="G424" s="18" t="str">
        <f>IFERROR(__xludf.DUMMYFUNCTION("""COMPUTED_VALUE"""),"")</f>
        <v/>
      </c>
      <c r="H424" s="18" t="str">
        <f>IFERROR(__xludf.DUMMYFUNCTION("""COMPUTED_VALUE"""),"")</f>
        <v/>
      </c>
      <c r="I424" s="18" t="str">
        <f>IFERROR(__xludf.DUMMYFUNCTION("""COMPUTED_VALUE"""),"")</f>
        <v/>
      </c>
      <c r="J424" s="18" t="str">
        <f>IFERROR(__xludf.DUMMYFUNCTION("""COMPUTED_VALUE"""),"")</f>
        <v/>
      </c>
      <c r="K424" s="19"/>
      <c r="L424" s="19"/>
      <c r="M424" s="19"/>
      <c r="N424" s="19"/>
      <c r="O424" s="19"/>
    </row>
    <row r="425">
      <c r="A425" s="18"/>
      <c r="B425" s="29"/>
      <c r="C425" s="19"/>
      <c r="D425" s="19"/>
      <c r="E425" s="18"/>
      <c r="F425" s="18" t="str">
        <f>IFERROR(__xludf.DUMMYFUNCTION("""COMPUTED_VALUE"""),"")</f>
        <v/>
      </c>
      <c r="G425" s="18" t="str">
        <f>IFERROR(__xludf.DUMMYFUNCTION("""COMPUTED_VALUE"""),"")</f>
        <v/>
      </c>
      <c r="H425" s="18" t="str">
        <f>IFERROR(__xludf.DUMMYFUNCTION("""COMPUTED_VALUE"""),"")</f>
        <v/>
      </c>
      <c r="I425" s="18" t="str">
        <f>IFERROR(__xludf.DUMMYFUNCTION("""COMPUTED_VALUE"""),"")</f>
        <v/>
      </c>
      <c r="J425" s="18" t="str">
        <f>IFERROR(__xludf.DUMMYFUNCTION("""COMPUTED_VALUE"""),"")</f>
        <v/>
      </c>
      <c r="K425" s="19"/>
      <c r="L425" s="19"/>
      <c r="M425" s="19"/>
      <c r="N425" s="19"/>
      <c r="O425" s="19"/>
    </row>
    <row r="426">
      <c r="A426" s="18"/>
      <c r="B426" s="29"/>
      <c r="C426" s="19"/>
      <c r="D426" s="19"/>
      <c r="E426" s="18"/>
      <c r="F426" s="18" t="str">
        <f>IFERROR(__xludf.DUMMYFUNCTION("""COMPUTED_VALUE"""),"")</f>
        <v/>
      </c>
      <c r="G426" s="18" t="str">
        <f>IFERROR(__xludf.DUMMYFUNCTION("""COMPUTED_VALUE"""),"")</f>
        <v/>
      </c>
      <c r="H426" s="18" t="str">
        <f>IFERROR(__xludf.DUMMYFUNCTION("""COMPUTED_VALUE"""),"")</f>
        <v/>
      </c>
      <c r="I426" s="18" t="str">
        <f>IFERROR(__xludf.DUMMYFUNCTION("""COMPUTED_VALUE"""),"")</f>
        <v/>
      </c>
      <c r="J426" s="18" t="str">
        <f>IFERROR(__xludf.DUMMYFUNCTION("""COMPUTED_VALUE"""),"")</f>
        <v/>
      </c>
      <c r="K426" s="19"/>
      <c r="L426" s="19"/>
      <c r="M426" s="19"/>
      <c r="N426" s="19"/>
      <c r="O426" s="19"/>
    </row>
    <row r="427">
      <c r="A427" s="18"/>
      <c r="B427" s="29"/>
      <c r="C427" s="19"/>
      <c r="D427" s="19"/>
      <c r="E427" s="18"/>
      <c r="F427" s="18" t="str">
        <f>IFERROR(__xludf.DUMMYFUNCTION("""COMPUTED_VALUE"""),"")</f>
        <v/>
      </c>
      <c r="G427" s="18" t="str">
        <f>IFERROR(__xludf.DUMMYFUNCTION("""COMPUTED_VALUE"""),"")</f>
        <v/>
      </c>
      <c r="H427" s="18" t="str">
        <f>IFERROR(__xludf.DUMMYFUNCTION("""COMPUTED_VALUE"""),"")</f>
        <v/>
      </c>
      <c r="I427" s="18" t="str">
        <f>IFERROR(__xludf.DUMMYFUNCTION("""COMPUTED_VALUE"""),"")</f>
        <v/>
      </c>
      <c r="J427" s="18" t="str">
        <f>IFERROR(__xludf.DUMMYFUNCTION("""COMPUTED_VALUE"""),"")</f>
        <v/>
      </c>
      <c r="K427" s="19"/>
      <c r="L427" s="19"/>
      <c r="M427" s="19"/>
      <c r="N427" s="19"/>
      <c r="O427" s="19"/>
    </row>
    <row r="428">
      <c r="A428" s="18"/>
      <c r="B428" s="29"/>
      <c r="C428" s="19"/>
      <c r="D428" s="19"/>
      <c r="E428" s="18"/>
      <c r="F428" s="18" t="str">
        <f>IFERROR(__xludf.DUMMYFUNCTION("""COMPUTED_VALUE"""),"")</f>
        <v/>
      </c>
      <c r="G428" s="18" t="str">
        <f>IFERROR(__xludf.DUMMYFUNCTION("""COMPUTED_VALUE"""),"")</f>
        <v/>
      </c>
      <c r="H428" s="18" t="str">
        <f>IFERROR(__xludf.DUMMYFUNCTION("""COMPUTED_VALUE"""),"")</f>
        <v/>
      </c>
      <c r="I428" s="18" t="str">
        <f>IFERROR(__xludf.DUMMYFUNCTION("""COMPUTED_VALUE"""),"")</f>
        <v/>
      </c>
      <c r="J428" s="18" t="str">
        <f>IFERROR(__xludf.DUMMYFUNCTION("""COMPUTED_VALUE"""),"")</f>
        <v/>
      </c>
      <c r="K428" s="19"/>
      <c r="L428" s="19"/>
      <c r="M428" s="19"/>
      <c r="N428" s="19"/>
      <c r="O428" s="19"/>
    </row>
    <row r="429">
      <c r="A429" s="18"/>
      <c r="B429" s="29"/>
      <c r="C429" s="19"/>
      <c r="D429" s="19"/>
      <c r="E429" s="18"/>
      <c r="F429" s="18" t="str">
        <f>IFERROR(__xludf.DUMMYFUNCTION("""COMPUTED_VALUE"""),"")</f>
        <v/>
      </c>
      <c r="G429" s="18" t="str">
        <f>IFERROR(__xludf.DUMMYFUNCTION("""COMPUTED_VALUE"""),"")</f>
        <v/>
      </c>
      <c r="H429" s="18" t="str">
        <f>IFERROR(__xludf.DUMMYFUNCTION("""COMPUTED_VALUE"""),"")</f>
        <v/>
      </c>
      <c r="I429" s="18" t="str">
        <f>IFERROR(__xludf.DUMMYFUNCTION("""COMPUTED_VALUE"""),"")</f>
        <v/>
      </c>
      <c r="J429" s="18" t="str">
        <f>IFERROR(__xludf.DUMMYFUNCTION("""COMPUTED_VALUE"""),"")</f>
        <v/>
      </c>
      <c r="K429" s="19"/>
      <c r="L429" s="19"/>
      <c r="M429" s="19"/>
      <c r="N429" s="19"/>
      <c r="O429" s="19"/>
    </row>
    <row r="430">
      <c r="A430" s="18"/>
      <c r="B430" s="29"/>
      <c r="C430" s="19"/>
      <c r="D430" s="19"/>
      <c r="E430" s="18"/>
      <c r="F430" s="18" t="str">
        <f>IFERROR(__xludf.DUMMYFUNCTION("""COMPUTED_VALUE"""),"")</f>
        <v/>
      </c>
      <c r="G430" s="18" t="str">
        <f>IFERROR(__xludf.DUMMYFUNCTION("""COMPUTED_VALUE"""),"")</f>
        <v/>
      </c>
      <c r="H430" s="18" t="str">
        <f>IFERROR(__xludf.DUMMYFUNCTION("""COMPUTED_VALUE"""),"")</f>
        <v/>
      </c>
      <c r="I430" s="18" t="str">
        <f>IFERROR(__xludf.DUMMYFUNCTION("""COMPUTED_VALUE"""),"")</f>
        <v/>
      </c>
      <c r="J430" s="18" t="str">
        <f>IFERROR(__xludf.DUMMYFUNCTION("""COMPUTED_VALUE"""),"")</f>
        <v/>
      </c>
      <c r="K430" s="19"/>
      <c r="L430" s="19"/>
      <c r="M430" s="19"/>
      <c r="N430" s="19"/>
      <c r="O430" s="19"/>
    </row>
    <row r="431">
      <c r="A431" s="18"/>
      <c r="B431" s="29"/>
      <c r="C431" s="19"/>
      <c r="D431" s="19"/>
      <c r="E431" s="18"/>
      <c r="F431" s="18" t="str">
        <f>IFERROR(__xludf.DUMMYFUNCTION("""COMPUTED_VALUE"""),"")</f>
        <v/>
      </c>
      <c r="G431" s="18" t="str">
        <f>IFERROR(__xludf.DUMMYFUNCTION("""COMPUTED_VALUE"""),"")</f>
        <v/>
      </c>
      <c r="H431" s="18" t="str">
        <f>IFERROR(__xludf.DUMMYFUNCTION("""COMPUTED_VALUE"""),"")</f>
        <v/>
      </c>
      <c r="I431" s="18" t="str">
        <f>IFERROR(__xludf.DUMMYFUNCTION("""COMPUTED_VALUE"""),"")</f>
        <v/>
      </c>
      <c r="J431" s="18" t="str">
        <f>IFERROR(__xludf.DUMMYFUNCTION("""COMPUTED_VALUE"""),"")</f>
        <v/>
      </c>
      <c r="K431" s="19"/>
      <c r="L431" s="19"/>
      <c r="M431" s="19"/>
      <c r="N431" s="19"/>
      <c r="O431" s="19"/>
    </row>
    <row r="432">
      <c r="A432" s="18"/>
      <c r="B432" s="29"/>
      <c r="C432" s="19"/>
      <c r="D432" s="19"/>
      <c r="E432" s="18"/>
      <c r="F432" s="18" t="str">
        <f>IFERROR(__xludf.DUMMYFUNCTION("""COMPUTED_VALUE"""),"")</f>
        <v/>
      </c>
      <c r="G432" s="18" t="str">
        <f>IFERROR(__xludf.DUMMYFUNCTION("""COMPUTED_VALUE"""),"")</f>
        <v/>
      </c>
      <c r="H432" s="18" t="str">
        <f>IFERROR(__xludf.DUMMYFUNCTION("""COMPUTED_VALUE"""),"")</f>
        <v/>
      </c>
      <c r="I432" s="18" t="str">
        <f>IFERROR(__xludf.DUMMYFUNCTION("""COMPUTED_VALUE"""),"")</f>
        <v/>
      </c>
      <c r="J432" s="18" t="str">
        <f>IFERROR(__xludf.DUMMYFUNCTION("""COMPUTED_VALUE"""),"")</f>
        <v/>
      </c>
      <c r="K432" s="19"/>
      <c r="L432" s="19"/>
      <c r="M432" s="19"/>
      <c r="N432" s="19"/>
      <c r="O432" s="19"/>
    </row>
    <row r="433">
      <c r="A433" s="18"/>
      <c r="B433" s="29"/>
      <c r="C433" s="19"/>
      <c r="D433" s="19"/>
      <c r="E433" s="18"/>
      <c r="F433" s="18" t="str">
        <f>IFERROR(__xludf.DUMMYFUNCTION("""COMPUTED_VALUE"""),"")</f>
        <v/>
      </c>
      <c r="G433" s="18" t="str">
        <f>IFERROR(__xludf.DUMMYFUNCTION("""COMPUTED_VALUE"""),"")</f>
        <v/>
      </c>
      <c r="H433" s="18" t="str">
        <f>IFERROR(__xludf.DUMMYFUNCTION("""COMPUTED_VALUE"""),"")</f>
        <v/>
      </c>
      <c r="I433" s="18" t="str">
        <f>IFERROR(__xludf.DUMMYFUNCTION("""COMPUTED_VALUE"""),"")</f>
        <v/>
      </c>
      <c r="J433" s="18" t="str">
        <f>IFERROR(__xludf.DUMMYFUNCTION("""COMPUTED_VALUE"""),"")</f>
        <v/>
      </c>
      <c r="K433" s="19"/>
      <c r="L433" s="19"/>
      <c r="M433" s="19"/>
      <c r="N433" s="19"/>
      <c r="O433" s="19"/>
    </row>
    <row r="434">
      <c r="A434" s="18"/>
      <c r="B434" s="29"/>
      <c r="C434" s="19"/>
      <c r="D434" s="19"/>
      <c r="E434" s="18"/>
      <c r="F434" s="18" t="str">
        <f>IFERROR(__xludf.DUMMYFUNCTION("""COMPUTED_VALUE"""),"")</f>
        <v/>
      </c>
      <c r="G434" s="18" t="str">
        <f>IFERROR(__xludf.DUMMYFUNCTION("""COMPUTED_VALUE"""),"")</f>
        <v/>
      </c>
      <c r="H434" s="18" t="str">
        <f>IFERROR(__xludf.DUMMYFUNCTION("""COMPUTED_VALUE"""),"")</f>
        <v/>
      </c>
      <c r="I434" s="18" t="str">
        <f>IFERROR(__xludf.DUMMYFUNCTION("""COMPUTED_VALUE"""),"")</f>
        <v/>
      </c>
      <c r="J434" s="18" t="str">
        <f>IFERROR(__xludf.DUMMYFUNCTION("""COMPUTED_VALUE"""),"")</f>
        <v/>
      </c>
      <c r="K434" s="19"/>
      <c r="L434" s="19"/>
      <c r="M434" s="19"/>
      <c r="N434" s="19"/>
      <c r="O434" s="19"/>
    </row>
    <row r="435">
      <c r="A435" s="18"/>
      <c r="B435" s="29"/>
      <c r="C435" s="19"/>
      <c r="D435" s="19"/>
      <c r="E435" s="18"/>
      <c r="F435" s="18" t="str">
        <f>IFERROR(__xludf.DUMMYFUNCTION("""COMPUTED_VALUE"""),"")</f>
        <v/>
      </c>
      <c r="G435" s="18" t="str">
        <f>IFERROR(__xludf.DUMMYFUNCTION("""COMPUTED_VALUE"""),"")</f>
        <v/>
      </c>
      <c r="H435" s="18" t="str">
        <f>IFERROR(__xludf.DUMMYFUNCTION("""COMPUTED_VALUE"""),"")</f>
        <v/>
      </c>
      <c r="I435" s="18" t="str">
        <f>IFERROR(__xludf.DUMMYFUNCTION("""COMPUTED_VALUE"""),"")</f>
        <v/>
      </c>
      <c r="J435" s="18" t="str">
        <f>IFERROR(__xludf.DUMMYFUNCTION("""COMPUTED_VALUE"""),"")</f>
        <v/>
      </c>
      <c r="K435" s="19"/>
      <c r="L435" s="19"/>
      <c r="M435" s="19"/>
      <c r="N435" s="19"/>
      <c r="O435" s="19"/>
    </row>
    <row r="436">
      <c r="A436" s="18"/>
      <c r="B436" s="29"/>
      <c r="C436" s="19"/>
      <c r="D436" s="19"/>
      <c r="E436" s="18"/>
      <c r="F436" s="18" t="str">
        <f>IFERROR(__xludf.DUMMYFUNCTION("""COMPUTED_VALUE"""),"")</f>
        <v/>
      </c>
      <c r="G436" s="18" t="str">
        <f>IFERROR(__xludf.DUMMYFUNCTION("""COMPUTED_VALUE"""),"")</f>
        <v/>
      </c>
      <c r="H436" s="18" t="str">
        <f>IFERROR(__xludf.DUMMYFUNCTION("""COMPUTED_VALUE"""),"")</f>
        <v/>
      </c>
      <c r="I436" s="18" t="str">
        <f>IFERROR(__xludf.DUMMYFUNCTION("""COMPUTED_VALUE"""),"")</f>
        <v/>
      </c>
      <c r="J436" s="18" t="str">
        <f>IFERROR(__xludf.DUMMYFUNCTION("""COMPUTED_VALUE"""),"")</f>
        <v/>
      </c>
      <c r="K436" s="19"/>
      <c r="L436" s="19"/>
      <c r="M436" s="19"/>
      <c r="N436" s="19"/>
      <c r="O436" s="19"/>
    </row>
    <row r="437">
      <c r="A437" s="18"/>
      <c r="B437" s="29"/>
      <c r="C437" s="19"/>
      <c r="D437" s="19"/>
      <c r="E437" s="18"/>
      <c r="F437" s="18" t="str">
        <f>IFERROR(__xludf.DUMMYFUNCTION("""COMPUTED_VALUE"""),"")</f>
        <v/>
      </c>
      <c r="G437" s="18" t="str">
        <f>IFERROR(__xludf.DUMMYFUNCTION("""COMPUTED_VALUE"""),"")</f>
        <v/>
      </c>
      <c r="H437" s="18" t="str">
        <f>IFERROR(__xludf.DUMMYFUNCTION("""COMPUTED_VALUE"""),"")</f>
        <v/>
      </c>
      <c r="I437" s="18" t="str">
        <f>IFERROR(__xludf.DUMMYFUNCTION("""COMPUTED_VALUE"""),"")</f>
        <v/>
      </c>
      <c r="J437" s="18" t="str">
        <f>IFERROR(__xludf.DUMMYFUNCTION("""COMPUTED_VALUE"""),"")</f>
        <v/>
      </c>
      <c r="K437" s="19"/>
      <c r="L437" s="19"/>
      <c r="M437" s="19"/>
      <c r="N437" s="19"/>
      <c r="O437" s="19"/>
    </row>
    <row r="438">
      <c r="A438" s="18"/>
      <c r="B438" s="29"/>
      <c r="C438" s="19"/>
      <c r="D438" s="19"/>
      <c r="E438" s="18"/>
      <c r="F438" s="18" t="str">
        <f>IFERROR(__xludf.DUMMYFUNCTION("""COMPUTED_VALUE"""),"")</f>
        <v/>
      </c>
      <c r="G438" s="18" t="str">
        <f>IFERROR(__xludf.DUMMYFUNCTION("""COMPUTED_VALUE"""),"")</f>
        <v/>
      </c>
      <c r="H438" s="18" t="str">
        <f>IFERROR(__xludf.DUMMYFUNCTION("""COMPUTED_VALUE"""),"")</f>
        <v/>
      </c>
      <c r="I438" s="18" t="str">
        <f>IFERROR(__xludf.DUMMYFUNCTION("""COMPUTED_VALUE"""),"")</f>
        <v/>
      </c>
      <c r="J438" s="18" t="str">
        <f>IFERROR(__xludf.DUMMYFUNCTION("""COMPUTED_VALUE"""),"")</f>
        <v/>
      </c>
      <c r="K438" s="19"/>
      <c r="L438" s="19"/>
      <c r="M438" s="19"/>
      <c r="N438" s="19"/>
      <c r="O438" s="19"/>
    </row>
    <row r="439">
      <c r="A439" s="18"/>
      <c r="B439" s="29"/>
      <c r="C439" s="19"/>
      <c r="D439" s="19"/>
      <c r="E439" s="18"/>
      <c r="F439" s="18" t="str">
        <f>IFERROR(__xludf.DUMMYFUNCTION("""COMPUTED_VALUE"""),"")</f>
        <v/>
      </c>
      <c r="G439" s="18" t="str">
        <f>IFERROR(__xludf.DUMMYFUNCTION("""COMPUTED_VALUE"""),"")</f>
        <v/>
      </c>
      <c r="H439" s="18" t="str">
        <f>IFERROR(__xludf.DUMMYFUNCTION("""COMPUTED_VALUE"""),"")</f>
        <v/>
      </c>
      <c r="I439" s="18" t="str">
        <f>IFERROR(__xludf.DUMMYFUNCTION("""COMPUTED_VALUE"""),"")</f>
        <v/>
      </c>
      <c r="J439" s="18" t="str">
        <f>IFERROR(__xludf.DUMMYFUNCTION("""COMPUTED_VALUE"""),"")</f>
        <v/>
      </c>
      <c r="K439" s="19"/>
      <c r="L439" s="19"/>
      <c r="M439" s="19"/>
      <c r="N439" s="19"/>
      <c r="O439" s="19"/>
    </row>
    <row r="440">
      <c r="A440" s="18"/>
      <c r="B440" s="29"/>
      <c r="C440" s="19"/>
      <c r="D440" s="19"/>
      <c r="E440" s="18"/>
      <c r="F440" s="18" t="str">
        <f>IFERROR(__xludf.DUMMYFUNCTION("""COMPUTED_VALUE"""),"")</f>
        <v/>
      </c>
      <c r="G440" s="18" t="str">
        <f>IFERROR(__xludf.DUMMYFUNCTION("""COMPUTED_VALUE"""),"")</f>
        <v/>
      </c>
      <c r="H440" s="18" t="str">
        <f>IFERROR(__xludf.DUMMYFUNCTION("""COMPUTED_VALUE"""),"")</f>
        <v/>
      </c>
      <c r="I440" s="18" t="str">
        <f>IFERROR(__xludf.DUMMYFUNCTION("""COMPUTED_VALUE"""),"")</f>
        <v/>
      </c>
      <c r="J440" s="18" t="str">
        <f>IFERROR(__xludf.DUMMYFUNCTION("""COMPUTED_VALUE"""),"")</f>
        <v/>
      </c>
      <c r="K440" s="19"/>
      <c r="L440" s="19"/>
      <c r="M440" s="19"/>
      <c r="N440" s="19"/>
      <c r="O440" s="19"/>
    </row>
    <row r="441">
      <c r="A441" s="18"/>
      <c r="B441" s="29"/>
      <c r="C441" s="19"/>
      <c r="D441" s="19"/>
      <c r="E441" s="18"/>
      <c r="F441" s="18" t="str">
        <f>IFERROR(__xludf.DUMMYFUNCTION("""COMPUTED_VALUE"""),"")</f>
        <v/>
      </c>
      <c r="G441" s="18" t="str">
        <f>IFERROR(__xludf.DUMMYFUNCTION("""COMPUTED_VALUE"""),"")</f>
        <v/>
      </c>
      <c r="H441" s="18" t="str">
        <f>IFERROR(__xludf.DUMMYFUNCTION("""COMPUTED_VALUE"""),"")</f>
        <v/>
      </c>
      <c r="I441" s="18" t="str">
        <f>IFERROR(__xludf.DUMMYFUNCTION("""COMPUTED_VALUE"""),"")</f>
        <v/>
      </c>
      <c r="J441" s="18" t="str">
        <f>IFERROR(__xludf.DUMMYFUNCTION("""COMPUTED_VALUE"""),"")</f>
        <v/>
      </c>
      <c r="K441" s="19"/>
      <c r="L441" s="19"/>
      <c r="M441" s="19"/>
      <c r="N441" s="19"/>
      <c r="O441" s="19"/>
    </row>
    <row r="442">
      <c r="A442" s="18"/>
      <c r="B442" s="29"/>
      <c r="C442" s="19"/>
      <c r="D442" s="19"/>
      <c r="E442" s="18"/>
      <c r="F442" s="18" t="str">
        <f>IFERROR(__xludf.DUMMYFUNCTION("""COMPUTED_VALUE"""),"")</f>
        <v/>
      </c>
      <c r="G442" s="18" t="str">
        <f>IFERROR(__xludf.DUMMYFUNCTION("""COMPUTED_VALUE"""),"")</f>
        <v/>
      </c>
      <c r="H442" s="18" t="str">
        <f>IFERROR(__xludf.DUMMYFUNCTION("""COMPUTED_VALUE"""),"")</f>
        <v/>
      </c>
      <c r="I442" s="18" t="str">
        <f>IFERROR(__xludf.DUMMYFUNCTION("""COMPUTED_VALUE"""),"")</f>
        <v/>
      </c>
      <c r="J442" s="18" t="str">
        <f>IFERROR(__xludf.DUMMYFUNCTION("""COMPUTED_VALUE"""),"")</f>
        <v/>
      </c>
      <c r="K442" s="19"/>
      <c r="L442" s="19"/>
      <c r="M442" s="19"/>
      <c r="N442" s="19"/>
      <c r="O442" s="19"/>
    </row>
    <row r="443">
      <c r="A443" s="18"/>
      <c r="B443" s="29"/>
      <c r="C443" s="19"/>
      <c r="D443" s="19"/>
      <c r="E443" s="18"/>
      <c r="F443" s="18" t="str">
        <f>IFERROR(__xludf.DUMMYFUNCTION("""COMPUTED_VALUE"""),"")</f>
        <v/>
      </c>
      <c r="G443" s="18" t="str">
        <f>IFERROR(__xludf.DUMMYFUNCTION("""COMPUTED_VALUE"""),"")</f>
        <v/>
      </c>
      <c r="H443" s="18" t="str">
        <f>IFERROR(__xludf.DUMMYFUNCTION("""COMPUTED_VALUE"""),"")</f>
        <v/>
      </c>
      <c r="I443" s="18" t="str">
        <f>IFERROR(__xludf.DUMMYFUNCTION("""COMPUTED_VALUE"""),"")</f>
        <v/>
      </c>
      <c r="J443" s="18" t="str">
        <f>IFERROR(__xludf.DUMMYFUNCTION("""COMPUTED_VALUE"""),"")</f>
        <v/>
      </c>
      <c r="K443" s="19"/>
      <c r="L443" s="19"/>
      <c r="M443" s="19"/>
      <c r="N443" s="19"/>
      <c r="O443" s="19"/>
    </row>
    <row r="444">
      <c r="A444" s="18"/>
      <c r="B444" s="29"/>
      <c r="C444" s="19"/>
      <c r="D444" s="19"/>
      <c r="E444" s="18"/>
      <c r="F444" s="18" t="str">
        <f>IFERROR(__xludf.DUMMYFUNCTION("""COMPUTED_VALUE"""),"")</f>
        <v/>
      </c>
      <c r="G444" s="18" t="str">
        <f>IFERROR(__xludf.DUMMYFUNCTION("""COMPUTED_VALUE"""),"")</f>
        <v/>
      </c>
      <c r="H444" s="18" t="str">
        <f>IFERROR(__xludf.DUMMYFUNCTION("""COMPUTED_VALUE"""),"")</f>
        <v/>
      </c>
      <c r="I444" s="18" t="str">
        <f>IFERROR(__xludf.DUMMYFUNCTION("""COMPUTED_VALUE"""),"")</f>
        <v/>
      </c>
      <c r="J444" s="18" t="str">
        <f>IFERROR(__xludf.DUMMYFUNCTION("""COMPUTED_VALUE"""),"")</f>
        <v/>
      </c>
      <c r="K444" s="19"/>
      <c r="L444" s="19"/>
      <c r="M444" s="19"/>
      <c r="N444" s="19"/>
      <c r="O444" s="19"/>
    </row>
    <row r="445">
      <c r="A445" s="18"/>
      <c r="B445" s="29"/>
      <c r="C445" s="19"/>
      <c r="D445" s="19"/>
      <c r="E445" s="18"/>
      <c r="F445" s="18" t="str">
        <f>IFERROR(__xludf.DUMMYFUNCTION("""COMPUTED_VALUE"""),"")</f>
        <v/>
      </c>
      <c r="G445" s="18" t="str">
        <f>IFERROR(__xludf.DUMMYFUNCTION("""COMPUTED_VALUE"""),"")</f>
        <v/>
      </c>
      <c r="H445" s="18" t="str">
        <f>IFERROR(__xludf.DUMMYFUNCTION("""COMPUTED_VALUE"""),"")</f>
        <v/>
      </c>
      <c r="I445" s="18" t="str">
        <f>IFERROR(__xludf.DUMMYFUNCTION("""COMPUTED_VALUE"""),"")</f>
        <v/>
      </c>
      <c r="J445" s="18" t="str">
        <f>IFERROR(__xludf.DUMMYFUNCTION("""COMPUTED_VALUE"""),"")</f>
        <v/>
      </c>
      <c r="K445" s="19"/>
      <c r="L445" s="19"/>
      <c r="M445" s="19"/>
      <c r="N445" s="19"/>
      <c r="O445" s="19"/>
    </row>
    <row r="446">
      <c r="A446" s="18"/>
      <c r="B446" s="29"/>
      <c r="C446" s="19"/>
      <c r="D446" s="19"/>
      <c r="E446" s="18"/>
      <c r="F446" s="18" t="str">
        <f>IFERROR(__xludf.DUMMYFUNCTION("""COMPUTED_VALUE"""),"")</f>
        <v/>
      </c>
      <c r="G446" s="18" t="str">
        <f>IFERROR(__xludf.DUMMYFUNCTION("""COMPUTED_VALUE"""),"")</f>
        <v/>
      </c>
      <c r="H446" s="18" t="str">
        <f>IFERROR(__xludf.DUMMYFUNCTION("""COMPUTED_VALUE"""),"")</f>
        <v/>
      </c>
      <c r="I446" s="18" t="str">
        <f>IFERROR(__xludf.DUMMYFUNCTION("""COMPUTED_VALUE"""),"")</f>
        <v/>
      </c>
      <c r="J446" s="18" t="str">
        <f>IFERROR(__xludf.DUMMYFUNCTION("""COMPUTED_VALUE"""),"")</f>
        <v/>
      </c>
      <c r="K446" s="19"/>
      <c r="L446" s="19"/>
      <c r="M446" s="19"/>
      <c r="N446" s="19"/>
      <c r="O446" s="19"/>
    </row>
    <row r="447">
      <c r="A447" s="18"/>
      <c r="B447" s="29"/>
      <c r="C447" s="19"/>
      <c r="D447" s="19"/>
      <c r="E447" s="18"/>
      <c r="F447" s="18" t="str">
        <f>IFERROR(__xludf.DUMMYFUNCTION("""COMPUTED_VALUE"""),"")</f>
        <v/>
      </c>
      <c r="G447" s="18" t="str">
        <f>IFERROR(__xludf.DUMMYFUNCTION("""COMPUTED_VALUE"""),"")</f>
        <v/>
      </c>
      <c r="H447" s="18" t="str">
        <f>IFERROR(__xludf.DUMMYFUNCTION("""COMPUTED_VALUE"""),"")</f>
        <v/>
      </c>
      <c r="I447" s="18" t="str">
        <f>IFERROR(__xludf.DUMMYFUNCTION("""COMPUTED_VALUE"""),"")</f>
        <v/>
      </c>
      <c r="J447" s="18" t="str">
        <f>IFERROR(__xludf.DUMMYFUNCTION("""COMPUTED_VALUE"""),"")</f>
        <v/>
      </c>
      <c r="K447" s="19"/>
      <c r="L447" s="19"/>
      <c r="M447" s="19"/>
      <c r="N447" s="19"/>
      <c r="O447" s="19"/>
    </row>
    <row r="448">
      <c r="A448" s="18"/>
      <c r="B448" s="29"/>
      <c r="C448" s="19"/>
      <c r="D448" s="19"/>
      <c r="E448" s="18"/>
      <c r="F448" s="18" t="str">
        <f>IFERROR(__xludf.DUMMYFUNCTION("""COMPUTED_VALUE"""),"")</f>
        <v/>
      </c>
      <c r="G448" s="18" t="str">
        <f>IFERROR(__xludf.DUMMYFUNCTION("""COMPUTED_VALUE"""),"")</f>
        <v/>
      </c>
      <c r="H448" s="18" t="str">
        <f>IFERROR(__xludf.DUMMYFUNCTION("""COMPUTED_VALUE"""),"")</f>
        <v/>
      </c>
      <c r="I448" s="18" t="str">
        <f>IFERROR(__xludf.DUMMYFUNCTION("""COMPUTED_VALUE"""),"")</f>
        <v/>
      </c>
      <c r="J448" s="18" t="str">
        <f>IFERROR(__xludf.DUMMYFUNCTION("""COMPUTED_VALUE"""),"")</f>
        <v/>
      </c>
      <c r="K448" s="19"/>
      <c r="L448" s="19"/>
      <c r="M448" s="19"/>
      <c r="N448" s="19"/>
      <c r="O448" s="19"/>
    </row>
    <row r="449">
      <c r="A449" s="18"/>
      <c r="B449" s="29"/>
      <c r="C449" s="19"/>
      <c r="D449" s="19"/>
      <c r="E449" s="18"/>
      <c r="F449" s="18" t="str">
        <f>IFERROR(__xludf.DUMMYFUNCTION("""COMPUTED_VALUE"""),"")</f>
        <v/>
      </c>
      <c r="G449" s="18" t="str">
        <f>IFERROR(__xludf.DUMMYFUNCTION("""COMPUTED_VALUE"""),"")</f>
        <v/>
      </c>
      <c r="H449" s="18" t="str">
        <f>IFERROR(__xludf.DUMMYFUNCTION("""COMPUTED_VALUE"""),"")</f>
        <v/>
      </c>
      <c r="I449" s="18" t="str">
        <f>IFERROR(__xludf.DUMMYFUNCTION("""COMPUTED_VALUE"""),"")</f>
        <v/>
      </c>
      <c r="J449" s="18" t="str">
        <f>IFERROR(__xludf.DUMMYFUNCTION("""COMPUTED_VALUE"""),"")</f>
        <v/>
      </c>
      <c r="K449" s="19"/>
      <c r="L449" s="19"/>
      <c r="M449" s="19"/>
      <c r="N449" s="19"/>
      <c r="O449" s="19"/>
    </row>
    <row r="450">
      <c r="A450" s="18"/>
      <c r="B450" s="29"/>
      <c r="C450" s="19"/>
      <c r="D450" s="19"/>
      <c r="E450" s="18"/>
      <c r="F450" s="18" t="str">
        <f>IFERROR(__xludf.DUMMYFUNCTION("""COMPUTED_VALUE"""),"")</f>
        <v/>
      </c>
      <c r="G450" s="18" t="str">
        <f>IFERROR(__xludf.DUMMYFUNCTION("""COMPUTED_VALUE"""),"")</f>
        <v/>
      </c>
      <c r="H450" s="18" t="str">
        <f>IFERROR(__xludf.DUMMYFUNCTION("""COMPUTED_VALUE"""),"")</f>
        <v/>
      </c>
      <c r="I450" s="18" t="str">
        <f>IFERROR(__xludf.DUMMYFUNCTION("""COMPUTED_VALUE"""),"")</f>
        <v/>
      </c>
      <c r="J450" s="18" t="str">
        <f>IFERROR(__xludf.DUMMYFUNCTION("""COMPUTED_VALUE"""),"")</f>
        <v/>
      </c>
      <c r="K450" s="19"/>
      <c r="L450" s="19"/>
      <c r="M450" s="19"/>
      <c r="N450" s="19"/>
      <c r="O450" s="19"/>
    </row>
    <row r="451">
      <c r="A451" s="18"/>
      <c r="B451" s="29"/>
      <c r="C451" s="19"/>
      <c r="D451" s="19"/>
      <c r="E451" s="18"/>
      <c r="F451" s="18" t="str">
        <f>IFERROR(__xludf.DUMMYFUNCTION("""COMPUTED_VALUE"""),"")</f>
        <v/>
      </c>
      <c r="G451" s="18" t="str">
        <f>IFERROR(__xludf.DUMMYFUNCTION("""COMPUTED_VALUE"""),"")</f>
        <v/>
      </c>
      <c r="H451" s="18" t="str">
        <f>IFERROR(__xludf.DUMMYFUNCTION("""COMPUTED_VALUE"""),"")</f>
        <v/>
      </c>
      <c r="I451" s="18" t="str">
        <f>IFERROR(__xludf.DUMMYFUNCTION("""COMPUTED_VALUE"""),"")</f>
        <v/>
      </c>
      <c r="J451" s="18" t="str">
        <f>IFERROR(__xludf.DUMMYFUNCTION("""COMPUTED_VALUE"""),"")</f>
        <v/>
      </c>
      <c r="K451" s="19"/>
      <c r="L451" s="19"/>
      <c r="M451" s="19"/>
      <c r="N451" s="19"/>
      <c r="O451" s="19"/>
    </row>
    <row r="452">
      <c r="A452" s="18"/>
      <c r="B452" s="29"/>
      <c r="C452" s="19"/>
      <c r="D452" s="19"/>
      <c r="E452" s="18"/>
      <c r="F452" s="18" t="str">
        <f>IFERROR(__xludf.DUMMYFUNCTION("""COMPUTED_VALUE"""),"")</f>
        <v/>
      </c>
      <c r="G452" s="18" t="str">
        <f>IFERROR(__xludf.DUMMYFUNCTION("""COMPUTED_VALUE"""),"")</f>
        <v/>
      </c>
      <c r="H452" s="18" t="str">
        <f>IFERROR(__xludf.DUMMYFUNCTION("""COMPUTED_VALUE"""),"")</f>
        <v/>
      </c>
      <c r="I452" s="18" t="str">
        <f>IFERROR(__xludf.DUMMYFUNCTION("""COMPUTED_VALUE"""),"")</f>
        <v/>
      </c>
      <c r="J452" s="18" t="str">
        <f>IFERROR(__xludf.DUMMYFUNCTION("""COMPUTED_VALUE"""),"")</f>
        <v/>
      </c>
      <c r="K452" s="19"/>
      <c r="L452" s="19"/>
      <c r="M452" s="19"/>
      <c r="N452" s="19"/>
      <c r="O452" s="19"/>
    </row>
    <row r="453">
      <c r="A453" s="18"/>
      <c r="B453" s="29"/>
      <c r="C453" s="19"/>
      <c r="D453" s="19"/>
      <c r="E453" s="18"/>
      <c r="F453" s="18" t="str">
        <f>IFERROR(__xludf.DUMMYFUNCTION("""COMPUTED_VALUE"""),"")</f>
        <v/>
      </c>
      <c r="G453" s="18" t="str">
        <f>IFERROR(__xludf.DUMMYFUNCTION("""COMPUTED_VALUE"""),"")</f>
        <v/>
      </c>
      <c r="H453" s="18" t="str">
        <f>IFERROR(__xludf.DUMMYFUNCTION("""COMPUTED_VALUE"""),"")</f>
        <v/>
      </c>
      <c r="I453" s="18" t="str">
        <f>IFERROR(__xludf.DUMMYFUNCTION("""COMPUTED_VALUE"""),"")</f>
        <v/>
      </c>
      <c r="J453" s="18" t="str">
        <f>IFERROR(__xludf.DUMMYFUNCTION("""COMPUTED_VALUE"""),"")</f>
        <v/>
      </c>
      <c r="K453" s="19"/>
      <c r="L453" s="19"/>
      <c r="M453" s="19"/>
      <c r="N453" s="19"/>
      <c r="O453" s="19"/>
    </row>
    <row r="454">
      <c r="A454" s="18"/>
      <c r="B454" s="29"/>
      <c r="C454" s="19"/>
      <c r="D454" s="19"/>
      <c r="E454" s="18"/>
      <c r="F454" s="18" t="str">
        <f>IFERROR(__xludf.DUMMYFUNCTION("""COMPUTED_VALUE"""),"")</f>
        <v/>
      </c>
      <c r="G454" s="18" t="str">
        <f>IFERROR(__xludf.DUMMYFUNCTION("""COMPUTED_VALUE"""),"")</f>
        <v/>
      </c>
      <c r="H454" s="18" t="str">
        <f>IFERROR(__xludf.DUMMYFUNCTION("""COMPUTED_VALUE"""),"")</f>
        <v/>
      </c>
      <c r="I454" s="18" t="str">
        <f>IFERROR(__xludf.DUMMYFUNCTION("""COMPUTED_VALUE"""),"")</f>
        <v/>
      </c>
      <c r="J454" s="18" t="str">
        <f>IFERROR(__xludf.DUMMYFUNCTION("""COMPUTED_VALUE"""),"")</f>
        <v/>
      </c>
      <c r="K454" s="19"/>
      <c r="L454" s="19"/>
      <c r="M454" s="19"/>
      <c r="N454" s="19"/>
      <c r="O454" s="19"/>
    </row>
    <row r="455">
      <c r="A455" s="18"/>
      <c r="B455" s="29"/>
      <c r="C455" s="19"/>
      <c r="D455" s="19"/>
      <c r="E455" s="18"/>
      <c r="F455" s="18" t="str">
        <f>IFERROR(__xludf.DUMMYFUNCTION("""COMPUTED_VALUE"""),"")</f>
        <v/>
      </c>
      <c r="G455" s="18" t="str">
        <f>IFERROR(__xludf.DUMMYFUNCTION("""COMPUTED_VALUE"""),"")</f>
        <v/>
      </c>
      <c r="H455" s="18" t="str">
        <f>IFERROR(__xludf.DUMMYFUNCTION("""COMPUTED_VALUE"""),"")</f>
        <v/>
      </c>
      <c r="I455" s="18" t="str">
        <f>IFERROR(__xludf.DUMMYFUNCTION("""COMPUTED_VALUE"""),"")</f>
        <v/>
      </c>
      <c r="J455" s="18" t="str">
        <f>IFERROR(__xludf.DUMMYFUNCTION("""COMPUTED_VALUE"""),"")</f>
        <v/>
      </c>
      <c r="K455" s="19"/>
      <c r="L455" s="19"/>
      <c r="M455" s="19"/>
      <c r="N455" s="19"/>
      <c r="O455" s="19"/>
    </row>
    <row r="456">
      <c r="A456" s="18"/>
      <c r="B456" s="29"/>
      <c r="C456" s="19"/>
      <c r="D456" s="19"/>
      <c r="E456" s="18"/>
      <c r="F456" s="18" t="str">
        <f>IFERROR(__xludf.DUMMYFUNCTION("""COMPUTED_VALUE"""),"")</f>
        <v/>
      </c>
      <c r="G456" s="18" t="str">
        <f>IFERROR(__xludf.DUMMYFUNCTION("""COMPUTED_VALUE"""),"")</f>
        <v/>
      </c>
      <c r="H456" s="18" t="str">
        <f>IFERROR(__xludf.DUMMYFUNCTION("""COMPUTED_VALUE"""),"")</f>
        <v/>
      </c>
      <c r="I456" s="18" t="str">
        <f>IFERROR(__xludf.DUMMYFUNCTION("""COMPUTED_VALUE"""),"")</f>
        <v/>
      </c>
      <c r="J456" s="18" t="str">
        <f>IFERROR(__xludf.DUMMYFUNCTION("""COMPUTED_VALUE"""),"")</f>
        <v/>
      </c>
      <c r="K456" s="19"/>
      <c r="L456" s="19"/>
      <c r="M456" s="19"/>
      <c r="N456" s="19"/>
      <c r="O456" s="19"/>
    </row>
    <row r="457">
      <c r="A457" s="18"/>
      <c r="B457" s="29"/>
      <c r="C457" s="19"/>
      <c r="D457" s="19"/>
      <c r="E457" s="18"/>
      <c r="F457" s="18" t="str">
        <f>IFERROR(__xludf.DUMMYFUNCTION("""COMPUTED_VALUE"""),"")</f>
        <v/>
      </c>
      <c r="G457" s="18" t="str">
        <f>IFERROR(__xludf.DUMMYFUNCTION("""COMPUTED_VALUE"""),"")</f>
        <v/>
      </c>
      <c r="H457" s="18" t="str">
        <f>IFERROR(__xludf.DUMMYFUNCTION("""COMPUTED_VALUE"""),"")</f>
        <v/>
      </c>
      <c r="I457" s="18" t="str">
        <f>IFERROR(__xludf.DUMMYFUNCTION("""COMPUTED_VALUE"""),"")</f>
        <v/>
      </c>
      <c r="J457" s="18" t="str">
        <f>IFERROR(__xludf.DUMMYFUNCTION("""COMPUTED_VALUE"""),"")</f>
        <v/>
      </c>
      <c r="K457" s="19"/>
      <c r="L457" s="19"/>
      <c r="M457" s="19"/>
      <c r="N457" s="19"/>
      <c r="O457" s="19"/>
    </row>
    <row r="458">
      <c r="A458" s="18"/>
      <c r="B458" s="29"/>
      <c r="C458" s="19"/>
      <c r="D458" s="19"/>
      <c r="E458" s="18"/>
      <c r="F458" s="18" t="str">
        <f>IFERROR(__xludf.DUMMYFUNCTION("""COMPUTED_VALUE"""),"")</f>
        <v/>
      </c>
      <c r="G458" s="18" t="str">
        <f>IFERROR(__xludf.DUMMYFUNCTION("""COMPUTED_VALUE"""),"")</f>
        <v/>
      </c>
      <c r="H458" s="18" t="str">
        <f>IFERROR(__xludf.DUMMYFUNCTION("""COMPUTED_VALUE"""),"")</f>
        <v/>
      </c>
      <c r="I458" s="18" t="str">
        <f>IFERROR(__xludf.DUMMYFUNCTION("""COMPUTED_VALUE"""),"")</f>
        <v/>
      </c>
      <c r="J458" s="18" t="str">
        <f>IFERROR(__xludf.DUMMYFUNCTION("""COMPUTED_VALUE"""),"")</f>
        <v/>
      </c>
      <c r="K458" s="19"/>
      <c r="L458" s="19"/>
      <c r="M458" s="19"/>
      <c r="N458" s="19"/>
      <c r="O458" s="19"/>
    </row>
    <row r="459">
      <c r="A459" s="18"/>
      <c r="B459" s="29"/>
      <c r="C459" s="19"/>
      <c r="D459" s="19"/>
      <c r="E459" s="18"/>
      <c r="F459" s="18" t="str">
        <f>IFERROR(__xludf.DUMMYFUNCTION("""COMPUTED_VALUE"""),"")</f>
        <v/>
      </c>
      <c r="G459" s="18" t="str">
        <f>IFERROR(__xludf.DUMMYFUNCTION("""COMPUTED_VALUE"""),"")</f>
        <v/>
      </c>
      <c r="H459" s="18" t="str">
        <f>IFERROR(__xludf.DUMMYFUNCTION("""COMPUTED_VALUE"""),"")</f>
        <v/>
      </c>
      <c r="I459" s="18" t="str">
        <f>IFERROR(__xludf.DUMMYFUNCTION("""COMPUTED_VALUE"""),"")</f>
        <v/>
      </c>
      <c r="J459" s="18" t="str">
        <f>IFERROR(__xludf.DUMMYFUNCTION("""COMPUTED_VALUE"""),"")</f>
        <v/>
      </c>
      <c r="K459" s="19"/>
      <c r="L459" s="19"/>
      <c r="M459" s="19"/>
      <c r="N459" s="19"/>
      <c r="O459" s="19"/>
    </row>
    <row r="460">
      <c r="A460" s="18"/>
      <c r="B460" s="29"/>
      <c r="C460" s="19"/>
      <c r="D460" s="19"/>
      <c r="E460" s="18"/>
      <c r="F460" s="18" t="str">
        <f>IFERROR(__xludf.DUMMYFUNCTION("""COMPUTED_VALUE"""),"")</f>
        <v/>
      </c>
      <c r="G460" s="18" t="str">
        <f>IFERROR(__xludf.DUMMYFUNCTION("""COMPUTED_VALUE"""),"")</f>
        <v/>
      </c>
      <c r="H460" s="18" t="str">
        <f>IFERROR(__xludf.DUMMYFUNCTION("""COMPUTED_VALUE"""),"")</f>
        <v/>
      </c>
      <c r="I460" s="18" t="str">
        <f>IFERROR(__xludf.DUMMYFUNCTION("""COMPUTED_VALUE"""),"")</f>
        <v/>
      </c>
      <c r="J460" s="18" t="str">
        <f>IFERROR(__xludf.DUMMYFUNCTION("""COMPUTED_VALUE"""),"")</f>
        <v/>
      </c>
      <c r="K460" s="19"/>
      <c r="L460" s="19"/>
      <c r="M460" s="19"/>
      <c r="N460" s="19"/>
      <c r="O460" s="19"/>
    </row>
    <row r="461">
      <c r="A461" s="18"/>
      <c r="B461" s="29"/>
      <c r="C461" s="19"/>
      <c r="D461" s="19"/>
      <c r="E461" s="18"/>
      <c r="F461" s="18" t="str">
        <f>IFERROR(__xludf.DUMMYFUNCTION("""COMPUTED_VALUE"""),"")</f>
        <v/>
      </c>
      <c r="G461" s="18" t="str">
        <f>IFERROR(__xludf.DUMMYFUNCTION("""COMPUTED_VALUE"""),"")</f>
        <v/>
      </c>
      <c r="H461" s="18" t="str">
        <f>IFERROR(__xludf.DUMMYFUNCTION("""COMPUTED_VALUE"""),"")</f>
        <v/>
      </c>
      <c r="I461" s="18" t="str">
        <f>IFERROR(__xludf.DUMMYFUNCTION("""COMPUTED_VALUE"""),"")</f>
        <v/>
      </c>
      <c r="J461" s="18" t="str">
        <f>IFERROR(__xludf.DUMMYFUNCTION("""COMPUTED_VALUE"""),"")</f>
        <v/>
      </c>
      <c r="K461" s="19"/>
      <c r="L461" s="19"/>
      <c r="M461" s="19"/>
      <c r="N461" s="19"/>
      <c r="O461" s="19"/>
    </row>
    <row r="462">
      <c r="A462" s="18"/>
      <c r="B462" s="29"/>
      <c r="C462" s="19"/>
      <c r="D462" s="19"/>
      <c r="E462" s="18"/>
      <c r="F462" s="18" t="str">
        <f>IFERROR(__xludf.DUMMYFUNCTION("""COMPUTED_VALUE"""),"")</f>
        <v/>
      </c>
      <c r="G462" s="18" t="str">
        <f>IFERROR(__xludf.DUMMYFUNCTION("""COMPUTED_VALUE"""),"")</f>
        <v/>
      </c>
      <c r="H462" s="18" t="str">
        <f>IFERROR(__xludf.DUMMYFUNCTION("""COMPUTED_VALUE"""),"")</f>
        <v/>
      </c>
      <c r="I462" s="18" t="str">
        <f>IFERROR(__xludf.DUMMYFUNCTION("""COMPUTED_VALUE"""),"")</f>
        <v/>
      </c>
      <c r="J462" s="18" t="str">
        <f>IFERROR(__xludf.DUMMYFUNCTION("""COMPUTED_VALUE"""),"")</f>
        <v/>
      </c>
      <c r="K462" s="19"/>
      <c r="L462" s="19"/>
      <c r="M462" s="19"/>
      <c r="N462" s="19"/>
      <c r="O462" s="19"/>
    </row>
    <row r="463">
      <c r="A463" s="18"/>
      <c r="B463" s="29"/>
      <c r="C463" s="19"/>
      <c r="D463" s="19"/>
      <c r="E463" s="18"/>
      <c r="F463" s="18" t="str">
        <f>IFERROR(__xludf.DUMMYFUNCTION("""COMPUTED_VALUE"""),"")</f>
        <v/>
      </c>
      <c r="G463" s="18" t="str">
        <f>IFERROR(__xludf.DUMMYFUNCTION("""COMPUTED_VALUE"""),"")</f>
        <v/>
      </c>
      <c r="H463" s="18" t="str">
        <f>IFERROR(__xludf.DUMMYFUNCTION("""COMPUTED_VALUE"""),"")</f>
        <v/>
      </c>
      <c r="I463" s="18" t="str">
        <f>IFERROR(__xludf.DUMMYFUNCTION("""COMPUTED_VALUE"""),"")</f>
        <v/>
      </c>
      <c r="J463" s="18" t="str">
        <f>IFERROR(__xludf.DUMMYFUNCTION("""COMPUTED_VALUE"""),"")</f>
        <v/>
      </c>
      <c r="K463" s="19"/>
      <c r="L463" s="19"/>
      <c r="M463" s="19"/>
      <c r="N463" s="19"/>
      <c r="O463" s="19"/>
    </row>
    <row r="464">
      <c r="A464" s="18"/>
      <c r="B464" s="29"/>
      <c r="C464" s="19"/>
      <c r="D464" s="19"/>
      <c r="E464" s="18"/>
      <c r="F464" s="18" t="str">
        <f>IFERROR(__xludf.DUMMYFUNCTION("""COMPUTED_VALUE"""),"")</f>
        <v/>
      </c>
      <c r="G464" s="18" t="str">
        <f>IFERROR(__xludf.DUMMYFUNCTION("""COMPUTED_VALUE"""),"")</f>
        <v/>
      </c>
      <c r="H464" s="18" t="str">
        <f>IFERROR(__xludf.DUMMYFUNCTION("""COMPUTED_VALUE"""),"")</f>
        <v/>
      </c>
      <c r="I464" s="18" t="str">
        <f>IFERROR(__xludf.DUMMYFUNCTION("""COMPUTED_VALUE"""),"")</f>
        <v/>
      </c>
      <c r="J464" s="18" t="str">
        <f>IFERROR(__xludf.DUMMYFUNCTION("""COMPUTED_VALUE"""),"")</f>
        <v/>
      </c>
      <c r="K464" s="19"/>
      <c r="L464" s="19"/>
      <c r="M464" s="19"/>
      <c r="N464" s="19"/>
      <c r="O464" s="19"/>
    </row>
    <row r="465">
      <c r="A465" s="18"/>
      <c r="B465" s="29"/>
      <c r="C465" s="19"/>
      <c r="D465" s="19"/>
      <c r="E465" s="18"/>
      <c r="F465" s="18" t="str">
        <f>IFERROR(__xludf.DUMMYFUNCTION("""COMPUTED_VALUE"""),"")</f>
        <v/>
      </c>
      <c r="G465" s="18" t="str">
        <f>IFERROR(__xludf.DUMMYFUNCTION("""COMPUTED_VALUE"""),"")</f>
        <v/>
      </c>
      <c r="H465" s="18" t="str">
        <f>IFERROR(__xludf.DUMMYFUNCTION("""COMPUTED_VALUE"""),"")</f>
        <v/>
      </c>
      <c r="I465" s="18" t="str">
        <f>IFERROR(__xludf.DUMMYFUNCTION("""COMPUTED_VALUE"""),"")</f>
        <v/>
      </c>
      <c r="J465" s="18" t="str">
        <f>IFERROR(__xludf.DUMMYFUNCTION("""COMPUTED_VALUE"""),"")</f>
        <v/>
      </c>
      <c r="K465" s="19"/>
      <c r="L465" s="19"/>
      <c r="M465" s="19"/>
      <c r="N465" s="19"/>
      <c r="O465" s="19"/>
    </row>
    <row r="466">
      <c r="A466" s="18"/>
      <c r="B466" s="29"/>
      <c r="C466" s="19"/>
      <c r="D466" s="19"/>
      <c r="E466" s="18"/>
      <c r="F466" s="18" t="str">
        <f>IFERROR(__xludf.DUMMYFUNCTION("""COMPUTED_VALUE"""),"")</f>
        <v/>
      </c>
      <c r="G466" s="18" t="str">
        <f>IFERROR(__xludf.DUMMYFUNCTION("""COMPUTED_VALUE"""),"")</f>
        <v/>
      </c>
      <c r="H466" s="18" t="str">
        <f>IFERROR(__xludf.DUMMYFUNCTION("""COMPUTED_VALUE"""),"")</f>
        <v/>
      </c>
      <c r="I466" s="18" t="str">
        <f>IFERROR(__xludf.DUMMYFUNCTION("""COMPUTED_VALUE"""),"")</f>
        <v/>
      </c>
      <c r="J466" s="18" t="str">
        <f>IFERROR(__xludf.DUMMYFUNCTION("""COMPUTED_VALUE"""),"")</f>
        <v/>
      </c>
      <c r="K466" s="19"/>
      <c r="L466" s="19"/>
      <c r="M466" s="19"/>
      <c r="N466" s="19"/>
      <c r="O466" s="19"/>
    </row>
    <row r="467">
      <c r="A467" s="18"/>
      <c r="B467" s="29"/>
      <c r="C467" s="19"/>
      <c r="D467" s="19"/>
      <c r="E467" s="18"/>
      <c r="F467" s="18" t="str">
        <f>IFERROR(__xludf.DUMMYFUNCTION("""COMPUTED_VALUE"""),"")</f>
        <v/>
      </c>
      <c r="G467" s="18" t="str">
        <f>IFERROR(__xludf.DUMMYFUNCTION("""COMPUTED_VALUE"""),"")</f>
        <v/>
      </c>
      <c r="H467" s="18" t="str">
        <f>IFERROR(__xludf.DUMMYFUNCTION("""COMPUTED_VALUE"""),"")</f>
        <v/>
      </c>
      <c r="I467" s="18" t="str">
        <f>IFERROR(__xludf.DUMMYFUNCTION("""COMPUTED_VALUE"""),"")</f>
        <v/>
      </c>
      <c r="J467" s="18" t="str">
        <f>IFERROR(__xludf.DUMMYFUNCTION("""COMPUTED_VALUE"""),"")</f>
        <v/>
      </c>
      <c r="K467" s="19"/>
      <c r="L467" s="19"/>
      <c r="M467" s="19"/>
      <c r="N467" s="19"/>
      <c r="O467" s="19"/>
    </row>
    <row r="468">
      <c r="A468" s="18"/>
      <c r="B468" s="29"/>
      <c r="C468" s="19"/>
      <c r="D468" s="19"/>
      <c r="E468" s="18"/>
      <c r="F468" s="18" t="str">
        <f>IFERROR(__xludf.DUMMYFUNCTION("""COMPUTED_VALUE"""),"")</f>
        <v/>
      </c>
      <c r="G468" s="18" t="str">
        <f>IFERROR(__xludf.DUMMYFUNCTION("""COMPUTED_VALUE"""),"")</f>
        <v/>
      </c>
      <c r="H468" s="18" t="str">
        <f>IFERROR(__xludf.DUMMYFUNCTION("""COMPUTED_VALUE"""),"")</f>
        <v/>
      </c>
      <c r="I468" s="18" t="str">
        <f>IFERROR(__xludf.DUMMYFUNCTION("""COMPUTED_VALUE"""),"")</f>
        <v/>
      </c>
      <c r="J468" s="18" t="str">
        <f>IFERROR(__xludf.DUMMYFUNCTION("""COMPUTED_VALUE"""),"")</f>
        <v/>
      </c>
      <c r="K468" s="19"/>
      <c r="L468" s="19"/>
      <c r="M468" s="19"/>
      <c r="N468" s="19"/>
      <c r="O468" s="19"/>
    </row>
    <row r="469">
      <c r="A469" s="18"/>
      <c r="B469" s="29"/>
      <c r="C469" s="19"/>
      <c r="D469" s="19"/>
      <c r="E469" s="18"/>
      <c r="F469" s="18" t="str">
        <f>IFERROR(__xludf.DUMMYFUNCTION("""COMPUTED_VALUE"""),"")</f>
        <v/>
      </c>
      <c r="G469" s="18" t="str">
        <f>IFERROR(__xludf.DUMMYFUNCTION("""COMPUTED_VALUE"""),"")</f>
        <v/>
      </c>
      <c r="H469" s="18" t="str">
        <f>IFERROR(__xludf.DUMMYFUNCTION("""COMPUTED_VALUE"""),"")</f>
        <v/>
      </c>
      <c r="I469" s="18" t="str">
        <f>IFERROR(__xludf.DUMMYFUNCTION("""COMPUTED_VALUE"""),"")</f>
        <v/>
      </c>
      <c r="J469" s="18" t="str">
        <f>IFERROR(__xludf.DUMMYFUNCTION("""COMPUTED_VALUE"""),"")</f>
        <v/>
      </c>
      <c r="K469" s="19"/>
      <c r="L469" s="19"/>
      <c r="M469" s="19"/>
      <c r="N469" s="19"/>
      <c r="O469" s="19"/>
    </row>
    <row r="470">
      <c r="A470" s="18"/>
      <c r="B470" s="29"/>
      <c r="C470" s="19"/>
      <c r="D470" s="19"/>
      <c r="E470" s="18"/>
      <c r="F470" s="18" t="str">
        <f>IFERROR(__xludf.DUMMYFUNCTION("""COMPUTED_VALUE"""),"")</f>
        <v/>
      </c>
      <c r="G470" s="18" t="str">
        <f>IFERROR(__xludf.DUMMYFUNCTION("""COMPUTED_VALUE"""),"")</f>
        <v/>
      </c>
      <c r="H470" s="18" t="str">
        <f>IFERROR(__xludf.DUMMYFUNCTION("""COMPUTED_VALUE"""),"")</f>
        <v/>
      </c>
      <c r="I470" s="18" t="str">
        <f>IFERROR(__xludf.DUMMYFUNCTION("""COMPUTED_VALUE"""),"")</f>
        <v/>
      </c>
      <c r="J470" s="18" t="str">
        <f>IFERROR(__xludf.DUMMYFUNCTION("""COMPUTED_VALUE"""),"")</f>
        <v/>
      </c>
      <c r="K470" s="19"/>
      <c r="L470" s="19"/>
      <c r="M470" s="19"/>
      <c r="N470" s="19"/>
      <c r="O470" s="19"/>
    </row>
    <row r="471">
      <c r="A471" s="18"/>
      <c r="B471" s="29"/>
      <c r="C471" s="19"/>
      <c r="D471" s="19"/>
      <c r="E471" s="18"/>
      <c r="F471" s="18" t="str">
        <f>IFERROR(__xludf.DUMMYFUNCTION("""COMPUTED_VALUE"""),"")</f>
        <v/>
      </c>
      <c r="G471" s="18" t="str">
        <f>IFERROR(__xludf.DUMMYFUNCTION("""COMPUTED_VALUE"""),"")</f>
        <v/>
      </c>
      <c r="H471" s="18" t="str">
        <f>IFERROR(__xludf.DUMMYFUNCTION("""COMPUTED_VALUE"""),"")</f>
        <v/>
      </c>
      <c r="I471" s="18" t="str">
        <f>IFERROR(__xludf.DUMMYFUNCTION("""COMPUTED_VALUE"""),"")</f>
        <v/>
      </c>
      <c r="J471" s="18" t="str">
        <f>IFERROR(__xludf.DUMMYFUNCTION("""COMPUTED_VALUE"""),"")</f>
        <v/>
      </c>
      <c r="K471" s="19"/>
      <c r="L471" s="19"/>
      <c r="M471" s="19"/>
      <c r="N471" s="19"/>
      <c r="O471" s="19"/>
    </row>
    <row r="472">
      <c r="A472" s="18"/>
      <c r="B472" s="29"/>
      <c r="C472" s="19"/>
      <c r="D472" s="19"/>
      <c r="E472" s="18"/>
      <c r="F472" s="18" t="str">
        <f>IFERROR(__xludf.DUMMYFUNCTION("""COMPUTED_VALUE"""),"")</f>
        <v/>
      </c>
      <c r="G472" s="18" t="str">
        <f>IFERROR(__xludf.DUMMYFUNCTION("""COMPUTED_VALUE"""),"")</f>
        <v/>
      </c>
      <c r="H472" s="18" t="str">
        <f>IFERROR(__xludf.DUMMYFUNCTION("""COMPUTED_VALUE"""),"")</f>
        <v/>
      </c>
      <c r="I472" s="18" t="str">
        <f>IFERROR(__xludf.DUMMYFUNCTION("""COMPUTED_VALUE"""),"")</f>
        <v/>
      </c>
      <c r="J472" s="18" t="str">
        <f>IFERROR(__xludf.DUMMYFUNCTION("""COMPUTED_VALUE"""),"")</f>
        <v/>
      </c>
      <c r="K472" s="19"/>
      <c r="L472" s="19"/>
      <c r="M472" s="19"/>
      <c r="N472" s="19"/>
      <c r="O472" s="19"/>
    </row>
    <row r="473">
      <c r="A473" s="18"/>
      <c r="B473" s="29"/>
      <c r="C473" s="19"/>
      <c r="D473" s="19"/>
      <c r="E473" s="18"/>
      <c r="F473" s="18" t="str">
        <f>IFERROR(__xludf.DUMMYFUNCTION("""COMPUTED_VALUE"""),"")</f>
        <v/>
      </c>
      <c r="G473" s="18" t="str">
        <f>IFERROR(__xludf.DUMMYFUNCTION("""COMPUTED_VALUE"""),"")</f>
        <v/>
      </c>
      <c r="H473" s="18" t="str">
        <f>IFERROR(__xludf.DUMMYFUNCTION("""COMPUTED_VALUE"""),"")</f>
        <v/>
      </c>
      <c r="I473" s="18" t="str">
        <f>IFERROR(__xludf.DUMMYFUNCTION("""COMPUTED_VALUE"""),"")</f>
        <v/>
      </c>
      <c r="J473" s="18" t="str">
        <f>IFERROR(__xludf.DUMMYFUNCTION("""COMPUTED_VALUE"""),"")</f>
        <v/>
      </c>
      <c r="K473" s="19"/>
      <c r="L473" s="19"/>
      <c r="M473" s="19"/>
      <c r="N473" s="19"/>
      <c r="O473" s="19"/>
    </row>
    <row r="474">
      <c r="A474" s="18"/>
      <c r="B474" s="29"/>
      <c r="C474" s="19"/>
      <c r="D474" s="19"/>
      <c r="E474" s="18"/>
      <c r="F474" s="18" t="str">
        <f>IFERROR(__xludf.DUMMYFUNCTION("""COMPUTED_VALUE"""),"")</f>
        <v/>
      </c>
      <c r="G474" s="18" t="str">
        <f>IFERROR(__xludf.DUMMYFUNCTION("""COMPUTED_VALUE"""),"")</f>
        <v/>
      </c>
      <c r="H474" s="18" t="str">
        <f>IFERROR(__xludf.DUMMYFUNCTION("""COMPUTED_VALUE"""),"")</f>
        <v/>
      </c>
      <c r="I474" s="18" t="str">
        <f>IFERROR(__xludf.DUMMYFUNCTION("""COMPUTED_VALUE"""),"")</f>
        <v/>
      </c>
      <c r="J474" s="18" t="str">
        <f>IFERROR(__xludf.DUMMYFUNCTION("""COMPUTED_VALUE"""),"")</f>
        <v/>
      </c>
      <c r="K474" s="19"/>
      <c r="L474" s="19"/>
      <c r="M474" s="19"/>
      <c r="N474" s="19"/>
      <c r="O474" s="19"/>
    </row>
    <row r="475">
      <c r="A475" s="18"/>
      <c r="B475" s="29"/>
      <c r="C475" s="19"/>
      <c r="D475" s="19"/>
      <c r="E475" s="18"/>
      <c r="F475" s="18" t="str">
        <f>IFERROR(__xludf.DUMMYFUNCTION("""COMPUTED_VALUE"""),"")</f>
        <v/>
      </c>
      <c r="G475" s="18" t="str">
        <f>IFERROR(__xludf.DUMMYFUNCTION("""COMPUTED_VALUE"""),"")</f>
        <v/>
      </c>
      <c r="H475" s="18" t="str">
        <f>IFERROR(__xludf.DUMMYFUNCTION("""COMPUTED_VALUE"""),"")</f>
        <v/>
      </c>
      <c r="I475" s="18" t="str">
        <f>IFERROR(__xludf.DUMMYFUNCTION("""COMPUTED_VALUE"""),"")</f>
        <v/>
      </c>
      <c r="J475" s="18" t="str">
        <f>IFERROR(__xludf.DUMMYFUNCTION("""COMPUTED_VALUE"""),"")</f>
        <v/>
      </c>
      <c r="K475" s="19"/>
      <c r="L475" s="19"/>
      <c r="M475" s="19"/>
      <c r="N475" s="19"/>
      <c r="O475" s="19"/>
    </row>
    <row r="476">
      <c r="A476" s="18"/>
      <c r="B476" s="29"/>
      <c r="C476" s="19"/>
      <c r="D476" s="19"/>
      <c r="E476" s="18"/>
      <c r="F476" s="18" t="str">
        <f>IFERROR(__xludf.DUMMYFUNCTION("""COMPUTED_VALUE"""),"")</f>
        <v/>
      </c>
      <c r="G476" s="18" t="str">
        <f>IFERROR(__xludf.DUMMYFUNCTION("""COMPUTED_VALUE"""),"")</f>
        <v/>
      </c>
      <c r="H476" s="18" t="str">
        <f>IFERROR(__xludf.DUMMYFUNCTION("""COMPUTED_VALUE"""),"")</f>
        <v/>
      </c>
      <c r="I476" s="18" t="str">
        <f>IFERROR(__xludf.DUMMYFUNCTION("""COMPUTED_VALUE"""),"")</f>
        <v/>
      </c>
      <c r="J476" s="18" t="str">
        <f>IFERROR(__xludf.DUMMYFUNCTION("""COMPUTED_VALUE"""),"")</f>
        <v/>
      </c>
      <c r="K476" s="19"/>
      <c r="L476" s="19"/>
      <c r="M476" s="19"/>
      <c r="N476" s="19"/>
      <c r="O476" s="19"/>
    </row>
    <row r="477">
      <c r="A477" s="18"/>
      <c r="B477" s="29"/>
      <c r="C477" s="19"/>
      <c r="D477" s="19"/>
      <c r="E477" s="18"/>
      <c r="F477" s="18" t="str">
        <f>IFERROR(__xludf.DUMMYFUNCTION("""COMPUTED_VALUE"""),"")</f>
        <v/>
      </c>
      <c r="G477" s="18" t="str">
        <f>IFERROR(__xludf.DUMMYFUNCTION("""COMPUTED_VALUE"""),"")</f>
        <v/>
      </c>
      <c r="H477" s="18" t="str">
        <f>IFERROR(__xludf.DUMMYFUNCTION("""COMPUTED_VALUE"""),"")</f>
        <v/>
      </c>
      <c r="I477" s="18" t="str">
        <f>IFERROR(__xludf.DUMMYFUNCTION("""COMPUTED_VALUE"""),"")</f>
        <v/>
      </c>
      <c r="J477" s="18" t="str">
        <f>IFERROR(__xludf.DUMMYFUNCTION("""COMPUTED_VALUE"""),"")</f>
        <v/>
      </c>
      <c r="K477" s="19"/>
      <c r="L477" s="19"/>
      <c r="M477" s="19"/>
      <c r="N477" s="19"/>
      <c r="O477" s="19"/>
    </row>
    <row r="478">
      <c r="A478" s="18"/>
      <c r="B478" s="29"/>
      <c r="C478" s="19"/>
      <c r="D478" s="19"/>
      <c r="E478" s="18"/>
      <c r="F478" s="18" t="str">
        <f>IFERROR(__xludf.DUMMYFUNCTION("""COMPUTED_VALUE"""),"")</f>
        <v/>
      </c>
      <c r="G478" s="18" t="str">
        <f>IFERROR(__xludf.DUMMYFUNCTION("""COMPUTED_VALUE"""),"")</f>
        <v/>
      </c>
      <c r="H478" s="18" t="str">
        <f>IFERROR(__xludf.DUMMYFUNCTION("""COMPUTED_VALUE"""),"")</f>
        <v/>
      </c>
      <c r="I478" s="18" t="str">
        <f>IFERROR(__xludf.DUMMYFUNCTION("""COMPUTED_VALUE"""),"")</f>
        <v/>
      </c>
      <c r="J478" s="18" t="str">
        <f>IFERROR(__xludf.DUMMYFUNCTION("""COMPUTED_VALUE"""),"")</f>
        <v/>
      </c>
      <c r="K478" s="19"/>
      <c r="L478" s="19"/>
      <c r="M478" s="19"/>
      <c r="N478" s="19"/>
      <c r="O478" s="19"/>
    </row>
    <row r="479">
      <c r="A479" s="18"/>
      <c r="B479" s="29"/>
      <c r="C479" s="19"/>
      <c r="D479" s="19"/>
      <c r="E479" s="18"/>
      <c r="F479" s="18" t="str">
        <f>IFERROR(__xludf.DUMMYFUNCTION("""COMPUTED_VALUE"""),"")</f>
        <v/>
      </c>
      <c r="G479" s="18" t="str">
        <f>IFERROR(__xludf.DUMMYFUNCTION("""COMPUTED_VALUE"""),"")</f>
        <v/>
      </c>
      <c r="H479" s="18" t="str">
        <f>IFERROR(__xludf.DUMMYFUNCTION("""COMPUTED_VALUE"""),"")</f>
        <v/>
      </c>
      <c r="I479" s="18" t="str">
        <f>IFERROR(__xludf.DUMMYFUNCTION("""COMPUTED_VALUE"""),"")</f>
        <v/>
      </c>
      <c r="J479" s="18" t="str">
        <f>IFERROR(__xludf.DUMMYFUNCTION("""COMPUTED_VALUE"""),"")</f>
        <v/>
      </c>
      <c r="K479" s="19"/>
      <c r="L479" s="19"/>
      <c r="M479" s="19"/>
      <c r="N479" s="19"/>
      <c r="O479" s="19"/>
    </row>
    <row r="480">
      <c r="A480" s="18"/>
      <c r="B480" s="29"/>
      <c r="C480" s="19"/>
      <c r="D480" s="19"/>
      <c r="E480" s="18"/>
      <c r="F480" s="18" t="str">
        <f>IFERROR(__xludf.DUMMYFUNCTION("""COMPUTED_VALUE"""),"")</f>
        <v/>
      </c>
      <c r="G480" s="18" t="str">
        <f>IFERROR(__xludf.DUMMYFUNCTION("""COMPUTED_VALUE"""),"")</f>
        <v/>
      </c>
      <c r="H480" s="18" t="str">
        <f>IFERROR(__xludf.DUMMYFUNCTION("""COMPUTED_VALUE"""),"")</f>
        <v/>
      </c>
      <c r="I480" s="18" t="str">
        <f>IFERROR(__xludf.DUMMYFUNCTION("""COMPUTED_VALUE"""),"")</f>
        <v/>
      </c>
      <c r="J480" s="18" t="str">
        <f>IFERROR(__xludf.DUMMYFUNCTION("""COMPUTED_VALUE"""),"")</f>
        <v/>
      </c>
      <c r="K480" s="19"/>
      <c r="L480" s="19"/>
      <c r="M480" s="19"/>
      <c r="N480" s="19"/>
      <c r="O480" s="19"/>
    </row>
    <row r="481">
      <c r="A481" s="18"/>
      <c r="B481" s="29"/>
      <c r="C481" s="19"/>
      <c r="D481" s="19"/>
      <c r="E481" s="18"/>
      <c r="F481" s="18" t="str">
        <f>IFERROR(__xludf.DUMMYFUNCTION("""COMPUTED_VALUE"""),"")</f>
        <v/>
      </c>
      <c r="G481" s="18" t="str">
        <f>IFERROR(__xludf.DUMMYFUNCTION("""COMPUTED_VALUE"""),"")</f>
        <v/>
      </c>
      <c r="H481" s="18" t="str">
        <f>IFERROR(__xludf.DUMMYFUNCTION("""COMPUTED_VALUE"""),"")</f>
        <v/>
      </c>
      <c r="I481" s="18" t="str">
        <f>IFERROR(__xludf.DUMMYFUNCTION("""COMPUTED_VALUE"""),"")</f>
        <v/>
      </c>
      <c r="J481" s="18" t="str">
        <f>IFERROR(__xludf.DUMMYFUNCTION("""COMPUTED_VALUE"""),"")</f>
        <v/>
      </c>
      <c r="K481" s="19"/>
      <c r="L481" s="19"/>
      <c r="M481" s="19"/>
      <c r="N481" s="19"/>
      <c r="O481" s="19"/>
    </row>
    <row r="482">
      <c r="A482" s="18"/>
      <c r="B482" s="29"/>
      <c r="C482" s="19"/>
      <c r="D482" s="19"/>
      <c r="E482" s="18"/>
      <c r="F482" s="18" t="str">
        <f>IFERROR(__xludf.DUMMYFUNCTION("""COMPUTED_VALUE"""),"")</f>
        <v/>
      </c>
      <c r="G482" s="18" t="str">
        <f>IFERROR(__xludf.DUMMYFUNCTION("""COMPUTED_VALUE"""),"")</f>
        <v/>
      </c>
      <c r="H482" s="18" t="str">
        <f>IFERROR(__xludf.DUMMYFUNCTION("""COMPUTED_VALUE"""),"")</f>
        <v/>
      </c>
      <c r="I482" s="18" t="str">
        <f>IFERROR(__xludf.DUMMYFUNCTION("""COMPUTED_VALUE"""),"")</f>
        <v/>
      </c>
      <c r="J482" s="18" t="str">
        <f>IFERROR(__xludf.DUMMYFUNCTION("""COMPUTED_VALUE"""),"")</f>
        <v/>
      </c>
      <c r="K482" s="19"/>
      <c r="L482" s="19"/>
      <c r="M482" s="19"/>
      <c r="N482" s="19"/>
      <c r="O482" s="19"/>
    </row>
    <row r="483">
      <c r="A483" s="18"/>
      <c r="B483" s="29"/>
      <c r="C483" s="19"/>
      <c r="D483" s="19"/>
      <c r="E483" s="18"/>
      <c r="F483" s="18" t="str">
        <f>IFERROR(__xludf.DUMMYFUNCTION("""COMPUTED_VALUE"""),"")</f>
        <v/>
      </c>
      <c r="G483" s="18" t="str">
        <f>IFERROR(__xludf.DUMMYFUNCTION("""COMPUTED_VALUE"""),"")</f>
        <v/>
      </c>
      <c r="H483" s="18" t="str">
        <f>IFERROR(__xludf.DUMMYFUNCTION("""COMPUTED_VALUE"""),"")</f>
        <v/>
      </c>
      <c r="I483" s="18" t="str">
        <f>IFERROR(__xludf.DUMMYFUNCTION("""COMPUTED_VALUE"""),"")</f>
        <v/>
      </c>
      <c r="J483" s="18" t="str">
        <f>IFERROR(__xludf.DUMMYFUNCTION("""COMPUTED_VALUE"""),"")</f>
        <v/>
      </c>
      <c r="K483" s="19"/>
      <c r="L483" s="19"/>
      <c r="M483" s="19"/>
      <c r="N483" s="19"/>
      <c r="O483" s="19"/>
    </row>
    <row r="484">
      <c r="A484" s="18"/>
      <c r="B484" s="29"/>
      <c r="C484" s="19"/>
      <c r="D484" s="19"/>
      <c r="E484" s="18"/>
      <c r="F484" s="18" t="str">
        <f>IFERROR(__xludf.DUMMYFUNCTION("""COMPUTED_VALUE"""),"")</f>
        <v/>
      </c>
      <c r="G484" s="18" t="str">
        <f>IFERROR(__xludf.DUMMYFUNCTION("""COMPUTED_VALUE"""),"")</f>
        <v/>
      </c>
      <c r="H484" s="18" t="str">
        <f>IFERROR(__xludf.DUMMYFUNCTION("""COMPUTED_VALUE"""),"")</f>
        <v/>
      </c>
      <c r="I484" s="18" t="str">
        <f>IFERROR(__xludf.DUMMYFUNCTION("""COMPUTED_VALUE"""),"")</f>
        <v/>
      </c>
      <c r="J484" s="18" t="str">
        <f>IFERROR(__xludf.DUMMYFUNCTION("""COMPUTED_VALUE"""),"")</f>
        <v/>
      </c>
      <c r="K484" s="19"/>
      <c r="L484" s="19"/>
      <c r="M484" s="19"/>
      <c r="N484" s="19"/>
      <c r="O484" s="19"/>
    </row>
    <row r="485">
      <c r="A485" s="18"/>
      <c r="B485" s="29"/>
      <c r="C485" s="19"/>
      <c r="D485" s="19"/>
      <c r="E485" s="18"/>
      <c r="F485" s="18" t="str">
        <f>IFERROR(__xludf.DUMMYFUNCTION("""COMPUTED_VALUE"""),"")</f>
        <v/>
      </c>
      <c r="G485" s="18" t="str">
        <f>IFERROR(__xludf.DUMMYFUNCTION("""COMPUTED_VALUE"""),"")</f>
        <v/>
      </c>
      <c r="H485" s="18" t="str">
        <f>IFERROR(__xludf.DUMMYFUNCTION("""COMPUTED_VALUE"""),"")</f>
        <v/>
      </c>
      <c r="I485" s="18" t="str">
        <f>IFERROR(__xludf.DUMMYFUNCTION("""COMPUTED_VALUE"""),"")</f>
        <v/>
      </c>
      <c r="J485" s="18" t="str">
        <f>IFERROR(__xludf.DUMMYFUNCTION("""COMPUTED_VALUE"""),"")</f>
        <v/>
      </c>
      <c r="K485" s="19"/>
      <c r="L485" s="19"/>
      <c r="M485" s="19"/>
      <c r="N485" s="19"/>
      <c r="O485" s="19"/>
    </row>
    <row r="486">
      <c r="A486" s="18"/>
      <c r="B486" s="29"/>
      <c r="C486" s="19"/>
      <c r="D486" s="19"/>
      <c r="E486" s="18"/>
      <c r="F486" s="18" t="str">
        <f>IFERROR(__xludf.DUMMYFUNCTION("""COMPUTED_VALUE"""),"")</f>
        <v/>
      </c>
      <c r="G486" s="18" t="str">
        <f>IFERROR(__xludf.DUMMYFUNCTION("""COMPUTED_VALUE"""),"")</f>
        <v/>
      </c>
      <c r="H486" s="18" t="str">
        <f>IFERROR(__xludf.DUMMYFUNCTION("""COMPUTED_VALUE"""),"")</f>
        <v/>
      </c>
      <c r="I486" s="18" t="str">
        <f>IFERROR(__xludf.DUMMYFUNCTION("""COMPUTED_VALUE"""),"")</f>
        <v/>
      </c>
      <c r="J486" s="18" t="str">
        <f>IFERROR(__xludf.DUMMYFUNCTION("""COMPUTED_VALUE"""),"")</f>
        <v/>
      </c>
      <c r="K486" s="19"/>
      <c r="L486" s="19"/>
      <c r="M486" s="19"/>
      <c r="N486" s="19"/>
      <c r="O486" s="19"/>
    </row>
    <row r="487">
      <c r="A487" s="18"/>
      <c r="B487" s="29"/>
      <c r="C487" s="19"/>
      <c r="D487" s="19"/>
      <c r="E487" s="18"/>
      <c r="F487" s="18" t="str">
        <f>IFERROR(__xludf.DUMMYFUNCTION("""COMPUTED_VALUE"""),"")</f>
        <v/>
      </c>
      <c r="G487" s="18" t="str">
        <f>IFERROR(__xludf.DUMMYFUNCTION("""COMPUTED_VALUE"""),"")</f>
        <v/>
      </c>
      <c r="H487" s="18" t="str">
        <f>IFERROR(__xludf.DUMMYFUNCTION("""COMPUTED_VALUE"""),"")</f>
        <v/>
      </c>
      <c r="I487" s="18" t="str">
        <f>IFERROR(__xludf.DUMMYFUNCTION("""COMPUTED_VALUE"""),"")</f>
        <v/>
      </c>
      <c r="J487" s="18" t="str">
        <f>IFERROR(__xludf.DUMMYFUNCTION("""COMPUTED_VALUE"""),"")</f>
        <v/>
      </c>
      <c r="K487" s="19"/>
      <c r="L487" s="19"/>
      <c r="M487" s="19"/>
      <c r="N487" s="19"/>
      <c r="O487" s="19"/>
    </row>
    <row r="488">
      <c r="A488" s="18"/>
      <c r="B488" s="29"/>
      <c r="C488" s="19"/>
      <c r="D488" s="19"/>
      <c r="E488" s="18"/>
      <c r="F488" s="18" t="str">
        <f>IFERROR(__xludf.DUMMYFUNCTION("""COMPUTED_VALUE"""),"")</f>
        <v/>
      </c>
      <c r="G488" s="18" t="str">
        <f>IFERROR(__xludf.DUMMYFUNCTION("""COMPUTED_VALUE"""),"")</f>
        <v/>
      </c>
      <c r="H488" s="18" t="str">
        <f>IFERROR(__xludf.DUMMYFUNCTION("""COMPUTED_VALUE"""),"")</f>
        <v/>
      </c>
      <c r="I488" s="18" t="str">
        <f>IFERROR(__xludf.DUMMYFUNCTION("""COMPUTED_VALUE"""),"")</f>
        <v/>
      </c>
      <c r="J488" s="18" t="str">
        <f>IFERROR(__xludf.DUMMYFUNCTION("""COMPUTED_VALUE"""),"")</f>
        <v/>
      </c>
      <c r="K488" s="19"/>
      <c r="L488" s="19"/>
      <c r="M488" s="19"/>
      <c r="N488" s="19"/>
      <c r="O488" s="19"/>
    </row>
    <row r="489">
      <c r="A489" s="18"/>
      <c r="B489" s="29"/>
      <c r="C489" s="19"/>
      <c r="D489" s="19"/>
      <c r="E489" s="18"/>
      <c r="F489" s="18" t="str">
        <f>IFERROR(__xludf.DUMMYFUNCTION("""COMPUTED_VALUE"""),"")</f>
        <v/>
      </c>
      <c r="G489" s="18" t="str">
        <f>IFERROR(__xludf.DUMMYFUNCTION("""COMPUTED_VALUE"""),"")</f>
        <v/>
      </c>
      <c r="H489" s="18" t="str">
        <f>IFERROR(__xludf.DUMMYFUNCTION("""COMPUTED_VALUE"""),"")</f>
        <v/>
      </c>
      <c r="I489" s="18" t="str">
        <f>IFERROR(__xludf.DUMMYFUNCTION("""COMPUTED_VALUE"""),"")</f>
        <v/>
      </c>
      <c r="J489" s="18" t="str">
        <f>IFERROR(__xludf.DUMMYFUNCTION("""COMPUTED_VALUE"""),"")</f>
        <v/>
      </c>
      <c r="K489" s="19"/>
      <c r="L489" s="19"/>
      <c r="M489" s="19"/>
      <c r="N489" s="19"/>
      <c r="O489" s="19"/>
    </row>
    <row r="490">
      <c r="A490" s="18"/>
      <c r="B490" s="29"/>
      <c r="C490" s="19"/>
      <c r="D490" s="19"/>
      <c r="E490" s="18"/>
      <c r="F490" s="18" t="str">
        <f>IFERROR(__xludf.DUMMYFUNCTION("""COMPUTED_VALUE"""),"")</f>
        <v/>
      </c>
      <c r="G490" s="18" t="str">
        <f>IFERROR(__xludf.DUMMYFUNCTION("""COMPUTED_VALUE"""),"")</f>
        <v/>
      </c>
      <c r="H490" s="18" t="str">
        <f>IFERROR(__xludf.DUMMYFUNCTION("""COMPUTED_VALUE"""),"")</f>
        <v/>
      </c>
      <c r="I490" s="18" t="str">
        <f>IFERROR(__xludf.DUMMYFUNCTION("""COMPUTED_VALUE"""),"")</f>
        <v/>
      </c>
      <c r="J490" s="18" t="str">
        <f>IFERROR(__xludf.DUMMYFUNCTION("""COMPUTED_VALUE"""),"")</f>
        <v/>
      </c>
      <c r="K490" s="19"/>
      <c r="L490" s="19"/>
      <c r="M490" s="19"/>
      <c r="N490" s="19"/>
      <c r="O490" s="19"/>
    </row>
    <row r="491">
      <c r="A491" s="18"/>
      <c r="B491" s="29"/>
      <c r="C491" s="19"/>
      <c r="D491" s="19"/>
      <c r="E491" s="18"/>
      <c r="F491" s="18" t="str">
        <f>IFERROR(__xludf.DUMMYFUNCTION("""COMPUTED_VALUE"""),"")</f>
        <v/>
      </c>
      <c r="G491" s="18" t="str">
        <f>IFERROR(__xludf.DUMMYFUNCTION("""COMPUTED_VALUE"""),"")</f>
        <v/>
      </c>
      <c r="H491" s="18" t="str">
        <f>IFERROR(__xludf.DUMMYFUNCTION("""COMPUTED_VALUE"""),"")</f>
        <v/>
      </c>
      <c r="I491" s="18" t="str">
        <f>IFERROR(__xludf.DUMMYFUNCTION("""COMPUTED_VALUE"""),"")</f>
        <v/>
      </c>
      <c r="J491" s="18" t="str">
        <f>IFERROR(__xludf.DUMMYFUNCTION("""COMPUTED_VALUE"""),"")</f>
        <v/>
      </c>
      <c r="K491" s="19"/>
      <c r="L491" s="19"/>
      <c r="M491" s="19"/>
      <c r="N491" s="19"/>
      <c r="O491" s="19"/>
    </row>
    <row r="492">
      <c r="A492" s="18"/>
      <c r="B492" s="29"/>
      <c r="C492" s="19"/>
      <c r="D492" s="19"/>
      <c r="E492" s="18"/>
      <c r="F492" s="18" t="str">
        <f>IFERROR(__xludf.DUMMYFUNCTION("""COMPUTED_VALUE"""),"")</f>
        <v/>
      </c>
      <c r="G492" s="18" t="str">
        <f>IFERROR(__xludf.DUMMYFUNCTION("""COMPUTED_VALUE"""),"")</f>
        <v/>
      </c>
      <c r="H492" s="18" t="str">
        <f>IFERROR(__xludf.DUMMYFUNCTION("""COMPUTED_VALUE"""),"")</f>
        <v/>
      </c>
      <c r="I492" s="18" t="str">
        <f>IFERROR(__xludf.DUMMYFUNCTION("""COMPUTED_VALUE"""),"")</f>
        <v/>
      </c>
      <c r="J492" s="18" t="str">
        <f>IFERROR(__xludf.DUMMYFUNCTION("""COMPUTED_VALUE"""),"")</f>
        <v/>
      </c>
      <c r="K492" s="19"/>
      <c r="L492" s="19"/>
      <c r="M492" s="19"/>
      <c r="N492" s="19"/>
      <c r="O492" s="19"/>
    </row>
    <row r="493">
      <c r="A493" s="18"/>
      <c r="B493" s="29"/>
      <c r="C493" s="19"/>
      <c r="D493" s="19"/>
      <c r="E493" s="18"/>
      <c r="F493" s="18" t="str">
        <f>IFERROR(__xludf.DUMMYFUNCTION("""COMPUTED_VALUE"""),"")</f>
        <v/>
      </c>
      <c r="G493" s="18" t="str">
        <f>IFERROR(__xludf.DUMMYFUNCTION("""COMPUTED_VALUE"""),"")</f>
        <v/>
      </c>
      <c r="H493" s="18" t="str">
        <f>IFERROR(__xludf.DUMMYFUNCTION("""COMPUTED_VALUE"""),"")</f>
        <v/>
      </c>
      <c r="I493" s="18" t="str">
        <f>IFERROR(__xludf.DUMMYFUNCTION("""COMPUTED_VALUE"""),"")</f>
        <v/>
      </c>
      <c r="J493" s="18" t="str">
        <f>IFERROR(__xludf.DUMMYFUNCTION("""COMPUTED_VALUE"""),"")</f>
        <v/>
      </c>
      <c r="K493" s="19"/>
      <c r="L493" s="19"/>
      <c r="M493" s="19"/>
      <c r="N493" s="19"/>
      <c r="O493" s="19"/>
    </row>
    <row r="494">
      <c r="A494" s="18"/>
      <c r="B494" s="29"/>
      <c r="C494" s="19"/>
      <c r="D494" s="19"/>
      <c r="E494" s="18"/>
      <c r="F494" s="18" t="str">
        <f>IFERROR(__xludf.DUMMYFUNCTION("""COMPUTED_VALUE"""),"")</f>
        <v/>
      </c>
      <c r="G494" s="18" t="str">
        <f>IFERROR(__xludf.DUMMYFUNCTION("""COMPUTED_VALUE"""),"")</f>
        <v/>
      </c>
      <c r="H494" s="18" t="str">
        <f>IFERROR(__xludf.DUMMYFUNCTION("""COMPUTED_VALUE"""),"")</f>
        <v/>
      </c>
      <c r="I494" s="18" t="str">
        <f>IFERROR(__xludf.DUMMYFUNCTION("""COMPUTED_VALUE"""),"")</f>
        <v/>
      </c>
      <c r="J494" s="18" t="str">
        <f>IFERROR(__xludf.DUMMYFUNCTION("""COMPUTED_VALUE"""),"")</f>
        <v/>
      </c>
      <c r="K494" s="19"/>
      <c r="L494" s="19"/>
      <c r="M494" s="19"/>
      <c r="N494" s="19"/>
      <c r="O494" s="19"/>
    </row>
    <row r="495">
      <c r="A495" s="18"/>
      <c r="B495" s="29"/>
      <c r="C495" s="19"/>
      <c r="D495" s="19"/>
      <c r="E495" s="18"/>
      <c r="F495" s="18" t="str">
        <f>IFERROR(__xludf.DUMMYFUNCTION("""COMPUTED_VALUE"""),"")</f>
        <v/>
      </c>
      <c r="G495" s="18" t="str">
        <f>IFERROR(__xludf.DUMMYFUNCTION("""COMPUTED_VALUE"""),"")</f>
        <v/>
      </c>
      <c r="H495" s="18" t="str">
        <f>IFERROR(__xludf.DUMMYFUNCTION("""COMPUTED_VALUE"""),"")</f>
        <v/>
      </c>
      <c r="I495" s="18" t="str">
        <f>IFERROR(__xludf.DUMMYFUNCTION("""COMPUTED_VALUE"""),"")</f>
        <v/>
      </c>
      <c r="J495" s="18" t="str">
        <f>IFERROR(__xludf.DUMMYFUNCTION("""COMPUTED_VALUE"""),"")</f>
        <v/>
      </c>
      <c r="K495" s="19"/>
      <c r="L495" s="19"/>
      <c r="M495" s="19"/>
      <c r="N495" s="19"/>
      <c r="O495" s="19"/>
    </row>
    <row r="496">
      <c r="A496" s="18"/>
      <c r="B496" s="29"/>
      <c r="C496" s="19"/>
      <c r="D496" s="19"/>
      <c r="E496" s="18"/>
      <c r="F496" s="18" t="str">
        <f>IFERROR(__xludf.DUMMYFUNCTION("""COMPUTED_VALUE"""),"")</f>
        <v/>
      </c>
      <c r="G496" s="18" t="str">
        <f>IFERROR(__xludf.DUMMYFUNCTION("""COMPUTED_VALUE"""),"")</f>
        <v/>
      </c>
      <c r="H496" s="18" t="str">
        <f>IFERROR(__xludf.DUMMYFUNCTION("""COMPUTED_VALUE"""),"")</f>
        <v/>
      </c>
      <c r="I496" s="18" t="str">
        <f>IFERROR(__xludf.DUMMYFUNCTION("""COMPUTED_VALUE"""),"")</f>
        <v/>
      </c>
      <c r="J496" s="18" t="str">
        <f>IFERROR(__xludf.DUMMYFUNCTION("""COMPUTED_VALUE"""),"")</f>
        <v/>
      </c>
      <c r="K496" s="19"/>
      <c r="L496" s="19"/>
      <c r="M496" s="19"/>
      <c r="N496" s="19"/>
      <c r="O496" s="19"/>
    </row>
    <row r="497">
      <c r="A497" s="18"/>
      <c r="B497" s="29"/>
      <c r="C497" s="19"/>
      <c r="D497" s="19"/>
      <c r="E497" s="18"/>
      <c r="F497" s="18" t="str">
        <f>IFERROR(__xludf.DUMMYFUNCTION("""COMPUTED_VALUE"""),"")</f>
        <v/>
      </c>
      <c r="G497" s="18" t="str">
        <f>IFERROR(__xludf.DUMMYFUNCTION("""COMPUTED_VALUE"""),"")</f>
        <v/>
      </c>
      <c r="H497" s="18" t="str">
        <f>IFERROR(__xludf.DUMMYFUNCTION("""COMPUTED_VALUE"""),"")</f>
        <v/>
      </c>
      <c r="I497" s="18" t="str">
        <f>IFERROR(__xludf.DUMMYFUNCTION("""COMPUTED_VALUE"""),"")</f>
        <v/>
      </c>
      <c r="J497" s="18" t="str">
        <f>IFERROR(__xludf.DUMMYFUNCTION("""COMPUTED_VALUE"""),"")</f>
        <v/>
      </c>
      <c r="K497" s="19"/>
      <c r="L497" s="19"/>
      <c r="M497" s="19"/>
      <c r="N497" s="19"/>
      <c r="O497" s="19"/>
    </row>
    <row r="498">
      <c r="A498" s="18"/>
      <c r="B498" s="29"/>
      <c r="C498" s="19"/>
      <c r="D498" s="19"/>
      <c r="E498" s="18"/>
      <c r="F498" s="18" t="str">
        <f>IFERROR(__xludf.DUMMYFUNCTION("""COMPUTED_VALUE"""),"")</f>
        <v/>
      </c>
      <c r="G498" s="18" t="str">
        <f>IFERROR(__xludf.DUMMYFUNCTION("""COMPUTED_VALUE"""),"")</f>
        <v/>
      </c>
      <c r="H498" s="18" t="str">
        <f>IFERROR(__xludf.DUMMYFUNCTION("""COMPUTED_VALUE"""),"")</f>
        <v/>
      </c>
      <c r="I498" s="18" t="str">
        <f>IFERROR(__xludf.DUMMYFUNCTION("""COMPUTED_VALUE"""),"")</f>
        <v/>
      </c>
      <c r="J498" s="18" t="str">
        <f>IFERROR(__xludf.DUMMYFUNCTION("""COMPUTED_VALUE"""),"")</f>
        <v/>
      </c>
      <c r="K498" s="19"/>
      <c r="L498" s="19"/>
      <c r="M498" s="19"/>
      <c r="N498" s="19"/>
      <c r="O498" s="19"/>
    </row>
    <row r="499">
      <c r="A499" s="18"/>
      <c r="B499" s="29"/>
      <c r="C499" s="19"/>
      <c r="D499" s="19"/>
      <c r="E499" s="18"/>
      <c r="F499" s="18" t="str">
        <f>IFERROR(__xludf.DUMMYFUNCTION("""COMPUTED_VALUE"""),"")</f>
        <v/>
      </c>
      <c r="G499" s="18" t="str">
        <f>IFERROR(__xludf.DUMMYFUNCTION("""COMPUTED_VALUE"""),"")</f>
        <v/>
      </c>
      <c r="H499" s="18" t="str">
        <f>IFERROR(__xludf.DUMMYFUNCTION("""COMPUTED_VALUE"""),"")</f>
        <v/>
      </c>
      <c r="I499" s="18" t="str">
        <f>IFERROR(__xludf.DUMMYFUNCTION("""COMPUTED_VALUE"""),"")</f>
        <v/>
      </c>
      <c r="J499" s="18" t="str">
        <f>IFERROR(__xludf.DUMMYFUNCTION("""COMPUTED_VALUE"""),"")</f>
        <v/>
      </c>
      <c r="K499" s="19"/>
      <c r="L499" s="19"/>
      <c r="M499" s="19"/>
      <c r="N499" s="19"/>
      <c r="O499" s="19"/>
    </row>
    <row r="500">
      <c r="A500" s="18"/>
      <c r="B500" s="29"/>
      <c r="C500" s="19"/>
      <c r="D500" s="19"/>
      <c r="E500" s="18"/>
      <c r="F500" s="18" t="str">
        <f>IFERROR(__xludf.DUMMYFUNCTION("""COMPUTED_VALUE"""),"")</f>
        <v/>
      </c>
      <c r="G500" s="18" t="str">
        <f>IFERROR(__xludf.DUMMYFUNCTION("""COMPUTED_VALUE"""),"")</f>
        <v/>
      </c>
      <c r="H500" s="18" t="str">
        <f>IFERROR(__xludf.DUMMYFUNCTION("""COMPUTED_VALUE"""),"")</f>
        <v/>
      </c>
      <c r="I500" s="18" t="str">
        <f>IFERROR(__xludf.DUMMYFUNCTION("""COMPUTED_VALUE"""),"")</f>
        <v/>
      </c>
      <c r="J500" s="18" t="str">
        <f>IFERROR(__xludf.DUMMYFUNCTION("""COMPUTED_VALUE"""),"")</f>
        <v/>
      </c>
      <c r="K500" s="19"/>
      <c r="L500" s="19"/>
      <c r="M500" s="19"/>
      <c r="N500" s="19"/>
      <c r="O500" s="19"/>
    </row>
    <row r="501">
      <c r="A501" s="18"/>
      <c r="B501" s="29"/>
      <c r="C501" s="19"/>
      <c r="D501" s="19"/>
      <c r="E501" s="18"/>
      <c r="F501" s="18" t="str">
        <f>IFERROR(__xludf.DUMMYFUNCTION("""COMPUTED_VALUE"""),"")</f>
        <v/>
      </c>
      <c r="G501" s="18" t="str">
        <f>IFERROR(__xludf.DUMMYFUNCTION("""COMPUTED_VALUE"""),"")</f>
        <v/>
      </c>
      <c r="H501" s="18" t="str">
        <f>IFERROR(__xludf.DUMMYFUNCTION("""COMPUTED_VALUE"""),"")</f>
        <v/>
      </c>
      <c r="I501" s="18" t="str">
        <f>IFERROR(__xludf.DUMMYFUNCTION("""COMPUTED_VALUE"""),"")</f>
        <v/>
      </c>
      <c r="J501" s="18" t="str">
        <f>IFERROR(__xludf.DUMMYFUNCTION("""COMPUTED_VALUE"""),"")</f>
        <v/>
      </c>
      <c r="K501" s="19"/>
      <c r="L501" s="19"/>
      <c r="M501" s="19"/>
      <c r="N501" s="19"/>
      <c r="O501" s="19"/>
    </row>
    <row r="502">
      <c r="A502" s="18"/>
      <c r="B502" s="29"/>
      <c r="C502" s="19"/>
      <c r="D502" s="19"/>
      <c r="E502" s="18"/>
      <c r="F502" s="18" t="str">
        <f>IFERROR(__xludf.DUMMYFUNCTION("""COMPUTED_VALUE"""),"")</f>
        <v/>
      </c>
      <c r="G502" s="18" t="str">
        <f>IFERROR(__xludf.DUMMYFUNCTION("""COMPUTED_VALUE"""),"")</f>
        <v/>
      </c>
      <c r="H502" s="18" t="str">
        <f>IFERROR(__xludf.DUMMYFUNCTION("""COMPUTED_VALUE"""),"")</f>
        <v/>
      </c>
      <c r="I502" s="18" t="str">
        <f>IFERROR(__xludf.DUMMYFUNCTION("""COMPUTED_VALUE"""),"")</f>
        <v/>
      </c>
      <c r="J502" s="18" t="str">
        <f>IFERROR(__xludf.DUMMYFUNCTION("""COMPUTED_VALUE"""),"")</f>
        <v/>
      </c>
      <c r="K502" s="19"/>
      <c r="L502" s="19"/>
      <c r="M502" s="19"/>
      <c r="N502" s="19"/>
      <c r="O502" s="19"/>
    </row>
    <row r="503">
      <c r="A503" s="18"/>
      <c r="B503" s="29"/>
      <c r="C503" s="19"/>
      <c r="D503" s="19"/>
      <c r="E503" s="18"/>
      <c r="F503" s="18" t="str">
        <f>IFERROR(__xludf.DUMMYFUNCTION("""COMPUTED_VALUE"""),"")</f>
        <v/>
      </c>
      <c r="G503" s="18" t="str">
        <f>IFERROR(__xludf.DUMMYFUNCTION("""COMPUTED_VALUE"""),"")</f>
        <v/>
      </c>
      <c r="H503" s="18" t="str">
        <f>IFERROR(__xludf.DUMMYFUNCTION("""COMPUTED_VALUE"""),"")</f>
        <v/>
      </c>
      <c r="I503" s="18" t="str">
        <f>IFERROR(__xludf.DUMMYFUNCTION("""COMPUTED_VALUE"""),"")</f>
        <v/>
      </c>
      <c r="J503" s="18" t="str">
        <f>IFERROR(__xludf.DUMMYFUNCTION("""COMPUTED_VALUE"""),"")</f>
        <v/>
      </c>
      <c r="K503" s="19"/>
      <c r="L503" s="19"/>
      <c r="M503" s="19"/>
      <c r="N503" s="19"/>
      <c r="O503" s="19"/>
    </row>
    <row r="504">
      <c r="A504" s="18"/>
      <c r="B504" s="29"/>
      <c r="C504" s="19"/>
      <c r="D504" s="19"/>
      <c r="E504" s="18"/>
      <c r="F504" s="18" t="str">
        <f>IFERROR(__xludf.DUMMYFUNCTION("""COMPUTED_VALUE"""),"")</f>
        <v/>
      </c>
      <c r="G504" s="18" t="str">
        <f>IFERROR(__xludf.DUMMYFUNCTION("""COMPUTED_VALUE"""),"")</f>
        <v/>
      </c>
      <c r="H504" s="18" t="str">
        <f>IFERROR(__xludf.DUMMYFUNCTION("""COMPUTED_VALUE"""),"")</f>
        <v/>
      </c>
      <c r="I504" s="18" t="str">
        <f>IFERROR(__xludf.DUMMYFUNCTION("""COMPUTED_VALUE"""),"")</f>
        <v/>
      </c>
      <c r="J504" s="18" t="str">
        <f>IFERROR(__xludf.DUMMYFUNCTION("""COMPUTED_VALUE"""),"")</f>
        <v/>
      </c>
      <c r="K504" s="19"/>
      <c r="L504" s="19"/>
      <c r="M504" s="19"/>
      <c r="N504" s="19"/>
      <c r="O504" s="19"/>
    </row>
    <row r="505">
      <c r="A505" s="18"/>
      <c r="B505" s="29"/>
      <c r="C505" s="19"/>
      <c r="D505" s="19"/>
      <c r="E505" s="18"/>
      <c r="F505" s="18" t="str">
        <f>IFERROR(__xludf.DUMMYFUNCTION("""COMPUTED_VALUE"""),"")</f>
        <v/>
      </c>
      <c r="G505" s="18" t="str">
        <f>IFERROR(__xludf.DUMMYFUNCTION("""COMPUTED_VALUE"""),"")</f>
        <v/>
      </c>
      <c r="H505" s="18" t="str">
        <f>IFERROR(__xludf.DUMMYFUNCTION("""COMPUTED_VALUE"""),"")</f>
        <v/>
      </c>
      <c r="I505" s="18" t="str">
        <f>IFERROR(__xludf.DUMMYFUNCTION("""COMPUTED_VALUE"""),"")</f>
        <v/>
      </c>
      <c r="J505" s="18" t="str">
        <f>IFERROR(__xludf.DUMMYFUNCTION("""COMPUTED_VALUE"""),"")</f>
        <v/>
      </c>
      <c r="K505" s="19"/>
      <c r="L505" s="19"/>
      <c r="M505" s="19"/>
      <c r="N505" s="19"/>
      <c r="O505" s="19"/>
    </row>
    <row r="506">
      <c r="A506" s="18"/>
      <c r="B506" s="29"/>
      <c r="C506" s="19"/>
      <c r="D506" s="19"/>
      <c r="E506" s="18"/>
      <c r="F506" s="18" t="str">
        <f>IFERROR(__xludf.DUMMYFUNCTION("""COMPUTED_VALUE"""),"")</f>
        <v/>
      </c>
      <c r="G506" s="18" t="str">
        <f>IFERROR(__xludf.DUMMYFUNCTION("""COMPUTED_VALUE"""),"")</f>
        <v/>
      </c>
      <c r="H506" s="18" t="str">
        <f>IFERROR(__xludf.DUMMYFUNCTION("""COMPUTED_VALUE"""),"")</f>
        <v/>
      </c>
      <c r="I506" s="18" t="str">
        <f>IFERROR(__xludf.DUMMYFUNCTION("""COMPUTED_VALUE"""),"")</f>
        <v/>
      </c>
      <c r="J506" s="18" t="str">
        <f>IFERROR(__xludf.DUMMYFUNCTION("""COMPUTED_VALUE"""),"")</f>
        <v/>
      </c>
      <c r="K506" s="19"/>
      <c r="L506" s="19"/>
      <c r="M506" s="19"/>
      <c r="N506" s="19"/>
      <c r="O506" s="19"/>
    </row>
    <row r="507">
      <c r="A507" s="18"/>
      <c r="B507" s="29"/>
      <c r="C507" s="19"/>
      <c r="D507" s="19"/>
      <c r="E507" s="18"/>
      <c r="F507" s="18" t="str">
        <f>IFERROR(__xludf.DUMMYFUNCTION("""COMPUTED_VALUE"""),"")</f>
        <v/>
      </c>
      <c r="G507" s="18" t="str">
        <f>IFERROR(__xludf.DUMMYFUNCTION("""COMPUTED_VALUE"""),"")</f>
        <v/>
      </c>
      <c r="H507" s="18" t="str">
        <f>IFERROR(__xludf.DUMMYFUNCTION("""COMPUTED_VALUE"""),"")</f>
        <v/>
      </c>
      <c r="I507" s="18" t="str">
        <f>IFERROR(__xludf.DUMMYFUNCTION("""COMPUTED_VALUE"""),"")</f>
        <v/>
      </c>
      <c r="J507" s="18" t="str">
        <f>IFERROR(__xludf.DUMMYFUNCTION("""COMPUTED_VALUE"""),"")</f>
        <v/>
      </c>
      <c r="K507" s="19"/>
      <c r="L507" s="19"/>
      <c r="M507" s="19"/>
      <c r="N507" s="19"/>
      <c r="O507" s="19"/>
    </row>
    <row r="508">
      <c r="A508" s="18"/>
      <c r="B508" s="29"/>
      <c r="C508" s="19"/>
      <c r="D508" s="19"/>
      <c r="E508" s="18"/>
      <c r="F508" s="18" t="str">
        <f>IFERROR(__xludf.DUMMYFUNCTION("""COMPUTED_VALUE"""),"")</f>
        <v/>
      </c>
      <c r="G508" s="18" t="str">
        <f>IFERROR(__xludf.DUMMYFUNCTION("""COMPUTED_VALUE"""),"")</f>
        <v/>
      </c>
      <c r="H508" s="18" t="str">
        <f>IFERROR(__xludf.DUMMYFUNCTION("""COMPUTED_VALUE"""),"")</f>
        <v/>
      </c>
      <c r="I508" s="18" t="str">
        <f>IFERROR(__xludf.DUMMYFUNCTION("""COMPUTED_VALUE"""),"")</f>
        <v/>
      </c>
      <c r="J508" s="18" t="str">
        <f>IFERROR(__xludf.DUMMYFUNCTION("""COMPUTED_VALUE"""),"")</f>
        <v/>
      </c>
      <c r="K508" s="19"/>
      <c r="L508" s="19"/>
      <c r="M508" s="19"/>
      <c r="N508" s="19"/>
      <c r="O508" s="19"/>
    </row>
    <row r="509">
      <c r="A509" s="18"/>
      <c r="B509" s="29"/>
      <c r="C509" s="19"/>
      <c r="D509" s="19"/>
      <c r="E509" s="18"/>
      <c r="F509" s="18" t="str">
        <f>IFERROR(__xludf.DUMMYFUNCTION("""COMPUTED_VALUE"""),"")</f>
        <v/>
      </c>
      <c r="G509" s="18" t="str">
        <f>IFERROR(__xludf.DUMMYFUNCTION("""COMPUTED_VALUE"""),"")</f>
        <v/>
      </c>
      <c r="H509" s="18" t="str">
        <f>IFERROR(__xludf.DUMMYFUNCTION("""COMPUTED_VALUE"""),"")</f>
        <v/>
      </c>
      <c r="I509" s="18" t="str">
        <f>IFERROR(__xludf.DUMMYFUNCTION("""COMPUTED_VALUE"""),"")</f>
        <v/>
      </c>
      <c r="J509" s="18" t="str">
        <f>IFERROR(__xludf.DUMMYFUNCTION("""COMPUTED_VALUE"""),"")</f>
        <v/>
      </c>
      <c r="K509" s="19"/>
      <c r="L509" s="19"/>
      <c r="M509" s="19"/>
      <c r="N509" s="19"/>
      <c r="O509" s="19"/>
    </row>
    <row r="510">
      <c r="A510" s="18"/>
      <c r="B510" s="29"/>
      <c r="C510" s="19"/>
      <c r="D510" s="19"/>
      <c r="E510" s="18"/>
      <c r="F510" s="18" t="str">
        <f>IFERROR(__xludf.DUMMYFUNCTION("""COMPUTED_VALUE"""),"")</f>
        <v/>
      </c>
      <c r="G510" s="18" t="str">
        <f>IFERROR(__xludf.DUMMYFUNCTION("""COMPUTED_VALUE"""),"")</f>
        <v/>
      </c>
      <c r="H510" s="18" t="str">
        <f>IFERROR(__xludf.DUMMYFUNCTION("""COMPUTED_VALUE"""),"")</f>
        <v/>
      </c>
      <c r="I510" s="18" t="str">
        <f>IFERROR(__xludf.DUMMYFUNCTION("""COMPUTED_VALUE"""),"")</f>
        <v/>
      </c>
      <c r="J510" s="18" t="str">
        <f>IFERROR(__xludf.DUMMYFUNCTION("""COMPUTED_VALUE"""),"")</f>
        <v/>
      </c>
      <c r="K510" s="19"/>
      <c r="L510" s="19"/>
      <c r="M510" s="19"/>
      <c r="N510" s="19"/>
      <c r="O510" s="19"/>
    </row>
    <row r="511">
      <c r="A511" s="18"/>
      <c r="B511" s="29"/>
      <c r="C511" s="19"/>
      <c r="D511" s="19"/>
      <c r="E511" s="18"/>
      <c r="F511" s="18" t="str">
        <f>IFERROR(__xludf.DUMMYFUNCTION("""COMPUTED_VALUE"""),"")</f>
        <v/>
      </c>
      <c r="G511" s="18" t="str">
        <f>IFERROR(__xludf.DUMMYFUNCTION("""COMPUTED_VALUE"""),"")</f>
        <v/>
      </c>
      <c r="H511" s="18" t="str">
        <f>IFERROR(__xludf.DUMMYFUNCTION("""COMPUTED_VALUE"""),"")</f>
        <v/>
      </c>
      <c r="I511" s="18" t="str">
        <f>IFERROR(__xludf.DUMMYFUNCTION("""COMPUTED_VALUE"""),"")</f>
        <v/>
      </c>
      <c r="J511" s="18" t="str">
        <f>IFERROR(__xludf.DUMMYFUNCTION("""COMPUTED_VALUE"""),"")</f>
        <v/>
      </c>
      <c r="K511" s="19"/>
      <c r="L511" s="19"/>
      <c r="M511" s="19"/>
      <c r="N511" s="19"/>
      <c r="O511" s="19"/>
    </row>
    <row r="512">
      <c r="A512" s="18"/>
      <c r="B512" s="29"/>
      <c r="C512" s="19"/>
      <c r="D512" s="19"/>
      <c r="E512" s="18"/>
      <c r="F512" s="18" t="str">
        <f>IFERROR(__xludf.DUMMYFUNCTION("""COMPUTED_VALUE"""),"")</f>
        <v/>
      </c>
      <c r="G512" s="18" t="str">
        <f>IFERROR(__xludf.DUMMYFUNCTION("""COMPUTED_VALUE"""),"")</f>
        <v/>
      </c>
      <c r="H512" s="18" t="str">
        <f>IFERROR(__xludf.DUMMYFUNCTION("""COMPUTED_VALUE"""),"")</f>
        <v/>
      </c>
      <c r="I512" s="18" t="str">
        <f>IFERROR(__xludf.DUMMYFUNCTION("""COMPUTED_VALUE"""),"")</f>
        <v/>
      </c>
      <c r="J512" s="18" t="str">
        <f>IFERROR(__xludf.DUMMYFUNCTION("""COMPUTED_VALUE"""),"")</f>
        <v/>
      </c>
      <c r="K512" s="19"/>
      <c r="L512" s="19"/>
      <c r="M512" s="19"/>
      <c r="N512" s="19"/>
      <c r="O512" s="19"/>
    </row>
    <row r="513">
      <c r="A513" s="18"/>
      <c r="B513" s="29"/>
      <c r="C513" s="19"/>
      <c r="D513" s="19"/>
      <c r="E513" s="18"/>
      <c r="F513" s="18" t="str">
        <f>IFERROR(__xludf.DUMMYFUNCTION("""COMPUTED_VALUE"""),"")</f>
        <v/>
      </c>
      <c r="G513" s="18" t="str">
        <f>IFERROR(__xludf.DUMMYFUNCTION("""COMPUTED_VALUE"""),"")</f>
        <v/>
      </c>
      <c r="H513" s="18" t="str">
        <f>IFERROR(__xludf.DUMMYFUNCTION("""COMPUTED_VALUE"""),"")</f>
        <v/>
      </c>
      <c r="I513" s="18" t="str">
        <f>IFERROR(__xludf.DUMMYFUNCTION("""COMPUTED_VALUE"""),"")</f>
        <v/>
      </c>
      <c r="J513" s="18" t="str">
        <f>IFERROR(__xludf.DUMMYFUNCTION("""COMPUTED_VALUE"""),"")</f>
        <v/>
      </c>
      <c r="K513" s="19"/>
      <c r="L513" s="19"/>
      <c r="M513" s="19"/>
      <c r="N513" s="19"/>
      <c r="O513" s="19"/>
    </row>
    <row r="514">
      <c r="A514" s="18"/>
      <c r="B514" s="29"/>
      <c r="C514" s="19"/>
      <c r="D514" s="19"/>
      <c r="E514" s="18"/>
      <c r="F514" s="18" t="str">
        <f>IFERROR(__xludf.DUMMYFUNCTION("""COMPUTED_VALUE"""),"")</f>
        <v/>
      </c>
      <c r="G514" s="18" t="str">
        <f>IFERROR(__xludf.DUMMYFUNCTION("""COMPUTED_VALUE"""),"")</f>
        <v/>
      </c>
      <c r="H514" s="18" t="str">
        <f>IFERROR(__xludf.DUMMYFUNCTION("""COMPUTED_VALUE"""),"")</f>
        <v/>
      </c>
      <c r="I514" s="18" t="str">
        <f>IFERROR(__xludf.DUMMYFUNCTION("""COMPUTED_VALUE"""),"")</f>
        <v/>
      </c>
      <c r="J514" s="18" t="str">
        <f>IFERROR(__xludf.DUMMYFUNCTION("""COMPUTED_VALUE"""),"")</f>
        <v/>
      </c>
      <c r="K514" s="19"/>
      <c r="L514" s="19"/>
      <c r="M514" s="19"/>
      <c r="N514" s="19"/>
      <c r="O514" s="19"/>
    </row>
    <row r="515">
      <c r="A515" s="18"/>
      <c r="B515" s="29"/>
      <c r="C515" s="19"/>
      <c r="D515" s="19"/>
      <c r="E515" s="18"/>
      <c r="F515" s="18" t="str">
        <f>IFERROR(__xludf.DUMMYFUNCTION("""COMPUTED_VALUE"""),"")</f>
        <v/>
      </c>
      <c r="G515" s="18" t="str">
        <f>IFERROR(__xludf.DUMMYFUNCTION("""COMPUTED_VALUE"""),"")</f>
        <v/>
      </c>
      <c r="H515" s="18" t="str">
        <f>IFERROR(__xludf.DUMMYFUNCTION("""COMPUTED_VALUE"""),"")</f>
        <v/>
      </c>
      <c r="I515" s="18" t="str">
        <f>IFERROR(__xludf.DUMMYFUNCTION("""COMPUTED_VALUE"""),"")</f>
        <v/>
      </c>
      <c r="J515" s="18" t="str">
        <f>IFERROR(__xludf.DUMMYFUNCTION("""COMPUTED_VALUE"""),"")</f>
        <v/>
      </c>
      <c r="K515" s="19"/>
      <c r="L515" s="19"/>
      <c r="M515" s="19"/>
      <c r="N515" s="19"/>
      <c r="O515" s="19"/>
    </row>
    <row r="516">
      <c r="A516" s="18"/>
      <c r="B516" s="29"/>
      <c r="C516" s="19"/>
      <c r="D516" s="19"/>
      <c r="E516" s="18"/>
      <c r="F516" s="18" t="str">
        <f>IFERROR(__xludf.DUMMYFUNCTION("""COMPUTED_VALUE"""),"")</f>
        <v/>
      </c>
      <c r="G516" s="18" t="str">
        <f>IFERROR(__xludf.DUMMYFUNCTION("""COMPUTED_VALUE"""),"")</f>
        <v/>
      </c>
      <c r="H516" s="18" t="str">
        <f>IFERROR(__xludf.DUMMYFUNCTION("""COMPUTED_VALUE"""),"")</f>
        <v/>
      </c>
      <c r="I516" s="18" t="str">
        <f>IFERROR(__xludf.DUMMYFUNCTION("""COMPUTED_VALUE"""),"")</f>
        <v/>
      </c>
      <c r="J516" s="18" t="str">
        <f>IFERROR(__xludf.DUMMYFUNCTION("""COMPUTED_VALUE"""),"")</f>
        <v/>
      </c>
      <c r="K516" s="19"/>
      <c r="L516" s="19"/>
      <c r="M516" s="19"/>
      <c r="N516" s="19"/>
      <c r="O516" s="19"/>
    </row>
    <row r="517">
      <c r="A517" s="18"/>
      <c r="B517" s="29"/>
      <c r="C517" s="19"/>
      <c r="D517" s="19"/>
      <c r="E517" s="18"/>
      <c r="F517" s="18" t="str">
        <f>IFERROR(__xludf.DUMMYFUNCTION("""COMPUTED_VALUE"""),"")</f>
        <v/>
      </c>
      <c r="G517" s="18" t="str">
        <f>IFERROR(__xludf.DUMMYFUNCTION("""COMPUTED_VALUE"""),"")</f>
        <v/>
      </c>
      <c r="H517" s="18" t="str">
        <f>IFERROR(__xludf.DUMMYFUNCTION("""COMPUTED_VALUE"""),"")</f>
        <v/>
      </c>
      <c r="I517" s="18" t="str">
        <f>IFERROR(__xludf.DUMMYFUNCTION("""COMPUTED_VALUE"""),"")</f>
        <v/>
      </c>
      <c r="J517" s="18" t="str">
        <f>IFERROR(__xludf.DUMMYFUNCTION("""COMPUTED_VALUE"""),"")</f>
        <v/>
      </c>
      <c r="K517" s="19"/>
      <c r="L517" s="19"/>
      <c r="M517" s="19"/>
      <c r="N517" s="19"/>
      <c r="O517" s="19"/>
    </row>
    <row r="518">
      <c r="A518" s="18"/>
      <c r="B518" s="29"/>
      <c r="C518" s="19"/>
      <c r="D518" s="19"/>
      <c r="E518" s="18"/>
      <c r="F518" s="18" t="str">
        <f>IFERROR(__xludf.DUMMYFUNCTION("""COMPUTED_VALUE"""),"")</f>
        <v/>
      </c>
      <c r="G518" s="18" t="str">
        <f>IFERROR(__xludf.DUMMYFUNCTION("""COMPUTED_VALUE"""),"")</f>
        <v/>
      </c>
      <c r="H518" s="18" t="str">
        <f>IFERROR(__xludf.DUMMYFUNCTION("""COMPUTED_VALUE"""),"")</f>
        <v/>
      </c>
      <c r="I518" s="18" t="str">
        <f>IFERROR(__xludf.DUMMYFUNCTION("""COMPUTED_VALUE"""),"")</f>
        <v/>
      </c>
      <c r="J518" s="18" t="str">
        <f>IFERROR(__xludf.DUMMYFUNCTION("""COMPUTED_VALUE"""),"")</f>
        <v/>
      </c>
      <c r="K518" s="19"/>
      <c r="L518" s="19"/>
      <c r="M518" s="19"/>
      <c r="N518" s="19"/>
      <c r="O518" s="19"/>
    </row>
    <row r="519">
      <c r="A519" s="18"/>
      <c r="B519" s="29"/>
      <c r="C519" s="19"/>
      <c r="D519" s="19"/>
      <c r="E519" s="18"/>
      <c r="F519" s="18" t="str">
        <f>IFERROR(__xludf.DUMMYFUNCTION("""COMPUTED_VALUE"""),"")</f>
        <v/>
      </c>
      <c r="G519" s="18" t="str">
        <f>IFERROR(__xludf.DUMMYFUNCTION("""COMPUTED_VALUE"""),"")</f>
        <v/>
      </c>
      <c r="H519" s="18" t="str">
        <f>IFERROR(__xludf.DUMMYFUNCTION("""COMPUTED_VALUE"""),"")</f>
        <v/>
      </c>
      <c r="I519" s="18" t="str">
        <f>IFERROR(__xludf.DUMMYFUNCTION("""COMPUTED_VALUE"""),"")</f>
        <v/>
      </c>
      <c r="J519" s="18" t="str">
        <f>IFERROR(__xludf.DUMMYFUNCTION("""COMPUTED_VALUE"""),"")</f>
        <v/>
      </c>
      <c r="K519" s="19"/>
      <c r="L519" s="19"/>
      <c r="M519" s="19"/>
      <c r="N519" s="19"/>
      <c r="O519" s="19"/>
    </row>
    <row r="520">
      <c r="A520" s="18"/>
      <c r="B520" s="29"/>
      <c r="C520" s="19"/>
      <c r="D520" s="19"/>
      <c r="E520" s="18"/>
      <c r="F520" s="18" t="str">
        <f>IFERROR(__xludf.DUMMYFUNCTION("""COMPUTED_VALUE"""),"")</f>
        <v/>
      </c>
      <c r="G520" s="18" t="str">
        <f>IFERROR(__xludf.DUMMYFUNCTION("""COMPUTED_VALUE"""),"")</f>
        <v/>
      </c>
      <c r="H520" s="18" t="str">
        <f>IFERROR(__xludf.DUMMYFUNCTION("""COMPUTED_VALUE"""),"")</f>
        <v/>
      </c>
      <c r="I520" s="18" t="str">
        <f>IFERROR(__xludf.DUMMYFUNCTION("""COMPUTED_VALUE"""),"")</f>
        <v/>
      </c>
      <c r="J520" s="18" t="str">
        <f>IFERROR(__xludf.DUMMYFUNCTION("""COMPUTED_VALUE"""),"")</f>
        <v/>
      </c>
      <c r="K520" s="19"/>
      <c r="L520" s="19"/>
      <c r="M520" s="19"/>
      <c r="N520" s="19"/>
      <c r="O520" s="19"/>
    </row>
    <row r="521">
      <c r="A521" s="18"/>
      <c r="B521" s="29"/>
      <c r="C521" s="19"/>
      <c r="D521" s="19"/>
      <c r="E521" s="18"/>
      <c r="F521" s="18" t="str">
        <f>IFERROR(__xludf.DUMMYFUNCTION("""COMPUTED_VALUE"""),"")</f>
        <v/>
      </c>
      <c r="G521" s="18" t="str">
        <f>IFERROR(__xludf.DUMMYFUNCTION("""COMPUTED_VALUE"""),"")</f>
        <v/>
      </c>
      <c r="H521" s="18" t="str">
        <f>IFERROR(__xludf.DUMMYFUNCTION("""COMPUTED_VALUE"""),"")</f>
        <v/>
      </c>
      <c r="I521" s="18" t="str">
        <f>IFERROR(__xludf.DUMMYFUNCTION("""COMPUTED_VALUE"""),"")</f>
        <v/>
      </c>
      <c r="J521" s="18" t="str">
        <f>IFERROR(__xludf.DUMMYFUNCTION("""COMPUTED_VALUE"""),"")</f>
        <v/>
      </c>
      <c r="K521" s="19"/>
      <c r="L521" s="19"/>
      <c r="M521" s="19"/>
      <c r="N521" s="19"/>
      <c r="O521" s="19"/>
    </row>
    <row r="522">
      <c r="A522" s="18"/>
      <c r="B522" s="29"/>
      <c r="C522" s="19"/>
      <c r="D522" s="19"/>
      <c r="E522" s="18"/>
      <c r="F522" s="18" t="str">
        <f>IFERROR(__xludf.DUMMYFUNCTION("""COMPUTED_VALUE"""),"")</f>
        <v/>
      </c>
      <c r="G522" s="18" t="str">
        <f>IFERROR(__xludf.DUMMYFUNCTION("""COMPUTED_VALUE"""),"")</f>
        <v/>
      </c>
      <c r="H522" s="18" t="str">
        <f>IFERROR(__xludf.DUMMYFUNCTION("""COMPUTED_VALUE"""),"")</f>
        <v/>
      </c>
      <c r="I522" s="18" t="str">
        <f>IFERROR(__xludf.DUMMYFUNCTION("""COMPUTED_VALUE"""),"")</f>
        <v/>
      </c>
      <c r="J522" s="18" t="str">
        <f>IFERROR(__xludf.DUMMYFUNCTION("""COMPUTED_VALUE"""),"")</f>
        <v/>
      </c>
      <c r="K522" s="19"/>
      <c r="L522" s="19"/>
      <c r="M522" s="19"/>
      <c r="N522" s="19"/>
      <c r="O522" s="19"/>
    </row>
    <row r="523">
      <c r="A523" s="18"/>
      <c r="B523" s="29"/>
      <c r="C523" s="19"/>
      <c r="D523" s="19"/>
      <c r="E523" s="18"/>
      <c r="F523" s="18" t="str">
        <f>IFERROR(__xludf.DUMMYFUNCTION("""COMPUTED_VALUE"""),"")</f>
        <v/>
      </c>
      <c r="G523" s="18" t="str">
        <f>IFERROR(__xludf.DUMMYFUNCTION("""COMPUTED_VALUE"""),"")</f>
        <v/>
      </c>
      <c r="H523" s="18" t="str">
        <f>IFERROR(__xludf.DUMMYFUNCTION("""COMPUTED_VALUE"""),"")</f>
        <v/>
      </c>
      <c r="I523" s="18" t="str">
        <f>IFERROR(__xludf.DUMMYFUNCTION("""COMPUTED_VALUE"""),"")</f>
        <v/>
      </c>
      <c r="J523" s="18" t="str">
        <f>IFERROR(__xludf.DUMMYFUNCTION("""COMPUTED_VALUE"""),"")</f>
        <v/>
      </c>
      <c r="K523" s="19"/>
      <c r="L523" s="19"/>
      <c r="M523" s="19"/>
      <c r="N523" s="19"/>
      <c r="O523" s="19"/>
    </row>
    <row r="524">
      <c r="A524" s="18"/>
      <c r="B524" s="29"/>
      <c r="C524" s="19"/>
      <c r="D524" s="19"/>
      <c r="E524" s="18"/>
      <c r="F524" s="18" t="str">
        <f>IFERROR(__xludf.DUMMYFUNCTION("""COMPUTED_VALUE"""),"")</f>
        <v/>
      </c>
      <c r="G524" s="18" t="str">
        <f>IFERROR(__xludf.DUMMYFUNCTION("""COMPUTED_VALUE"""),"")</f>
        <v/>
      </c>
      <c r="H524" s="18" t="str">
        <f>IFERROR(__xludf.DUMMYFUNCTION("""COMPUTED_VALUE"""),"")</f>
        <v/>
      </c>
      <c r="I524" s="18" t="str">
        <f>IFERROR(__xludf.DUMMYFUNCTION("""COMPUTED_VALUE"""),"")</f>
        <v/>
      </c>
      <c r="J524" s="18" t="str">
        <f>IFERROR(__xludf.DUMMYFUNCTION("""COMPUTED_VALUE"""),"")</f>
        <v/>
      </c>
      <c r="K524" s="19"/>
      <c r="L524" s="19"/>
      <c r="M524" s="19"/>
      <c r="N524" s="19"/>
      <c r="O524" s="19"/>
    </row>
    <row r="525">
      <c r="A525" s="18"/>
      <c r="B525" s="29"/>
      <c r="C525" s="19"/>
      <c r="D525" s="19"/>
      <c r="E525" s="18"/>
      <c r="F525" s="18" t="str">
        <f>IFERROR(__xludf.DUMMYFUNCTION("""COMPUTED_VALUE"""),"")</f>
        <v/>
      </c>
      <c r="G525" s="18" t="str">
        <f>IFERROR(__xludf.DUMMYFUNCTION("""COMPUTED_VALUE"""),"")</f>
        <v/>
      </c>
      <c r="H525" s="18" t="str">
        <f>IFERROR(__xludf.DUMMYFUNCTION("""COMPUTED_VALUE"""),"")</f>
        <v/>
      </c>
      <c r="I525" s="18" t="str">
        <f>IFERROR(__xludf.DUMMYFUNCTION("""COMPUTED_VALUE"""),"")</f>
        <v/>
      </c>
      <c r="J525" s="18" t="str">
        <f>IFERROR(__xludf.DUMMYFUNCTION("""COMPUTED_VALUE"""),"")</f>
        <v/>
      </c>
      <c r="K525" s="19"/>
      <c r="L525" s="19"/>
      <c r="M525" s="19"/>
      <c r="N525" s="19"/>
      <c r="O525" s="19"/>
    </row>
    <row r="526">
      <c r="A526" s="18"/>
      <c r="B526" s="29"/>
      <c r="C526" s="19"/>
      <c r="D526" s="19"/>
      <c r="E526" s="18"/>
      <c r="F526" s="18" t="str">
        <f>IFERROR(__xludf.DUMMYFUNCTION("""COMPUTED_VALUE"""),"")</f>
        <v/>
      </c>
      <c r="G526" s="18" t="str">
        <f>IFERROR(__xludf.DUMMYFUNCTION("""COMPUTED_VALUE"""),"")</f>
        <v/>
      </c>
      <c r="H526" s="18" t="str">
        <f>IFERROR(__xludf.DUMMYFUNCTION("""COMPUTED_VALUE"""),"")</f>
        <v/>
      </c>
      <c r="I526" s="18" t="str">
        <f>IFERROR(__xludf.DUMMYFUNCTION("""COMPUTED_VALUE"""),"")</f>
        <v/>
      </c>
      <c r="J526" s="18" t="str">
        <f>IFERROR(__xludf.DUMMYFUNCTION("""COMPUTED_VALUE"""),"")</f>
        <v/>
      </c>
      <c r="K526" s="19"/>
      <c r="L526" s="19"/>
      <c r="M526" s="19"/>
      <c r="N526" s="19"/>
      <c r="O526" s="19"/>
    </row>
    <row r="527">
      <c r="A527" s="18"/>
      <c r="B527" s="29"/>
      <c r="C527" s="19"/>
      <c r="D527" s="19"/>
      <c r="E527" s="18"/>
      <c r="F527" s="18" t="str">
        <f>IFERROR(__xludf.DUMMYFUNCTION("""COMPUTED_VALUE"""),"")</f>
        <v/>
      </c>
      <c r="G527" s="18" t="str">
        <f>IFERROR(__xludf.DUMMYFUNCTION("""COMPUTED_VALUE"""),"")</f>
        <v/>
      </c>
      <c r="H527" s="18" t="str">
        <f>IFERROR(__xludf.DUMMYFUNCTION("""COMPUTED_VALUE"""),"")</f>
        <v/>
      </c>
      <c r="I527" s="18" t="str">
        <f>IFERROR(__xludf.DUMMYFUNCTION("""COMPUTED_VALUE"""),"")</f>
        <v/>
      </c>
      <c r="J527" s="18" t="str">
        <f>IFERROR(__xludf.DUMMYFUNCTION("""COMPUTED_VALUE"""),"")</f>
        <v/>
      </c>
      <c r="K527" s="19"/>
      <c r="L527" s="19"/>
      <c r="M527" s="19"/>
      <c r="N527" s="19"/>
      <c r="O527" s="19"/>
    </row>
    <row r="528">
      <c r="A528" s="18"/>
      <c r="B528" s="29"/>
      <c r="C528" s="19"/>
      <c r="D528" s="19"/>
      <c r="E528" s="18"/>
      <c r="F528" s="18" t="str">
        <f>IFERROR(__xludf.DUMMYFUNCTION("""COMPUTED_VALUE"""),"")</f>
        <v/>
      </c>
      <c r="G528" s="18" t="str">
        <f>IFERROR(__xludf.DUMMYFUNCTION("""COMPUTED_VALUE"""),"")</f>
        <v/>
      </c>
      <c r="H528" s="18" t="str">
        <f>IFERROR(__xludf.DUMMYFUNCTION("""COMPUTED_VALUE"""),"")</f>
        <v/>
      </c>
      <c r="I528" s="18" t="str">
        <f>IFERROR(__xludf.DUMMYFUNCTION("""COMPUTED_VALUE"""),"")</f>
        <v/>
      </c>
      <c r="J528" s="18" t="str">
        <f>IFERROR(__xludf.DUMMYFUNCTION("""COMPUTED_VALUE"""),"")</f>
        <v/>
      </c>
      <c r="K528" s="19"/>
      <c r="L528" s="19"/>
      <c r="M528" s="19"/>
      <c r="N528" s="19"/>
      <c r="O528" s="19"/>
    </row>
    <row r="529">
      <c r="A529" s="18"/>
      <c r="B529" s="29"/>
      <c r="C529" s="19"/>
      <c r="D529" s="19"/>
      <c r="E529" s="18"/>
      <c r="F529" s="18" t="str">
        <f>IFERROR(__xludf.DUMMYFUNCTION("""COMPUTED_VALUE"""),"")</f>
        <v/>
      </c>
      <c r="G529" s="18" t="str">
        <f>IFERROR(__xludf.DUMMYFUNCTION("""COMPUTED_VALUE"""),"")</f>
        <v/>
      </c>
      <c r="H529" s="18" t="str">
        <f>IFERROR(__xludf.DUMMYFUNCTION("""COMPUTED_VALUE"""),"")</f>
        <v/>
      </c>
      <c r="I529" s="18" t="str">
        <f>IFERROR(__xludf.DUMMYFUNCTION("""COMPUTED_VALUE"""),"")</f>
        <v/>
      </c>
      <c r="J529" s="18" t="str">
        <f>IFERROR(__xludf.DUMMYFUNCTION("""COMPUTED_VALUE"""),"")</f>
        <v/>
      </c>
      <c r="K529" s="19"/>
      <c r="L529" s="19"/>
      <c r="M529" s="19"/>
      <c r="N529" s="19"/>
      <c r="O529" s="19"/>
    </row>
    <row r="530">
      <c r="A530" s="18"/>
      <c r="B530" s="29"/>
      <c r="C530" s="19"/>
      <c r="D530" s="19"/>
      <c r="E530" s="18"/>
      <c r="F530" s="18" t="str">
        <f>IFERROR(__xludf.DUMMYFUNCTION("""COMPUTED_VALUE"""),"")</f>
        <v/>
      </c>
      <c r="G530" s="18" t="str">
        <f>IFERROR(__xludf.DUMMYFUNCTION("""COMPUTED_VALUE"""),"")</f>
        <v/>
      </c>
      <c r="H530" s="18" t="str">
        <f>IFERROR(__xludf.DUMMYFUNCTION("""COMPUTED_VALUE"""),"")</f>
        <v/>
      </c>
      <c r="I530" s="18" t="str">
        <f>IFERROR(__xludf.DUMMYFUNCTION("""COMPUTED_VALUE"""),"")</f>
        <v/>
      </c>
      <c r="J530" s="18" t="str">
        <f>IFERROR(__xludf.DUMMYFUNCTION("""COMPUTED_VALUE"""),"")</f>
        <v/>
      </c>
      <c r="K530" s="19"/>
      <c r="L530" s="19"/>
      <c r="M530" s="19"/>
      <c r="N530" s="19"/>
      <c r="O530" s="19"/>
    </row>
    <row r="531">
      <c r="A531" s="18"/>
      <c r="B531" s="29"/>
      <c r="C531" s="19"/>
      <c r="D531" s="19"/>
      <c r="E531" s="18"/>
      <c r="F531" s="18" t="str">
        <f>IFERROR(__xludf.DUMMYFUNCTION("""COMPUTED_VALUE"""),"")</f>
        <v/>
      </c>
      <c r="G531" s="18" t="str">
        <f>IFERROR(__xludf.DUMMYFUNCTION("""COMPUTED_VALUE"""),"")</f>
        <v/>
      </c>
      <c r="H531" s="18" t="str">
        <f>IFERROR(__xludf.DUMMYFUNCTION("""COMPUTED_VALUE"""),"")</f>
        <v/>
      </c>
      <c r="I531" s="18" t="str">
        <f>IFERROR(__xludf.DUMMYFUNCTION("""COMPUTED_VALUE"""),"")</f>
        <v/>
      </c>
      <c r="J531" s="18" t="str">
        <f>IFERROR(__xludf.DUMMYFUNCTION("""COMPUTED_VALUE"""),"")</f>
        <v/>
      </c>
      <c r="K531" s="19"/>
      <c r="L531" s="19"/>
      <c r="M531" s="19"/>
      <c r="N531" s="19"/>
      <c r="O531" s="19"/>
    </row>
    <row r="532">
      <c r="A532" s="18"/>
      <c r="B532" s="29"/>
      <c r="C532" s="19"/>
      <c r="D532" s="19"/>
      <c r="E532" s="18"/>
      <c r="F532" s="18" t="str">
        <f>IFERROR(__xludf.DUMMYFUNCTION("""COMPUTED_VALUE"""),"")</f>
        <v/>
      </c>
      <c r="G532" s="18" t="str">
        <f>IFERROR(__xludf.DUMMYFUNCTION("""COMPUTED_VALUE"""),"")</f>
        <v/>
      </c>
      <c r="H532" s="18" t="str">
        <f>IFERROR(__xludf.DUMMYFUNCTION("""COMPUTED_VALUE"""),"")</f>
        <v/>
      </c>
      <c r="I532" s="18" t="str">
        <f>IFERROR(__xludf.DUMMYFUNCTION("""COMPUTED_VALUE"""),"")</f>
        <v/>
      </c>
      <c r="J532" s="18" t="str">
        <f>IFERROR(__xludf.DUMMYFUNCTION("""COMPUTED_VALUE"""),"")</f>
        <v/>
      </c>
      <c r="K532" s="19"/>
      <c r="L532" s="19"/>
      <c r="M532" s="19"/>
      <c r="N532" s="19"/>
      <c r="O532" s="19"/>
    </row>
    <row r="533">
      <c r="A533" s="18"/>
      <c r="B533" s="29"/>
      <c r="C533" s="19"/>
      <c r="D533" s="19"/>
      <c r="E533" s="18"/>
      <c r="F533" s="18" t="str">
        <f>IFERROR(__xludf.DUMMYFUNCTION("""COMPUTED_VALUE"""),"")</f>
        <v/>
      </c>
      <c r="G533" s="18" t="str">
        <f>IFERROR(__xludf.DUMMYFUNCTION("""COMPUTED_VALUE"""),"")</f>
        <v/>
      </c>
      <c r="H533" s="18" t="str">
        <f>IFERROR(__xludf.DUMMYFUNCTION("""COMPUTED_VALUE"""),"")</f>
        <v/>
      </c>
      <c r="I533" s="18" t="str">
        <f>IFERROR(__xludf.DUMMYFUNCTION("""COMPUTED_VALUE"""),"")</f>
        <v/>
      </c>
      <c r="J533" s="18" t="str">
        <f>IFERROR(__xludf.DUMMYFUNCTION("""COMPUTED_VALUE"""),"")</f>
        <v/>
      </c>
      <c r="K533" s="19"/>
      <c r="L533" s="19"/>
      <c r="M533" s="19"/>
      <c r="N533" s="19"/>
      <c r="O533" s="19"/>
    </row>
    <row r="534">
      <c r="A534" s="18"/>
      <c r="B534" s="29"/>
      <c r="C534" s="19"/>
      <c r="D534" s="19"/>
      <c r="E534" s="18"/>
      <c r="F534" s="18" t="str">
        <f>IFERROR(__xludf.DUMMYFUNCTION("""COMPUTED_VALUE"""),"")</f>
        <v/>
      </c>
      <c r="G534" s="18" t="str">
        <f>IFERROR(__xludf.DUMMYFUNCTION("""COMPUTED_VALUE"""),"")</f>
        <v/>
      </c>
      <c r="H534" s="18" t="str">
        <f>IFERROR(__xludf.DUMMYFUNCTION("""COMPUTED_VALUE"""),"")</f>
        <v/>
      </c>
      <c r="I534" s="18" t="str">
        <f>IFERROR(__xludf.DUMMYFUNCTION("""COMPUTED_VALUE"""),"")</f>
        <v/>
      </c>
      <c r="J534" s="18" t="str">
        <f>IFERROR(__xludf.DUMMYFUNCTION("""COMPUTED_VALUE"""),"")</f>
        <v/>
      </c>
      <c r="K534" s="19"/>
      <c r="L534" s="19"/>
      <c r="M534" s="19"/>
      <c r="N534" s="19"/>
      <c r="O534" s="19"/>
    </row>
    <row r="535">
      <c r="A535" s="18"/>
      <c r="B535" s="29"/>
      <c r="C535" s="19"/>
      <c r="D535" s="19"/>
      <c r="E535" s="18"/>
      <c r="F535" s="18" t="str">
        <f>IFERROR(__xludf.DUMMYFUNCTION("""COMPUTED_VALUE"""),"")</f>
        <v/>
      </c>
      <c r="G535" s="18" t="str">
        <f>IFERROR(__xludf.DUMMYFUNCTION("""COMPUTED_VALUE"""),"")</f>
        <v/>
      </c>
      <c r="H535" s="18" t="str">
        <f>IFERROR(__xludf.DUMMYFUNCTION("""COMPUTED_VALUE"""),"")</f>
        <v/>
      </c>
      <c r="I535" s="18" t="str">
        <f>IFERROR(__xludf.DUMMYFUNCTION("""COMPUTED_VALUE"""),"")</f>
        <v/>
      </c>
      <c r="J535" s="18" t="str">
        <f>IFERROR(__xludf.DUMMYFUNCTION("""COMPUTED_VALUE"""),"")</f>
        <v/>
      </c>
      <c r="K535" s="19"/>
      <c r="L535" s="19"/>
      <c r="M535" s="19"/>
      <c r="N535" s="19"/>
      <c r="O535" s="19"/>
    </row>
    <row r="536">
      <c r="A536" s="18"/>
      <c r="B536" s="29"/>
      <c r="C536" s="19"/>
      <c r="D536" s="19"/>
      <c r="E536" s="18"/>
      <c r="F536" s="18" t="str">
        <f>IFERROR(__xludf.DUMMYFUNCTION("""COMPUTED_VALUE"""),"")</f>
        <v/>
      </c>
      <c r="G536" s="18" t="str">
        <f>IFERROR(__xludf.DUMMYFUNCTION("""COMPUTED_VALUE"""),"")</f>
        <v/>
      </c>
      <c r="H536" s="18" t="str">
        <f>IFERROR(__xludf.DUMMYFUNCTION("""COMPUTED_VALUE"""),"")</f>
        <v/>
      </c>
      <c r="I536" s="18" t="str">
        <f>IFERROR(__xludf.DUMMYFUNCTION("""COMPUTED_VALUE"""),"")</f>
        <v/>
      </c>
      <c r="J536" s="18" t="str">
        <f>IFERROR(__xludf.DUMMYFUNCTION("""COMPUTED_VALUE"""),"")</f>
        <v/>
      </c>
      <c r="K536" s="19"/>
      <c r="L536" s="19"/>
      <c r="M536" s="19"/>
      <c r="N536" s="19"/>
      <c r="O536" s="19"/>
    </row>
    <row r="537">
      <c r="A537" s="18"/>
      <c r="B537" s="29"/>
      <c r="C537" s="19"/>
      <c r="D537" s="19"/>
      <c r="E537" s="18"/>
      <c r="F537" s="18" t="str">
        <f>IFERROR(__xludf.DUMMYFUNCTION("""COMPUTED_VALUE"""),"")</f>
        <v/>
      </c>
      <c r="G537" s="18" t="str">
        <f>IFERROR(__xludf.DUMMYFUNCTION("""COMPUTED_VALUE"""),"")</f>
        <v/>
      </c>
      <c r="H537" s="18" t="str">
        <f>IFERROR(__xludf.DUMMYFUNCTION("""COMPUTED_VALUE"""),"")</f>
        <v/>
      </c>
      <c r="I537" s="18" t="str">
        <f>IFERROR(__xludf.DUMMYFUNCTION("""COMPUTED_VALUE"""),"")</f>
        <v/>
      </c>
      <c r="J537" s="18" t="str">
        <f>IFERROR(__xludf.DUMMYFUNCTION("""COMPUTED_VALUE"""),"")</f>
        <v/>
      </c>
      <c r="K537" s="19"/>
      <c r="L537" s="19"/>
      <c r="M537" s="19"/>
      <c r="N537" s="19"/>
      <c r="O537" s="19"/>
    </row>
    <row r="538">
      <c r="A538" s="18"/>
      <c r="B538" s="29"/>
      <c r="C538" s="19"/>
      <c r="D538" s="19"/>
      <c r="E538" s="18"/>
      <c r="F538" s="18" t="str">
        <f>IFERROR(__xludf.DUMMYFUNCTION("""COMPUTED_VALUE"""),"")</f>
        <v/>
      </c>
      <c r="G538" s="18" t="str">
        <f>IFERROR(__xludf.DUMMYFUNCTION("""COMPUTED_VALUE"""),"")</f>
        <v/>
      </c>
      <c r="H538" s="18" t="str">
        <f>IFERROR(__xludf.DUMMYFUNCTION("""COMPUTED_VALUE"""),"")</f>
        <v/>
      </c>
      <c r="I538" s="18" t="str">
        <f>IFERROR(__xludf.DUMMYFUNCTION("""COMPUTED_VALUE"""),"")</f>
        <v/>
      </c>
      <c r="J538" s="18" t="str">
        <f>IFERROR(__xludf.DUMMYFUNCTION("""COMPUTED_VALUE"""),"")</f>
        <v/>
      </c>
      <c r="K538" s="19"/>
      <c r="L538" s="19"/>
      <c r="M538" s="19"/>
      <c r="N538" s="19"/>
      <c r="O538" s="19"/>
    </row>
    <row r="539">
      <c r="A539" s="18"/>
      <c r="B539" s="29"/>
      <c r="C539" s="19"/>
      <c r="D539" s="19"/>
      <c r="E539" s="18"/>
      <c r="F539" s="18" t="str">
        <f>IFERROR(__xludf.DUMMYFUNCTION("""COMPUTED_VALUE"""),"")</f>
        <v/>
      </c>
      <c r="G539" s="18" t="str">
        <f>IFERROR(__xludf.DUMMYFUNCTION("""COMPUTED_VALUE"""),"")</f>
        <v/>
      </c>
      <c r="H539" s="18" t="str">
        <f>IFERROR(__xludf.DUMMYFUNCTION("""COMPUTED_VALUE"""),"")</f>
        <v/>
      </c>
      <c r="I539" s="18" t="str">
        <f>IFERROR(__xludf.DUMMYFUNCTION("""COMPUTED_VALUE"""),"")</f>
        <v/>
      </c>
      <c r="J539" s="18" t="str">
        <f>IFERROR(__xludf.DUMMYFUNCTION("""COMPUTED_VALUE"""),"")</f>
        <v/>
      </c>
      <c r="K539" s="19"/>
      <c r="L539" s="19"/>
      <c r="M539" s="19"/>
      <c r="N539" s="19"/>
      <c r="O539" s="19"/>
    </row>
    <row r="540">
      <c r="A540" s="18"/>
      <c r="B540" s="29"/>
      <c r="C540" s="19"/>
      <c r="D540" s="19"/>
      <c r="E540" s="18"/>
      <c r="F540" s="18" t="str">
        <f>IFERROR(__xludf.DUMMYFUNCTION("""COMPUTED_VALUE"""),"")</f>
        <v/>
      </c>
      <c r="G540" s="18" t="str">
        <f>IFERROR(__xludf.DUMMYFUNCTION("""COMPUTED_VALUE"""),"")</f>
        <v/>
      </c>
      <c r="H540" s="18" t="str">
        <f>IFERROR(__xludf.DUMMYFUNCTION("""COMPUTED_VALUE"""),"")</f>
        <v/>
      </c>
      <c r="I540" s="18" t="str">
        <f>IFERROR(__xludf.DUMMYFUNCTION("""COMPUTED_VALUE"""),"")</f>
        <v/>
      </c>
      <c r="J540" s="18" t="str">
        <f>IFERROR(__xludf.DUMMYFUNCTION("""COMPUTED_VALUE"""),"")</f>
        <v/>
      </c>
      <c r="K540" s="19"/>
      <c r="L540" s="19"/>
      <c r="M540" s="19"/>
      <c r="N540" s="19"/>
      <c r="O540" s="19"/>
    </row>
    <row r="541">
      <c r="A541" s="18"/>
      <c r="B541" s="29"/>
      <c r="C541" s="19"/>
      <c r="D541" s="19"/>
      <c r="E541" s="18"/>
      <c r="F541" s="18" t="str">
        <f>IFERROR(__xludf.DUMMYFUNCTION("""COMPUTED_VALUE"""),"")</f>
        <v/>
      </c>
      <c r="G541" s="18" t="str">
        <f>IFERROR(__xludf.DUMMYFUNCTION("""COMPUTED_VALUE"""),"")</f>
        <v/>
      </c>
      <c r="H541" s="18" t="str">
        <f>IFERROR(__xludf.DUMMYFUNCTION("""COMPUTED_VALUE"""),"")</f>
        <v/>
      </c>
      <c r="I541" s="18" t="str">
        <f>IFERROR(__xludf.DUMMYFUNCTION("""COMPUTED_VALUE"""),"")</f>
        <v/>
      </c>
      <c r="J541" s="18" t="str">
        <f>IFERROR(__xludf.DUMMYFUNCTION("""COMPUTED_VALUE"""),"")</f>
        <v/>
      </c>
      <c r="K541" s="19"/>
      <c r="L541" s="19"/>
      <c r="M541" s="19"/>
      <c r="N541" s="19"/>
      <c r="O541" s="19"/>
    </row>
    <row r="542">
      <c r="A542" s="18"/>
      <c r="B542" s="29"/>
      <c r="C542" s="19"/>
      <c r="D542" s="19"/>
      <c r="E542" s="18"/>
      <c r="F542" s="18" t="str">
        <f>IFERROR(__xludf.DUMMYFUNCTION("""COMPUTED_VALUE"""),"")</f>
        <v/>
      </c>
      <c r="G542" s="18" t="str">
        <f>IFERROR(__xludf.DUMMYFUNCTION("""COMPUTED_VALUE"""),"")</f>
        <v/>
      </c>
      <c r="H542" s="18" t="str">
        <f>IFERROR(__xludf.DUMMYFUNCTION("""COMPUTED_VALUE"""),"")</f>
        <v/>
      </c>
      <c r="I542" s="18" t="str">
        <f>IFERROR(__xludf.DUMMYFUNCTION("""COMPUTED_VALUE"""),"")</f>
        <v/>
      </c>
      <c r="J542" s="18" t="str">
        <f>IFERROR(__xludf.DUMMYFUNCTION("""COMPUTED_VALUE"""),"")</f>
        <v/>
      </c>
      <c r="K542" s="19"/>
      <c r="L542" s="19"/>
      <c r="M542" s="19"/>
      <c r="N542" s="19"/>
      <c r="O542" s="19"/>
    </row>
    <row r="543">
      <c r="A543" s="18"/>
      <c r="B543" s="29"/>
      <c r="C543" s="19"/>
      <c r="D543" s="19"/>
      <c r="E543" s="18"/>
      <c r="F543" s="18" t="str">
        <f>IFERROR(__xludf.DUMMYFUNCTION("""COMPUTED_VALUE"""),"")</f>
        <v/>
      </c>
      <c r="G543" s="18" t="str">
        <f>IFERROR(__xludf.DUMMYFUNCTION("""COMPUTED_VALUE"""),"")</f>
        <v/>
      </c>
      <c r="H543" s="18" t="str">
        <f>IFERROR(__xludf.DUMMYFUNCTION("""COMPUTED_VALUE"""),"")</f>
        <v/>
      </c>
      <c r="I543" s="18" t="str">
        <f>IFERROR(__xludf.DUMMYFUNCTION("""COMPUTED_VALUE"""),"")</f>
        <v/>
      </c>
      <c r="J543" s="18" t="str">
        <f>IFERROR(__xludf.DUMMYFUNCTION("""COMPUTED_VALUE"""),"")</f>
        <v/>
      </c>
      <c r="K543" s="19"/>
      <c r="L543" s="19"/>
      <c r="M543" s="19"/>
      <c r="N543" s="19"/>
      <c r="O543" s="19"/>
    </row>
    <row r="544">
      <c r="A544" s="18"/>
      <c r="B544" s="29"/>
      <c r="C544" s="19"/>
      <c r="D544" s="19"/>
      <c r="E544" s="18"/>
      <c r="F544" s="18" t="str">
        <f>IFERROR(__xludf.DUMMYFUNCTION("""COMPUTED_VALUE"""),"")</f>
        <v/>
      </c>
      <c r="G544" s="18" t="str">
        <f>IFERROR(__xludf.DUMMYFUNCTION("""COMPUTED_VALUE"""),"")</f>
        <v/>
      </c>
      <c r="H544" s="18" t="str">
        <f>IFERROR(__xludf.DUMMYFUNCTION("""COMPUTED_VALUE"""),"")</f>
        <v/>
      </c>
      <c r="I544" s="18" t="str">
        <f>IFERROR(__xludf.DUMMYFUNCTION("""COMPUTED_VALUE"""),"")</f>
        <v/>
      </c>
      <c r="J544" s="18" t="str">
        <f>IFERROR(__xludf.DUMMYFUNCTION("""COMPUTED_VALUE"""),"")</f>
        <v/>
      </c>
      <c r="K544" s="19"/>
      <c r="L544" s="19"/>
      <c r="M544" s="19"/>
      <c r="N544" s="19"/>
      <c r="O544" s="19"/>
    </row>
    <row r="545">
      <c r="A545" s="18"/>
      <c r="B545" s="29"/>
      <c r="C545" s="19"/>
      <c r="D545" s="19"/>
      <c r="E545" s="18"/>
      <c r="F545" s="18" t="str">
        <f>IFERROR(__xludf.DUMMYFUNCTION("""COMPUTED_VALUE"""),"")</f>
        <v/>
      </c>
      <c r="G545" s="18" t="str">
        <f>IFERROR(__xludf.DUMMYFUNCTION("""COMPUTED_VALUE"""),"")</f>
        <v/>
      </c>
      <c r="H545" s="18" t="str">
        <f>IFERROR(__xludf.DUMMYFUNCTION("""COMPUTED_VALUE"""),"")</f>
        <v/>
      </c>
      <c r="I545" s="18" t="str">
        <f>IFERROR(__xludf.DUMMYFUNCTION("""COMPUTED_VALUE"""),"")</f>
        <v/>
      </c>
      <c r="J545" s="18" t="str">
        <f>IFERROR(__xludf.DUMMYFUNCTION("""COMPUTED_VALUE"""),"")</f>
        <v/>
      </c>
      <c r="K545" s="19"/>
      <c r="L545" s="19"/>
      <c r="M545" s="19"/>
      <c r="N545" s="19"/>
      <c r="O545" s="19"/>
    </row>
    <row r="546">
      <c r="A546" s="18"/>
      <c r="B546" s="29"/>
      <c r="C546" s="19"/>
      <c r="D546" s="19"/>
      <c r="E546" s="18"/>
      <c r="F546" s="18" t="str">
        <f>IFERROR(__xludf.DUMMYFUNCTION("""COMPUTED_VALUE"""),"")</f>
        <v/>
      </c>
      <c r="G546" s="18" t="str">
        <f>IFERROR(__xludf.DUMMYFUNCTION("""COMPUTED_VALUE"""),"")</f>
        <v/>
      </c>
      <c r="H546" s="18" t="str">
        <f>IFERROR(__xludf.DUMMYFUNCTION("""COMPUTED_VALUE"""),"")</f>
        <v/>
      </c>
      <c r="I546" s="18" t="str">
        <f>IFERROR(__xludf.DUMMYFUNCTION("""COMPUTED_VALUE"""),"")</f>
        <v/>
      </c>
      <c r="J546" s="18" t="str">
        <f>IFERROR(__xludf.DUMMYFUNCTION("""COMPUTED_VALUE"""),"")</f>
        <v/>
      </c>
      <c r="K546" s="19"/>
      <c r="L546" s="19"/>
      <c r="M546" s="19"/>
      <c r="N546" s="19"/>
      <c r="O546" s="19"/>
    </row>
    <row r="547">
      <c r="A547" s="18"/>
      <c r="B547" s="29"/>
      <c r="C547" s="19"/>
      <c r="D547" s="19"/>
      <c r="E547" s="18"/>
      <c r="F547" s="18" t="str">
        <f>IFERROR(__xludf.DUMMYFUNCTION("""COMPUTED_VALUE"""),"")</f>
        <v/>
      </c>
      <c r="G547" s="18" t="str">
        <f>IFERROR(__xludf.DUMMYFUNCTION("""COMPUTED_VALUE"""),"")</f>
        <v/>
      </c>
      <c r="H547" s="18" t="str">
        <f>IFERROR(__xludf.DUMMYFUNCTION("""COMPUTED_VALUE"""),"")</f>
        <v/>
      </c>
      <c r="I547" s="18" t="str">
        <f>IFERROR(__xludf.DUMMYFUNCTION("""COMPUTED_VALUE"""),"")</f>
        <v/>
      </c>
      <c r="J547" s="18" t="str">
        <f>IFERROR(__xludf.DUMMYFUNCTION("""COMPUTED_VALUE"""),"")</f>
        <v/>
      </c>
      <c r="K547" s="19"/>
      <c r="L547" s="19"/>
      <c r="M547" s="19"/>
      <c r="N547" s="19"/>
      <c r="O547" s="19"/>
    </row>
    <row r="548">
      <c r="A548" s="18"/>
      <c r="B548" s="29"/>
      <c r="C548" s="19"/>
      <c r="D548" s="19"/>
      <c r="E548" s="18"/>
      <c r="F548" s="18" t="str">
        <f>IFERROR(__xludf.DUMMYFUNCTION("""COMPUTED_VALUE"""),"")</f>
        <v/>
      </c>
      <c r="G548" s="18" t="str">
        <f>IFERROR(__xludf.DUMMYFUNCTION("""COMPUTED_VALUE"""),"")</f>
        <v/>
      </c>
      <c r="H548" s="18" t="str">
        <f>IFERROR(__xludf.DUMMYFUNCTION("""COMPUTED_VALUE"""),"")</f>
        <v/>
      </c>
      <c r="I548" s="18" t="str">
        <f>IFERROR(__xludf.DUMMYFUNCTION("""COMPUTED_VALUE"""),"")</f>
        <v/>
      </c>
      <c r="J548" s="18" t="str">
        <f>IFERROR(__xludf.DUMMYFUNCTION("""COMPUTED_VALUE"""),"")</f>
        <v/>
      </c>
      <c r="K548" s="19"/>
      <c r="L548" s="19"/>
      <c r="M548" s="19"/>
      <c r="N548" s="19"/>
      <c r="O548" s="19"/>
    </row>
    <row r="549">
      <c r="A549" s="18"/>
      <c r="B549" s="29"/>
      <c r="C549" s="19"/>
      <c r="D549" s="19"/>
      <c r="E549" s="18"/>
      <c r="F549" s="18" t="str">
        <f>IFERROR(__xludf.DUMMYFUNCTION("""COMPUTED_VALUE"""),"")</f>
        <v/>
      </c>
      <c r="G549" s="18" t="str">
        <f>IFERROR(__xludf.DUMMYFUNCTION("""COMPUTED_VALUE"""),"")</f>
        <v/>
      </c>
      <c r="H549" s="18" t="str">
        <f>IFERROR(__xludf.DUMMYFUNCTION("""COMPUTED_VALUE"""),"")</f>
        <v/>
      </c>
      <c r="I549" s="18" t="str">
        <f>IFERROR(__xludf.DUMMYFUNCTION("""COMPUTED_VALUE"""),"")</f>
        <v/>
      </c>
      <c r="J549" s="18" t="str">
        <f>IFERROR(__xludf.DUMMYFUNCTION("""COMPUTED_VALUE"""),"")</f>
        <v/>
      </c>
      <c r="K549" s="19"/>
      <c r="L549" s="19"/>
      <c r="M549" s="19"/>
      <c r="N549" s="19"/>
      <c r="O549" s="19"/>
    </row>
    <row r="550">
      <c r="A550" s="18"/>
      <c r="B550" s="29"/>
      <c r="C550" s="19"/>
      <c r="D550" s="19"/>
      <c r="E550" s="18"/>
      <c r="F550" s="18" t="str">
        <f>IFERROR(__xludf.DUMMYFUNCTION("""COMPUTED_VALUE"""),"")</f>
        <v/>
      </c>
      <c r="G550" s="18" t="str">
        <f>IFERROR(__xludf.DUMMYFUNCTION("""COMPUTED_VALUE"""),"")</f>
        <v/>
      </c>
      <c r="H550" s="18" t="str">
        <f>IFERROR(__xludf.DUMMYFUNCTION("""COMPUTED_VALUE"""),"")</f>
        <v/>
      </c>
      <c r="I550" s="18" t="str">
        <f>IFERROR(__xludf.DUMMYFUNCTION("""COMPUTED_VALUE"""),"")</f>
        <v/>
      </c>
      <c r="J550" s="18" t="str">
        <f>IFERROR(__xludf.DUMMYFUNCTION("""COMPUTED_VALUE"""),"")</f>
        <v/>
      </c>
      <c r="K550" s="19"/>
      <c r="L550" s="19"/>
      <c r="M550" s="19"/>
      <c r="N550" s="19"/>
      <c r="O550" s="19"/>
    </row>
    <row r="551">
      <c r="A551" s="18"/>
      <c r="B551" s="29"/>
      <c r="C551" s="19"/>
      <c r="D551" s="19"/>
      <c r="E551" s="18"/>
      <c r="F551" s="18" t="str">
        <f>IFERROR(__xludf.DUMMYFUNCTION("""COMPUTED_VALUE"""),"")</f>
        <v/>
      </c>
      <c r="G551" s="18" t="str">
        <f>IFERROR(__xludf.DUMMYFUNCTION("""COMPUTED_VALUE"""),"")</f>
        <v/>
      </c>
      <c r="H551" s="18" t="str">
        <f>IFERROR(__xludf.DUMMYFUNCTION("""COMPUTED_VALUE"""),"")</f>
        <v/>
      </c>
      <c r="I551" s="18" t="str">
        <f>IFERROR(__xludf.DUMMYFUNCTION("""COMPUTED_VALUE"""),"")</f>
        <v/>
      </c>
      <c r="J551" s="18" t="str">
        <f>IFERROR(__xludf.DUMMYFUNCTION("""COMPUTED_VALUE"""),"")</f>
        <v/>
      </c>
      <c r="K551" s="19"/>
      <c r="L551" s="19"/>
      <c r="M551" s="19"/>
      <c r="N551" s="19"/>
      <c r="O551" s="19"/>
    </row>
    <row r="552">
      <c r="A552" s="18"/>
      <c r="B552" s="29"/>
      <c r="C552" s="19"/>
      <c r="D552" s="19"/>
      <c r="E552" s="18"/>
      <c r="F552" s="18" t="str">
        <f>IFERROR(__xludf.DUMMYFUNCTION("""COMPUTED_VALUE"""),"")</f>
        <v/>
      </c>
      <c r="G552" s="18" t="str">
        <f>IFERROR(__xludf.DUMMYFUNCTION("""COMPUTED_VALUE"""),"")</f>
        <v/>
      </c>
      <c r="H552" s="18" t="str">
        <f>IFERROR(__xludf.DUMMYFUNCTION("""COMPUTED_VALUE"""),"")</f>
        <v/>
      </c>
      <c r="I552" s="18" t="str">
        <f>IFERROR(__xludf.DUMMYFUNCTION("""COMPUTED_VALUE"""),"")</f>
        <v/>
      </c>
      <c r="J552" s="18" t="str">
        <f>IFERROR(__xludf.DUMMYFUNCTION("""COMPUTED_VALUE"""),"")</f>
        <v/>
      </c>
      <c r="K552" s="19"/>
      <c r="L552" s="19"/>
      <c r="M552" s="19"/>
      <c r="N552" s="19"/>
      <c r="O552" s="19"/>
    </row>
    <row r="553">
      <c r="A553" s="18"/>
      <c r="B553" s="29"/>
      <c r="C553" s="19"/>
      <c r="D553" s="19"/>
      <c r="E553" s="18"/>
      <c r="F553" s="18" t="str">
        <f>IFERROR(__xludf.DUMMYFUNCTION("""COMPUTED_VALUE"""),"")</f>
        <v/>
      </c>
      <c r="G553" s="18" t="str">
        <f>IFERROR(__xludf.DUMMYFUNCTION("""COMPUTED_VALUE"""),"")</f>
        <v/>
      </c>
      <c r="H553" s="18" t="str">
        <f>IFERROR(__xludf.DUMMYFUNCTION("""COMPUTED_VALUE"""),"")</f>
        <v/>
      </c>
      <c r="I553" s="18" t="str">
        <f>IFERROR(__xludf.DUMMYFUNCTION("""COMPUTED_VALUE"""),"")</f>
        <v/>
      </c>
      <c r="J553" s="18" t="str">
        <f>IFERROR(__xludf.DUMMYFUNCTION("""COMPUTED_VALUE"""),"")</f>
        <v/>
      </c>
      <c r="K553" s="19"/>
      <c r="L553" s="19"/>
      <c r="M553" s="19"/>
      <c r="N553" s="19"/>
      <c r="O553" s="19"/>
    </row>
    <row r="554">
      <c r="A554" s="18"/>
      <c r="B554" s="29"/>
      <c r="C554" s="19"/>
      <c r="D554" s="19"/>
      <c r="E554" s="18"/>
      <c r="F554" s="18" t="str">
        <f>IFERROR(__xludf.DUMMYFUNCTION("""COMPUTED_VALUE"""),"")</f>
        <v/>
      </c>
      <c r="G554" s="18" t="str">
        <f>IFERROR(__xludf.DUMMYFUNCTION("""COMPUTED_VALUE"""),"")</f>
        <v/>
      </c>
      <c r="H554" s="18" t="str">
        <f>IFERROR(__xludf.DUMMYFUNCTION("""COMPUTED_VALUE"""),"")</f>
        <v/>
      </c>
      <c r="I554" s="18" t="str">
        <f>IFERROR(__xludf.DUMMYFUNCTION("""COMPUTED_VALUE"""),"")</f>
        <v/>
      </c>
      <c r="J554" s="18" t="str">
        <f>IFERROR(__xludf.DUMMYFUNCTION("""COMPUTED_VALUE"""),"")</f>
        <v/>
      </c>
      <c r="K554" s="19"/>
      <c r="L554" s="19"/>
      <c r="M554" s="19"/>
      <c r="N554" s="19"/>
      <c r="O554" s="19"/>
    </row>
    <row r="555">
      <c r="A555" s="18"/>
      <c r="B555" s="29"/>
      <c r="C555" s="19"/>
      <c r="D555" s="19"/>
      <c r="E555" s="18"/>
      <c r="F555" s="18" t="str">
        <f>IFERROR(__xludf.DUMMYFUNCTION("""COMPUTED_VALUE"""),"")</f>
        <v/>
      </c>
      <c r="G555" s="18" t="str">
        <f>IFERROR(__xludf.DUMMYFUNCTION("""COMPUTED_VALUE"""),"")</f>
        <v/>
      </c>
      <c r="H555" s="18" t="str">
        <f>IFERROR(__xludf.DUMMYFUNCTION("""COMPUTED_VALUE"""),"")</f>
        <v/>
      </c>
      <c r="I555" s="18" t="str">
        <f>IFERROR(__xludf.DUMMYFUNCTION("""COMPUTED_VALUE"""),"")</f>
        <v/>
      </c>
      <c r="J555" s="18" t="str">
        <f>IFERROR(__xludf.DUMMYFUNCTION("""COMPUTED_VALUE"""),"")</f>
        <v/>
      </c>
      <c r="K555" s="19"/>
      <c r="L555" s="19"/>
      <c r="M555" s="19"/>
      <c r="N555" s="19"/>
      <c r="O555" s="19"/>
    </row>
    <row r="556">
      <c r="A556" s="18"/>
      <c r="B556" s="29"/>
      <c r="C556" s="19"/>
      <c r="D556" s="19"/>
      <c r="E556" s="18"/>
      <c r="F556" s="18" t="str">
        <f>IFERROR(__xludf.DUMMYFUNCTION("""COMPUTED_VALUE"""),"")</f>
        <v/>
      </c>
      <c r="G556" s="18" t="str">
        <f>IFERROR(__xludf.DUMMYFUNCTION("""COMPUTED_VALUE"""),"")</f>
        <v/>
      </c>
      <c r="H556" s="18" t="str">
        <f>IFERROR(__xludf.DUMMYFUNCTION("""COMPUTED_VALUE"""),"")</f>
        <v/>
      </c>
      <c r="I556" s="18" t="str">
        <f>IFERROR(__xludf.DUMMYFUNCTION("""COMPUTED_VALUE"""),"")</f>
        <v/>
      </c>
      <c r="J556" s="18" t="str">
        <f>IFERROR(__xludf.DUMMYFUNCTION("""COMPUTED_VALUE"""),"")</f>
        <v/>
      </c>
      <c r="K556" s="19"/>
      <c r="L556" s="19"/>
      <c r="M556" s="19"/>
      <c r="N556" s="19"/>
      <c r="O556" s="19"/>
    </row>
    <row r="557">
      <c r="A557" s="18"/>
      <c r="B557" s="29"/>
      <c r="C557" s="19"/>
      <c r="D557" s="19"/>
      <c r="E557" s="18"/>
      <c r="F557" s="18" t="str">
        <f>IFERROR(__xludf.DUMMYFUNCTION("""COMPUTED_VALUE"""),"")</f>
        <v/>
      </c>
      <c r="G557" s="18" t="str">
        <f>IFERROR(__xludf.DUMMYFUNCTION("""COMPUTED_VALUE"""),"")</f>
        <v/>
      </c>
      <c r="H557" s="18" t="str">
        <f>IFERROR(__xludf.DUMMYFUNCTION("""COMPUTED_VALUE"""),"")</f>
        <v/>
      </c>
      <c r="I557" s="18" t="str">
        <f>IFERROR(__xludf.DUMMYFUNCTION("""COMPUTED_VALUE"""),"")</f>
        <v/>
      </c>
      <c r="J557" s="18" t="str">
        <f>IFERROR(__xludf.DUMMYFUNCTION("""COMPUTED_VALUE"""),"")</f>
        <v/>
      </c>
      <c r="K557" s="19"/>
      <c r="L557" s="19"/>
      <c r="M557" s="19"/>
      <c r="N557" s="19"/>
      <c r="O557" s="19"/>
    </row>
    <row r="558">
      <c r="A558" s="18"/>
      <c r="B558" s="29"/>
      <c r="C558" s="19"/>
      <c r="D558" s="19"/>
      <c r="E558" s="18"/>
      <c r="F558" s="18" t="str">
        <f>IFERROR(__xludf.DUMMYFUNCTION("""COMPUTED_VALUE"""),"")</f>
        <v/>
      </c>
      <c r="G558" s="18" t="str">
        <f>IFERROR(__xludf.DUMMYFUNCTION("""COMPUTED_VALUE"""),"")</f>
        <v/>
      </c>
      <c r="H558" s="18" t="str">
        <f>IFERROR(__xludf.DUMMYFUNCTION("""COMPUTED_VALUE"""),"")</f>
        <v/>
      </c>
      <c r="I558" s="18" t="str">
        <f>IFERROR(__xludf.DUMMYFUNCTION("""COMPUTED_VALUE"""),"")</f>
        <v/>
      </c>
      <c r="J558" s="18" t="str">
        <f>IFERROR(__xludf.DUMMYFUNCTION("""COMPUTED_VALUE"""),"")</f>
        <v/>
      </c>
      <c r="K558" s="19"/>
      <c r="L558" s="19"/>
      <c r="M558" s="19"/>
      <c r="N558" s="19"/>
      <c r="O558" s="19"/>
    </row>
    <row r="559">
      <c r="A559" s="18"/>
      <c r="B559" s="29"/>
      <c r="C559" s="19"/>
      <c r="D559" s="19"/>
      <c r="E559" s="18"/>
      <c r="F559" s="18" t="str">
        <f>IFERROR(__xludf.DUMMYFUNCTION("""COMPUTED_VALUE"""),"")</f>
        <v/>
      </c>
      <c r="G559" s="18" t="str">
        <f>IFERROR(__xludf.DUMMYFUNCTION("""COMPUTED_VALUE"""),"")</f>
        <v/>
      </c>
      <c r="H559" s="18" t="str">
        <f>IFERROR(__xludf.DUMMYFUNCTION("""COMPUTED_VALUE"""),"")</f>
        <v/>
      </c>
      <c r="I559" s="18" t="str">
        <f>IFERROR(__xludf.DUMMYFUNCTION("""COMPUTED_VALUE"""),"")</f>
        <v/>
      </c>
      <c r="J559" s="18" t="str">
        <f>IFERROR(__xludf.DUMMYFUNCTION("""COMPUTED_VALUE"""),"")</f>
        <v/>
      </c>
      <c r="K559" s="19"/>
      <c r="L559" s="19"/>
      <c r="M559" s="19"/>
      <c r="N559" s="19"/>
      <c r="O559" s="19"/>
    </row>
    <row r="560">
      <c r="A560" s="18"/>
      <c r="B560" s="29"/>
      <c r="C560" s="19"/>
      <c r="D560" s="19"/>
      <c r="E560" s="18"/>
      <c r="F560" s="18" t="str">
        <f>IFERROR(__xludf.DUMMYFUNCTION("""COMPUTED_VALUE"""),"")</f>
        <v/>
      </c>
      <c r="G560" s="18" t="str">
        <f>IFERROR(__xludf.DUMMYFUNCTION("""COMPUTED_VALUE"""),"")</f>
        <v/>
      </c>
      <c r="H560" s="18" t="str">
        <f>IFERROR(__xludf.DUMMYFUNCTION("""COMPUTED_VALUE"""),"")</f>
        <v/>
      </c>
      <c r="I560" s="18" t="str">
        <f>IFERROR(__xludf.DUMMYFUNCTION("""COMPUTED_VALUE"""),"")</f>
        <v/>
      </c>
      <c r="J560" s="18" t="str">
        <f>IFERROR(__xludf.DUMMYFUNCTION("""COMPUTED_VALUE"""),"")</f>
        <v/>
      </c>
      <c r="K560" s="19"/>
      <c r="L560" s="19"/>
      <c r="M560" s="19"/>
      <c r="N560" s="19"/>
      <c r="O560" s="19"/>
    </row>
    <row r="561">
      <c r="A561" s="18"/>
      <c r="B561" s="29"/>
      <c r="C561" s="19"/>
      <c r="D561" s="19"/>
      <c r="E561" s="18"/>
      <c r="F561" s="18" t="str">
        <f>IFERROR(__xludf.DUMMYFUNCTION("""COMPUTED_VALUE"""),"")</f>
        <v/>
      </c>
      <c r="G561" s="18" t="str">
        <f>IFERROR(__xludf.DUMMYFUNCTION("""COMPUTED_VALUE"""),"")</f>
        <v/>
      </c>
      <c r="H561" s="18" t="str">
        <f>IFERROR(__xludf.DUMMYFUNCTION("""COMPUTED_VALUE"""),"")</f>
        <v/>
      </c>
      <c r="I561" s="18" t="str">
        <f>IFERROR(__xludf.DUMMYFUNCTION("""COMPUTED_VALUE"""),"")</f>
        <v/>
      </c>
      <c r="J561" s="18" t="str">
        <f>IFERROR(__xludf.DUMMYFUNCTION("""COMPUTED_VALUE"""),"")</f>
        <v/>
      </c>
      <c r="K561" s="19"/>
      <c r="L561" s="19"/>
      <c r="M561" s="19"/>
      <c r="N561" s="19"/>
      <c r="O561" s="19"/>
    </row>
    <row r="562">
      <c r="A562" s="18"/>
      <c r="B562" s="29"/>
      <c r="C562" s="19"/>
      <c r="D562" s="19"/>
      <c r="E562" s="18"/>
      <c r="F562" s="18" t="str">
        <f>IFERROR(__xludf.DUMMYFUNCTION("""COMPUTED_VALUE"""),"")</f>
        <v/>
      </c>
      <c r="G562" s="18" t="str">
        <f>IFERROR(__xludf.DUMMYFUNCTION("""COMPUTED_VALUE"""),"")</f>
        <v/>
      </c>
      <c r="H562" s="18" t="str">
        <f>IFERROR(__xludf.DUMMYFUNCTION("""COMPUTED_VALUE"""),"")</f>
        <v/>
      </c>
      <c r="I562" s="18" t="str">
        <f>IFERROR(__xludf.DUMMYFUNCTION("""COMPUTED_VALUE"""),"")</f>
        <v/>
      </c>
      <c r="J562" s="18" t="str">
        <f>IFERROR(__xludf.DUMMYFUNCTION("""COMPUTED_VALUE"""),"")</f>
        <v/>
      </c>
      <c r="K562" s="19"/>
      <c r="L562" s="19"/>
      <c r="M562" s="19"/>
      <c r="N562" s="19"/>
      <c r="O562" s="19"/>
    </row>
    <row r="563">
      <c r="A563" s="18"/>
      <c r="B563" s="29"/>
      <c r="C563" s="19"/>
      <c r="D563" s="19"/>
      <c r="E563" s="18"/>
      <c r="F563" s="18" t="str">
        <f>IFERROR(__xludf.DUMMYFUNCTION("""COMPUTED_VALUE"""),"")</f>
        <v/>
      </c>
      <c r="G563" s="18" t="str">
        <f>IFERROR(__xludf.DUMMYFUNCTION("""COMPUTED_VALUE"""),"")</f>
        <v/>
      </c>
      <c r="H563" s="18" t="str">
        <f>IFERROR(__xludf.DUMMYFUNCTION("""COMPUTED_VALUE"""),"")</f>
        <v/>
      </c>
      <c r="I563" s="18" t="str">
        <f>IFERROR(__xludf.DUMMYFUNCTION("""COMPUTED_VALUE"""),"")</f>
        <v/>
      </c>
      <c r="J563" s="18" t="str">
        <f>IFERROR(__xludf.DUMMYFUNCTION("""COMPUTED_VALUE"""),"")</f>
        <v/>
      </c>
      <c r="K563" s="19"/>
      <c r="L563" s="19"/>
      <c r="M563" s="19"/>
      <c r="N563" s="19"/>
      <c r="O563" s="19"/>
    </row>
    <row r="564">
      <c r="A564" s="18"/>
      <c r="B564" s="29"/>
      <c r="C564" s="19"/>
      <c r="D564" s="19"/>
      <c r="E564" s="18"/>
      <c r="F564" s="18" t="str">
        <f>IFERROR(__xludf.DUMMYFUNCTION("""COMPUTED_VALUE"""),"")</f>
        <v/>
      </c>
      <c r="G564" s="18" t="str">
        <f>IFERROR(__xludf.DUMMYFUNCTION("""COMPUTED_VALUE"""),"")</f>
        <v/>
      </c>
      <c r="H564" s="18" t="str">
        <f>IFERROR(__xludf.DUMMYFUNCTION("""COMPUTED_VALUE"""),"")</f>
        <v/>
      </c>
      <c r="I564" s="18" t="str">
        <f>IFERROR(__xludf.DUMMYFUNCTION("""COMPUTED_VALUE"""),"")</f>
        <v/>
      </c>
      <c r="J564" s="18" t="str">
        <f>IFERROR(__xludf.DUMMYFUNCTION("""COMPUTED_VALUE"""),"")</f>
        <v/>
      </c>
      <c r="K564" s="19"/>
      <c r="L564" s="19"/>
      <c r="M564" s="19"/>
      <c r="N564" s="19"/>
      <c r="O564" s="19"/>
    </row>
    <row r="565">
      <c r="A565" s="18"/>
      <c r="B565" s="29"/>
      <c r="C565" s="19"/>
      <c r="D565" s="19"/>
      <c r="E565" s="18"/>
      <c r="F565" s="18" t="str">
        <f>IFERROR(__xludf.DUMMYFUNCTION("""COMPUTED_VALUE"""),"")</f>
        <v/>
      </c>
      <c r="G565" s="18" t="str">
        <f>IFERROR(__xludf.DUMMYFUNCTION("""COMPUTED_VALUE"""),"")</f>
        <v/>
      </c>
      <c r="H565" s="18" t="str">
        <f>IFERROR(__xludf.DUMMYFUNCTION("""COMPUTED_VALUE"""),"")</f>
        <v/>
      </c>
      <c r="I565" s="18" t="str">
        <f>IFERROR(__xludf.DUMMYFUNCTION("""COMPUTED_VALUE"""),"")</f>
        <v/>
      </c>
      <c r="J565" s="18" t="str">
        <f>IFERROR(__xludf.DUMMYFUNCTION("""COMPUTED_VALUE"""),"")</f>
        <v/>
      </c>
      <c r="K565" s="19"/>
      <c r="L565" s="19"/>
      <c r="M565" s="19"/>
      <c r="N565" s="19"/>
      <c r="O565" s="19"/>
    </row>
    <row r="566">
      <c r="A566" s="18"/>
      <c r="B566" s="29"/>
      <c r="C566" s="19"/>
      <c r="D566" s="19"/>
      <c r="E566" s="18"/>
      <c r="F566" s="18" t="str">
        <f>IFERROR(__xludf.DUMMYFUNCTION("""COMPUTED_VALUE"""),"")</f>
        <v/>
      </c>
      <c r="G566" s="18" t="str">
        <f>IFERROR(__xludf.DUMMYFUNCTION("""COMPUTED_VALUE"""),"")</f>
        <v/>
      </c>
      <c r="H566" s="18" t="str">
        <f>IFERROR(__xludf.DUMMYFUNCTION("""COMPUTED_VALUE"""),"")</f>
        <v/>
      </c>
      <c r="I566" s="18" t="str">
        <f>IFERROR(__xludf.DUMMYFUNCTION("""COMPUTED_VALUE"""),"")</f>
        <v/>
      </c>
      <c r="J566" s="18" t="str">
        <f>IFERROR(__xludf.DUMMYFUNCTION("""COMPUTED_VALUE"""),"")</f>
        <v/>
      </c>
      <c r="K566" s="19"/>
      <c r="L566" s="19"/>
      <c r="M566" s="19"/>
      <c r="N566" s="19"/>
      <c r="O566" s="19"/>
    </row>
    <row r="567">
      <c r="A567" s="18"/>
      <c r="B567" s="29"/>
      <c r="C567" s="19"/>
      <c r="D567" s="19"/>
      <c r="E567" s="18"/>
      <c r="F567" s="18" t="str">
        <f>IFERROR(__xludf.DUMMYFUNCTION("""COMPUTED_VALUE"""),"")</f>
        <v/>
      </c>
      <c r="G567" s="18" t="str">
        <f>IFERROR(__xludf.DUMMYFUNCTION("""COMPUTED_VALUE"""),"")</f>
        <v/>
      </c>
      <c r="H567" s="18" t="str">
        <f>IFERROR(__xludf.DUMMYFUNCTION("""COMPUTED_VALUE"""),"")</f>
        <v/>
      </c>
      <c r="I567" s="18" t="str">
        <f>IFERROR(__xludf.DUMMYFUNCTION("""COMPUTED_VALUE"""),"")</f>
        <v/>
      </c>
      <c r="J567" s="18" t="str">
        <f>IFERROR(__xludf.DUMMYFUNCTION("""COMPUTED_VALUE"""),"")</f>
        <v/>
      </c>
      <c r="K567" s="19"/>
      <c r="L567" s="19"/>
      <c r="M567" s="19"/>
      <c r="N567" s="19"/>
      <c r="O567" s="19"/>
    </row>
    <row r="568">
      <c r="A568" s="18"/>
      <c r="B568" s="29"/>
      <c r="C568" s="19"/>
      <c r="D568" s="19"/>
      <c r="E568" s="18"/>
      <c r="F568" s="18" t="str">
        <f>IFERROR(__xludf.DUMMYFUNCTION("""COMPUTED_VALUE"""),"")</f>
        <v/>
      </c>
      <c r="G568" s="18" t="str">
        <f>IFERROR(__xludf.DUMMYFUNCTION("""COMPUTED_VALUE"""),"")</f>
        <v/>
      </c>
      <c r="H568" s="18" t="str">
        <f>IFERROR(__xludf.DUMMYFUNCTION("""COMPUTED_VALUE"""),"")</f>
        <v/>
      </c>
      <c r="I568" s="18" t="str">
        <f>IFERROR(__xludf.DUMMYFUNCTION("""COMPUTED_VALUE"""),"")</f>
        <v/>
      </c>
      <c r="J568" s="18" t="str">
        <f>IFERROR(__xludf.DUMMYFUNCTION("""COMPUTED_VALUE"""),"")</f>
        <v/>
      </c>
      <c r="K568" s="19"/>
      <c r="L568" s="19"/>
      <c r="M568" s="19"/>
      <c r="N568" s="19"/>
      <c r="O568" s="19"/>
    </row>
    <row r="569">
      <c r="A569" s="18"/>
      <c r="B569" s="29"/>
      <c r="C569" s="19"/>
      <c r="D569" s="19"/>
      <c r="E569" s="18"/>
      <c r="F569" s="18" t="str">
        <f>IFERROR(__xludf.DUMMYFUNCTION("""COMPUTED_VALUE"""),"")</f>
        <v/>
      </c>
      <c r="G569" s="18" t="str">
        <f>IFERROR(__xludf.DUMMYFUNCTION("""COMPUTED_VALUE"""),"")</f>
        <v/>
      </c>
      <c r="H569" s="18" t="str">
        <f>IFERROR(__xludf.DUMMYFUNCTION("""COMPUTED_VALUE"""),"")</f>
        <v/>
      </c>
      <c r="I569" s="18" t="str">
        <f>IFERROR(__xludf.DUMMYFUNCTION("""COMPUTED_VALUE"""),"")</f>
        <v/>
      </c>
      <c r="J569" s="18" t="str">
        <f>IFERROR(__xludf.DUMMYFUNCTION("""COMPUTED_VALUE"""),"")</f>
        <v/>
      </c>
      <c r="K569" s="19"/>
      <c r="L569" s="19"/>
      <c r="M569" s="19"/>
      <c r="N569" s="19"/>
      <c r="O569" s="19"/>
    </row>
    <row r="570">
      <c r="A570" s="18"/>
      <c r="B570" s="29"/>
      <c r="C570" s="19"/>
      <c r="D570" s="19"/>
      <c r="E570" s="18"/>
      <c r="F570" s="18" t="str">
        <f>IFERROR(__xludf.DUMMYFUNCTION("""COMPUTED_VALUE"""),"")</f>
        <v/>
      </c>
      <c r="G570" s="18" t="str">
        <f>IFERROR(__xludf.DUMMYFUNCTION("""COMPUTED_VALUE"""),"")</f>
        <v/>
      </c>
      <c r="H570" s="18" t="str">
        <f>IFERROR(__xludf.DUMMYFUNCTION("""COMPUTED_VALUE"""),"")</f>
        <v/>
      </c>
      <c r="I570" s="18" t="str">
        <f>IFERROR(__xludf.DUMMYFUNCTION("""COMPUTED_VALUE"""),"")</f>
        <v/>
      </c>
      <c r="J570" s="18" t="str">
        <f>IFERROR(__xludf.DUMMYFUNCTION("""COMPUTED_VALUE"""),"")</f>
        <v/>
      </c>
      <c r="K570" s="19"/>
      <c r="L570" s="19"/>
      <c r="M570" s="19"/>
      <c r="N570" s="19"/>
      <c r="O570" s="19"/>
    </row>
    <row r="571">
      <c r="A571" s="18"/>
      <c r="B571" s="29"/>
      <c r="C571" s="19"/>
      <c r="D571" s="19"/>
      <c r="E571" s="18"/>
      <c r="F571" s="18" t="str">
        <f>IFERROR(__xludf.DUMMYFUNCTION("""COMPUTED_VALUE"""),"")</f>
        <v/>
      </c>
      <c r="G571" s="18" t="str">
        <f>IFERROR(__xludf.DUMMYFUNCTION("""COMPUTED_VALUE"""),"")</f>
        <v/>
      </c>
      <c r="H571" s="18" t="str">
        <f>IFERROR(__xludf.DUMMYFUNCTION("""COMPUTED_VALUE"""),"")</f>
        <v/>
      </c>
      <c r="I571" s="18" t="str">
        <f>IFERROR(__xludf.DUMMYFUNCTION("""COMPUTED_VALUE"""),"")</f>
        <v/>
      </c>
      <c r="J571" s="18" t="str">
        <f>IFERROR(__xludf.DUMMYFUNCTION("""COMPUTED_VALUE"""),"")</f>
        <v/>
      </c>
      <c r="K571" s="19"/>
      <c r="L571" s="19"/>
      <c r="M571" s="19"/>
      <c r="N571" s="19"/>
      <c r="O571" s="19"/>
    </row>
    <row r="572">
      <c r="A572" s="18"/>
      <c r="B572" s="29"/>
      <c r="C572" s="19"/>
      <c r="D572" s="19"/>
      <c r="E572" s="18"/>
      <c r="F572" s="18" t="str">
        <f>IFERROR(__xludf.DUMMYFUNCTION("""COMPUTED_VALUE"""),"")</f>
        <v/>
      </c>
      <c r="G572" s="18" t="str">
        <f>IFERROR(__xludf.DUMMYFUNCTION("""COMPUTED_VALUE"""),"")</f>
        <v/>
      </c>
      <c r="H572" s="18" t="str">
        <f>IFERROR(__xludf.DUMMYFUNCTION("""COMPUTED_VALUE"""),"")</f>
        <v/>
      </c>
      <c r="I572" s="18" t="str">
        <f>IFERROR(__xludf.DUMMYFUNCTION("""COMPUTED_VALUE"""),"")</f>
        <v/>
      </c>
      <c r="J572" s="18" t="str">
        <f>IFERROR(__xludf.DUMMYFUNCTION("""COMPUTED_VALUE"""),"")</f>
        <v/>
      </c>
      <c r="K572" s="19"/>
      <c r="L572" s="19"/>
      <c r="M572" s="19"/>
      <c r="N572" s="19"/>
      <c r="O572" s="19"/>
    </row>
    <row r="573">
      <c r="A573" s="18"/>
      <c r="B573" s="29"/>
      <c r="C573" s="19"/>
      <c r="D573" s="19"/>
      <c r="E573" s="18"/>
      <c r="F573" s="18" t="str">
        <f>IFERROR(__xludf.DUMMYFUNCTION("""COMPUTED_VALUE"""),"")</f>
        <v/>
      </c>
      <c r="G573" s="18" t="str">
        <f>IFERROR(__xludf.DUMMYFUNCTION("""COMPUTED_VALUE"""),"")</f>
        <v/>
      </c>
      <c r="H573" s="18" t="str">
        <f>IFERROR(__xludf.DUMMYFUNCTION("""COMPUTED_VALUE"""),"")</f>
        <v/>
      </c>
      <c r="I573" s="18" t="str">
        <f>IFERROR(__xludf.DUMMYFUNCTION("""COMPUTED_VALUE"""),"")</f>
        <v/>
      </c>
      <c r="J573" s="18" t="str">
        <f>IFERROR(__xludf.DUMMYFUNCTION("""COMPUTED_VALUE"""),"")</f>
        <v/>
      </c>
      <c r="K573" s="19"/>
      <c r="L573" s="19"/>
      <c r="M573" s="19"/>
      <c r="N573" s="19"/>
      <c r="O573" s="19"/>
    </row>
    <row r="574">
      <c r="A574" s="18"/>
      <c r="B574" s="29"/>
      <c r="C574" s="19"/>
      <c r="D574" s="19"/>
      <c r="E574" s="18"/>
      <c r="F574" s="18" t="str">
        <f>IFERROR(__xludf.DUMMYFUNCTION("""COMPUTED_VALUE"""),"")</f>
        <v/>
      </c>
      <c r="G574" s="18" t="str">
        <f>IFERROR(__xludf.DUMMYFUNCTION("""COMPUTED_VALUE"""),"")</f>
        <v/>
      </c>
      <c r="H574" s="18" t="str">
        <f>IFERROR(__xludf.DUMMYFUNCTION("""COMPUTED_VALUE"""),"")</f>
        <v/>
      </c>
      <c r="I574" s="18" t="str">
        <f>IFERROR(__xludf.DUMMYFUNCTION("""COMPUTED_VALUE"""),"")</f>
        <v/>
      </c>
      <c r="J574" s="18" t="str">
        <f>IFERROR(__xludf.DUMMYFUNCTION("""COMPUTED_VALUE"""),"")</f>
        <v/>
      </c>
      <c r="K574" s="19"/>
      <c r="L574" s="19"/>
      <c r="M574" s="19"/>
      <c r="N574" s="19"/>
      <c r="O574" s="19"/>
    </row>
    <row r="575">
      <c r="A575" s="18"/>
      <c r="B575" s="29"/>
      <c r="C575" s="19"/>
      <c r="D575" s="19"/>
      <c r="E575" s="18"/>
      <c r="F575" s="18" t="str">
        <f>IFERROR(__xludf.DUMMYFUNCTION("""COMPUTED_VALUE"""),"")</f>
        <v/>
      </c>
      <c r="G575" s="18" t="str">
        <f>IFERROR(__xludf.DUMMYFUNCTION("""COMPUTED_VALUE"""),"")</f>
        <v/>
      </c>
      <c r="H575" s="18" t="str">
        <f>IFERROR(__xludf.DUMMYFUNCTION("""COMPUTED_VALUE"""),"")</f>
        <v/>
      </c>
      <c r="I575" s="18" t="str">
        <f>IFERROR(__xludf.DUMMYFUNCTION("""COMPUTED_VALUE"""),"")</f>
        <v/>
      </c>
      <c r="J575" s="18" t="str">
        <f>IFERROR(__xludf.DUMMYFUNCTION("""COMPUTED_VALUE"""),"")</f>
        <v/>
      </c>
      <c r="K575" s="19"/>
      <c r="L575" s="19"/>
      <c r="M575" s="19"/>
      <c r="N575" s="19"/>
      <c r="O575" s="19"/>
    </row>
    <row r="576">
      <c r="A576" s="18"/>
      <c r="B576" s="29"/>
      <c r="C576" s="19"/>
      <c r="D576" s="19"/>
      <c r="E576" s="18"/>
      <c r="F576" s="18" t="str">
        <f>IFERROR(__xludf.DUMMYFUNCTION("""COMPUTED_VALUE"""),"")</f>
        <v/>
      </c>
      <c r="G576" s="18" t="str">
        <f>IFERROR(__xludf.DUMMYFUNCTION("""COMPUTED_VALUE"""),"")</f>
        <v/>
      </c>
      <c r="H576" s="18" t="str">
        <f>IFERROR(__xludf.DUMMYFUNCTION("""COMPUTED_VALUE"""),"")</f>
        <v/>
      </c>
      <c r="I576" s="18" t="str">
        <f>IFERROR(__xludf.DUMMYFUNCTION("""COMPUTED_VALUE"""),"")</f>
        <v/>
      </c>
      <c r="J576" s="18" t="str">
        <f>IFERROR(__xludf.DUMMYFUNCTION("""COMPUTED_VALUE"""),"")</f>
        <v/>
      </c>
      <c r="K576" s="19"/>
      <c r="L576" s="19"/>
      <c r="M576" s="19"/>
      <c r="N576" s="19"/>
      <c r="O576" s="19"/>
    </row>
    <row r="577">
      <c r="A577" s="18"/>
      <c r="B577" s="29"/>
      <c r="C577" s="19"/>
      <c r="D577" s="19"/>
      <c r="E577" s="18"/>
      <c r="F577" s="18" t="str">
        <f>IFERROR(__xludf.DUMMYFUNCTION("""COMPUTED_VALUE"""),"")</f>
        <v/>
      </c>
      <c r="G577" s="18" t="str">
        <f>IFERROR(__xludf.DUMMYFUNCTION("""COMPUTED_VALUE"""),"")</f>
        <v/>
      </c>
      <c r="H577" s="18" t="str">
        <f>IFERROR(__xludf.DUMMYFUNCTION("""COMPUTED_VALUE"""),"")</f>
        <v/>
      </c>
      <c r="I577" s="18" t="str">
        <f>IFERROR(__xludf.DUMMYFUNCTION("""COMPUTED_VALUE"""),"")</f>
        <v/>
      </c>
      <c r="J577" s="18" t="str">
        <f>IFERROR(__xludf.DUMMYFUNCTION("""COMPUTED_VALUE"""),"")</f>
        <v/>
      </c>
      <c r="K577" s="19"/>
      <c r="L577" s="19"/>
      <c r="M577" s="19"/>
      <c r="N577" s="19"/>
      <c r="O577" s="19"/>
    </row>
    <row r="578">
      <c r="A578" s="18"/>
      <c r="B578" s="29"/>
      <c r="C578" s="19"/>
      <c r="D578" s="19"/>
      <c r="E578" s="18"/>
      <c r="F578" s="18" t="str">
        <f>IFERROR(__xludf.DUMMYFUNCTION("""COMPUTED_VALUE"""),"")</f>
        <v/>
      </c>
      <c r="G578" s="18" t="str">
        <f>IFERROR(__xludf.DUMMYFUNCTION("""COMPUTED_VALUE"""),"")</f>
        <v/>
      </c>
      <c r="H578" s="18" t="str">
        <f>IFERROR(__xludf.DUMMYFUNCTION("""COMPUTED_VALUE"""),"")</f>
        <v/>
      </c>
      <c r="I578" s="18" t="str">
        <f>IFERROR(__xludf.DUMMYFUNCTION("""COMPUTED_VALUE"""),"")</f>
        <v/>
      </c>
      <c r="J578" s="18" t="str">
        <f>IFERROR(__xludf.DUMMYFUNCTION("""COMPUTED_VALUE"""),"")</f>
        <v/>
      </c>
      <c r="K578" s="19"/>
      <c r="L578" s="19"/>
      <c r="M578" s="19"/>
      <c r="N578" s="19"/>
      <c r="O578" s="19"/>
    </row>
    <row r="579">
      <c r="A579" s="18"/>
      <c r="B579" s="29"/>
      <c r="C579" s="19"/>
      <c r="D579" s="19"/>
      <c r="E579" s="18"/>
      <c r="F579" s="18" t="str">
        <f>IFERROR(__xludf.DUMMYFUNCTION("""COMPUTED_VALUE"""),"")</f>
        <v/>
      </c>
      <c r="G579" s="18" t="str">
        <f>IFERROR(__xludf.DUMMYFUNCTION("""COMPUTED_VALUE"""),"")</f>
        <v/>
      </c>
      <c r="H579" s="18" t="str">
        <f>IFERROR(__xludf.DUMMYFUNCTION("""COMPUTED_VALUE"""),"")</f>
        <v/>
      </c>
      <c r="I579" s="18" t="str">
        <f>IFERROR(__xludf.DUMMYFUNCTION("""COMPUTED_VALUE"""),"")</f>
        <v/>
      </c>
      <c r="J579" s="18" t="str">
        <f>IFERROR(__xludf.DUMMYFUNCTION("""COMPUTED_VALUE"""),"")</f>
        <v/>
      </c>
      <c r="K579" s="19"/>
      <c r="L579" s="19"/>
      <c r="M579" s="19"/>
      <c r="N579" s="19"/>
      <c r="O579" s="19"/>
    </row>
    <row r="580">
      <c r="A580" s="18"/>
      <c r="B580" s="29"/>
      <c r="C580" s="19"/>
      <c r="D580" s="19"/>
      <c r="E580" s="18"/>
      <c r="F580" s="18" t="str">
        <f>IFERROR(__xludf.DUMMYFUNCTION("""COMPUTED_VALUE"""),"")</f>
        <v/>
      </c>
      <c r="G580" s="18" t="str">
        <f>IFERROR(__xludf.DUMMYFUNCTION("""COMPUTED_VALUE"""),"")</f>
        <v/>
      </c>
      <c r="H580" s="18" t="str">
        <f>IFERROR(__xludf.DUMMYFUNCTION("""COMPUTED_VALUE"""),"")</f>
        <v/>
      </c>
      <c r="I580" s="18" t="str">
        <f>IFERROR(__xludf.DUMMYFUNCTION("""COMPUTED_VALUE"""),"")</f>
        <v/>
      </c>
      <c r="J580" s="18" t="str">
        <f>IFERROR(__xludf.DUMMYFUNCTION("""COMPUTED_VALUE"""),"")</f>
        <v/>
      </c>
      <c r="K580" s="19"/>
      <c r="L580" s="19"/>
      <c r="M580" s="19"/>
      <c r="N580" s="19"/>
      <c r="O580" s="19"/>
    </row>
    <row r="581">
      <c r="A581" s="18"/>
      <c r="B581" s="29"/>
      <c r="C581" s="19"/>
      <c r="D581" s="19"/>
      <c r="E581" s="18"/>
      <c r="F581" s="18" t="str">
        <f>IFERROR(__xludf.DUMMYFUNCTION("""COMPUTED_VALUE"""),"")</f>
        <v/>
      </c>
      <c r="G581" s="18" t="str">
        <f>IFERROR(__xludf.DUMMYFUNCTION("""COMPUTED_VALUE"""),"")</f>
        <v/>
      </c>
      <c r="H581" s="18" t="str">
        <f>IFERROR(__xludf.DUMMYFUNCTION("""COMPUTED_VALUE"""),"")</f>
        <v/>
      </c>
      <c r="I581" s="18" t="str">
        <f>IFERROR(__xludf.DUMMYFUNCTION("""COMPUTED_VALUE"""),"")</f>
        <v/>
      </c>
      <c r="J581" s="18" t="str">
        <f>IFERROR(__xludf.DUMMYFUNCTION("""COMPUTED_VALUE"""),"")</f>
        <v/>
      </c>
      <c r="K581" s="19"/>
      <c r="L581" s="19"/>
      <c r="M581" s="19"/>
      <c r="N581" s="19"/>
      <c r="O581" s="19"/>
    </row>
    <row r="582">
      <c r="A582" s="18"/>
      <c r="B582" s="29"/>
      <c r="C582" s="19"/>
      <c r="D582" s="19"/>
      <c r="E582" s="18"/>
      <c r="F582" s="18" t="str">
        <f>IFERROR(__xludf.DUMMYFUNCTION("""COMPUTED_VALUE"""),"")</f>
        <v/>
      </c>
      <c r="G582" s="18" t="str">
        <f>IFERROR(__xludf.DUMMYFUNCTION("""COMPUTED_VALUE"""),"")</f>
        <v/>
      </c>
      <c r="H582" s="18" t="str">
        <f>IFERROR(__xludf.DUMMYFUNCTION("""COMPUTED_VALUE"""),"")</f>
        <v/>
      </c>
      <c r="I582" s="18" t="str">
        <f>IFERROR(__xludf.DUMMYFUNCTION("""COMPUTED_VALUE"""),"")</f>
        <v/>
      </c>
      <c r="J582" s="18" t="str">
        <f>IFERROR(__xludf.DUMMYFUNCTION("""COMPUTED_VALUE"""),"")</f>
        <v/>
      </c>
      <c r="K582" s="19"/>
      <c r="L582" s="19"/>
      <c r="M582" s="19"/>
      <c r="N582" s="19"/>
      <c r="O582" s="19"/>
    </row>
    <row r="583">
      <c r="A583" s="18"/>
      <c r="B583" s="29"/>
      <c r="C583" s="19"/>
      <c r="D583" s="19"/>
      <c r="E583" s="18"/>
      <c r="F583" s="18" t="str">
        <f>IFERROR(__xludf.DUMMYFUNCTION("""COMPUTED_VALUE"""),"")</f>
        <v/>
      </c>
      <c r="G583" s="18" t="str">
        <f>IFERROR(__xludf.DUMMYFUNCTION("""COMPUTED_VALUE"""),"")</f>
        <v/>
      </c>
      <c r="H583" s="18" t="str">
        <f>IFERROR(__xludf.DUMMYFUNCTION("""COMPUTED_VALUE"""),"")</f>
        <v/>
      </c>
      <c r="I583" s="18" t="str">
        <f>IFERROR(__xludf.DUMMYFUNCTION("""COMPUTED_VALUE"""),"")</f>
        <v/>
      </c>
      <c r="J583" s="18" t="str">
        <f>IFERROR(__xludf.DUMMYFUNCTION("""COMPUTED_VALUE"""),"")</f>
        <v/>
      </c>
      <c r="K583" s="19"/>
      <c r="L583" s="19"/>
      <c r="M583" s="19"/>
      <c r="N583" s="19"/>
      <c r="O583" s="19"/>
    </row>
    <row r="584">
      <c r="A584" s="18"/>
      <c r="B584" s="29"/>
      <c r="C584" s="19"/>
      <c r="D584" s="19"/>
      <c r="E584" s="18"/>
      <c r="F584" s="18" t="str">
        <f>IFERROR(__xludf.DUMMYFUNCTION("""COMPUTED_VALUE"""),"")</f>
        <v/>
      </c>
      <c r="G584" s="18" t="str">
        <f>IFERROR(__xludf.DUMMYFUNCTION("""COMPUTED_VALUE"""),"")</f>
        <v/>
      </c>
      <c r="H584" s="18" t="str">
        <f>IFERROR(__xludf.DUMMYFUNCTION("""COMPUTED_VALUE"""),"")</f>
        <v/>
      </c>
      <c r="I584" s="18" t="str">
        <f>IFERROR(__xludf.DUMMYFUNCTION("""COMPUTED_VALUE"""),"")</f>
        <v/>
      </c>
      <c r="J584" s="18" t="str">
        <f>IFERROR(__xludf.DUMMYFUNCTION("""COMPUTED_VALUE"""),"")</f>
        <v/>
      </c>
      <c r="K584" s="19"/>
      <c r="L584" s="19"/>
      <c r="M584" s="19"/>
      <c r="N584" s="19"/>
      <c r="O584" s="19"/>
    </row>
    <row r="585">
      <c r="A585" s="18"/>
      <c r="B585" s="29"/>
      <c r="C585" s="19"/>
      <c r="D585" s="19"/>
      <c r="E585" s="18"/>
      <c r="F585" s="18" t="str">
        <f>IFERROR(__xludf.DUMMYFUNCTION("""COMPUTED_VALUE"""),"")</f>
        <v/>
      </c>
      <c r="G585" s="18" t="str">
        <f>IFERROR(__xludf.DUMMYFUNCTION("""COMPUTED_VALUE"""),"")</f>
        <v/>
      </c>
      <c r="H585" s="18" t="str">
        <f>IFERROR(__xludf.DUMMYFUNCTION("""COMPUTED_VALUE"""),"")</f>
        <v/>
      </c>
      <c r="I585" s="18" t="str">
        <f>IFERROR(__xludf.DUMMYFUNCTION("""COMPUTED_VALUE"""),"")</f>
        <v/>
      </c>
      <c r="J585" s="18" t="str">
        <f>IFERROR(__xludf.DUMMYFUNCTION("""COMPUTED_VALUE"""),"")</f>
        <v/>
      </c>
      <c r="K585" s="19"/>
      <c r="L585" s="19"/>
      <c r="M585" s="19"/>
      <c r="N585" s="19"/>
      <c r="O585" s="19"/>
    </row>
    <row r="586">
      <c r="A586" s="18"/>
      <c r="B586" s="29"/>
      <c r="C586" s="19"/>
      <c r="D586" s="19"/>
      <c r="E586" s="18"/>
      <c r="F586" s="18" t="str">
        <f>IFERROR(__xludf.DUMMYFUNCTION("""COMPUTED_VALUE"""),"")</f>
        <v/>
      </c>
      <c r="G586" s="18" t="str">
        <f>IFERROR(__xludf.DUMMYFUNCTION("""COMPUTED_VALUE"""),"")</f>
        <v/>
      </c>
      <c r="H586" s="18" t="str">
        <f>IFERROR(__xludf.DUMMYFUNCTION("""COMPUTED_VALUE"""),"")</f>
        <v/>
      </c>
      <c r="I586" s="18" t="str">
        <f>IFERROR(__xludf.DUMMYFUNCTION("""COMPUTED_VALUE"""),"")</f>
        <v/>
      </c>
      <c r="J586" s="18" t="str">
        <f>IFERROR(__xludf.DUMMYFUNCTION("""COMPUTED_VALUE"""),"")</f>
        <v/>
      </c>
      <c r="K586" s="19"/>
      <c r="L586" s="19"/>
      <c r="M586" s="19"/>
      <c r="N586" s="19"/>
      <c r="O586" s="19"/>
    </row>
    <row r="587">
      <c r="A587" s="18"/>
      <c r="B587" s="29"/>
      <c r="C587" s="19"/>
      <c r="D587" s="19"/>
      <c r="E587" s="18"/>
      <c r="F587" s="18" t="str">
        <f>IFERROR(__xludf.DUMMYFUNCTION("""COMPUTED_VALUE"""),"")</f>
        <v/>
      </c>
      <c r="G587" s="18" t="str">
        <f>IFERROR(__xludf.DUMMYFUNCTION("""COMPUTED_VALUE"""),"")</f>
        <v/>
      </c>
      <c r="H587" s="18" t="str">
        <f>IFERROR(__xludf.DUMMYFUNCTION("""COMPUTED_VALUE"""),"")</f>
        <v/>
      </c>
      <c r="I587" s="18" t="str">
        <f>IFERROR(__xludf.DUMMYFUNCTION("""COMPUTED_VALUE"""),"")</f>
        <v/>
      </c>
      <c r="J587" s="18" t="str">
        <f>IFERROR(__xludf.DUMMYFUNCTION("""COMPUTED_VALUE"""),"")</f>
        <v/>
      </c>
      <c r="K587" s="19"/>
      <c r="L587" s="19"/>
      <c r="M587" s="19"/>
      <c r="N587" s="19"/>
      <c r="O587" s="19"/>
    </row>
    <row r="588">
      <c r="A588" s="18"/>
      <c r="B588" s="29"/>
      <c r="C588" s="19"/>
      <c r="D588" s="19"/>
      <c r="E588" s="18"/>
      <c r="F588" s="18" t="str">
        <f>IFERROR(__xludf.DUMMYFUNCTION("""COMPUTED_VALUE"""),"")</f>
        <v/>
      </c>
      <c r="G588" s="18" t="str">
        <f>IFERROR(__xludf.DUMMYFUNCTION("""COMPUTED_VALUE"""),"")</f>
        <v/>
      </c>
      <c r="H588" s="18" t="str">
        <f>IFERROR(__xludf.DUMMYFUNCTION("""COMPUTED_VALUE"""),"")</f>
        <v/>
      </c>
      <c r="I588" s="18" t="str">
        <f>IFERROR(__xludf.DUMMYFUNCTION("""COMPUTED_VALUE"""),"")</f>
        <v/>
      </c>
      <c r="J588" s="18" t="str">
        <f>IFERROR(__xludf.DUMMYFUNCTION("""COMPUTED_VALUE"""),"")</f>
        <v/>
      </c>
      <c r="K588" s="19"/>
      <c r="L588" s="19"/>
      <c r="M588" s="19"/>
      <c r="N588" s="19"/>
      <c r="O588" s="19"/>
    </row>
    <row r="589">
      <c r="A589" s="18"/>
      <c r="B589" s="29"/>
      <c r="C589" s="19"/>
      <c r="D589" s="19"/>
      <c r="E589" s="18"/>
      <c r="F589" s="18" t="str">
        <f>IFERROR(__xludf.DUMMYFUNCTION("""COMPUTED_VALUE"""),"")</f>
        <v/>
      </c>
      <c r="G589" s="18" t="str">
        <f>IFERROR(__xludf.DUMMYFUNCTION("""COMPUTED_VALUE"""),"")</f>
        <v/>
      </c>
      <c r="H589" s="18" t="str">
        <f>IFERROR(__xludf.DUMMYFUNCTION("""COMPUTED_VALUE"""),"")</f>
        <v/>
      </c>
      <c r="I589" s="18" t="str">
        <f>IFERROR(__xludf.DUMMYFUNCTION("""COMPUTED_VALUE"""),"")</f>
        <v/>
      </c>
      <c r="J589" s="18" t="str">
        <f>IFERROR(__xludf.DUMMYFUNCTION("""COMPUTED_VALUE"""),"")</f>
        <v/>
      </c>
      <c r="K589" s="19"/>
      <c r="L589" s="19"/>
      <c r="M589" s="19"/>
      <c r="N589" s="19"/>
      <c r="O589" s="19"/>
    </row>
    <row r="590">
      <c r="A590" s="18"/>
      <c r="B590" s="29"/>
      <c r="C590" s="19"/>
      <c r="D590" s="19"/>
      <c r="E590" s="18"/>
      <c r="F590" s="18" t="str">
        <f>IFERROR(__xludf.DUMMYFUNCTION("""COMPUTED_VALUE"""),"")</f>
        <v/>
      </c>
      <c r="G590" s="18" t="str">
        <f>IFERROR(__xludf.DUMMYFUNCTION("""COMPUTED_VALUE"""),"")</f>
        <v/>
      </c>
      <c r="H590" s="18" t="str">
        <f>IFERROR(__xludf.DUMMYFUNCTION("""COMPUTED_VALUE"""),"")</f>
        <v/>
      </c>
      <c r="I590" s="18" t="str">
        <f>IFERROR(__xludf.DUMMYFUNCTION("""COMPUTED_VALUE"""),"")</f>
        <v/>
      </c>
      <c r="J590" s="18" t="str">
        <f>IFERROR(__xludf.DUMMYFUNCTION("""COMPUTED_VALUE"""),"")</f>
        <v/>
      </c>
      <c r="K590" s="19"/>
      <c r="L590" s="19"/>
      <c r="M590" s="19"/>
      <c r="N590" s="19"/>
      <c r="O590" s="19"/>
    </row>
    <row r="591">
      <c r="A591" s="18"/>
      <c r="B591" s="29"/>
      <c r="C591" s="19"/>
      <c r="D591" s="19"/>
      <c r="E591" s="18"/>
      <c r="F591" s="18" t="str">
        <f>IFERROR(__xludf.DUMMYFUNCTION("""COMPUTED_VALUE"""),"")</f>
        <v/>
      </c>
      <c r="G591" s="18" t="str">
        <f>IFERROR(__xludf.DUMMYFUNCTION("""COMPUTED_VALUE"""),"")</f>
        <v/>
      </c>
      <c r="H591" s="18" t="str">
        <f>IFERROR(__xludf.DUMMYFUNCTION("""COMPUTED_VALUE"""),"")</f>
        <v/>
      </c>
      <c r="I591" s="18" t="str">
        <f>IFERROR(__xludf.DUMMYFUNCTION("""COMPUTED_VALUE"""),"")</f>
        <v/>
      </c>
      <c r="J591" s="18" t="str">
        <f>IFERROR(__xludf.DUMMYFUNCTION("""COMPUTED_VALUE"""),"")</f>
        <v/>
      </c>
      <c r="K591" s="19"/>
      <c r="L591" s="19"/>
      <c r="M591" s="19"/>
      <c r="N591" s="19"/>
      <c r="O591" s="19"/>
    </row>
    <row r="592">
      <c r="A592" s="18"/>
      <c r="B592" s="29"/>
      <c r="C592" s="19"/>
      <c r="D592" s="19"/>
      <c r="E592" s="18"/>
      <c r="F592" s="18" t="str">
        <f>IFERROR(__xludf.DUMMYFUNCTION("""COMPUTED_VALUE"""),"")</f>
        <v/>
      </c>
      <c r="G592" s="18" t="str">
        <f>IFERROR(__xludf.DUMMYFUNCTION("""COMPUTED_VALUE"""),"")</f>
        <v/>
      </c>
      <c r="H592" s="18" t="str">
        <f>IFERROR(__xludf.DUMMYFUNCTION("""COMPUTED_VALUE"""),"")</f>
        <v/>
      </c>
      <c r="I592" s="18" t="str">
        <f>IFERROR(__xludf.DUMMYFUNCTION("""COMPUTED_VALUE"""),"")</f>
        <v/>
      </c>
      <c r="J592" s="18" t="str">
        <f>IFERROR(__xludf.DUMMYFUNCTION("""COMPUTED_VALUE"""),"")</f>
        <v/>
      </c>
      <c r="K592" s="19"/>
      <c r="L592" s="19"/>
      <c r="M592" s="19"/>
      <c r="N592" s="19"/>
      <c r="O592" s="19"/>
    </row>
    <row r="593">
      <c r="A593" s="18"/>
      <c r="B593" s="29"/>
      <c r="C593" s="19"/>
      <c r="D593" s="19"/>
      <c r="E593" s="18"/>
      <c r="F593" s="18" t="str">
        <f>IFERROR(__xludf.DUMMYFUNCTION("""COMPUTED_VALUE"""),"")</f>
        <v/>
      </c>
      <c r="G593" s="18" t="str">
        <f>IFERROR(__xludf.DUMMYFUNCTION("""COMPUTED_VALUE"""),"")</f>
        <v/>
      </c>
      <c r="H593" s="18" t="str">
        <f>IFERROR(__xludf.DUMMYFUNCTION("""COMPUTED_VALUE"""),"")</f>
        <v/>
      </c>
      <c r="I593" s="18" t="str">
        <f>IFERROR(__xludf.DUMMYFUNCTION("""COMPUTED_VALUE"""),"")</f>
        <v/>
      </c>
      <c r="J593" s="18" t="str">
        <f>IFERROR(__xludf.DUMMYFUNCTION("""COMPUTED_VALUE"""),"")</f>
        <v/>
      </c>
      <c r="K593" s="19"/>
      <c r="L593" s="19"/>
      <c r="M593" s="19"/>
      <c r="N593" s="19"/>
      <c r="O593" s="19"/>
    </row>
    <row r="594">
      <c r="A594" s="18"/>
      <c r="B594" s="29"/>
      <c r="C594" s="19"/>
      <c r="D594" s="19"/>
      <c r="E594" s="18"/>
      <c r="F594" s="18" t="str">
        <f>IFERROR(__xludf.DUMMYFUNCTION("""COMPUTED_VALUE"""),"")</f>
        <v/>
      </c>
      <c r="G594" s="18" t="str">
        <f>IFERROR(__xludf.DUMMYFUNCTION("""COMPUTED_VALUE"""),"")</f>
        <v/>
      </c>
      <c r="H594" s="18" t="str">
        <f>IFERROR(__xludf.DUMMYFUNCTION("""COMPUTED_VALUE"""),"")</f>
        <v/>
      </c>
      <c r="I594" s="18" t="str">
        <f>IFERROR(__xludf.DUMMYFUNCTION("""COMPUTED_VALUE"""),"")</f>
        <v/>
      </c>
      <c r="J594" s="18" t="str">
        <f>IFERROR(__xludf.DUMMYFUNCTION("""COMPUTED_VALUE"""),"")</f>
        <v/>
      </c>
      <c r="K594" s="19"/>
      <c r="L594" s="19"/>
      <c r="M594" s="19"/>
      <c r="N594" s="19"/>
      <c r="O594" s="19"/>
    </row>
    <row r="595">
      <c r="A595" s="18"/>
      <c r="B595" s="29"/>
      <c r="C595" s="19"/>
      <c r="D595" s="19"/>
      <c r="E595" s="18"/>
      <c r="F595" s="18" t="str">
        <f>IFERROR(__xludf.DUMMYFUNCTION("""COMPUTED_VALUE"""),"")</f>
        <v/>
      </c>
      <c r="G595" s="18" t="str">
        <f>IFERROR(__xludf.DUMMYFUNCTION("""COMPUTED_VALUE"""),"")</f>
        <v/>
      </c>
      <c r="H595" s="18" t="str">
        <f>IFERROR(__xludf.DUMMYFUNCTION("""COMPUTED_VALUE"""),"")</f>
        <v/>
      </c>
      <c r="I595" s="18" t="str">
        <f>IFERROR(__xludf.DUMMYFUNCTION("""COMPUTED_VALUE"""),"")</f>
        <v/>
      </c>
      <c r="J595" s="18" t="str">
        <f>IFERROR(__xludf.DUMMYFUNCTION("""COMPUTED_VALUE"""),"")</f>
        <v/>
      </c>
      <c r="K595" s="19"/>
      <c r="L595" s="19"/>
      <c r="M595" s="19"/>
      <c r="N595" s="19"/>
      <c r="O595" s="19"/>
    </row>
    <row r="596">
      <c r="A596" s="18"/>
      <c r="B596" s="29"/>
      <c r="C596" s="19"/>
      <c r="D596" s="19"/>
      <c r="E596" s="18"/>
      <c r="F596" s="18" t="str">
        <f>IFERROR(__xludf.DUMMYFUNCTION("""COMPUTED_VALUE"""),"")</f>
        <v/>
      </c>
      <c r="G596" s="18" t="str">
        <f>IFERROR(__xludf.DUMMYFUNCTION("""COMPUTED_VALUE"""),"")</f>
        <v/>
      </c>
      <c r="H596" s="18" t="str">
        <f>IFERROR(__xludf.DUMMYFUNCTION("""COMPUTED_VALUE"""),"")</f>
        <v/>
      </c>
      <c r="I596" s="18" t="str">
        <f>IFERROR(__xludf.DUMMYFUNCTION("""COMPUTED_VALUE"""),"")</f>
        <v/>
      </c>
      <c r="J596" s="18" t="str">
        <f>IFERROR(__xludf.DUMMYFUNCTION("""COMPUTED_VALUE"""),"")</f>
        <v/>
      </c>
      <c r="K596" s="19"/>
      <c r="L596" s="19"/>
      <c r="M596" s="19"/>
      <c r="N596" s="19"/>
      <c r="O596" s="19"/>
    </row>
    <row r="597">
      <c r="A597" s="18"/>
      <c r="B597" s="29"/>
      <c r="C597" s="19"/>
      <c r="D597" s="19"/>
      <c r="E597" s="18"/>
      <c r="F597" s="18" t="str">
        <f>IFERROR(__xludf.DUMMYFUNCTION("""COMPUTED_VALUE"""),"")</f>
        <v/>
      </c>
      <c r="G597" s="18" t="str">
        <f>IFERROR(__xludf.DUMMYFUNCTION("""COMPUTED_VALUE"""),"")</f>
        <v/>
      </c>
      <c r="H597" s="18" t="str">
        <f>IFERROR(__xludf.DUMMYFUNCTION("""COMPUTED_VALUE"""),"")</f>
        <v/>
      </c>
      <c r="I597" s="18" t="str">
        <f>IFERROR(__xludf.DUMMYFUNCTION("""COMPUTED_VALUE"""),"")</f>
        <v/>
      </c>
      <c r="J597" s="18" t="str">
        <f>IFERROR(__xludf.DUMMYFUNCTION("""COMPUTED_VALUE"""),"")</f>
        <v/>
      </c>
      <c r="K597" s="19"/>
      <c r="L597" s="19"/>
      <c r="M597" s="19"/>
      <c r="N597" s="19"/>
      <c r="O597" s="19"/>
    </row>
    <row r="598">
      <c r="A598" s="18"/>
      <c r="B598" s="29"/>
      <c r="C598" s="19"/>
      <c r="D598" s="19"/>
      <c r="E598" s="18"/>
      <c r="F598" s="18" t="str">
        <f>IFERROR(__xludf.DUMMYFUNCTION("""COMPUTED_VALUE"""),"")</f>
        <v/>
      </c>
      <c r="G598" s="18" t="str">
        <f>IFERROR(__xludf.DUMMYFUNCTION("""COMPUTED_VALUE"""),"")</f>
        <v/>
      </c>
      <c r="H598" s="18" t="str">
        <f>IFERROR(__xludf.DUMMYFUNCTION("""COMPUTED_VALUE"""),"")</f>
        <v/>
      </c>
      <c r="I598" s="18" t="str">
        <f>IFERROR(__xludf.DUMMYFUNCTION("""COMPUTED_VALUE"""),"")</f>
        <v/>
      </c>
      <c r="J598" s="18" t="str">
        <f>IFERROR(__xludf.DUMMYFUNCTION("""COMPUTED_VALUE"""),"")</f>
        <v/>
      </c>
      <c r="K598" s="19"/>
      <c r="L598" s="19"/>
      <c r="M598" s="19"/>
      <c r="N598" s="19"/>
      <c r="O598" s="19"/>
    </row>
    <row r="599">
      <c r="A599" s="18"/>
      <c r="B599" s="29"/>
      <c r="C599" s="19"/>
      <c r="D599" s="19"/>
      <c r="E599" s="18"/>
      <c r="F599" s="18" t="str">
        <f>IFERROR(__xludf.DUMMYFUNCTION("""COMPUTED_VALUE"""),"")</f>
        <v/>
      </c>
      <c r="G599" s="18" t="str">
        <f>IFERROR(__xludf.DUMMYFUNCTION("""COMPUTED_VALUE"""),"")</f>
        <v/>
      </c>
      <c r="H599" s="18" t="str">
        <f>IFERROR(__xludf.DUMMYFUNCTION("""COMPUTED_VALUE"""),"")</f>
        <v/>
      </c>
      <c r="I599" s="18" t="str">
        <f>IFERROR(__xludf.DUMMYFUNCTION("""COMPUTED_VALUE"""),"")</f>
        <v/>
      </c>
      <c r="J599" s="18" t="str">
        <f>IFERROR(__xludf.DUMMYFUNCTION("""COMPUTED_VALUE"""),"")</f>
        <v/>
      </c>
      <c r="K599" s="19"/>
      <c r="L599" s="19"/>
      <c r="M599" s="19"/>
      <c r="N599" s="19"/>
      <c r="O599" s="19"/>
    </row>
    <row r="600">
      <c r="A600" s="18"/>
      <c r="B600" s="29"/>
      <c r="C600" s="19"/>
      <c r="D600" s="19"/>
      <c r="E600" s="18"/>
      <c r="F600" s="18" t="str">
        <f>IFERROR(__xludf.DUMMYFUNCTION("""COMPUTED_VALUE"""),"")</f>
        <v/>
      </c>
      <c r="G600" s="18" t="str">
        <f>IFERROR(__xludf.DUMMYFUNCTION("""COMPUTED_VALUE"""),"")</f>
        <v/>
      </c>
      <c r="H600" s="18" t="str">
        <f>IFERROR(__xludf.DUMMYFUNCTION("""COMPUTED_VALUE"""),"")</f>
        <v/>
      </c>
      <c r="I600" s="18" t="str">
        <f>IFERROR(__xludf.DUMMYFUNCTION("""COMPUTED_VALUE"""),"")</f>
        <v/>
      </c>
      <c r="J600" s="18" t="str">
        <f>IFERROR(__xludf.DUMMYFUNCTION("""COMPUTED_VALUE"""),"")</f>
        <v/>
      </c>
      <c r="K600" s="19"/>
      <c r="L600" s="19"/>
      <c r="M600" s="19"/>
      <c r="N600" s="19"/>
      <c r="O600" s="19"/>
    </row>
    <row r="601">
      <c r="A601" s="18"/>
      <c r="B601" s="29"/>
      <c r="C601" s="19"/>
      <c r="D601" s="19"/>
      <c r="E601" s="18"/>
      <c r="F601" s="18" t="str">
        <f>IFERROR(__xludf.DUMMYFUNCTION("""COMPUTED_VALUE"""),"")</f>
        <v/>
      </c>
      <c r="G601" s="18" t="str">
        <f>IFERROR(__xludf.DUMMYFUNCTION("""COMPUTED_VALUE"""),"")</f>
        <v/>
      </c>
      <c r="H601" s="18" t="str">
        <f>IFERROR(__xludf.DUMMYFUNCTION("""COMPUTED_VALUE"""),"")</f>
        <v/>
      </c>
      <c r="I601" s="18" t="str">
        <f>IFERROR(__xludf.DUMMYFUNCTION("""COMPUTED_VALUE"""),"")</f>
        <v/>
      </c>
      <c r="J601" s="18" t="str">
        <f>IFERROR(__xludf.DUMMYFUNCTION("""COMPUTED_VALUE"""),"")</f>
        <v/>
      </c>
      <c r="K601" s="19"/>
      <c r="L601" s="19"/>
      <c r="M601" s="19"/>
      <c r="N601" s="19"/>
      <c r="O601" s="19"/>
    </row>
    <row r="602">
      <c r="A602" s="18"/>
      <c r="B602" s="29"/>
      <c r="C602" s="19"/>
      <c r="D602" s="19"/>
      <c r="E602" s="18"/>
      <c r="F602" s="18" t="str">
        <f>IFERROR(__xludf.DUMMYFUNCTION("""COMPUTED_VALUE"""),"")</f>
        <v/>
      </c>
      <c r="G602" s="18" t="str">
        <f>IFERROR(__xludf.DUMMYFUNCTION("""COMPUTED_VALUE"""),"")</f>
        <v/>
      </c>
      <c r="H602" s="18" t="str">
        <f>IFERROR(__xludf.DUMMYFUNCTION("""COMPUTED_VALUE"""),"")</f>
        <v/>
      </c>
      <c r="I602" s="18" t="str">
        <f>IFERROR(__xludf.DUMMYFUNCTION("""COMPUTED_VALUE"""),"")</f>
        <v/>
      </c>
      <c r="J602" s="18" t="str">
        <f>IFERROR(__xludf.DUMMYFUNCTION("""COMPUTED_VALUE"""),"")</f>
        <v/>
      </c>
      <c r="K602" s="19"/>
      <c r="L602" s="19"/>
      <c r="M602" s="19"/>
      <c r="N602" s="19"/>
      <c r="O602" s="19"/>
    </row>
    <row r="603">
      <c r="A603" s="18"/>
      <c r="B603" s="29"/>
      <c r="C603" s="19"/>
      <c r="D603" s="19"/>
      <c r="E603" s="18"/>
      <c r="F603" s="18" t="str">
        <f>IFERROR(__xludf.DUMMYFUNCTION("""COMPUTED_VALUE"""),"")</f>
        <v/>
      </c>
      <c r="G603" s="18" t="str">
        <f>IFERROR(__xludf.DUMMYFUNCTION("""COMPUTED_VALUE"""),"")</f>
        <v/>
      </c>
      <c r="H603" s="18" t="str">
        <f>IFERROR(__xludf.DUMMYFUNCTION("""COMPUTED_VALUE"""),"")</f>
        <v/>
      </c>
      <c r="I603" s="18" t="str">
        <f>IFERROR(__xludf.DUMMYFUNCTION("""COMPUTED_VALUE"""),"")</f>
        <v/>
      </c>
      <c r="J603" s="18" t="str">
        <f>IFERROR(__xludf.DUMMYFUNCTION("""COMPUTED_VALUE"""),"")</f>
        <v/>
      </c>
      <c r="K603" s="19"/>
      <c r="L603" s="19"/>
      <c r="M603" s="19"/>
      <c r="N603" s="19"/>
      <c r="O603" s="19"/>
    </row>
    <row r="604">
      <c r="A604" s="18"/>
      <c r="B604" s="29"/>
      <c r="C604" s="19"/>
      <c r="D604" s="19"/>
      <c r="E604" s="18"/>
      <c r="F604" s="18" t="str">
        <f>IFERROR(__xludf.DUMMYFUNCTION("""COMPUTED_VALUE"""),"")</f>
        <v/>
      </c>
      <c r="G604" s="18" t="str">
        <f>IFERROR(__xludf.DUMMYFUNCTION("""COMPUTED_VALUE"""),"")</f>
        <v/>
      </c>
      <c r="H604" s="18" t="str">
        <f>IFERROR(__xludf.DUMMYFUNCTION("""COMPUTED_VALUE"""),"")</f>
        <v/>
      </c>
      <c r="I604" s="18" t="str">
        <f>IFERROR(__xludf.DUMMYFUNCTION("""COMPUTED_VALUE"""),"")</f>
        <v/>
      </c>
      <c r="J604" s="18" t="str">
        <f>IFERROR(__xludf.DUMMYFUNCTION("""COMPUTED_VALUE"""),"")</f>
        <v/>
      </c>
      <c r="K604" s="19"/>
      <c r="L604" s="19"/>
      <c r="M604" s="19"/>
      <c r="N604" s="19"/>
      <c r="O604" s="19"/>
    </row>
    <row r="605">
      <c r="A605" s="18"/>
      <c r="B605" s="29"/>
      <c r="C605" s="19"/>
      <c r="D605" s="19"/>
      <c r="E605" s="18"/>
      <c r="F605" s="18" t="str">
        <f>IFERROR(__xludf.DUMMYFUNCTION("""COMPUTED_VALUE"""),"")</f>
        <v/>
      </c>
      <c r="G605" s="18" t="str">
        <f>IFERROR(__xludf.DUMMYFUNCTION("""COMPUTED_VALUE"""),"")</f>
        <v/>
      </c>
      <c r="H605" s="18" t="str">
        <f>IFERROR(__xludf.DUMMYFUNCTION("""COMPUTED_VALUE"""),"")</f>
        <v/>
      </c>
      <c r="I605" s="18" t="str">
        <f>IFERROR(__xludf.DUMMYFUNCTION("""COMPUTED_VALUE"""),"")</f>
        <v/>
      </c>
      <c r="J605" s="18" t="str">
        <f>IFERROR(__xludf.DUMMYFUNCTION("""COMPUTED_VALUE"""),"")</f>
        <v/>
      </c>
      <c r="K605" s="19"/>
      <c r="L605" s="19"/>
      <c r="M605" s="19"/>
      <c r="N605" s="19"/>
      <c r="O605" s="19"/>
    </row>
    <row r="606">
      <c r="A606" s="18"/>
      <c r="B606" s="29"/>
      <c r="C606" s="19"/>
      <c r="D606" s="19"/>
      <c r="E606" s="18"/>
      <c r="F606" s="18" t="str">
        <f>IFERROR(__xludf.DUMMYFUNCTION("""COMPUTED_VALUE"""),"")</f>
        <v/>
      </c>
      <c r="G606" s="18" t="str">
        <f>IFERROR(__xludf.DUMMYFUNCTION("""COMPUTED_VALUE"""),"")</f>
        <v/>
      </c>
      <c r="H606" s="18" t="str">
        <f>IFERROR(__xludf.DUMMYFUNCTION("""COMPUTED_VALUE"""),"")</f>
        <v/>
      </c>
      <c r="I606" s="18" t="str">
        <f>IFERROR(__xludf.DUMMYFUNCTION("""COMPUTED_VALUE"""),"")</f>
        <v/>
      </c>
      <c r="J606" s="18" t="str">
        <f>IFERROR(__xludf.DUMMYFUNCTION("""COMPUTED_VALUE"""),"")</f>
        <v/>
      </c>
      <c r="K606" s="19"/>
      <c r="L606" s="19"/>
      <c r="M606" s="19"/>
      <c r="N606" s="19"/>
      <c r="O606" s="19"/>
    </row>
    <row r="607">
      <c r="A607" s="18"/>
      <c r="B607" s="29"/>
      <c r="C607" s="19"/>
      <c r="D607" s="19"/>
      <c r="E607" s="18"/>
      <c r="F607" s="18" t="str">
        <f>IFERROR(__xludf.DUMMYFUNCTION("""COMPUTED_VALUE"""),"")</f>
        <v/>
      </c>
      <c r="G607" s="18" t="str">
        <f>IFERROR(__xludf.DUMMYFUNCTION("""COMPUTED_VALUE"""),"")</f>
        <v/>
      </c>
      <c r="H607" s="18" t="str">
        <f>IFERROR(__xludf.DUMMYFUNCTION("""COMPUTED_VALUE"""),"")</f>
        <v/>
      </c>
      <c r="I607" s="18" t="str">
        <f>IFERROR(__xludf.DUMMYFUNCTION("""COMPUTED_VALUE"""),"")</f>
        <v/>
      </c>
      <c r="J607" s="18" t="str">
        <f>IFERROR(__xludf.DUMMYFUNCTION("""COMPUTED_VALUE"""),"")</f>
        <v/>
      </c>
      <c r="K607" s="19"/>
      <c r="L607" s="19"/>
      <c r="M607" s="19"/>
      <c r="N607" s="19"/>
      <c r="O607" s="19"/>
    </row>
    <row r="608">
      <c r="A608" s="18"/>
      <c r="B608" s="29"/>
      <c r="C608" s="19"/>
      <c r="D608" s="19"/>
      <c r="E608" s="18"/>
      <c r="F608" s="18" t="str">
        <f>IFERROR(__xludf.DUMMYFUNCTION("""COMPUTED_VALUE"""),"")</f>
        <v/>
      </c>
      <c r="G608" s="18" t="str">
        <f>IFERROR(__xludf.DUMMYFUNCTION("""COMPUTED_VALUE"""),"")</f>
        <v/>
      </c>
      <c r="H608" s="18" t="str">
        <f>IFERROR(__xludf.DUMMYFUNCTION("""COMPUTED_VALUE"""),"")</f>
        <v/>
      </c>
      <c r="I608" s="18" t="str">
        <f>IFERROR(__xludf.DUMMYFUNCTION("""COMPUTED_VALUE"""),"")</f>
        <v/>
      </c>
      <c r="J608" s="18" t="str">
        <f>IFERROR(__xludf.DUMMYFUNCTION("""COMPUTED_VALUE"""),"")</f>
        <v/>
      </c>
      <c r="K608" s="19"/>
      <c r="L608" s="19"/>
      <c r="M608" s="19"/>
      <c r="N608" s="19"/>
      <c r="O608" s="19"/>
    </row>
    <row r="609">
      <c r="A609" s="18"/>
      <c r="B609" s="29"/>
      <c r="C609" s="19"/>
      <c r="D609" s="19"/>
      <c r="E609" s="18"/>
      <c r="F609" s="18" t="str">
        <f>IFERROR(__xludf.DUMMYFUNCTION("""COMPUTED_VALUE"""),"")</f>
        <v/>
      </c>
      <c r="G609" s="18" t="str">
        <f>IFERROR(__xludf.DUMMYFUNCTION("""COMPUTED_VALUE"""),"")</f>
        <v/>
      </c>
      <c r="H609" s="18" t="str">
        <f>IFERROR(__xludf.DUMMYFUNCTION("""COMPUTED_VALUE"""),"")</f>
        <v/>
      </c>
      <c r="I609" s="18" t="str">
        <f>IFERROR(__xludf.DUMMYFUNCTION("""COMPUTED_VALUE"""),"")</f>
        <v/>
      </c>
      <c r="J609" s="18" t="str">
        <f>IFERROR(__xludf.DUMMYFUNCTION("""COMPUTED_VALUE"""),"")</f>
        <v/>
      </c>
      <c r="K609" s="19"/>
      <c r="L609" s="19"/>
      <c r="M609" s="19"/>
      <c r="N609" s="19"/>
      <c r="O609" s="19"/>
    </row>
    <row r="610">
      <c r="A610" s="18"/>
      <c r="B610" s="29"/>
      <c r="C610" s="19"/>
      <c r="D610" s="19"/>
      <c r="E610" s="18"/>
      <c r="F610" s="18" t="str">
        <f>IFERROR(__xludf.DUMMYFUNCTION("""COMPUTED_VALUE"""),"")</f>
        <v/>
      </c>
      <c r="G610" s="18" t="str">
        <f>IFERROR(__xludf.DUMMYFUNCTION("""COMPUTED_VALUE"""),"")</f>
        <v/>
      </c>
      <c r="H610" s="18" t="str">
        <f>IFERROR(__xludf.DUMMYFUNCTION("""COMPUTED_VALUE"""),"")</f>
        <v/>
      </c>
      <c r="I610" s="18" t="str">
        <f>IFERROR(__xludf.DUMMYFUNCTION("""COMPUTED_VALUE"""),"")</f>
        <v/>
      </c>
      <c r="J610" s="18" t="str">
        <f>IFERROR(__xludf.DUMMYFUNCTION("""COMPUTED_VALUE"""),"")</f>
        <v/>
      </c>
      <c r="K610" s="19"/>
      <c r="L610" s="19"/>
      <c r="M610" s="19"/>
      <c r="N610" s="19"/>
      <c r="O610" s="19"/>
    </row>
    <row r="611">
      <c r="A611" s="18"/>
      <c r="B611" s="29"/>
      <c r="C611" s="19"/>
      <c r="D611" s="19"/>
      <c r="E611" s="18"/>
      <c r="F611" s="18" t="str">
        <f>IFERROR(__xludf.DUMMYFUNCTION("""COMPUTED_VALUE"""),"")</f>
        <v/>
      </c>
      <c r="G611" s="18" t="str">
        <f>IFERROR(__xludf.DUMMYFUNCTION("""COMPUTED_VALUE"""),"")</f>
        <v/>
      </c>
      <c r="H611" s="18" t="str">
        <f>IFERROR(__xludf.DUMMYFUNCTION("""COMPUTED_VALUE"""),"")</f>
        <v/>
      </c>
      <c r="I611" s="18" t="str">
        <f>IFERROR(__xludf.DUMMYFUNCTION("""COMPUTED_VALUE"""),"")</f>
        <v/>
      </c>
      <c r="J611" s="18" t="str">
        <f>IFERROR(__xludf.DUMMYFUNCTION("""COMPUTED_VALUE"""),"")</f>
        <v/>
      </c>
      <c r="K611" s="19"/>
      <c r="L611" s="19"/>
      <c r="M611" s="19"/>
      <c r="N611" s="19"/>
      <c r="O611" s="19"/>
    </row>
    <row r="612">
      <c r="A612" s="18"/>
      <c r="B612" s="29"/>
      <c r="C612" s="19"/>
      <c r="D612" s="19"/>
      <c r="E612" s="18"/>
      <c r="F612" s="18" t="str">
        <f>IFERROR(__xludf.DUMMYFUNCTION("""COMPUTED_VALUE"""),"")</f>
        <v/>
      </c>
      <c r="G612" s="18" t="str">
        <f>IFERROR(__xludf.DUMMYFUNCTION("""COMPUTED_VALUE"""),"")</f>
        <v/>
      </c>
      <c r="H612" s="18" t="str">
        <f>IFERROR(__xludf.DUMMYFUNCTION("""COMPUTED_VALUE"""),"")</f>
        <v/>
      </c>
      <c r="I612" s="18" t="str">
        <f>IFERROR(__xludf.DUMMYFUNCTION("""COMPUTED_VALUE"""),"")</f>
        <v/>
      </c>
      <c r="J612" s="18" t="str">
        <f>IFERROR(__xludf.DUMMYFUNCTION("""COMPUTED_VALUE"""),"")</f>
        <v/>
      </c>
      <c r="K612" s="19"/>
      <c r="L612" s="19"/>
      <c r="M612" s="19"/>
      <c r="N612" s="19"/>
      <c r="O612" s="19"/>
    </row>
    <row r="613">
      <c r="A613" s="18"/>
      <c r="B613" s="29"/>
      <c r="C613" s="19"/>
      <c r="D613" s="19"/>
      <c r="E613" s="18"/>
      <c r="F613" s="18" t="str">
        <f>IFERROR(__xludf.DUMMYFUNCTION("""COMPUTED_VALUE"""),"")</f>
        <v/>
      </c>
      <c r="G613" s="18" t="str">
        <f>IFERROR(__xludf.DUMMYFUNCTION("""COMPUTED_VALUE"""),"")</f>
        <v/>
      </c>
      <c r="H613" s="18" t="str">
        <f>IFERROR(__xludf.DUMMYFUNCTION("""COMPUTED_VALUE"""),"")</f>
        <v/>
      </c>
      <c r="I613" s="18" t="str">
        <f>IFERROR(__xludf.DUMMYFUNCTION("""COMPUTED_VALUE"""),"")</f>
        <v/>
      </c>
      <c r="J613" s="18" t="str">
        <f>IFERROR(__xludf.DUMMYFUNCTION("""COMPUTED_VALUE"""),"")</f>
        <v/>
      </c>
      <c r="K613" s="19"/>
      <c r="L613" s="19"/>
      <c r="M613" s="19"/>
      <c r="N613" s="19"/>
      <c r="O613" s="19"/>
    </row>
    <row r="614">
      <c r="A614" s="18"/>
      <c r="B614" s="29"/>
      <c r="C614" s="19"/>
      <c r="D614" s="19"/>
      <c r="E614" s="18"/>
      <c r="F614" s="18" t="str">
        <f>IFERROR(__xludf.DUMMYFUNCTION("""COMPUTED_VALUE"""),"")</f>
        <v/>
      </c>
      <c r="G614" s="18" t="str">
        <f>IFERROR(__xludf.DUMMYFUNCTION("""COMPUTED_VALUE"""),"")</f>
        <v/>
      </c>
      <c r="H614" s="18" t="str">
        <f>IFERROR(__xludf.DUMMYFUNCTION("""COMPUTED_VALUE"""),"")</f>
        <v/>
      </c>
      <c r="I614" s="18" t="str">
        <f>IFERROR(__xludf.DUMMYFUNCTION("""COMPUTED_VALUE"""),"")</f>
        <v/>
      </c>
      <c r="J614" s="18" t="str">
        <f>IFERROR(__xludf.DUMMYFUNCTION("""COMPUTED_VALUE"""),"")</f>
        <v/>
      </c>
      <c r="K614" s="19"/>
      <c r="L614" s="19"/>
      <c r="M614" s="19"/>
      <c r="N614" s="19"/>
      <c r="O614" s="19"/>
    </row>
    <row r="615">
      <c r="A615" s="18"/>
      <c r="B615" s="29"/>
      <c r="C615" s="19"/>
      <c r="D615" s="19"/>
      <c r="E615" s="18"/>
      <c r="F615" s="18" t="str">
        <f>IFERROR(__xludf.DUMMYFUNCTION("""COMPUTED_VALUE"""),"")</f>
        <v/>
      </c>
      <c r="G615" s="18" t="str">
        <f>IFERROR(__xludf.DUMMYFUNCTION("""COMPUTED_VALUE"""),"")</f>
        <v/>
      </c>
      <c r="H615" s="18" t="str">
        <f>IFERROR(__xludf.DUMMYFUNCTION("""COMPUTED_VALUE"""),"")</f>
        <v/>
      </c>
      <c r="I615" s="18" t="str">
        <f>IFERROR(__xludf.DUMMYFUNCTION("""COMPUTED_VALUE"""),"")</f>
        <v/>
      </c>
      <c r="J615" s="18" t="str">
        <f>IFERROR(__xludf.DUMMYFUNCTION("""COMPUTED_VALUE"""),"")</f>
        <v/>
      </c>
      <c r="K615" s="19"/>
      <c r="L615" s="19"/>
      <c r="M615" s="19"/>
      <c r="N615" s="19"/>
      <c r="O615" s="19"/>
    </row>
    <row r="616">
      <c r="A616" s="18"/>
      <c r="B616" s="29"/>
      <c r="C616" s="19"/>
      <c r="D616" s="19"/>
      <c r="E616" s="18"/>
      <c r="F616" s="18" t="str">
        <f>IFERROR(__xludf.DUMMYFUNCTION("""COMPUTED_VALUE"""),"")</f>
        <v/>
      </c>
      <c r="G616" s="18" t="str">
        <f>IFERROR(__xludf.DUMMYFUNCTION("""COMPUTED_VALUE"""),"")</f>
        <v/>
      </c>
      <c r="H616" s="18" t="str">
        <f>IFERROR(__xludf.DUMMYFUNCTION("""COMPUTED_VALUE"""),"")</f>
        <v/>
      </c>
      <c r="I616" s="18" t="str">
        <f>IFERROR(__xludf.DUMMYFUNCTION("""COMPUTED_VALUE"""),"")</f>
        <v/>
      </c>
      <c r="J616" s="18" t="str">
        <f>IFERROR(__xludf.DUMMYFUNCTION("""COMPUTED_VALUE"""),"")</f>
        <v/>
      </c>
      <c r="K616" s="19"/>
      <c r="L616" s="19"/>
      <c r="M616" s="19"/>
      <c r="N616" s="19"/>
      <c r="O616" s="19"/>
    </row>
    <row r="617">
      <c r="A617" s="18"/>
      <c r="B617" s="29"/>
      <c r="C617" s="19"/>
      <c r="D617" s="19"/>
      <c r="E617" s="18"/>
      <c r="F617" s="18" t="str">
        <f>IFERROR(__xludf.DUMMYFUNCTION("""COMPUTED_VALUE"""),"")</f>
        <v/>
      </c>
      <c r="G617" s="18" t="str">
        <f>IFERROR(__xludf.DUMMYFUNCTION("""COMPUTED_VALUE"""),"")</f>
        <v/>
      </c>
      <c r="H617" s="18" t="str">
        <f>IFERROR(__xludf.DUMMYFUNCTION("""COMPUTED_VALUE"""),"")</f>
        <v/>
      </c>
      <c r="I617" s="18" t="str">
        <f>IFERROR(__xludf.DUMMYFUNCTION("""COMPUTED_VALUE"""),"")</f>
        <v/>
      </c>
      <c r="J617" s="18" t="str">
        <f>IFERROR(__xludf.DUMMYFUNCTION("""COMPUTED_VALUE"""),"")</f>
        <v/>
      </c>
      <c r="K617" s="19"/>
      <c r="L617" s="19"/>
      <c r="M617" s="19"/>
      <c r="N617" s="19"/>
      <c r="O617" s="19"/>
    </row>
    <row r="618">
      <c r="A618" s="18"/>
      <c r="B618" s="29"/>
      <c r="C618" s="19"/>
      <c r="D618" s="19"/>
      <c r="E618" s="18"/>
      <c r="F618" s="18" t="str">
        <f>IFERROR(__xludf.DUMMYFUNCTION("""COMPUTED_VALUE"""),"")</f>
        <v/>
      </c>
      <c r="G618" s="18" t="str">
        <f>IFERROR(__xludf.DUMMYFUNCTION("""COMPUTED_VALUE"""),"")</f>
        <v/>
      </c>
      <c r="H618" s="18" t="str">
        <f>IFERROR(__xludf.DUMMYFUNCTION("""COMPUTED_VALUE"""),"")</f>
        <v/>
      </c>
      <c r="I618" s="18" t="str">
        <f>IFERROR(__xludf.DUMMYFUNCTION("""COMPUTED_VALUE"""),"")</f>
        <v/>
      </c>
      <c r="J618" s="18" t="str">
        <f>IFERROR(__xludf.DUMMYFUNCTION("""COMPUTED_VALUE"""),"")</f>
        <v/>
      </c>
      <c r="K618" s="19"/>
      <c r="L618" s="19"/>
      <c r="M618" s="19"/>
      <c r="N618" s="19"/>
      <c r="O618" s="19"/>
    </row>
    <row r="619">
      <c r="A619" s="18"/>
      <c r="B619" s="29"/>
      <c r="C619" s="19"/>
      <c r="D619" s="19"/>
      <c r="E619" s="18"/>
      <c r="F619" s="18" t="str">
        <f>IFERROR(__xludf.DUMMYFUNCTION("""COMPUTED_VALUE"""),"")</f>
        <v/>
      </c>
      <c r="G619" s="18" t="str">
        <f>IFERROR(__xludf.DUMMYFUNCTION("""COMPUTED_VALUE"""),"")</f>
        <v/>
      </c>
      <c r="H619" s="18" t="str">
        <f>IFERROR(__xludf.DUMMYFUNCTION("""COMPUTED_VALUE"""),"")</f>
        <v/>
      </c>
      <c r="I619" s="18" t="str">
        <f>IFERROR(__xludf.DUMMYFUNCTION("""COMPUTED_VALUE"""),"")</f>
        <v/>
      </c>
      <c r="J619" s="18" t="str">
        <f>IFERROR(__xludf.DUMMYFUNCTION("""COMPUTED_VALUE"""),"")</f>
        <v/>
      </c>
      <c r="K619" s="19"/>
      <c r="L619" s="19"/>
      <c r="M619" s="19"/>
      <c r="N619" s="19"/>
      <c r="O619" s="19"/>
    </row>
    <row r="620">
      <c r="A620" s="18"/>
      <c r="B620" s="29"/>
      <c r="C620" s="19"/>
      <c r="D620" s="19"/>
      <c r="E620" s="18"/>
      <c r="F620" s="18" t="str">
        <f>IFERROR(__xludf.DUMMYFUNCTION("""COMPUTED_VALUE"""),"")</f>
        <v/>
      </c>
      <c r="G620" s="18" t="str">
        <f>IFERROR(__xludf.DUMMYFUNCTION("""COMPUTED_VALUE"""),"")</f>
        <v/>
      </c>
      <c r="H620" s="18" t="str">
        <f>IFERROR(__xludf.DUMMYFUNCTION("""COMPUTED_VALUE"""),"")</f>
        <v/>
      </c>
      <c r="I620" s="18" t="str">
        <f>IFERROR(__xludf.DUMMYFUNCTION("""COMPUTED_VALUE"""),"")</f>
        <v/>
      </c>
      <c r="J620" s="18" t="str">
        <f>IFERROR(__xludf.DUMMYFUNCTION("""COMPUTED_VALUE"""),"")</f>
        <v/>
      </c>
      <c r="K620" s="19"/>
      <c r="L620" s="19"/>
      <c r="M620" s="19"/>
      <c r="N620" s="19"/>
      <c r="O620" s="19"/>
    </row>
    <row r="621">
      <c r="A621" s="18"/>
      <c r="B621" s="29"/>
      <c r="C621" s="19"/>
      <c r="D621" s="19"/>
      <c r="E621" s="18"/>
      <c r="F621" s="18" t="str">
        <f>IFERROR(__xludf.DUMMYFUNCTION("""COMPUTED_VALUE"""),"")</f>
        <v/>
      </c>
      <c r="G621" s="18" t="str">
        <f>IFERROR(__xludf.DUMMYFUNCTION("""COMPUTED_VALUE"""),"")</f>
        <v/>
      </c>
      <c r="H621" s="18" t="str">
        <f>IFERROR(__xludf.DUMMYFUNCTION("""COMPUTED_VALUE"""),"")</f>
        <v/>
      </c>
      <c r="I621" s="18" t="str">
        <f>IFERROR(__xludf.DUMMYFUNCTION("""COMPUTED_VALUE"""),"")</f>
        <v/>
      </c>
      <c r="J621" s="18" t="str">
        <f>IFERROR(__xludf.DUMMYFUNCTION("""COMPUTED_VALUE"""),"")</f>
        <v/>
      </c>
      <c r="K621" s="19"/>
      <c r="L621" s="19"/>
      <c r="M621" s="19"/>
      <c r="N621" s="19"/>
      <c r="O621" s="19"/>
    </row>
    <row r="622">
      <c r="A622" s="18"/>
      <c r="B622" s="29"/>
      <c r="C622" s="19"/>
      <c r="D622" s="19"/>
      <c r="E622" s="18"/>
      <c r="F622" s="18" t="str">
        <f>IFERROR(__xludf.DUMMYFUNCTION("""COMPUTED_VALUE"""),"")</f>
        <v/>
      </c>
      <c r="G622" s="18" t="str">
        <f>IFERROR(__xludf.DUMMYFUNCTION("""COMPUTED_VALUE"""),"")</f>
        <v/>
      </c>
      <c r="H622" s="18" t="str">
        <f>IFERROR(__xludf.DUMMYFUNCTION("""COMPUTED_VALUE"""),"")</f>
        <v/>
      </c>
      <c r="I622" s="18" t="str">
        <f>IFERROR(__xludf.DUMMYFUNCTION("""COMPUTED_VALUE"""),"")</f>
        <v/>
      </c>
      <c r="J622" s="18" t="str">
        <f>IFERROR(__xludf.DUMMYFUNCTION("""COMPUTED_VALUE"""),"")</f>
        <v/>
      </c>
      <c r="K622" s="19"/>
      <c r="L622" s="19"/>
      <c r="M622" s="19"/>
      <c r="N622" s="19"/>
      <c r="O622" s="19"/>
    </row>
    <row r="623">
      <c r="A623" s="18"/>
      <c r="B623" s="29"/>
      <c r="C623" s="19"/>
      <c r="D623" s="19"/>
      <c r="E623" s="18"/>
      <c r="F623" s="18" t="str">
        <f>IFERROR(__xludf.DUMMYFUNCTION("""COMPUTED_VALUE"""),"")</f>
        <v/>
      </c>
      <c r="G623" s="18" t="str">
        <f>IFERROR(__xludf.DUMMYFUNCTION("""COMPUTED_VALUE"""),"")</f>
        <v/>
      </c>
      <c r="H623" s="18" t="str">
        <f>IFERROR(__xludf.DUMMYFUNCTION("""COMPUTED_VALUE"""),"")</f>
        <v/>
      </c>
      <c r="I623" s="18" t="str">
        <f>IFERROR(__xludf.DUMMYFUNCTION("""COMPUTED_VALUE"""),"")</f>
        <v/>
      </c>
      <c r="J623" s="18" t="str">
        <f>IFERROR(__xludf.DUMMYFUNCTION("""COMPUTED_VALUE"""),"")</f>
        <v/>
      </c>
      <c r="K623" s="19"/>
      <c r="L623" s="19"/>
      <c r="M623" s="19"/>
      <c r="N623" s="19"/>
      <c r="O623" s="19"/>
    </row>
    <row r="624">
      <c r="A624" s="18"/>
      <c r="B624" s="29"/>
      <c r="C624" s="19"/>
      <c r="D624" s="19"/>
      <c r="E624" s="18"/>
      <c r="F624" s="18" t="str">
        <f>IFERROR(__xludf.DUMMYFUNCTION("""COMPUTED_VALUE"""),"")</f>
        <v/>
      </c>
      <c r="G624" s="18" t="str">
        <f>IFERROR(__xludf.DUMMYFUNCTION("""COMPUTED_VALUE"""),"")</f>
        <v/>
      </c>
      <c r="H624" s="18" t="str">
        <f>IFERROR(__xludf.DUMMYFUNCTION("""COMPUTED_VALUE"""),"")</f>
        <v/>
      </c>
      <c r="I624" s="18" t="str">
        <f>IFERROR(__xludf.DUMMYFUNCTION("""COMPUTED_VALUE"""),"")</f>
        <v/>
      </c>
      <c r="J624" s="18" t="str">
        <f>IFERROR(__xludf.DUMMYFUNCTION("""COMPUTED_VALUE"""),"")</f>
        <v/>
      </c>
      <c r="K624" s="19"/>
      <c r="L624" s="19"/>
      <c r="M624" s="19"/>
      <c r="N624" s="19"/>
      <c r="O624" s="19"/>
    </row>
    <row r="625">
      <c r="A625" s="18"/>
      <c r="B625" s="29"/>
      <c r="C625" s="19"/>
      <c r="D625" s="19"/>
      <c r="E625" s="18"/>
      <c r="F625" s="18" t="str">
        <f>IFERROR(__xludf.DUMMYFUNCTION("""COMPUTED_VALUE"""),"")</f>
        <v/>
      </c>
      <c r="G625" s="18" t="str">
        <f>IFERROR(__xludf.DUMMYFUNCTION("""COMPUTED_VALUE"""),"")</f>
        <v/>
      </c>
      <c r="H625" s="18" t="str">
        <f>IFERROR(__xludf.DUMMYFUNCTION("""COMPUTED_VALUE"""),"")</f>
        <v/>
      </c>
      <c r="I625" s="18" t="str">
        <f>IFERROR(__xludf.DUMMYFUNCTION("""COMPUTED_VALUE"""),"")</f>
        <v/>
      </c>
      <c r="J625" s="18" t="str">
        <f>IFERROR(__xludf.DUMMYFUNCTION("""COMPUTED_VALUE"""),"")</f>
        <v/>
      </c>
      <c r="K625" s="19"/>
      <c r="L625" s="19"/>
      <c r="M625" s="19"/>
      <c r="N625" s="19"/>
      <c r="O625" s="19"/>
    </row>
    <row r="626">
      <c r="A626" s="18"/>
      <c r="B626" s="29"/>
      <c r="C626" s="19"/>
      <c r="D626" s="19"/>
      <c r="E626" s="18"/>
      <c r="F626" s="18" t="str">
        <f>IFERROR(__xludf.DUMMYFUNCTION("""COMPUTED_VALUE"""),"")</f>
        <v/>
      </c>
      <c r="G626" s="18" t="str">
        <f>IFERROR(__xludf.DUMMYFUNCTION("""COMPUTED_VALUE"""),"")</f>
        <v/>
      </c>
      <c r="H626" s="18" t="str">
        <f>IFERROR(__xludf.DUMMYFUNCTION("""COMPUTED_VALUE"""),"")</f>
        <v/>
      </c>
      <c r="I626" s="18" t="str">
        <f>IFERROR(__xludf.DUMMYFUNCTION("""COMPUTED_VALUE"""),"")</f>
        <v/>
      </c>
      <c r="J626" s="18" t="str">
        <f>IFERROR(__xludf.DUMMYFUNCTION("""COMPUTED_VALUE"""),"")</f>
        <v/>
      </c>
      <c r="K626" s="19"/>
      <c r="L626" s="19"/>
      <c r="M626" s="19"/>
      <c r="N626" s="19"/>
      <c r="O626" s="19"/>
    </row>
    <row r="627">
      <c r="A627" s="18"/>
      <c r="B627" s="29"/>
      <c r="C627" s="19"/>
      <c r="D627" s="19"/>
      <c r="E627" s="18"/>
      <c r="F627" s="18" t="str">
        <f>IFERROR(__xludf.DUMMYFUNCTION("""COMPUTED_VALUE"""),"")</f>
        <v/>
      </c>
      <c r="G627" s="18" t="str">
        <f>IFERROR(__xludf.DUMMYFUNCTION("""COMPUTED_VALUE"""),"")</f>
        <v/>
      </c>
      <c r="H627" s="18" t="str">
        <f>IFERROR(__xludf.DUMMYFUNCTION("""COMPUTED_VALUE"""),"")</f>
        <v/>
      </c>
      <c r="I627" s="18" t="str">
        <f>IFERROR(__xludf.DUMMYFUNCTION("""COMPUTED_VALUE"""),"")</f>
        <v/>
      </c>
      <c r="J627" s="18" t="str">
        <f>IFERROR(__xludf.DUMMYFUNCTION("""COMPUTED_VALUE"""),"")</f>
        <v/>
      </c>
      <c r="K627" s="19"/>
      <c r="L627" s="19"/>
      <c r="M627" s="19"/>
      <c r="N627" s="19"/>
      <c r="O627" s="19"/>
    </row>
    <row r="628">
      <c r="A628" s="18"/>
      <c r="B628" s="29"/>
      <c r="C628" s="19"/>
      <c r="D628" s="19"/>
      <c r="E628" s="18"/>
      <c r="F628" s="18" t="str">
        <f>IFERROR(__xludf.DUMMYFUNCTION("""COMPUTED_VALUE"""),"")</f>
        <v/>
      </c>
      <c r="G628" s="18" t="str">
        <f>IFERROR(__xludf.DUMMYFUNCTION("""COMPUTED_VALUE"""),"")</f>
        <v/>
      </c>
      <c r="H628" s="18" t="str">
        <f>IFERROR(__xludf.DUMMYFUNCTION("""COMPUTED_VALUE"""),"")</f>
        <v/>
      </c>
      <c r="I628" s="18" t="str">
        <f>IFERROR(__xludf.DUMMYFUNCTION("""COMPUTED_VALUE"""),"")</f>
        <v/>
      </c>
      <c r="J628" s="18" t="str">
        <f>IFERROR(__xludf.DUMMYFUNCTION("""COMPUTED_VALUE"""),"")</f>
        <v/>
      </c>
      <c r="K628" s="19"/>
      <c r="L628" s="19"/>
      <c r="M628" s="19"/>
      <c r="N628" s="19"/>
      <c r="O628" s="19"/>
    </row>
    <row r="629">
      <c r="A629" s="18"/>
      <c r="B629" s="29"/>
      <c r="C629" s="19"/>
      <c r="D629" s="19"/>
      <c r="E629" s="18"/>
      <c r="F629" s="18" t="str">
        <f>IFERROR(__xludf.DUMMYFUNCTION("""COMPUTED_VALUE"""),"")</f>
        <v/>
      </c>
      <c r="G629" s="18" t="str">
        <f>IFERROR(__xludf.DUMMYFUNCTION("""COMPUTED_VALUE"""),"")</f>
        <v/>
      </c>
      <c r="H629" s="18" t="str">
        <f>IFERROR(__xludf.DUMMYFUNCTION("""COMPUTED_VALUE"""),"")</f>
        <v/>
      </c>
      <c r="I629" s="18" t="str">
        <f>IFERROR(__xludf.DUMMYFUNCTION("""COMPUTED_VALUE"""),"")</f>
        <v/>
      </c>
      <c r="J629" s="18" t="str">
        <f>IFERROR(__xludf.DUMMYFUNCTION("""COMPUTED_VALUE"""),"")</f>
        <v/>
      </c>
      <c r="K629" s="19"/>
      <c r="L629" s="19"/>
      <c r="M629" s="19"/>
      <c r="N629" s="19"/>
      <c r="O629" s="19"/>
    </row>
    <row r="630">
      <c r="A630" s="18"/>
      <c r="B630" s="29"/>
      <c r="C630" s="19"/>
      <c r="D630" s="19"/>
      <c r="E630" s="18"/>
      <c r="F630" s="18" t="str">
        <f>IFERROR(__xludf.DUMMYFUNCTION("""COMPUTED_VALUE"""),"")</f>
        <v/>
      </c>
      <c r="G630" s="18" t="str">
        <f>IFERROR(__xludf.DUMMYFUNCTION("""COMPUTED_VALUE"""),"")</f>
        <v/>
      </c>
      <c r="H630" s="18" t="str">
        <f>IFERROR(__xludf.DUMMYFUNCTION("""COMPUTED_VALUE"""),"")</f>
        <v/>
      </c>
      <c r="I630" s="18" t="str">
        <f>IFERROR(__xludf.DUMMYFUNCTION("""COMPUTED_VALUE"""),"")</f>
        <v/>
      </c>
      <c r="J630" s="18" t="str">
        <f>IFERROR(__xludf.DUMMYFUNCTION("""COMPUTED_VALUE"""),"")</f>
        <v/>
      </c>
      <c r="K630" s="19"/>
      <c r="L630" s="19"/>
      <c r="M630" s="19"/>
      <c r="N630" s="19"/>
      <c r="O630" s="19"/>
    </row>
    <row r="631">
      <c r="A631" s="18"/>
      <c r="B631" s="29"/>
      <c r="C631" s="19"/>
      <c r="D631" s="19"/>
      <c r="E631" s="18"/>
      <c r="F631" s="18" t="str">
        <f>IFERROR(__xludf.DUMMYFUNCTION("""COMPUTED_VALUE"""),"")</f>
        <v/>
      </c>
      <c r="G631" s="18" t="str">
        <f>IFERROR(__xludf.DUMMYFUNCTION("""COMPUTED_VALUE"""),"")</f>
        <v/>
      </c>
      <c r="H631" s="18" t="str">
        <f>IFERROR(__xludf.DUMMYFUNCTION("""COMPUTED_VALUE"""),"")</f>
        <v/>
      </c>
      <c r="I631" s="18" t="str">
        <f>IFERROR(__xludf.DUMMYFUNCTION("""COMPUTED_VALUE"""),"")</f>
        <v/>
      </c>
      <c r="J631" s="18" t="str">
        <f>IFERROR(__xludf.DUMMYFUNCTION("""COMPUTED_VALUE"""),"")</f>
        <v/>
      </c>
      <c r="K631" s="19"/>
      <c r="L631" s="19"/>
      <c r="M631" s="19"/>
      <c r="N631" s="19"/>
      <c r="O631" s="19"/>
    </row>
    <row r="632">
      <c r="A632" s="18"/>
      <c r="B632" s="29"/>
      <c r="C632" s="19"/>
      <c r="D632" s="19"/>
      <c r="E632" s="18"/>
      <c r="F632" s="18" t="str">
        <f>IFERROR(__xludf.DUMMYFUNCTION("""COMPUTED_VALUE"""),"")</f>
        <v/>
      </c>
      <c r="G632" s="18" t="str">
        <f>IFERROR(__xludf.DUMMYFUNCTION("""COMPUTED_VALUE"""),"")</f>
        <v/>
      </c>
      <c r="H632" s="18" t="str">
        <f>IFERROR(__xludf.DUMMYFUNCTION("""COMPUTED_VALUE"""),"")</f>
        <v/>
      </c>
      <c r="I632" s="18" t="str">
        <f>IFERROR(__xludf.DUMMYFUNCTION("""COMPUTED_VALUE"""),"")</f>
        <v/>
      </c>
      <c r="J632" s="18" t="str">
        <f>IFERROR(__xludf.DUMMYFUNCTION("""COMPUTED_VALUE"""),"")</f>
        <v/>
      </c>
      <c r="K632" s="19"/>
      <c r="L632" s="19"/>
      <c r="M632" s="19"/>
      <c r="N632" s="19"/>
      <c r="O632" s="19"/>
    </row>
    <row r="633">
      <c r="A633" s="18"/>
      <c r="B633" s="29"/>
      <c r="C633" s="19"/>
      <c r="D633" s="19"/>
      <c r="E633" s="18"/>
      <c r="F633" s="18" t="str">
        <f>IFERROR(__xludf.DUMMYFUNCTION("""COMPUTED_VALUE"""),"")</f>
        <v/>
      </c>
      <c r="G633" s="18" t="str">
        <f>IFERROR(__xludf.DUMMYFUNCTION("""COMPUTED_VALUE"""),"")</f>
        <v/>
      </c>
      <c r="H633" s="18" t="str">
        <f>IFERROR(__xludf.DUMMYFUNCTION("""COMPUTED_VALUE"""),"")</f>
        <v/>
      </c>
      <c r="I633" s="18" t="str">
        <f>IFERROR(__xludf.DUMMYFUNCTION("""COMPUTED_VALUE"""),"")</f>
        <v/>
      </c>
      <c r="J633" s="18" t="str">
        <f>IFERROR(__xludf.DUMMYFUNCTION("""COMPUTED_VALUE"""),"")</f>
        <v/>
      </c>
      <c r="K633" s="19"/>
      <c r="L633" s="19"/>
      <c r="M633" s="19"/>
      <c r="N633" s="19"/>
      <c r="O633" s="19"/>
    </row>
    <row r="634">
      <c r="A634" s="18"/>
      <c r="B634" s="29"/>
      <c r="C634" s="19"/>
      <c r="D634" s="19"/>
      <c r="E634" s="18"/>
      <c r="F634" s="18" t="str">
        <f>IFERROR(__xludf.DUMMYFUNCTION("""COMPUTED_VALUE"""),"")</f>
        <v/>
      </c>
      <c r="G634" s="18" t="str">
        <f>IFERROR(__xludf.DUMMYFUNCTION("""COMPUTED_VALUE"""),"")</f>
        <v/>
      </c>
      <c r="H634" s="18" t="str">
        <f>IFERROR(__xludf.DUMMYFUNCTION("""COMPUTED_VALUE"""),"")</f>
        <v/>
      </c>
      <c r="I634" s="18" t="str">
        <f>IFERROR(__xludf.DUMMYFUNCTION("""COMPUTED_VALUE"""),"")</f>
        <v/>
      </c>
      <c r="J634" s="18" t="str">
        <f>IFERROR(__xludf.DUMMYFUNCTION("""COMPUTED_VALUE"""),"")</f>
        <v/>
      </c>
      <c r="K634" s="19"/>
      <c r="L634" s="19"/>
      <c r="M634" s="19"/>
      <c r="N634" s="19"/>
      <c r="O634" s="19"/>
    </row>
    <row r="635">
      <c r="A635" s="18"/>
      <c r="B635" s="29"/>
      <c r="C635" s="19"/>
      <c r="D635" s="19"/>
      <c r="E635" s="18"/>
      <c r="F635" s="18" t="str">
        <f>IFERROR(__xludf.DUMMYFUNCTION("""COMPUTED_VALUE"""),"")</f>
        <v/>
      </c>
      <c r="G635" s="18" t="str">
        <f>IFERROR(__xludf.DUMMYFUNCTION("""COMPUTED_VALUE"""),"")</f>
        <v/>
      </c>
      <c r="H635" s="18" t="str">
        <f>IFERROR(__xludf.DUMMYFUNCTION("""COMPUTED_VALUE"""),"")</f>
        <v/>
      </c>
      <c r="I635" s="18" t="str">
        <f>IFERROR(__xludf.DUMMYFUNCTION("""COMPUTED_VALUE"""),"")</f>
        <v/>
      </c>
      <c r="J635" s="18" t="str">
        <f>IFERROR(__xludf.DUMMYFUNCTION("""COMPUTED_VALUE"""),"")</f>
        <v/>
      </c>
      <c r="K635" s="19"/>
      <c r="L635" s="19"/>
      <c r="M635" s="19"/>
      <c r="N635" s="19"/>
      <c r="O635" s="19"/>
    </row>
    <row r="636">
      <c r="A636" s="18"/>
      <c r="B636" s="29"/>
      <c r="C636" s="19"/>
      <c r="D636" s="19"/>
      <c r="E636" s="18"/>
      <c r="F636" s="18" t="str">
        <f>IFERROR(__xludf.DUMMYFUNCTION("""COMPUTED_VALUE"""),"")</f>
        <v/>
      </c>
      <c r="G636" s="18" t="str">
        <f>IFERROR(__xludf.DUMMYFUNCTION("""COMPUTED_VALUE"""),"")</f>
        <v/>
      </c>
      <c r="H636" s="18" t="str">
        <f>IFERROR(__xludf.DUMMYFUNCTION("""COMPUTED_VALUE"""),"")</f>
        <v/>
      </c>
      <c r="I636" s="18" t="str">
        <f>IFERROR(__xludf.DUMMYFUNCTION("""COMPUTED_VALUE"""),"")</f>
        <v/>
      </c>
      <c r="J636" s="18" t="str">
        <f>IFERROR(__xludf.DUMMYFUNCTION("""COMPUTED_VALUE"""),"")</f>
        <v/>
      </c>
      <c r="K636" s="19"/>
      <c r="L636" s="19"/>
      <c r="M636" s="19"/>
      <c r="N636" s="19"/>
      <c r="O636" s="19"/>
    </row>
    <row r="637">
      <c r="A637" s="18"/>
      <c r="B637" s="29"/>
      <c r="C637" s="19"/>
      <c r="D637" s="19"/>
      <c r="E637" s="18"/>
      <c r="F637" s="18" t="str">
        <f>IFERROR(__xludf.DUMMYFUNCTION("""COMPUTED_VALUE"""),"")</f>
        <v/>
      </c>
      <c r="G637" s="18" t="str">
        <f>IFERROR(__xludf.DUMMYFUNCTION("""COMPUTED_VALUE"""),"")</f>
        <v/>
      </c>
      <c r="H637" s="18" t="str">
        <f>IFERROR(__xludf.DUMMYFUNCTION("""COMPUTED_VALUE"""),"")</f>
        <v/>
      </c>
      <c r="I637" s="18" t="str">
        <f>IFERROR(__xludf.DUMMYFUNCTION("""COMPUTED_VALUE"""),"")</f>
        <v/>
      </c>
      <c r="J637" s="18" t="str">
        <f>IFERROR(__xludf.DUMMYFUNCTION("""COMPUTED_VALUE"""),"")</f>
        <v/>
      </c>
      <c r="K637" s="19"/>
      <c r="L637" s="19"/>
      <c r="M637" s="19"/>
      <c r="N637" s="19"/>
      <c r="O637" s="19"/>
    </row>
    <row r="638">
      <c r="A638" s="18"/>
      <c r="B638" s="29"/>
      <c r="C638" s="19"/>
      <c r="D638" s="19"/>
      <c r="E638" s="18"/>
      <c r="F638" s="18" t="str">
        <f>IFERROR(__xludf.DUMMYFUNCTION("""COMPUTED_VALUE"""),"")</f>
        <v/>
      </c>
      <c r="G638" s="18" t="str">
        <f>IFERROR(__xludf.DUMMYFUNCTION("""COMPUTED_VALUE"""),"")</f>
        <v/>
      </c>
      <c r="H638" s="18" t="str">
        <f>IFERROR(__xludf.DUMMYFUNCTION("""COMPUTED_VALUE"""),"")</f>
        <v/>
      </c>
      <c r="I638" s="18" t="str">
        <f>IFERROR(__xludf.DUMMYFUNCTION("""COMPUTED_VALUE"""),"")</f>
        <v/>
      </c>
      <c r="J638" s="18" t="str">
        <f>IFERROR(__xludf.DUMMYFUNCTION("""COMPUTED_VALUE"""),"")</f>
        <v/>
      </c>
      <c r="K638" s="19"/>
      <c r="L638" s="19"/>
      <c r="M638" s="19"/>
      <c r="N638" s="19"/>
      <c r="O638" s="19"/>
    </row>
    <row r="639">
      <c r="A639" s="18"/>
      <c r="B639" s="29"/>
      <c r="C639" s="19"/>
      <c r="D639" s="19"/>
      <c r="E639" s="18"/>
      <c r="F639" s="18" t="str">
        <f>IFERROR(__xludf.DUMMYFUNCTION("""COMPUTED_VALUE"""),"")</f>
        <v/>
      </c>
      <c r="G639" s="18" t="str">
        <f>IFERROR(__xludf.DUMMYFUNCTION("""COMPUTED_VALUE"""),"")</f>
        <v/>
      </c>
      <c r="H639" s="18" t="str">
        <f>IFERROR(__xludf.DUMMYFUNCTION("""COMPUTED_VALUE"""),"")</f>
        <v/>
      </c>
      <c r="I639" s="18" t="str">
        <f>IFERROR(__xludf.DUMMYFUNCTION("""COMPUTED_VALUE"""),"")</f>
        <v/>
      </c>
      <c r="J639" s="18" t="str">
        <f>IFERROR(__xludf.DUMMYFUNCTION("""COMPUTED_VALUE"""),"")</f>
        <v/>
      </c>
      <c r="K639" s="19"/>
      <c r="L639" s="19"/>
      <c r="M639" s="19"/>
      <c r="N639" s="19"/>
      <c r="O639" s="19"/>
    </row>
    <row r="640">
      <c r="A640" s="18"/>
      <c r="B640" s="29"/>
      <c r="C640" s="19"/>
      <c r="D640" s="19"/>
      <c r="E640" s="18"/>
      <c r="F640" s="18" t="str">
        <f>IFERROR(__xludf.DUMMYFUNCTION("""COMPUTED_VALUE"""),"")</f>
        <v/>
      </c>
      <c r="G640" s="18" t="str">
        <f>IFERROR(__xludf.DUMMYFUNCTION("""COMPUTED_VALUE"""),"")</f>
        <v/>
      </c>
      <c r="H640" s="18" t="str">
        <f>IFERROR(__xludf.DUMMYFUNCTION("""COMPUTED_VALUE"""),"")</f>
        <v/>
      </c>
      <c r="I640" s="18" t="str">
        <f>IFERROR(__xludf.DUMMYFUNCTION("""COMPUTED_VALUE"""),"")</f>
        <v/>
      </c>
      <c r="J640" s="18" t="str">
        <f>IFERROR(__xludf.DUMMYFUNCTION("""COMPUTED_VALUE"""),"")</f>
        <v/>
      </c>
      <c r="K640" s="19"/>
      <c r="L640" s="19"/>
      <c r="M640" s="19"/>
      <c r="N640" s="19"/>
      <c r="O640" s="19"/>
    </row>
    <row r="641">
      <c r="A641" s="18"/>
      <c r="B641" s="29"/>
      <c r="C641" s="19"/>
      <c r="D641" s="19"/>
      <c r="E641" s="18"/>
      <c r="F641" s="18" t="str">
        <f>IFERROR(__xludf.DUMMYFUNCTION("""COMPUTED_VALUE"""),"")</f>
        <v/>
      </c>
      <c r="G641" s="18" t="str">
        <f>IFERROR(__xludf.DUMMYFUNCTION("""COMPUTED_VALUE"""),"")</f>
        <v/>
      </c>
      <c r="H641" s="18" t="str">
        <f>IFERROR(__xludf.DUMMYFUNCTION("""COMPUTED_VALUE"""),"")</f>
        <v/>
      </c>
      <c r="I641" s="18" t="str">
        <f>IFERROR(__xludf.DUMMYFUNCTION("""COMPUTED_VALUE"""),"")</f>
        <v/>
      </c>
      <c r="J641" s="18" t="str">
        <f>IFERROR(__xludf.DUMMYFUNCTION("""COMPUTED_VALUE"""),"")</f>
        <v/>
      </c>
      <c r="K641" s="19"/>
      <c r="L641" s="19"/>
      <c r="M641" s="19"/>
      <c r="N641" s="19"/>
      <c r="O641" s="19"/>
    </row>
    <row r="642">
      <c r="A642" s="18"/>
      <c r="B642" s="29"/>
      <c r="C642" s="19"/>
      <c r="D642" s="19"/>
      <c r="E642" s="18"/>
      <c r="F642" s="18" t="str">
        <f>IFERROR(__xludf.DUMMYFUNCTION("""COMPUTED_VALUE"""),"")</f>
        <v/>
      </c>
      <c r="G642" s="18" t="str">
        <f>IFERROR(__xludf.DUMMYFUNCTION("""COMPUTED_VALUE"""),"")</f>
        <v/>
      </c>
      <c r="H642" s="18" t="str">
        <f>IFERROR(__xludf.DUMMYFUNCTION("""COMPUTED_VALUE"""),"")</f>
        <v/>
      </c>
      <c r="I642" s="18" t="str">
        <f>IFERROR(__xludf.DUMMYFUNCTION("""COMPUTED_VALUE"""),"")</f>
        <v/>
      </c>
      <c r="J642" s="18" t="str">
        <f>IFERROR(__xludf.DUMMYFUNCTION("""COMPUTED_VALUE"""),"")</f>
        <v/>
      </c>
      <c r="K642" s="19"/>
      <c r="L642" s="19"/>
      <c r="M642" s="19"/>
      <c r="N642" s="19"/>
      <c r="O642" s="19"/>
    </row>
    <row r="643">
      <c r="A643" s="18"/>
      <c r="B643" s="29"/>
      <c r="C643" s="19"/>
      <c r="D643" s="19"/>
      <c r="E643" s="18"/>
      <c r="F643" s="18" t="str">
        <f>IFERROR(__xludf.DUMMYFUNCTION("""COMPUTED_VALUE"""),"")</f>
        <v/>
      </c>
      <c r="G643" s="18" t="str">
        <f>IFERROR(__xludf.DUMMYFUNCTION("""COMPUTED_VALUE"""),"")</f>
        <v/>
      </c>
      <c r="H643" s="18" t="str">
        <f>IFERROR(__xludf.DUMMYFUNCTION("""COMPUTED_VALUE"""),"")</f>
        <v/>
      </c>
      <c r="I643" s="18" t="str">
        <f>IFERROR(__xludf.DUMMYFUNCTION("""COMPUTED_VALUE"""),"")</f>
        <v/>
      </c>
      <c r="J643" s="18" t="str">
        <f>IFERROR(__xludf.DUMMYFUNCTION("""COMPUTED_VALUE"""),"")</f>
        <v/>
      </c>
      <c r="K643" s="19"/>
      <c r="L643" s="19"/>
      <c r="M643" s="19"/>
      <c r="N643" s="19"/>
      <c r="O643" s="19"/>
    </row>
    <row r="644">
      <c r="A644" s="18"/>
      <c r="B644" s="29"/>
      <c r="C644" s="19"/>
      <c r="D644" s="19"/>
      <c r="E644" s="18"/>
      <c r="F644" s="18" t="str">
        <f>IFERROR(__xludf.DUMMYFUNCTION("""COMPUTED_VALUE"""),"")</f>
        <v/>
      </c>
      <c r="G644" s="18" t="str">
        <f>IFERROR(__xludf.DUMMYFUNCTION("""COMPUTED_VALUE"""),"")</f>
        <v/>
      </c>
      <c r="H644" s="18" t="str">
        <f>IFERROR(__xludf.DUMMYFUNCTION("""COMPUTED_VALUE"""),"")</f>
        <v/>
      </c>
      <c r="I644" s="18" t="str">
        <f>IFERROR(__xludf.DUMMYFUNCTION("""COMPUTED_VALUE"""),"")</f>
        <v/>
      </c>
      <c r="J644" s="18" t="str">
        <f>IFERROR(__xludf.DUMMYFUNCTION("""COMPUTED_VALUE"""),"")</f>
        <v/>
      </c>
      <c r="K644" s="19"/>
      <c r="L644" s="19"/>
      <c r="M644" s="19"/>
      <c r="N644" s="19"/>
      <c r="O644" s="19"/>
    </row>
    <row r="645">
      <c r="A645" s="18"/>
      <c r="B645" s="29"/>
      <c r="C645" s="19"/>
      <c r="D645" s="19"/>
      <c r="E645" s="18"/>
      <c r="F645" s="18" t="str">
        <f>IFERROR(__xludf.DUMMYFUNCTION("""COMPUTED_VALUE"""),"")</f>
        <v/>
      </c>
      <c r="G645" s="18" t="str">
        <f>IFERROR(__xludf.DUMMYFUNCTION("""COMPUTED_VALUE"""),"")</f>
        <v/>
      </c>
      <c r="H645" s="18" t="str">
        <f>IFERROR(__xludf.DUMMYFUNCTION("""COMPUTED_VALUE"""),"")</f>
        <v/>
      </c>
      <c r="I645" s="18" t="str">
        <f>IFERROR(__xludf.DUMMYFUNCTION("""COMPUTED_VALUE"""),"")</f>
        <v/>
      </c>
      <c r="J645" s="18" t="str">
        <f>IFERROR(__xludf.DUMMYFUNCTION("""COMPUTED_VALUE"""),"")</f>
        <v/>
      </c>
      <c r="K645" s="19"/>
      <c r="L645" s="19"/>
      <c r="M645" s="19"/>
      <c r="N645" s="19"/>
      <c r="O645" s="19"/>
    </row>
    <row r="646">
      <c r="A646" s="18"/>
      <c r="B646" s="29"/>
      <c r="C646" s="19"/>
      <c r="D646" s="19"/>
      <c r="E646" s="18"/>
      <c r="F646" s="18" t="str">
        <f>IFERROR(__xludf.DUMMYFUNCTION("""COMPUTED_VALUE"""),"")</f>
        <v/>
      </c>
      <c r="G646" s="18" t="str">
        <f>IFERROR(__xludf.DUMMYFUNCTION("""COMPUTED_VALUE"""),"")</f>
        <v/>
      </c>
      <c r="H646" s="18" t="str">
        <f>IFERROR(__xludf.DUMMYFUNCTION("""COMPUTED_VALUE"""),"")</f>
        <v/>
      </c>
      <c r="I646" s="18" t="str">
        <f>IFERROR(__xludf.DUMMYFUNCTION("""COMPUTED_VALUE"""),"")</f>
        <v/>
      </c>
      <c r="J646" s="18" t="str">
        <f>IFERROR(__xludf.DUMMYFUNCTION("""COMPUTED_VALUE"""),"")</f>
        <v/>
      </c>
      <c r="K646" s="19"/>
      <c r="L646" s="19"/>
      <c r="M646" s="19"/>
      <c r="N646" s="19"/>
      <c r="O646" s="19"/>
    </row>
    <row r="647">
      <c r="A647" s="18"/>
      <c r="B647" s="29"/>
      <c r="C647" s="19"/>
      <c r="D647" s="19"/>
      <c r="E647" s="18"/>
      <c r="F647" s="18" t="str">
        <f>IFERROR(__xludf.DUMMYFUNCTION("""COMPUTED_VALUE"""),"")</f>
        <v/>
      </c>
      <c r="G647" s="18" t="str">
        <f>IFERROR(__xludf.DUMMYFUNCTION("""COMPUTED_VALUE"""),"")</f>
        <v/>
      </c>
      <c r="H647" s="18" t="str">
        <f>IFERROR(__xludf.DUMMYFUNCTION("""COMPUTED_VALUE"""),"")</f>
        <v/>
      </c>
      <c r="I647" s="18" t="str">
        <f>IFERROR(__xludf.DUMMYFUNCTION("""COMPUTED_VALUE"""),"")</f>
        <v/>
      </c>
      <c r="J647" s="18" t="str">
        <f>IFERROR(__xludf.DUMMYFUNCTION("""COMPUTED_VALUE"""),"")</f>
        <v/>
      </c>
      <c r="K647" s="19"/>
      <c r="L647" s="19"/>
      <c r="M647" s="19"/>
      <c r="N647" s="19"/>
      <c r="O647" s="19"/>
    </row>
    <row r="648">
      <c r="A648" s="18"/>
      <c r="B648" s="29"/>
      <c r="C648" s="19"/>
      <c r="D648" s="19"/>
      <c r="E648" s="18"/>
      <c r="F648" s="18" t="str">
        <f>IFERROR(__xludf.DUMMYFUNCTION("""COMPUTED_VALUE"""),"")</f>
        <v/>
      </c>
      <c r="G648" s="18" t="str">
        <f>IFERROR(__xludf.DUMMYFUNCTION("""COMPUTED_VALUE"""),"")</f>
        <v/>
      </c>
      <c r="H648" s="18" t="str">
        <f>IFERROR(__xludf.DUMMYFUNCTION("""COMPUTED_VALUE"""),"")</f>
        <v/>
      </c>
      <c r="I648" s="18" t="str">
        <f>IFERROR(__xludf.DUMMYFUNCTION("""COMPUTED_VALUE"""),"")</f>
        <v/>
      </c>
      <c r="J648" s="18" t="str">
        <f>IFERROR(__xludf.DUMMYFUNCTION("""COMPUTED_VALUE"""),"")</f>
        <v/>
      </c>
      <c r="K648" s="19"/>
      <c r="L648" s="19"/>
      <c r="M648" s="19"/>
      <c r="N648" s="19"/>
      <c r="O648" s="19"/>
    </row>
    <row r="649">
      <c r="A649" s="18"/>
      <c r="B649" s="29"/>
      <c r="C649" s="19"/>
      <c r="D649" s="19"/>
      <c r="E649" s="18"/>
      <c r="F649" s="18" t="str">
        <f>IFERROR(__xludf.DUMMYFUNCTION("""COMPUTED_VALUE"""),"")</f>
        <v/>
      </c>
      <c r="G649" s="18" t="str">
        <f>IFERROR(__xludf.DUMMYFUNCTION("""COMPUTED_VALUE"""),"")</f>
        <v/>
      </c>
      <c r="H649" s="18" t="str">
        <f>IFERROR(__xludf.DUMMYFUNCTION("""COMPUTED_VALUE"""),"")</f>
        <v/>
      </c>
      <c r="I649" s="18" t="str">
        <f>IFERROR(__xludf.DUMMYFUNCTION("""COMPUTED_VALUE"""),"")</f>
        <v/>
      </c>
      <c r="J649" s="18" t="str">
        <f>IFERROR(__xludf.DUMMYFUNCTION("""COMPUTED_VALUE"""),"")</f>
        <v/>
      </c>
      <c r="K649" s="19"/>
      <c r="L649" s="19"/>
      <c r="M649" s="19"/>
      <c r="N649" s="19"/>
      <c r="O649" s="19"/>
    </row>
    <row r="650">
      <c r="A650" s="18"/>
      <c r="B650" s="29"/>
      <c r="C650" s="19"/>
      <c r="D650" s="19"/>
      <c r="E650" s="18"/>
      <c r="F650" s="18" t="str">
        <f>IFERROR(__xludf.DUMMYFUNCTION("""COMPUTED_VALUE"""),"")</f>
        <v/>
      </c>
      <c r="G650" s="18" t="str">
        <f>IFERROR(__xludf.DUMMYFUNCTION("""COMPUTED_VALUE"""),"")</f>
        <v/>
      </c>
      <c r="H650" s="18" t="str">
        <f>IFERROR(__xludf.DUMMYFUNCTION("""COMPUTED_VALUE"""),"")</f>
        <v/>
      </c>
      <c r="I650" s="18" t="str">
        <f>IFERROR(__xludf.DUMMYFUNCTION("""COMPUTED_VALUE"""),"")</f>
        <v/>
      </c>
      <c r="J650" s="18" t="str">
        <f>IFERROR(__xludf.DUMMYFUNCTION("""COMPUTED_VALUE"""),"")</f>
        <v/>
      </c>
      <c r="K650" s="19"/>
      <c r="L650" s="19"/>
      <c r="M650" s="19"/>
      <c r="N650" s="19"/>
      <c r="O650" s="19"/>
    </row>
    <row r="651">
      <c r="A651" s="18"/>
      <c r="B651" s="29"/>
      <c r="C651" s="19"/>
      <c r="D651" s="19"/>
      <c r="E651" s="18"/>
      <c r="F651" s="18" t="str">
        <f>IFERROR(__xludf.DUMMYFUNCTION("""COMPUTED_VALUE"""),"")</f>
        <v/>
      </c>
      <c r="G651" s="18" t="str">
        <f>IFERROR(__xludf.DUMMYFUNCTION("""COMPUTED_VALUE"""),"")</f>
        <v/>
      </c>
      <c r="H651" s="18" t="str">
        <f>IFERROR(__xludf.DUMMYFUNCTION("""COMPUTED_VALUE"""),"")</f>
        <v/>
      </c>
      <c r="I651" s="18" t="str">
        <f>IFERROR(__xludf.DUMMYFUNCTION("""COMPUTED_VALUE"""),"")</f>
        <v/>
      </c>
      <c r="J651" s="18" t="str">
        <f>IFERROR(__xludf.DUMMYFUNCTION("""COMPUTED_VALUE"""),"")</f>
        <v/>
      </c>
      <c r="K651" s="19"/>
      <c r="L651" s="19"/>
      <c r="M651" s="19"/>
      <c r="N651" s="19"/>
      <c r="O651" s="19"/>
    </row>
    <row r="652">
      <c r="A652" s="18"/>
      <c r="B652" s="29"/>
      <c r="C652" s="19"/>
      <c r="D652" s="19"/>
      <c r="E652" s="18"/>
      <c r="F652" s="18" t="str">
        <f>IFERROR(__xludf.DUMMYFUNCTION("""COMPUTED_VALUE"""),"")</f>
        <v/>
      </c>
      <c r="G652" s="18" t="str">
        <f>IFERROR(__xludf.DUMMYFUNCTION("""COMPUTED_VALUE"""),"")</f>
        <v/>
      </c>
      <c r="H652" s="18" t="str">
        <f>IFERROR(__xludf.DUMMYFUNCTION("""COMPUTED_VALUE"""),"")</f>
        <v/>
      </c>
      <c r="I652" s="18" t="str">
        <f>IFERROR(__xludf.DUMMYFUNCTION("""COMPUTED_VALUE"""),"")</f>
        <v/>
      </c>
      <c r="J652" s="18" t="str">
        <f>IFERROR(__xludf.DUMMYFUNCTION("""COMPUTED_VALUE"""),"")</f>
        <v/>
      </c>
      <c r="K652" s="19"/>
      <c r="L652" s="19"/>
      <c r="M652" s="19"/>
      <c r="N652" s="19"/>
      <c r="O652" s="19"/>
    </row>
    <row r="653">
      <c r="A653" s="18"/>
      <c r="B653" s="29"/>
      <c r="C653" s="19"/>
      <c r="D653" s="19"/>
      <c r="E653" s="18"/>
      <c r="F653" s="18" t="str">
        <f>IFERROR(__xludf.DUMMYFUNCTION("""COMPUTED_VALUE"""),"")</f>
        <v/>
      </c>
      <c r="G653" s="18" t="str">
        <f>IFERROR(__xludf.DUMMYFUNCTION("""COMPUTED_VALUE"""),"")</f>
        <v/>
      </c>
      <c r="H653" s="18" t="str">
        <f>IFERROR(__xludf.DUMMYFUNCTION("""COMPUTED_VALUE"""),"")</f>
        <v/>
      </c>
      <c r="I653" s="18" t="str">
        <f>IFERROR(__xludf.DUMMYFUNCTION("""COMPUTED_VALUE"""),"")</f>
        <v/>
      </c>
      <c r="J653" s="18" t="str">
        <f>IFERROR(__xludf.DUMMYFUNCTION("""COMPUTED_VALUE"""),"")</f>
        <v/>
      </c>
      <c r="K653" s="19"/>
      <c r="L653" s="19"/>
      <c r="M653" s="19"/>
      <c r="N653" s="19"/>
      <c r="O653" s="19"/>
    </row>
    <row r="654">
      <c r="A654" s="18"/>
      <c r="B654" s="29"/>
      <c r="C654" s="19"/>
      <c r="D654" s="19"/>
      <c r="E654" s="18"/>
      <c r="F654" s="18" t="str">
        <f>IFERROR(__xludf.DUMMYFUNCTION("""COMPUTED_VALUE"""),"")</f>
        <v/>
      </c>
      <c r="G654" s="18" t="str">
        <f>IFERROR(__xludf.DUMMYFUNCTION("""COMPUTED_VALUE"""),"")</f>
        <v/>
      </c>
      <c r="H654" s="18" t="str">
        <f>IFERROR(__xludf.DUMMYFUNCTION("""COMPUTED_VALUE"""),"")</f>
        <v/>
      </c>
      <c r="I654" s="18" t="str">
        <f>IFERROR(__xludf.DUMMYFUNCTION("""COMPUTED_VALUE"""),"")</f>
        <v/>
      </c>
      <c r="J654" s="18" t="str">
        <f>IFERROR(__xludf.DUMMYFUNCTION("""COMPUTED_VALUE"""),"")</f>
        <v/>
      </c>
      <c r="K654" s="19"/>
      <c r="L654" s="19"/>
      <c r="M654" s="19"/>
      <c r="N654" s="19"/>
      <c r="O654" s="19"/>
    </row>
    <row r="655">
      <c r="A655" s="18"/>
      <c r="B655" s="29"/>
      <c r="C655" s="19"/>
      <c r="D655" s="19"/>
      <c r="E655" s="18"/>
      <c r="F655" s="18" t="str">
        <f>IFERROR(__xludf.DUMMYFUNCTION("""COMPUTED_VALUE"""),"")</f>
        <v/>
      </c>
      <c r="G655" s="18" t="str">
        <f>IFERROR(__xludf.DUMMYFUNCTION("""COMPUTED_VALUE"""),"")</f>
        <v/>
      </c>
      <c r="H655" s="18" t="str">
        <f>IFERROR(__xludf.DUMMYFUNCTION("""COMPUTED_VALUE"""),"")</f>
        <v/>
      </c>
      <c r="I655" s="18" t="str">
        <f>IFERROR(__xludf.DUMMYFUNCTION("""COMPUTED_VALUE"""),"")</f>
        <v/>
      </c>
      <c r="J655" s="18" t="str">
        <f>IFERROR(__xludf.DUMMYFUNCTION("""COMPUTED_VALUE"""),"")</f>
        <v/>
      </c>
      <c r="K655" s="19"/>
      <c r="L655" s="19"/>
      <c r="M655" s="19"/>
      <c r="N655" s="19"/>
      <c r="O655" s="19"/>
    </row>
    <row r="656">
      <c r="A656" s="18"/>
      <c r="B656" s="29"/>
      <c r="C656" s="19"/>
      <c r="D656" s="19"/>
      <c r="E656" s="18"/>
      <c r="F656" s="18" t="str">
        <f>IFERROR(__xludf.DUMMYFUNCTION("""COMPUTED_VALUE"""),"")</f>
        <v/>
      </c>
      <c r="G656" s="18" t="str">
        <f>IFERROR(__xludf.DUMMYFUNCTION("""COMPUTED_VALUE"""),"")</f>
        <v/>
      </c>
      <c r="H656" s="18" t="str">
        <f>IFERROR(__xludf.DUMMYFUNCTION("""COMPUTED_VALUE"""),"")</f>
        <v/>
      </c>
      <c r="I656" s="18" t="str">
        <f>IFERROR(__xludf.DUMMYFUNCTION("""COMPUTED_VALUE"""),"")</f>
        <v/>
      </c>
      <c r="J656" s="18" t="str">
        <f>IFERROR(__xludf.DUMMYFUNCTION("""COMPUTED_VALUE"""),"")</f>
        <v/>
      </c>
      <c r="K656" s="19"/>
      <c r="L656" s="19"/>
      <c r="M656" s="19"/>
      <c r="N656" s="19"/>
      <c r="O656" s="19"/>
    </row>
    <row r="657">
      <c r="A657" s="18"/>
      <c r="B657" s="29"/>
      <c r="C657" s="19"/>
      <c r="D657" s="19"/>
      <c r="E657" s="18"/>
      <c r="F657" s="18" t="str">
        <f>IFERROR(__xludf.DUMMYFUNCTION("""COMPUTED_VALUE"""),"")</f>
        <v/>
      </c>
      <c r="G657" s="18" t="str">
        <f>IFERROR(__xludf.DUMMYFUNCTION("""COMPUTED_VALUE"""),"")</f>
        <v/>
      </c>
      <c r="H657" s="18" t="str">
        <f>IFERROR(__xludf.DUMMYFUNCTION("""COMPUTED_VALUE"""),"")</f>
        <v/>
      </c>
      <c r="I657" s="18" t="str">
        <f>IFERROR(__xludf.DUMMYFUNCTION("""COMPUTED_VALUE"""),"")</f>
        <v/>
      </c>
      <c r="J657" s="18" t="str">
        <f>IFERROR(__xludf.DUMMYFUNCTION("""COMPUTED_VALUE"""),"")</f>
        <v/>
      </c>
      <c r="K657" s="19"/>
      <c r="L657" s="19"/>
      <c r="M657" s="19"/>
      <c r="N657" s="19"/>
      <c r="O657" s="19"/>
    </row>
    <row r="658">
      <c r="A658" s="18"/>
      <c r="B658" s="29"/>
      <c r="C658" s="19"/>
      <c r="D658" s="19"/>
      <c r="E658" s="18"/>
      <c r="F658" s="18" t="str">
        <f>IFERROR(__xludf.DUMMYFUNCTION("""COMPUTED_VALUE"""),"")</f>
        <v/>
      </c>
      <c r="G658" s="18" t="str">
        <f>IFERROR(__xludf.DUMMYFUNCTION("""COMPUTED_VALUE"""),"")</f>
        <v/>
      </c>
      <c r="H658" s="18" t="str">
        <f>IFERROR(__xludf.DUMMYFUNCTION("""COMPUTED_VALUE"""),"")</f>
        <v/>
      </c>
      <c r="I658" s="18" t="str">
        <f>IFERROR(__xludf.DUMMYFUNCTION("""COMPUTED_VALUE"""),"")</f>
        <v/>
      </c>
      <c r="J658" s="18" t="str">
        <f>IFERROR(__xludf.DUMMYFUNCTION("""COMPUTED_VALUE"""),"")</f>
        <v/>
      </c>
      <c r="K658" s="19"/>
      <c r="L658" s="19"/>
      <c r="M658" s="19"/>
      <c r="N658" s="19"/>
      <c r="O658" s="19"/>
    </row>
    <row r="659">
      <c r="A659" s="18"/>
      <c r="B659" s="29"/>
      <c r="C659" s="19"/>
      <c r="D659" s="19"/>
      <c r="E659" s="18"/>
      <c r="F659" s="18" t="str">
        <f>IFERROR(__xludf.DUMMYFUNCTION("""COMPUTED_VALUE"""),"")</f>
        <v/>
      </c>
      <c r="G659" s="18" t="str">
        <f>IFERROR(__xludf.DUMMYFUNCTION("""COMPUTED_VALUE"""),"")</f>
        <v/>
      </c>
      <c r="H659" s="18" t="str">
        <f>IFERROR(__xludf.DUMMYFUNCTION("""COMPUTED_VALUE"""),"")</f>
        <v/>
      </c>
      <c r="I659" s="18" t="str">
        <f>IFERROR(__xludf.DUMMYFUNCTION("""COMPUTED_VALUE"""),"")</f>
        <v/>
      </c>
      <c r="J659" s="18" t="str">
        <f>IFERROR(__xludf.DUMMYFUNCTION("""COMPUTED_VALUE"""),"")</f>
        <v/>
      </c>
      <c r="K659" s="19"/>
      <c r="L659" s="19"/>
      <c r="M659" s="19"/>
      <c r="N659" s="19"/>
      <c r="O659" s="19"/>
    </row>
    <row r="660">
      <c r="A660" s="18"/>
      <c r="B660" s="29"/>
      <c r="C660" s="19"/>
      <c r="D660" s="19"/>
      <c r="E660" s="18"/>
      <c r="F660" s="18" t="str">
        <f>IFERROR(__xludf.DUMMYFUNCTION("""COMPUTED_VALUE"""),"")</f>
        <v/>
      </c>
      <c r="G660" s="18" t="str">
        <f>IFERROR(__xludf.DUMMYFUNCTION("""COMPUTED_VALUE"""),"")</f>
        <v/>
      </c>
      <c r="H660" s="18" t="str">
        <f>IFERROR(__xludf.DUMMYFUNCTION("""COMPUTED_VALUE"""),"")</f>
        <v/>
      </c>
      <c r="I660" s="18" t="str">
        <f>IFERROR(__xludf.DUMMYFUNCTION("""COMPUTED_VALUE"""),"")</f>
        <v/>
      </c>
      <c r="J660" s="18" t="str">
        <f>IFERROR(__xludf.DUMMYFUNCTION("""COMPUTED_VALUE"""),"")</f>
        <v/>
      </c>
      <c r="K660" s="19"/>
      <c r="L660" s="19"/>
      <c r="M660" s="19"/>
      <c r="N660" s="19"/>
      <c r="O660" s="19"/>
    </row>
    <row r="661">
      <c r="A661" s="18"/>
      <c r="B661" s="29"/>
      <c r="C661" s="19"/>
      <c r="D661" s="19"/>
      <c r="E661" s="18"/>
      <c r="F661" s="18" t="str">
        <f>IFERROR(__xludf.DUMMYFUNCTION("""COMPUTED_VALUE"""),"")</f>
        <v/>
      </c>
      <c r="G661" s="18" t="str">
        <f>IFERROR(__xludf.DUMMYFUNCTION("""COMPUTED_VALUE"""),"")</f>
        <v/>
      </c>
      <c r="H661" s="18" t="str">
        <f>IFERROR(__xludf.DUMMYFUNCTION("""COMPUTED_VALUE"""),"")</f>
        <v/>
      </c>
      <c r="I661" s="18" t="str">
        <f>IFERROR(__xludf.DUMMYFUNCTION("""COMPUTED_VALUE"""),"")</f>
        <v/>
      </c>
      <c r="J661" s="18" t="str">
        <f>IFERROR(__xludf.DUMMYFUNCTION("""COMPUTED_VALUE"""),"")</f>
        <v/>
      </c>
      <c r="K661" s="19"/>
      <c r="L661" s="19"/>
      <c r="M661" s="19"/>
      <c r="N661" s="19"/>
      <c r="O661" s="19"/>
    </row>
    <row r="662">
      <c r="A662" s="18"/>
      <c r="B662" s="29"/>
      <c r="C662" s="19"/>
      <c r="D662" s="19"/>
      <c r="E662" s="18"/>
      <c r="F662" s="18" t="str">
        <f>IFERROR(__xludf.DUMMYFUNCTION("""COMPUTED_VALUE"""),"")</f>
        <v/>
      </c>
      <c r="G662" s="18" t="str">
        <f>IFERROR(__xludf.DUMMYFUNCTION("""COMPUTED_VALUE"""),"")</f>
        <v/>
      </c>
      <c r="H662" s="18" t="str">
        <f>IFERROR(__xludf.DUMMYFUNCTION("""COMPUTED_VALUE"""),"")</f>
        <v/>
      </c>
      <c r="I662" s="18" t="str">
        <f>IFERROR(__xludf.DUMMYFUNCTION("""COMPUTED_VALUE"""),"")</f>
        <v/>
      </c>
      <c r="J662" s="18" t="str">
        <f>IFERROR(__xludf.DUMMYFUNCTION("""COMPUTED_VALUE"""),"")</f>
        <v/>
      </c>
      <c r="K662" s="19"/>
      <c r="L662" s="19"/>
      <c r="M662" s="19"/>
      <c r="N662" s="19"/>
      <c r="O662" s="19"/>
    </row>
    <row r="663">
      <c r="A663" s="18"/>
      <c r="B663" s="29"/>
      <c r="C663" s="19"/>
      <c r="D663" s="19"/>
      <c r="E663" s="18"/>
      <c r="F663" s="18" t="str">
        <f>IFERROR(__xludf.DUMMYFUNCTION("""COMPUTED_VALUE"""),"")</f>
        <v/>
      </c>
      <c r="G663" s="18" t="str">
        <f>IFERROR(__xludf.DUMMYFUNCTION("""COMPUTED_VALUE"""),"")</f>
        <v/>
      </c>
      <c r="H663" s="18" t="str">
        <f>IFERROR(__xludf.DUMMYFUNCTION("""COMPUTED_VALUE"""),"")</f>
        <v/>
      </c>
      <c r="I663" s="18" t="str">
        <f>IFERROR(__xludf.DUMMYFUNCTION("""COMPUTED_VALUE"""),"")</f>
        <v/>
      </c>
      <c r="J663" s="18" t="str">
        <f>IFERROR(__xludf.DUMMYFUNCTION("""COMPUTED_VALUE"""),"")</f>
        <v/>
      </c>
      <c r="K663" s="19"/>
      <c r="L663" s="19"/>
      <c r="M663" s="19"/>
      <c r="N663" s="19"/>
      <c r="O663" s="19"/>
    </row>
    <row r="664">
      <c r="A664" s="18"/>
      <c r="B664" s="29"/>
      <c r="C664" s="19"/>
      <c r="D664" s="19"/>
      <c r="E664" s="18"/>
      <c r="F664" s="18" t="str">
        <f>IFERROR(__xludf.DUMMYFUNCTION("""COMPUTED_VALUE"""),"")</f>
        <v/>
      </c>
      <c r="G664" s="18" t="str">
        <f>IFERROR(__xludf.DUMMYFUNCTION("""COMPUTED_VALUE"""),"")</f>
        <v/>
      </c>
      <c r="H664" s="18" t="str">
        <f>IFERROR(__xludf.DUMMYFUNCTION("""COMPUTED_VALUE"""),"")</f>
        <v/>
      </c>
      <c r="I664" s="18" t="str">
        <f>IFERROR(__xludf.DUMMYFUNCTION("""COMPUTED_VALUE"""),"")</f>
        <v/>
      </c>
      <c r="J664" s="18" t="str">
        <f>IFERROR(__xludf.DUMMYFUNCTION("""COMPUTED_VALUE"""),"")</f>
        <v/>
      </c>
      <c r="K664" s="19"/>
      <c r="L664" s="19"/>
      <c r="M664" s="19"/>
      <c r="N664" s="19"/>
      <c r="O664" s="19"/>
    </row>
    <row r="665">
      <c r="A665" s="18"/>
      <c r="B665" s="29"/>
      <c r="C665" s="19"/>
      <c r="D665" s="19"/>
      <c r="E665" s="18"/>
      <c r="F665" s="18" t="str">
        <f>IFERROR(__xludf.DUMMYFUNCTION("""COMPUTED_VALUE"""),"")</f>
        <v/>
      </c>
      <c r="G665" s="18" t="str">
        <f>IFERROR(__xludf.DUMMYFUNCTION("""COMPUTED_VALUE"""),"")</f>
        <v/>
      </c>
      <c r="H665" s="18" t="str">
        <f>IFERROR(__xludf.DUMMYFUNCTION("""COMPUTED_VALUE"""),"")</f>
        <v/>
      </c>
      <c r="I665" s="18" t="str">
        <f>IFERROR(__xludf.DUMMYFUNCTION("""COMPUTED_VALUE"""),"")</f>
        <v/>
      </c>
      <c r="J665" s="18" t="str">
        <f>IFERROR(__xludf.DUMMYFUNCTION("""COMPUTED_VALUE"""),"")</f>
        <v/>
      </c>
      <c r="K665" s="19"/>
      <c r="L665" s="19"/>
      <c r="M665" s="19"/>
      <c r="N665" s="19"/>
      <c r="O665" s="19"/>
    </row>
    <row r="666">
      <c r="A666" s="18"/>
      <c r="B666" s="29"/>
      <c r="C666" s="19"/>
      <c r="D666" s="19"/>
      <c r="E666" s="18"/>
      <c r="F666" s="18" t="str">
        <f>IFERROR(__xludf.DUMMYFUNCTION("""COMPUTED_VALUE"""),"")</f>
        <v/>
      </c>
      <c r="G666" s="18" t="str">
        <f>IFERROR(__xludf.DUMMYFUNCTION("""COMPUTED_VALUE"""),"")</f>
        <v/>
      </c>
      <c r="H666" s="18" t="str">
        <f>IFERROR(__xludf.DUMMYFUNCTION("""COMPUTED_VALUE"""),"")</f>
        <v/>
      </c>
      <c r="I666" s="18" t="str">
        <f>IFERROR(__xludf.DUMMYFUNCTION("""COMPUTED_VALUE"""),"")</f>
        <v/>
      </c>
      <c r="J666" s="18" t="str">
        <f>IFERROR(__xludf.DUMMYFUNCTION("""COMPUTED_VALUE"""),"")</f>
        <v/>
      </c>
      <c r="K666" s="19"/>
      <c r="L666" s="19"/>
      <c r="M666" s="19"/>
      <c r="N666" s="19"/>
      <c r="O666" s="19"/>
    </row>
    <row r="667">
      <c r="A667" s="18"/>
      <c r="B667" s="29"/>
      <c r="C667" s="19"/>
      <c r="D667" s="19"/>
      <c r="E667" s="18"/>
      <c r="F667" s="18" t="str">
        <f>IFERROR(__xludf.DUMMYFUNCTION("""COMPUTED_VALUE"""),"")</f>
        <v/>
      </c>
      <c r="G667" s="18" t="str">
        <f>IFERROR(__xludf.DUMMYFUNCTION("""COMPUTED_VALUE"""),"")</f>
        <v/>
      </c>
      <c r="H667" s="18" t="str">
        <f>IFERROR(__xludf.DUMMYFUNCTION("""COMPUTED_VALUE"""),"")</f>
        <v/>
      </c>
      <c r="I667" s="18" t="str">
        <f>IFERROR(__xludf.DUMMYFUNCTION("""COMPUTED_VALUE"""),"")</f>
        <v/>
      </c>
      <c r="J667" s="18" t="str">
        <f>IFERROR(__xludf.DUMMYFUNCTION("""COMPUTED_VALUE"""),"")</f>
        <v/>
      </c>
      <c r="K667" s="19"/>
      <c r="L667" s="19"/>
      <c r="M667" s="19"/>
      <c r="N667" s="19"/>
      <c r="O667" s="19"/>
    </row>
    <row r="668">
      <c r="A668" s="18"/>
      <c r="B668" s="29"/>
      <c r="C668" s="19"/>
      <c r="D668" s="19"/>
      <c r="E668" s="18"/>
      <c r="F668" s="18" t="str">
        <f>IFERROR(__xludf.DUMMYFUNCTION("""COMPUTED_VALUE"""),"")</f>
        <v/>
      </c>
      <c r="G668" s="18" t="str">
        <f>IFERROR(__xludf.DUMMYFUNCTION("""COMPUTED_VALUE"""),"")</f>
        <v/>
      </c>
      <c r="H668" s="18" t="str">
        <f>IFERROR(__xludf.DUMMYFUNCTION("""COMPUTED_VALUE"""),"")</f>
        <v/>
      </c>
      <c r="I668" s="18" t="str">
        <f>IFERROR(__xludf.DUMMYFUNCTION("""COMPUTED_VALUE"""),"")</f>
        <v/>
      </c>
      <c r="J668" s="18" t="str">
        <f>IFERROR(__xludf.DUMMYFUNCTION("""COMPUTED_VALUE"""),"")</f>
        <v/>
      </c>
      <c r="K668" s="19"/>
      <c r="L668" s="19"/>
      <c r="M668" s="19"/>
      <c r="N668" s="19"/>
      <c r="O668" s="19"/>
    </row>
    <row r="669">
      <c r="A669" s="18"/>
      <c r="B669" s="29"/>
      <c r="C669" s="19"/>
      <c r="D669" s="19"/>
      <c r="E669" s="18"/>
      <c r="F669" s="18" t="str">
        <f>IFERROR(__xludf.DUMMYFUNCTION("""COMPUTED_VALUE"""),"")</f>
        <v/>
      </c>
      <c r="G669" s="18" t="str">
        <f>IFERROR(__xludf.DUMMYFUNCTION("""COMPUTED_VALUE"""),"")</f>
        <v/>
      </c>
      <c r="H669" s="18" t="str">
        <f>IFERROR(__xludf.DUMMYFUNCTION("""COMPUTED_VALUE"""),"")</f>
        <v/>
      </c>
      <c r="I669" s="18" t="str">
        <f>IFERROR(__xludf.DUMMYFUNCTION("""COMPUTED_VALUE"""),"")</f>
        <v/>
      </c>
      <c r="J669" s="18" t="str">
        <f>IFERROR(__xludf.DUMMYFUNCTION("""COMPUTED_VALUE"""),"")</f>
        <v/>
      </c>
      <c r="K669" s="19"/>
      <c r="L669" s="19"/>
      <c r="M669" s="19"/>
      <c r="N669" s="19"/>
      <c r="O669" s="19"/>
    </row>
    <row r="670">
      <c r="A670" s="18"/>
      <c r="B670" s="29"/>
      <c r="C670" s="19"/>
      <c r="D670" s="19"/>
      <c r="E670" s="18"/>
      <c r="F670" s="18" t="str">
        <f>IFERROR(__xludf.DUMMYFUNCTION("""COMPUTED_VALUE"""),"")</f>
        <v/>
      </c>
      <c r="G670" s="18" t="str">
        <f>IFERROR(__xludf.DUMMYFUNCTION("""COMPUTED_VALUE"""),"")</f>
        <v/>
      </c>
      <c r="H670" s="18" t="str">
        <f>IFERROR(__xludf.DUMMYFUNCTION("""COMPUTED_VALUE"""),"")</f>
        <v/>
      </c>
      <c r="I670" s="18" t="str">
        <f>IFERROR(__xludf.DUMMYFUNCTION("""COMPUTED_VALUE"""),"")</f>
        <v/>
      </c>
      <c r="J670" s="18" t="str">
        <f>IFERROR(__xludf.DUMMYFUNCTION("""COMPUTED_VALUE"""),"")</f>
        <v/>
      </c>
      <c r="K670" s="19"/>
      <c r="L670" s="19"/>
      <c r="M670" s="19"/>
      <c r="N670" s="19"/>
      <c r="O670" s="19"/>
    </row>
    <row r="671">
      <c r="A671" s="18"/>
      <c r="B671" s="29"/>
      <c r="C671" s="19"/>
      <c r="D671" s="19"/>
      <c r="E671" s="18"/>
      <c r="F671" s="18" t="str">
        <f>IFERROR(__xludf.DUMMYFUNCTION("""COMPUTED_VALUE"""),"")</f>
        <v/>
      </c>
      <c r="G671" s="18" t="str">
        <f>IFERROR(__xludf.DUMMYFUNCTION("""COMPUTED_VALUE"""),"")</f>
        <v/>
      </c>
      <c r="H671" s="18" t="str">
        <f>IFERROR(__xludf.DUMMYFUNCTION("""COMPUTED_VALUE"""),"")</f>
        <v/>
      </c>
      <c r="I671" s="18" t="str">
        <f>IFERROR(__xludf.DUMMYFUNCTION("""COMPUTED_VALUE"""),"")</f>
        <v/>
      </c>
      <c r="J671" s="18" t="str">
        <f>IFERROR(__xludf.DUMMYFUNCTION("""COMPUTED_VALUE"""),"")</f>
        <v/>
      </c>
      <c r="K671" s="19"/>
      <c r="L671" s="19"/>
      <c r="M671" s="19"/>
      <c r="N671" s="19"/>
      <c r="O671" s="19"/>
    </row>
    <row r="672">
      <c r="A672" s="18"/>
      <c r="B672" s="29"/>
      <c r="C672" s="19"/>
      <c r="D672" s="19"/>
      <c r="E672" s="18"/>
      <c r="F672" s="18" t="str">
        <f>IFERROR(__xludf.DUMMYFUNCTION("""COMPUTED_VALUE"""),"")</f>
        <v/>
      </c>
      <c r="G672" s="18" t="str">
        <f>IFERROR(__xludf.DUMMYFUNCTION("""COMPUTED_VALUE"""),"")</f>
        <v/>
      </c>
      <c r="H672" s="18" t="str">
        <f>IFERROR(__xludf.DUMMYFUNCTION("""COMPUTED_VALUE"""),"")</f>
        <v/>
      </c>
      <c r="I672" s="18" t="str">
        <f>IFERROR(__xludf.DUMMYFUNCTION("""COMPUTED_VALUE"""),"")</f>
        <v/>
      </c>
      <c r="J672" s="18" t="str">
        <f>IFERROR(__xludf.DUMMYFUNCTION("""COMPUTED_VALUE"""),"")</f>
        <v/>
      </c>
      <c r="K672" s="19"/>
      <c r="L672" s="19"/>
      <c r="M672" s="19"/>
      <c r="N672" s="19"/>
      <c r="O672" s="19"/>
    </row>
    <row r="673">
      <c r="A673" s="18"/>
      <c r="B673" s="29"/>
      <c r="C673" s="19"/>
      <c r="D673" s="19"/>
      <c r="E673" s="18"/>
      <c r="F673" s="18" t="str">
        <f>IFERROR(__xludf.DUMMYFUNCTION("""COMPUTED_VALUE"""),"")</f>
        <v/>
      </c>
      <c r="G673" s="18" t="str">
        <f>IFERROR(__xludf.DUMMYFUNCTION("""COMPUTED_VALUE"""),"")</f>
        <v/>
      </c>
      <c r="H673" s="18" t="str">
        <f>IFERROR(__xludf.DUMMYFUNCTION("""COMPUTED_VALUE"""),"")</f>
        <v/>
      </c>
      <c r="I673" s="18" t="str">
        <f>IFERROR(__xludf.DUMMYFUNCTION("""COMPUTED_VALUE"""),"")</f>
        <v/>
      </c>
      <c r="J673" s="18" t="str">
        <f>IFERROR(__xludf.DUMMYFUNCTION("""COMPUTED_VALUE"""),"")</f>
        <v/>
      </c>
      <c r="K673" s="19"/>
      <c r="L673" s="19"/>
      <c r="M673" s="19"/>
      <c r="N673" s="19"/>
      <c r="O673" s="19"/>
    </row>
    <row r="674">
      <c r="A674" s="18"/>
      <c r="B674" s="29"/>
      <c r="C674" s="19"/>
      <c r="D674" s="19"/>
      <c r="E674" s="18"/>
      <c r="F674" s="18" t="str">
        <f>IFERROR(__xludf.DUMMYFUNCTION("""COMPUTED_VALUE"""),"")</f>
        <v/>
      </c>
      <c r="G674" s="18" t="str">
        <f>IFERROR(__xludf.DUMMYFUNCTION("""COMPUTED_VALUE"""),"")</f>
        <v/>
      </c>
      <c r="H674" s="18" t="str">
        <f>IFERROR(__xludf.DUMMYFUNCTION("""COMPUTED_VALUE"""),"")</f>
        <v/>
      </c>
      <c r="I674" s="18" t="str">
        <f>IFERROR(__xludf.DUMMYFUNCTION("""COMPUTED_VALUE"""),"")</f>
        <v/>
      </c>
      <c r="J674" s="18" t="str">
        <f>IFERROR(__xludf.DUMMYFUNCTION("""COMPUTED_VALUE"""),"")</f>
        <v/>
      </c>
      <c r="K674" s="19"/>
      <c r="L674" s="19"/>
      <c r="M674" s="19"/>
      <c r="N674" s="19"/>
      <c r="O674" s="19"/>
    </row>
    <row r="675">
      <c r="A675" s="18"/>
      <c r="B675" s="29"/>
      <c r="C675" s="19"/>
      <c r="D675" s="19"/>
      <c r="E675" s="18"/>
      <c r="F675" s="18" t="str">
        <f>IFERROR(__xludf.DUMMYFUNCTION("""COMPUTED_VALUE"""),"")</f>
        <v/>
      </c>
      <c r="G675" s="18" t="str">
        <f>IFERROR(__xludf.DUMMYFUNCTION("""COMPUTED_VALUE"""),"")</f>
        <v/>
      </c>
      <c r="H675" s="18" t="str">
        <f>IFERROR(__xludf.DUMMYFUNCTION("""COMPUTED_VALUE"""),"")</f>
        <v/>
      </c>
      <c r="I675" s="18" t="str">
        <f>IFERROR(__xludf.DUMMYFUNCTION("""COMPUTED_VALUE"""),"")</f>
        <v/>
      </c>
      <c r="J675" s="18" t="str">
        <f>IFERROR(__xludf.DUMMYFUNCTION("""COMPUTED_VALUE"""),"")</f>
        <v/>
      </c>
      <c r="K675" s="19"/>
      <c r="L675" s="19"/>
      <c r="M675" s="19"/>
      <c r="N675" s="19"/>
      <c r="O675" s="19"/>
    </row>
    <row r="676">
      <c r="A676" s="18"/>
      <c r="B676" s="29"/>
      <c r="C676" s="19"/>
      <c r="D676" s="19"/>
      <c r="E676" s="18"/>
      <c r="F676" s="18" t="str">
        <f>IFERROR(__xludf.DUMMYFUNCTION("""COMPUTED_VALUE"""),"")</f>
        <v/>
      </c>
      <c r="G676" s="18" t="str">
        <f>IFERROR(__xludf.DUMMYFUNCTION("""COMPUTED_VALUE"""),"")</f>
        <v/>
      </c>
      <c r="H676" s="18" t="str">
        <f>IFERROR(__xludf.DUMMYFUNCTION("""COMPUTED_VALUE"""),"")</f>
        <v/>
      </c>
      <c r="I676" s="18" t="str">
        <f>IFERROR(__xludf.DUMMYFUNCTION("""COMPUTED_VALUE"""),"")</f>
        <v/>
      </c>
      <c r="J676" s="18" t="str">
        <f>IFERROR(__xludf.DUMMYFUNCTION("""COMPUTED_VALUE"""),"")</f>
        <v/>
      </c>
      <c r="K676" s="19"/>
      <c r="L676" s="19"/>
      <c r="M676" s="19"/>
      <c r="N676" s="19"/>
      <c r="O676" s="19"/>
    </row>
    <row r="677">
      <c r="A677" s="18"/>
      <c r="B677" s="29"/>
      <c r="C677" s="19"/>
      <c r="D677" s="19"/>
      <c r="E677" s="18"/>
      <c r="F677" s="18" t="str">
        <f>IFERROR(__xludf.DUMMYFUNCTION("""COMPUTED_VALUE"""),"")</f>
        <v/>
      </c>
      <c r="G677" s="18" t="str">
        <f>IFERROR(__xludf.DUMMYFUNCTION("""COMPUTED_VALUE"""),"")</f>
        <v/>
      </c>
      <c r="H677" s="18" t="str">
        <f>IFERROR(__xludf.DUMMYFUNCTION("""COMPUTED_VALUE"""),"")</f>
        <v/>
      </c>
      <c r="I677" s="18" t="str">
        <f>IFERROR(__xludf.DUMMYFUNCTION("""COMPUTED_VALUE"""),"")</f>
        <v/>
      </c>
      <c r="J677" s="18" t="str">
        <f>IFERROR(__xludf.DUMMYFUNCTION("""COMPUTED_VALUE"""),"")</f>
        <v/>
      </c>
      <c r="K677" s="19"/>
      <c r="L677" s="19"/>
      <c r="M677" s="19"/>
      <c r="N677" s="19"/>
      <c r="O677" s="19"/>
    </row>
    <row r="678">
      <c r="A678" s="18"/>
      <c r="B678" s="29"/>
      <c r="C678" s="19"/>
      <c r="D678" s="19"/>
      <c r="E678" s="18"/>
      <c r="F678" s="18" t="str">
        <f>IFERROR(__xludf.DUMMYFUNCTION("""COMPUTED_VALUE"""),"")</f>
        <v/>
      </c>
      <c r="G678" s="18" t="str">
        <f>IFERROR(__xludf.DUMMYFUNCTION("""COMPUTED_VALUE"""),"")</f>
        <v/>
      </c>
      <c r="H678" s="18" t="str">
        <f>IFERROR(__xludf.DUMMYFUNCTION("""COMPUTED_VALUE"""),"")</f>
        <v/>
      </c>
      <c r="I678" s="18" t="str">
        <f>IFERROR(__xludf.DUMMYFUNCTION("""COMPUTED_VALUE"""),"")</f>
        <v/>
      </c>
      <c r="J678" s="18" t="str">
        <f>IFERROR(__xludf.DUMMYFUNCTION("""COMPUTED_VALUE"""),"")</f>
        <v/>
      </c>
      <c r="K678" s="19"/>
      <c r="L678" s="19"/>
      <c r="M678" s="19"/>
      <c r="N678" s="19"/>
      <c r="O678" s="19"/>
    </row>
    <row r="679">
      <c r="A679" s="18"/>
      <c r="B679" s="29"/>
      <c r="C679" s="19"/>
      <c r="D679" s="19"/>
      <c r="E679" s="18"/>
      <c r="F679" s="18" t="str">
        <f>IFERROR(__xludf.DUMMYFUNCTION("""COMPUTED_VALUE"""),"")</f>
        <v/>
      </c>
      <c r="G679" s="18" t="str">
        <f>IFERROR(__xludf.DUMMYFUNCTION("""COMPUTED_VALUE"""),"")</f>
        <v/>
      </c>
      <c r="H679" s="18" t="str">
        <f>IFERROR(__xludf.DUMMYFUNCTION("""COMPUTED_VALUE"""),"")</f>
        <v/>
      </c>
      <c r="I679" s="18" t="str">
        <f>IFERROR(__xludf.DUMMYFUNCTION("""COMPUTED_VALUE"""),"")</f>
        <v/>
      </c>
      <c r="J679" s="18" t="str">
        <f>IFERROR(__xludf.DUMMYFUNCTION("""COMPUTED_VALUE"""),"")</f>
        <v/>
      </c>
      <c r="K679" s="19"/>
      <c r="L679" s="19"/>
      <c r="M679" s="19"/>
      <c r="N679" s="19"/>
      <c r="O679" s="19"/>
    </row>
    <row r="680">
      <c r="A680" s="18"/>
      <c r="B680" s="29"/>
      <c r="C680" s="19"/>
      <c r="D680" s="19"/>
      <c r="E680" s="18"/>
      <c r="F680" s="18" t="str">
        <f>IFERROR(__xludf.DUMMYFUNCTION("""COMPUTED_VALUE"""),"")</f>
        <v/>
      </c>
      <c r="G680" s="18" t="str">
        <f>IFERROR(__xludf.DUMMYFUNCTION("""COMPUTED_VALUE"""),"")</f>
        <v/>
      </c>
      <c r="H680" s="18" t="str">
        <f>IFERROR(__xludf.DUMMYFUNCTION("""COMPUTED_VALUE"""),"")</f>
        <v/>
      </c>
      <c r="I680" s="18" t="str">
        <f>IFERROR(__xludf.DUMMYFUNCTION("""COMPUTED_VALUE"""),"")</f>
        <v/>
      </c>
      <c r="J680" s="18" t="str">
        <f>IFERROR(__xludf.DUMMYFUNCTION("""COMPUTED_VALUE"""),"")</f>
        <v/>
      </c>
      <c r="K680" s="19"/>
      <c r="L680" s="19"/>
      <c r="M680" s="19"/>
      <c r="N680" s="19"/>
      <c r="O680" s="19"/>
    </row>
    <row r="681">
      <c r="A681" s="18"/>
      <c r="B681" s="29"/>
      <c r="C681" s="19"/>
      <c r="D681" s="19"/>
      <c r="E681" s="18"/>
      <c r="F681" s="18" t="str">
        <f>IFERROR(__xludf.DUMMYFUNCTION("""COMPUTED_VALUE"""),"")</f>
        <v/>
      </c>
      <c r="G681" s="18" t="str">
        <f>IFERROR(__xludf.DUMMYFUNCTION("""COMPUTED_VALUE"""),"")</f>
        <v/>
      </c>
      <c r="H681" s="18" t="str">
        <f>IFERROR(__xludf.DUMMYFUNCTION("""COMPUTED_VALUE"""),"")</f>
        <v/>
      </c>
      <c r="I681" s="18" t="str">
        <f>IFERROR(__xludf.DUMMYFUNCTION("""COMPUTED_VALUE"""),"")</f>
        <v/>
      </c>
      <c r="J681" s="18" t="str">
        <f>IFERROR(__xludf.DUMMYFUNCTION("""COMPUTED_VALUE"""),"")</f>
        <v/>
      </c>
      <c r="K681" s="19"/>
      <c r="L681" s="19"/>
      <c r="M681" s="19"/>
      <c r="N681" s="19"/>
      <c r="O681" s="19"/>
    </row>
    <row r="682">
      <c r="A682" s="18"/>
      <c r="B682" s="29"/>
      <c r="C682" s="19"/>
      <c r="D682" s="19"/>
      <c r="E682" s="18"/>
      <c r="F682" s="18" t="str">
        <f>IFERROR(__xludf.DUMMYFUNCTION("""COMPUTED_VALUE"""),"")</f>
        <v/>
      </c>
      <c r="G682" s="18" t="str">
        <f>IFERROR(__xludf.DUMMYFUNCTION("""COMPUTED_VALUE"""),"")</f>
        <v/>
      </c>
      <c r="H682" s="18" t="str">
        <f>IFERROR(__xludf.DUMMYFUNCTION("""COMPUTED_VALUE"""),"")</f>
        <v/>
      </c>
      <c r="I682" s="18" t="str">
        <f>IFERROR(__xludf.DUMMYFUNCTION("""COMPUTED_VALUE"""),"")</f>
        <v/>
      </c>
      <c r="J682" s="18" t="str">
        <f>IFERROR(__xludf.DUMMYFUNCTION("""COMPUTED_VALUE"""),"")</f>
        <v/>
      </c>
      <c r="K682" s="19"/>
      <c r="L682" s="19"/>
      <c r="M682" s="19"/>
      <c r="N682" s="19"/>
      <c r="O682" s="19"/>
    </row>
    <row r="683">
      <c r="A683" s="18"/>
      <c r="B683" s="29"/>
      <c r="C683" s="19"/>
      <c r="D683" s="19"/>
      <c r="E683" s="18"/>
      <c r="F683" s="18" t="str">
        <f>IFERROR(__xludf.DUMMYFUNCTION("""COMPUTED_VALUE"""),"")</f>
        <v/>
      </c>
      <c r="G683" s="18" t="str">
        <f>IFERROR(__xludf.DUMMYFUNCTION("""COMPUTED_VALUE"""),"")</f>
        <v/>
      </c>
      <c r="H683" s="18" t="str">
        <f>IFERROR(__xludf.DUMMYFUNCTION("""COMPUTED_VALUE"""),"")</f>
        <v/>
      </c>
      <c r="I683" s="18" t="str">
        <f>IFERROR(__xludf.DUMMYFUNCTION("""COMPUTED_VALUE"""),"")</f>
        <v/>
      </c>
      <c r="J683" s="18" t="str">
        <f>IFERROR(__xludf.DUMMYFUNCTION("""COMPUTED_VALUE"""),"")</f>
        <v/>
      </c>
      <c r="K683" s="19"/>
      <c r="L683" s="19"/>
      <c r="M683" s="19"/>
      <c r="N683" s="19"/>
      <c r="O683" s="19"/>
    </row>
    <row r="684">
      <c r="A684" s="18"/>
      <c r="B684" s="29"/>
      <c r="C684" s="19"/>
      <c r="D684" s="19"/>
      <c r="E684" s="18"/>
      <c r="F684" s="18" t="str">
        <f>IFERROR(__xludf.DUMMYFUNCTION("""COMPUTED_VALUE"""),"")</f>
        <v/>
      </c>
      <c r="G684" s="18" t="str">
        <f>IFERROR(__xludf.DUMMYFUNCTION("""COMPUTED_VALUE"""),"")</f>
        <v/>
      </c>
      <c r="H684" s="18" t="str">
        <f>IFERROR(__xludf.DUMMYFUNCTION("""COMPUTED_VALUE"""),"")</f>
        <v/>
      </c>
      <c r="I684" s="18" t="str">
        <f>IFERROR(__xludf.DUMMYFUNCTION("""COMPUTED_VALUE"""),"")</f>
        <v/>
      </c>
      <c r="J684" s="18" t="str">
        <f>IFERROR(__xludf.DUMMYFUNCTION("""COMPUTED_VALUE"""),"")</f>
        <v/>
      </c>
      <c r="K684" s="19"/>
      <c r="L684" s="19"/>
      <c r="M684" s="19"/>
      <c r="N684" s="19"/>
      <c r="O684" s="19"/>
    </row>
    <row r="685">
      <c r="A685" s="18"/>
      <c r="B685" s="29"/>
      <c r="C685" s="19"/>
      <c r="D685" s="19"/>
      <c r="E685" s="18"/>
      <c r="F685" s="18" t="str">
        <f>IFERROR(__xludf.DUMMYFUNCTION("""COMPUTED_VALUE"""),"")</f>
        <v/>
      </c>
      <c r="G685" s="18" t="str">
        <f>IFERROR(__xludf.DUMMYFUNCTION("""COMPUTED_VALUE"""),"")</f>
        <v/>
      </c>
      <c r="H685" s="18" t="str">
        <f>IFERROR(__xludf.DUMMYFUNCTION("""COMPUTED_VALUE"""),"")</f>
        <v/>
      </c>
      <c r="I685" s="18" t="str">
        <f>IFERROR(__xludf.DUMMYFUNCTION("""COMPUTED_VALUE"""),"")</f>
        <v/>
      </c>
      <c r="J685" s="18" t="str">
        <f>IFERROR(__xludf.DUMMYFUNCTION("""COMPUTED_VALUE"""),"")</f>
        <v/>
      </c>
      <c r="K685" s="19"/>
      <c r="L685" s="19"/>
      <c r="M685" s="19"/>
      <c r="N685" s="19"/>
      <c r="O685" s="19"/>
    </row>
    <row r="686">
      <c r="A686" s="18"/>
      <c r="B686" s="29"/>
      <c r="C686" s="19"/>
      <c r="D686" s="19"/>
      <c r="E686" s="18"/>
      <c r="F686" s="18" t="str">
        <f>IFERROR(__xludf.DUMMYFUNCTION("""COMPUTED_VALUE"""),"")</f>
        <v/>
      </c>
      <c r="G686" s="18" t="str">
        <f>IFERROR(__xludf.DUMMYFUNCTION("""COMPUTED_VALUE"""),"")</f>
        <v/>
      </c>
      <c r="H686" s="18" t="str">
        <f>IFERROR(__xludf.DUMMYFUNCTION("""COMPUTED_VALUE"""),"")</f>
        <v/>
      </c>
      <c r="I686" s="18" t="str">
        <f>IFERROR(__xludf.DUMMYFUNCTION("""COMPUTED_VALUE"""),"")</f>
        <v/>
      </c>
      <c r="J686" s="18" t="str">
        <f>IFERROR(__xludf.DUMMYFUNCTION("""COMPUTED_VALUE"""),"")</f>
        <v/>
      </c>
      <c r="K686" s="19"/>
      <c r="L686" s="19"/>
      <c r="M686" s="19"/>
      <c r="N686" s="19"/>
      <c r="O686" s="19"/>
    </row>
    <row r="687">
      <c r="A687" s="18"/>
      <c r="B687" s="29"/>
      <c r="C687" s="19"/>
      <c r="D687" s="19"/>
      <c r="E687" s="18"/>
      <c r="F687" s="18" t="str">
        <f>IFERROR(__xludf.DUMMYFUNCTION("""COMPUTED_VALUE"""),"")</f>
        <v/>
      </c>
      <c r="G687" s="18" t="str">
        <f>IFERROR(__xludf.DUMMYFUNCTION("""COMPUTED_VALUE"""),"")</f>
        <v/>
      </c>
      <c r="H687" s="18" t="str">
        <f>IFERROR(__xludf.DUMMYFUNCTION("""COMPUTED_VALUE"""),"")</f>
        <v/>
      </c>
      <c r="I687" s="18" t="str">
        <f>IFERROR(__xludf.DUMMYFUNCTION("""COMPUTED_VALUE"""),"")</f>
        <v/>
      </c>
      <c r="J687" s="18" t="str">
        <f>IFERROR(__xludf.DUMMYFUNCTION("""COMPUTED_VALUE"""),"")</f>
        <v/>
      </c>
      <c r="K687" s="19"/>
      <c r="L687" s="19"/>
      <c r="M687" s="19"/>
      <c r="N687" s="19"/>
      <c r="O687" s="19"/>
    </row>
    <row r="688">
      <c r="A688" s="18"/>
      <c r="B688" s="29"/>
      <c r="C688" s="19"/>
      <c r="D688" s="19"/>
      <c r="E688" s="18"/>
      <c r="F688" s="18" t="str">
        <f>IFERROR(__xludf.DUMMYFUNCTION("""COMPUTED_VALUE"""),"")</f>
        <v/>
      </c>
      <c r="G688" s="18" t="str">
        <f>IFERROR(__xludf.DUMMYFUNCTION("""COMPUTED_VALUE"""),"")</f>
        <v/>
      </c>
      <c r="H688" s="18" t="str">
        <f>IFERROR(__xludf.DUMMYFUNCTION("""COMPUTED_VALUE"""),"")</f>
        <v/>
      </c>
      <c r="I688" s="18" t="str">
        <f>IFERROR(__xludf.DUMMYFUNCTION("""COMPUTED_VALUE"""),"")</f>
        <v/>
      </c>
      <c r="J688" s="18" t="str">
        <f>IFERROR(__xludf.DUMMYFUNCTION("""COMPUTED_VALUE"""),"")</f>
        <v/>
      </c>
      <c r="K688" s="19"/>
      <c r="L688" s="19"/>
      <c r="M688" s="19"/>
      <c r="N688" s="19"/>
      <c r="O688" s="19"/>
    </row>
    <row r="689">
      <c r="A689" s="18"/>
      <c r="B689" s="29"/>
      <c r="C689" s="19"/>
      <c r="D689" s="19"/>
      <c r="E689" s="18"/>
      <c r="F689" s="18" t="str">
        <f>IFERROR(__xludf.DUMMYFUNCTION("""COMPUTED_VALUE"""),"")</f>
        <v/>
      </c>
      <c r="G689" s="18" t="str">
        <f>IFERROR(__xludf.DUMMYFUNCTION("""COMPUTED_VALUE"""),"")</f>
        <v/>
      </c>
      <c r="H689" s="18" t="str">
        <f>IFERROR(__xludf.DUMMYFUNCTION("""COMPUTED_VALUE"""),"")</f>
        <v/>
      </c>
      <c r="I689" s="18" t="str">
        <f>IFERROR(__xludf.DUMMYFUNCTION("""COMPUTED_VALUE"""),"")</f>
        <v/>
      </c>
      <c r="J689" s="18" t="str">
        <f>IFERROR(__xludf.DUMMYFUNCTION("""COMPUTED_VALUE"""),"")</f>
        <v/>
      </c>
      <c r="K689" s="19"/>
      <c r="L689" s="19"/>
      <c r="M689" s="19"/>
      <c r="N689" s="19"/>
      <c r="O689" s="19"/>
    </row>
    <row r="690">
      <c r="A690" s="18"/>
      <c r="B690" s="29"/>
      <c r="C690" s="19"/>
      <c r="D690" s="19"/>
      <c r="E690" s="18"/>
      <c r="F690" s="18" t="str">
        <f>IFERROR(__xludf.DUMMYFUNCTION("""COMPUTED_VALUE"""),"")</f>
        <v/>
      </c>
      <c r="G690" s="18" t="str">
        <f>IFERROR(__xludf.DUMMYFUNCTION("""COMPUTED_VALUE"""),"")</f>
        <v/>
      </c>
      <c r="H690" s="18" t="str">
        <f>IFERROR(__xludf.DUMMYFUNCTION("""COMPUTED_VALUE"""),"")</f>
        <v/>
      </c>
      <c r="I690" s="18" t="str">
        <f>IFERROR(__xludf.DUMMYFUNCTION("""COMPUTED_VALUE"""),"")</f>
        <v/>
      </c>
      <c r="J690" s="18" t="str">
        <f>IFERROR(__xludf.DUMMYFUNCTION("""COMPUTED_VALUE"""),"")</f>
        <v/>
      </c>
      <c r="K690" s="19"/>
      <c r="L690" s="19"/>
      <c r="M690" s="19"/>
      <c r="N690" s="19"/>
      <c r="O690" s="19"/>
    </row>
    <row r="691">
      <c r="A691" s="18"/>
      <c r="B691" s="29"/>
      <c r="C691" s="19"/>
      <c r="D691" s="19"/>
      <c r="E691" s="18"/>
      <c r="F691" s="18" t="str">
        <f>IFERROR(__xludf.DUMMYFUNCTION("""COMPUTED_VALUE"""),"")</f>
        <v/>
      </c>
      <c r="G691" s="18" t="str">
        <f>IFERROR(__xludf.DUMMYFUNCTION("""COMPUTED_VALUE"""),"")</f>
        <v/>
      </c>
      <c r="H691" s="18" t="str">
        <f>IFERROR(__xludf.DUMMYFUNCTION("""COMPUTED_VALUE"""),"")</f>
        <v/>
      </c>
      <c r="I691" s="18" t="str">
        <f>IFERROR(__xludf.DUMMYFUNCTION("""COMPUTED_VALUE"""),"")</f>
        <v/>
      </c>
      <c r="J691" s="18" t="str">
        <f>IFERROR(__xludf.DUMMYFUNCTION("""COMPUTED_VALUE"""),"")</f>
        <v/>
      </c>
      <c r="K691" s="19"/>
      <c r="L691" s="19"/>
      <c r="M691" s="19"/>
      <c r="N691" s="19"/>
      <c r="O691" s="19"/>
    </row>
    <row r="692">
      <c r="A692" s="18"/>
      <c r="B692" s="29"/>
      <c r="C692" s="19"/>
      <c r="D692" s="19"/>
      <c r="E692" s="18"/>
      <c r="F692" s="18" t="str">
        <f>IFERROR(__xludf.DUMMYFUNCTION("""COMPUTED_VALUE"""),"")</f>
        <v/>
      </c>
      <c r="G692" s="18" t="str">
        <f>IFERROR(__xludf.DUMMYFUNCTION("""COMPUTED_VALUE"""),"")</f>
        <v/>
      </c>
      <c r="H692" s="18" t="str">
        <f>IFERROR(__xludf.DUMMYFUNCTION("""COMPUTED_VALUE"""),"")</f>
        <v/>
      </c>
      <c r="I692" s="18" t="str">
        <f>IFERROR(__xludf.DUMMYFUNCTION("""COMPUTED_VALUE"""),"")</f>
        <v/>
      </c>
      <c r="J692" s="18" t="str">
        <f>IFERROR(__xludf.DUMMYFUNCTION("""COMPUTED_VALUE"""),"")</f>
        <v/>
      </c>
      <c r="K692" s="19"/>
      <c r="L692" s="19"/>
      <c r="M692" s="19"/>
      <c r="N692" s="19"/>
      <c r="O692" s="19"/>
    </row>
    <row r="693">
      <c r="A693" s="18"/>
      <c r="B693" s="29"/>
      <c r="C693" s="19"/>
      <c r="D693" s="19"/>
      <c r="E693" s="18"/>
      <c r="F693" s="18" t="str">
        <f>IFERROR(__xludf.DUMMYFUNCTION("""COMPUTED_VALUE"""),"")</f>
        <v/>
      </c>
      <c r="G693" s="18" t="str">
        <f>IFERROR(__xludf.DUMMYFUNCTION("""COMPUTED_VALUE"""),"")</f>
        <v/>
      </c>
      <c r="H693" s="18" t="str">
        <f>IFERROR(__xludf.DUMMYFUNCTION("""COMPUTED_VALUE"""),"")</f>
        <v/>
      </c>
      <c r="I693" s="18" t="str">
        <f>IFERROR(__xludf.DUMMYFUNCTION("""COMPUTED_VALUE"""),"")</f>
        <v/>
      </c>
      <c r="J693" s="18" t="str">
        <f>IFERROR(__xludf.DUMMYFUNCTION("""COMPUTED_VALUE"""),"")</f>
        <v/>
      </c>
      <c r="K693" s="19"/>
      <c r="L693" s="19"/>
      <c r="M693" s="19"/>
      <c r="N693" s="19"/>
      <c r="O693" s="19"/>
    </row>
    <row r="694">
      <c r="A694" s="18"/>
      <c r="B694" s="29"/>
      <c r="C694" s="19"/>
      <c r="D694" s="19"/>
      <c r="E694" s="18"/>
      <c r="F694" s="18" t="str">
        <f>IFERROR(__xludf.DUMMYFUNCTION("""COMPUTED_VALUE"""),"")</f>
        <v/>
      </c>
      <c r="G694" s="18" t="str">
        <f>IFERROR(__xludf.DUMMYFUNCTION("""COMPUTED_VALUE"""),"")</f>
        <v/>
      </c>
      <c r="H694" s="18" t="str">
        <f>IFERROR(__xludf.DUMMYFUNCTION("""COMPUTED_VALUE"""),"")</f>
        <v/>
      </c>
      <c r="I694" s="18" t="str">
        <f>IFERROR(__xludf.DUMMYFUNCTION("""COMPUTED_VALUE"""),"")</f>
        <v/>
      </c>
      <c r="J694" s="18" t="str">
        <f>IFERROR(__xludf.DUMMYFUNCTION("""COMPUTED_VALUE"""),"")</f>
        <v/>
      </c>
      <c r="K694" s="19"/>
      <c r="L694" s="19"/>
      <c r="M694" s="19"/>
      <c r="N694" s="19"/>
      <c r="O694" s="19"/>
    </row>
    <row r="695">
      <c r="A695" s="18"/>
      <c r="B695" s="29"/>
      <c r="C695" s="19"/>
      <c r="D695" s="19"/>
      <c r="E695" s="18"/>
      <c r="F695" s="18" t="str">
        <f>IFERROR(__xludf.DUMMYFUNCTION("""COMPUTED_VALUE"""),"")</f>
        <v/>
      </c>
      <c r="G695" s="18" t="str">
        <f>IFERROR(__xludf.DUMMYFUNCTION("""COMPUTED_VALUE"""),"")</f>
        <v/>
      </c>
      <c r="H695" s="18" t="str">
        <f>IFERROR(__xludf.DUMMYFUNCTION("""COMPUTED_VALUE"""),"")</f>
        <v/>
      </c>
      <c r="I695" s="18" t="str">
        <f>IFERROR(__xludf.DUMMYFUNCTION("""COMPUTED_VALUE"""),"")</f>
        <v/>
      </c>
      <c r="J695" s="18" t="str">
        <f>IFERROR(__xludf.DUMMYFUNCTION("""COMPUTED_VALUE"""),"")</f>
        <v/>
      </c>
      <c r="K695" s="19"/>
      <c r="L695" s="19"/>
      <c r="M695" s="19"/>
      <c r="N695" s="19"/>
      <c r="O695" s="19"/>
    </row>
    <row r="696">
      <c r="A696" s="18"/>
      <c r="B696" s="29"/>
      <c r="C696" s="19"/>
      <c r="D696" s="19"/>
      <c r="E696" s="18"/>
      <c r="F696" s="18" t="str">
        <f>IFERROR(__xludf.DUMMYFUNCTION("""COMPUTED_VALUE"""),"")</f>
        <v/>
      </c>
      <c r="G696" s="18" t="str">
        <f>IFERROR(__xludf.DUMMYFUNCTION("""COMPUTED_VALUE"""),"")</f>
        <v/>
      </c>
      <c r="H696" s="18" t="str">
        <f>IFERROR(__xludf.DUMMYFUNCTION("""COMPUTED_VALUE"""),"")</f>
        <v/>
      </c>
      <c r="I696" s="18" t="str">
        <f>IFERROR(__xludf.DUMMYFUNCTION("""COMPUTED_VALUE"""),"")</f>
        <v/>
      </c>
      <c r="J696" s="18" t="str">
        <f>IFERROR(__xludf.DUMMYFUNCTION("""COMPUTED_VALUE"""),"")</f>
        <v/>
      </c>
      <c r="K696" s="19"/>
      <c r="L696" s="19"/>
      <c r="M696" s="19"/>
      <c r="N696" s="19"/>
      <c r="O696" s="19"/>
    </row>
    <row r="697">
      <c r="A697" s="18"/>
      <c r="B697" s="29"/>
      <c r="C697" s="19"/>
      <c r="D697" s="19"/>
      <c r="E697" s="18"/>
      <c r="F697" s="18" t="str">
        <f>IFERROR(__xludf.DUMMYFUNCTION("""COMPUTED_VALUE"""),"")</f>
        <v/>
      </c>
      <c r="G697" s="18" t="str">
        <f>IFERROR(__xludf.DUMMYFUNCTION("""COMPUTED_VALUE"""),"")</f>
        <v/>
      </c>
      <c r="H697" s="18" t="str">
        <f>IFERROR(__xludf.DUMMYFUNCTION("""COMPUTED_VALUE"""),"")</f>
        <v/>
      </c>
      <c r="I697" s="18" t="str">
        <f>IFERROR(__xludf.DUMMYFUNCTION("""COMPUTED_VALUE"""),"")</f>
        <v/>
      </c>
      <c r="J697" s="18" t="str">
        <f>IFERROR(__xludf.DUMMYFUNCTION("""COMPUTED_VALUE"""),"")</f>
        <v/>
      </c>
      <c r="K697" s="19"/>
      <c r="L697" s="19"/>
      <c r="M697" s="19"/>
      <c r="N697" s="19"/>
      <c r="O697" s="19"/>
    </row>
    <row r="698">
      <c r="A698" s="18"/>
      <c r="B698" s="29"/>
      <c r="C698" s="19"/>
      <c r="D698" s="19"/>
      <c r="E698" s="18"/>
      <c r="F698" s="18" t="str">
        <f>IFERROR(__xludf.DUMMYFUNCTION("""COMPUTED_VALUE"""),"")</f>
        <v/>
      </c>
      <c r="G698" s="18" t="str">
        <f>IFERROR(__xludf.DUMMYFUNCTION("""COMPUTED_VALUE"""),"")</f>
        <v/>
      </c>
      <c r="H698" s="18" t="str">
        <f>IFERROR(__xludf.DUMMYFUNCTION("""COMPUTED_VALUE"""),"")</f>
        <v/>
      </c>
      <c r="I698" s="18" t="str">
        <f>IFERROR(__xludf.DUMMYFUNCTION("""COMPUTED_VALUE"""),"")</f>
        <v/>
      </c>
      <c r="J698" s="18" t="str">
        <f>IFERROR(__xludf.DUMMYFUNCTION("""COMPUTED_VALUE"""),"")</f>
        <v/>
      </c>
      <c r="K698" s="19"/>
      <c r="L698" s="19"/>
      <c r="M698" s="19"/>
      <c r="N698" s="19"/>
      <c r="O698" s="19"/>
    </row>
    <row r="699">
      <c r="A699" s="18"/>
      <c r="B699" s="29"/>
      <c r="C699" s="19"/>
      <c r="D699" s="19"/>
      <c r="E699" s="18"/>
      <c r="F699" s="18" t="str">
        <f>IFERROR(__xludf.DUMMYFUNCTION("""COMPUTED_VALUE"""),"")</f>
        <v/>
      </c>
      <c r="G699" s="18" t="str">
        <f>IFERROR(__xludf.DUMMYFUNCTION("""COMPUTED_VALUE"""),"")</f>
        <v/>
      </c>
      <c r="H699" s="18" t="str">
        <f>IFERROR(__xludf.DUMMYFUNCTION("""COMPUTED_VALUE"""),"")</f>
        <v/>
      </c>
      <c r="I699" s="18" t="str">
        <f>IFERROR(__xludf.DUMMYFUNCTION("""COMPUTED_VALUE"""),"")</f>
        <v/>
      </c>
      <c r="J699" s="18" t="str">
        <f>IFERROR(__xludf.DUMMYFUNCTION("""COMPUTED_VALUE"""),"")</f>
        <v/>
      </c>
      <c r="K699" s="19"/>
      <c r="L699" s="19"/>
      <c r="M699" s="19"/>
      <c r="N699" s="19"/>
      <c r="O699" s="19"/>
    </row>
    <row r="700">
      <c r="A700" s="18"/>
      <c r="B700" s="29"/>
      <c r="C700" s="19"/>
      <c r="D700" s="19"/>
      <c r="E700" s="18"/>
      <c r="F700" s="18" t="str">
        <f>IFERROR(__xludf.DUMMYFUNCTION("""COMPUTED_VALUE"""),"")</f>
        <v/>
      </c>
      <c r="G700" s="18" t="str">
        <f>IFERROR(__xludf.DUMMYFUNCTION("""COMPUTED_VALUE"""),"")</f>
        <v/>
      </c>
      <c r="H700" s="18" t="str">
        <f>IFERROR(__xludf.DUMMYFUNCTION("""COMPUTED_VALUE"""),"")</f>
        <v/>
      </c>
      <c r="I700" s="18" t="str">
        <f>IFERROR(__xludf.DUMMYFUNCTION("""COMPUTED_VALUE"""),"")</f>
        <v/>
      </c>
      <c r="J700" s="18" t="str">
        <f>IFERROR(__xludf.DUMMYFUNCTION("""COMPUTED_VALUE"""),"")</f>
        <v/>
      </c>
      <c r="K700" s="19"/>
      <c r="L700" s="19"/>
      <c r="M700" s="19"/>
      <c r="N700" s="19"/>
      <c r="O700" s="19"/>
    </row>
    <row r="701">
      <c r="A701" s="18"/>
      <c r="B701" s="29"/>
      <c r="C701" s="19"/>
      <c r="D701" s="19"/>
      <c r="E701" s="18"/>
      <c r="F701" s="18" t="str">
        <f>IFERROR(__xludf.DUMMYFUNCTION("""COMPUTED_VALUE"""),"")</f>
        <v/>
      </c>
      <c r="G701" s="18" t="str">
        <f>IFERROR(__xludf.DUMMYFUNCTION("""COMPUTED_VALUE"""),"")</f>
        <v/>
      </c>
      <c r="H701" s="18" t="str">
        <f>IFERROR(__xludf.DUMMYFUNCTION("""COMPUTED_VALUE"""),"")</f>
        <v/>
      </c>
      <c r="I701" s="18" t="str">
        <f>IFERROR(__xludf.DUMMYFUNCTION("""COMPUTED_VALUE"""),"")</f>
        <v/>
      </c>
      <c r="J701" s="18" t="str">
        <f>IFERROR(__xludf.DUMMYFUNCTION("""COMPUTED_VALUE"""),"")</f>
        <v/>
      </c>
      <c r="K701" s="19"/>
      <c r="L701" s="19"/>
      <c r="M701" s="19"/>
      <c r="N701" s="19"/>
      <c r="O701" s="19"/>
    </row>
    <row r="702">
      <c r="A702" s="18"/>
      <c r="B702" s="29"/>
      <c r="C702" s="19"/>
      <c r="D702" s="19"/>
      <c r="E702" s="18"/>
      <c r="F702" s="18" t="str">
        <f>IFERROR(__xludf.DUMMYFUNCTION("""COMPUTED_VALUE"""),"")</f>
        <v/>
      </c>
      <c r="G702" s="18" t="str">
        <f>IFERROR(__xludf.DUMMYFUNCTION("""COMPUTED_VALUE"""),"")</f>
        <v/>
      </c>
      <c r="H702" s="18" t="str">
        <f>IFERROR(__xludf.DUMMYFUNCTION("""COMPUTED_VALUE"""),"")</f>
        <v/>
      </c>
      <c r="I702" s="18" t="str">
        <f>IFERROR(__xludf.DUMMYFUNCTION("""COMPUTED_VALUE"""),"")</f>
        <v/>
      </c>
      <c r="J702" s="18" t="str">
        <f>IFERROR(__xludf.DUMMYFUNCTION("""COMPUTED_VALUE"""),"")</f>
        <v/>
      </c>
      <c r="K702" s="19"/>
      <c r="L702" s="19"/>
      <c r="M702" s="19"/>
      <c r="N702" s="19"/>
      <c r="O702" s="19"/>
    </row>
    <row r="703">
      <c r="A703" s="18"/>
      <c r="B703" s="29"/>
      <c r="C703" s="19"/>
      <c r="D703" s="19"/>
      <c r="E703" s="18"/>
      <c r="F703" s="18" t="str">
        <f>IFERROR(__xludf.DUMMYFUNCTION("""COMPUTED_VALUE"""),"")</f>
        <v/>
      </c>
      <c r="G703" s="18" t="str">
        <f>IFERROR(__xludf.DUMMYFUNCTION("""COMPUTED_VALUE"""),"")</f>
        <v/>
      </c>
      <c r="H703" s="18" t="str">
        <f>IFERROR(__xludf.DUMMYFUNCTION("""COMPUTED_VALUE"""),"")</f>
        <v/>
      </c>
      <c r="I703" s="18" t="str">
        <f>IFERROR(__xludf.DUMMYFUNCTION("""COMPUTED_VALUE"""),"")</f>
        <v/>
      </c>
      <c r="J703" s="18" t="str">
        <f>IFERROR(__xludf.DUMMYFUNCTION("""COMPUTED_VALUE"""),"")</f>
        <v/>
      </c>
      <c r="K703" s="19"/>
      <c r="L703" s="19"/>
      <c r="M703" s="19"/>
      <c r="N703" s="19"/>
      <c r="O703" s="19"/>
    </row>
    <row r="704">
      <c r="A704" s="18"/>
      <c r="B704" s="29"/>
      <c r="C704" s="19"/>
      <c r="D704" s="19"/>
      <c r="E704" s="18"/>
      <c r="F704" s="18" t="str">
        <f>IFERROR(__xludf.DUMMYFUNCTION("""COMPUTED_VALUE"""),"")</f>
        <v/>
      </c>
      <c r="G704" s="18" t="str">
        <f>IFERROR(__xludf.DUMMYFUNCTION("""COMPUTED_VALUE"""),"")</f>
        <v/>
      </c>
      <c r="H704" s="18" t="str">
        <f>IFERROR(__xludf.DUMMYFUNCTION("""COMPUTED_VALUE"""),"")</f>
        <v/>
      </c>
      <c r="I704" s="18" t="str">
        <f>IFERROR(__xludf.DUMMYFUNCTION("""COMPUTED_VALUE"""),"")</f>
        <v/>
      </c>
      <c r="J704" s="18" t="str">
        <f>IFERROR(__xludf.DUMMYFUNCTION("""COMPUTED_VALUE"""),"")</f>
        <v/>
      </c>
      <c r="K704" s="19"/>
      <c r="L704" s="19"/>
      <c r="M704" s="19"/>
      <c r="N704" s="19"/>
      <c r="O704" s="19"/>
    </row>
    <row r="705">
      <c r="A705" s="18"/>
      <c r="B705" s="29"/>
      <c r="C705" s="19"/>
      <c r="D705" s="19"/>
      <c r="E705" s="18"/>
      <c r="F705" s="18" t="str">
        <f>IFERROR(__xludf.DUMMYFUNCTION("""COMPUTED_VALUE"""),"")</f>
        <v/>
      </c>
      <c r="G705" s="18" t="str">
        <f>IFERROR(__xludf.DUMMYFUNCTION("""COMPUTED_VALUE"""),"")</f>
        <v/>
      </c>
      <c r="H705" s="18" t="str">
        <f>IFERROR(__xludf.DUMMYFUNCTION("""COMPUTED_VALUE"""),"")</f>
        <v/>
      </c>
      <c r="I705" s="18" t="str">
        <f>IFERROR(__xludf.DUMMYFUNCTION("""COMPUTED_VALUE"""),"")</f>
        <v/>
      </c>
      <c r="J705" s="18" t="str">
        <f>IFERROR(__xludf.DUMMYFUNCTION("""COMPUTED_VALUE"""),"")</f>
        <v/>
      </c>
      <c r="K705" s="19"/>
      <c r="L705" s="19"/>
      <c r="M705" s="19"/>
      <c r="N705" s="19"/>
      <c r="O705" s="19"/>
    </row>
    <row r="706">
      <c r="A706" s="18"/>
      <c r="B706" s="29"/>
      <c r="C706" s="19"/>
      <c r="D706" s="19"/>
      <c r="E706" s="18"/>
      <c r="F706" s="18" t="str">
        <f>IFERROR(__xludf.DUMMYFUNCTION("""COMPUTED_VALUE"""),"")</f>
        <v/>
      </c>
      <c r="G706" s="18" t="str">
        <f>IFERROR(__xludf.DUMMYFUNCTION("""COMPUTED_VALUE"""),"")</f>
        <v/>
      </c>
      <c r="H706" s="18" t="str">
        <f>IFERROR(__xludf.DUMMYFUNCTION("""COMPUTED_VALUE"""),"")</f>
        <v/>
      </c>
      <c r="I706" s="18" t="str">
        <f>IFERROR(__xludf.DUMMYFUNCTION("""COMPUTED_VALUE"""),"")</f>
        <v/>
      </c>
      <c r="J706" s="18" t="str">
        <f>IFERROR(__xludf.DUMMYFUNCTION("""COMPUTED_VALUE"""),"")</f>
        <v/>
      </c>
      <c r="K706" s="19"/>
      <c r="L706" s="19"/>
      <c r="M706" s="19"/>
      <c r="N706" s="19"/>
      <c r="O706" s="19"/>
    </row>
    <row r="707">
      <c r="A707" s="18"/>
      <c r="B707" s="29"/>
      <c r="C707" s="19"/>
      <c r="D707" s="19"/>
      <c r="E707" s="18"/>
      <c r="F707" s="18" t="str">
        <f>IFERROR(__xludf.DUMMYFUNCTION("""COMPUTED_VALUE"""),"")</f>
        <v/>
      </c>
      <c r="G707" s="18" t="str">
        <f>IFERROR(__xludf.DUMMYFUNCTION("""COMPUTED_VALUE"""),"")</f>
        <v/>
      </c>
      <c r="H707" s="18" t="str">
        <f>IFERROR(__xludf.DUMMYFUNCTION("""COMPUTED_VALUE"""),"")</f>
        <v/>
      </c>
      <c r="I707" s="18" t="str">
        <f>IFERROR(__xludf.DUMMYFUNCTION("""COMPUTED_VALUE"""),"")</f>
        <v/>
      </c>
      <c r="J707" s="18" t="str">
        <f>IFERROR(__xludf.DUMMYFUNCTION("""COMPUTED_VALUE"""),"")</f>
        <v/>
      </c>
      <c r="K707" s="19"/>
      <c r="L707" s="19"/>
      <c r="M707" s="19"/>
      <c r="N707" s="19"/>
      <c r="O707" s="19"/>
    </row>
    <row r="708">
      <c r="A708" s="18"/>
      <c r="B708" s="29"/>
      <c r="C708" s="19"/>
      <c r="D708" s="19"/>
      <c r="E708" s="18"/>
      <c r="F708" s="18" t="str">
        <f>IFERROR(__xludf.DUMMYFUNCTION("""COMPUTED_VALUE"""),"")</f>
        <v/>
      </c>
      <c r="G708" s="18" t="str">
        <f>IFERROR(__xludf.DUMMYFUNCTION("""COMPUTED_VALUE"""),"")</f>
        <v/>
      </c>
      <c r="H708" s="18" t="str">
        <f>IFERROR(__xludf.DUMMYFUNCTION("""COMPUTED_VALUE"""),"")</f>
        <v/>
      </c>
      <c r="I708" s="18" t="str">
        <f>IFERROR(__xludf.DUMMYFUNCTION("""COMPUTED_VALUE"""),"")</f>
        <v/>
      </c>
      <c r="J708" s="18" t="str">
        <f>IFERROR(__xludf.DUMMYFUNCTION("""COMPUTED_VALUE"""),"")</f>
        <v/>
      </c>
      <c r="K708" s="19"/>
      <c r="L708" s="19"/>
      <c r="M708" s="19"/>
      <c r="N708" s="19"/>
      <c r="O708" s="19"/>
    </row>
    <row r="709">
      <c r="A709" s="18"/>
      <c r="B709" s="29"/>
      <c r="C709" s="19"/>
      <c r="D709" s="19"/>
      <c r="E709" s="18"/>
      <c r="F709" s="18" t="str">
        <f>IFERROR(__xludf.DUMMYFUNCTION("""COMPUTED_VALUE"""),"")</f>
        <v/>
      </c>
      <c r="G709" s="18" t="str">
        <f>IFERROR(__xludf.DUMMYFUNCTION("""COMPUTED_VALUE"""),"")</f>
        <v/>
      </c>
      <c r="H709" s="18" t="str">
        <f>IFERROR(__xludf.DUMMYFUNCTION("""COMPUTED_VALUE"""),"")</f>
        <v/>
      </c>
      <c r="I709" s="18" t="str">
        <f>IFERROR(__xludf.DUMMYFUNCTION("""COMPUTED_VALUE"""),"")</f>
        <v/>
      </c>
      <c r="J709" s="18" t="str">
        <f>IFERROR(__xludf.DUMMYFUNCTION("""COMPUTED_VALUE"""),"")</f>
        <v/>
      </c>
      <c r="K709" s="19"/>
      <c r="L709" s="19"/>
      <c r="M709" s="19"/>
      <c r="N709" s="19"/>
      <c r="O709" s="19"/>
    </row>
    <row r="710">
      <c r="A710" s="18"/>
      <c r="B710" s="29"/>
      <c r="C710" s="19"/>
      <c r="D710" s="19"/>
      <c r="E710" s="18"/>
      <c r="F710" s="18" t="str">
        <f>IFERROR(__xludf.DUMMYFUNCTION("""COMPUTED_VALUE"""),"")</f>
        <v/>
      </c>
      <c r="G710" s="18" t="str">
        <f>IFERROR(__xludf.DUMMYFUNCTION("""COMPUTED_VALUE"""),"")</f>
        <v/>
      </c>
      <c r="H710" s="18" t="str">
        <f>IFERROR(__xludf.DUMMYFUNCTION("""COMPUTED_VALUE"""),"")</f>
        <v/>
      </c>
      <c r="I710" s="18" t="str">
        <f>IFERROR(__xludf.DUMMYFUNCTION("""COMPUTED_VALUE"""),"")</f>
        <v/>
      </c>
      <c r="J710" s="18" t="str">
        <f>IFERROR(__xludf.DUMMYFUNCTION("""COMPUTED_VALUE"""),"")</f>
        <v/>
      </c>
      <c r="K710" s="19"/>
      <c r="L710" s="19"/>
      <c r="M710" s="19"/>
      <c r="N710" s="19"/>
      <c r="O710" s="19"/>
    </row>
    <row r="711">
      <c r="A711" s="18"/>
      <c r="B711" s="29"/>
      <c r="C711" s="19"/>
      <c r="D711" s="19"/>
      <c r="E711" s="18"/>
      <c r="F711" s="18" t="str">
        <f>IFERROR(__xludf.DUMMYFUNCTION("""COMPUTED_VALUE"""),"")</f>
        <v/>
      </c>
      <c r="G711" s="18" t="str">
        <f>IFERROR(__xludf.DUMMYFUNCTION("""COMPUTED_VALUE"""),"")</f>
        <v/>
      </c>
      <c r="H711" s="18" t="str">
        <f>IFERROR(__xludf.DUMMYFUNCTION("""COMPUTED_VALUE"""),"")</f>
        <v/>
      </c>
      <c r="I711" s="18" t="str">
        <f>IFERROR(__xludf.DUMMYFUNCTION("""COMPUTED_VALUE"""),"")</f>
        <v/>
      </c>
      <c r="J711" s="18" t="str">
        <f>IFERROR(__xludf.DUMMYFUNCTION("""COMPUTED_VALUE"""),"")</f>
        <v/>
      </c>
      <c r="K711" s="19"/>
      <c r="L711" s="19"/>
      <c r="M711" s="19"/>
      <c r="N711" s="19"/>
      <c r="O711" s="19"/>
    </row>
    <row r="712">
      <c r="A712" s="18"/>
      <c r="B712" s="29"/>
      <c r="C712" s="19"/>
      <c r="D712" s="19"/>
      <c r="E712" s="18"/>
      <c r="F712" s="18" t="str">
        <f>IFERROR(__xludf.DUMMYFUNCTION("""COMPUTED_VALUE"""),"")</f>
        <v/>
      </c>
      <c r="G712" s="18" t="str">
        <f>IFERROR(__xludf.DUMMYFUNCTION("""COMPUTED_VALUE"""),"")</f>
        <v/>
      </c>
      <c r="H712" s="18" t="str">
        <f>IFERROR(__xludf.DUMMYFUNCTION("""COMPUTED_VALUE"""),"")</f>
        <v/>
      </c>
      <c r="I712" s="18" t="str">
        <f>IFERROR(__xludf.DUMMYFUNCTION("""COMPUTED_VALUE"""),"")</f>
        <v/>
      </c>
      <c r="J712" s="18" t="str">
        <f>IFERROR(__xludf.DUMMYFUNCTION("""COMPUTED_VALUE"""),"")</f>
        <v/>
      </c>
      <c r="K712" s="19"/>
      <c r="L712" s="19"/>
      <c r="M712" s="19"/>
      <c r="N712" s="19"/>
      <c r="O712" s="19"/>
    </row>
    <row r="713">
      <c r="A713" s="18"/>
      <c r="B713" s="29"/>
      <c r="C713" s="19"/>
      <c r="D713" s="19"/>
      <c r="E713" s="18"/>
      <c r="F713" s="18" t="str">
        <f>IFERROR(__xludf.DUMMYFUNCTION("""COMPUTED_VALUE"""),"")</f>
        <v/>
      </c>
      <c r="G713" s="18" t="str">
        <f>IFERROR(__xludf.DUMMYFUNCTION("""COMPUTED_VALUE"""),"")</f>
        <v/>
      </c>
      <c r="H713" s="18" t="str">
        <f>IFERROR(__xludf.DUMMYFUNCTION("""COMPUTED_VALUE"""),"")</f>
        <v/>
      </c>
      <c r="I713" s="18" t="str">
        <f>IFERROR(__xludf.DUMMYFUNCTION("""COMPUTED_VALUE"""),"")</f>
        <v/>
      </c>
      <c r="J713" s="18" t="str">
        <f>IFERROR(__xludf.DUMMYFUNCTION("""COMPUTED_VALUE"""),"")</f>
        <v/>
      </c>
      <c r="K713" s="19"/>
      <c r="L713" s="19"/>
      <c r="M713" s="19"/>
      <c r="N713" s="19"/>
      <c r="O713" s="19"/>
    </row>
    <row r="714">
      <c r="A714" s="18"/>
      <c r="B714" s="29"/>
      <c r="C714" s="19"/>
      <c r="D714" s="19"/>
      <c r="E714" s="18"/>
      <c r="F714" s="18" t="str">
        <f>IFERROR(__xludf.DUMMYFUNCTION("""COMPUTED_VALUE"""),"")</f>
        <v/>
      </c>
      <c r="G714" s="18" t="str">
        <f>IFERROR(__xludf.DUMMYFUNCTION("""COMPUTED_VALUE"""),"")</f>
        <v/>
      </c>
      <c r="H714" s="18" t="str">
        <f>IFERROR(__xludf.DUMMYFUNCTION("""COMPUTED_VALUE"""),"")</f>
        <v/>
      </c>
      <c r="I714" s="18" t="str">
        <f>IFERROR(__xludf.DUMMYFUNCTION("""COMPUTED_VALUE"""),"")</f>
        <v/>
      </c>
      <c r="J714" s="18" t="str">
        <f>IFERROR(__xludf.DUMMYFUNCTION("""COMPUTED_VALUE"""),"")</f>
        <v/>
      </c>
      <c r="K714" s="19"/>
      <c r="L714" s="19"/>
      <c r="M714" s="19"/>
      <c r="N714" s="19"/>
      <c r="O714" s="19"/>
    </row>
    <row r="715">
      <c r="A715" s="18"/>
      <c r="B715" s="29"/>
      <c r="C715" s="19"/>
      <c r="D715" s="19"/>
      <c r="E715" s="18"/>
      <c r="F715" s="18" t="str">
        <f>IFERROR(__xludf.DUMMYFUNCTION("""COMPUTED_VALUE"""),"")</f>
        <v/>
      </c>
      <c r="G715" s="18" t="str">
        <f>IFERROR(__xludf.DUMMYFUNCTION("""COMPUTED_VALUE"""),"")</f>
        <v/>
      </c>
      <c r="H715" s="18" t="str">
        <f>IFERROR(__xludf.DUMMYFUNCTION("""COMPUTED_VALUE"""),"")</f>
        <v/>
      </c>
      <c r="I715" s="18" t="str">
        <f>IFERROR(__xludf.DUMMYFUNCTION("""COMPUTED_VALUE"""),"")</f>
        <v/>
      </c>
      <c r="J715" s="18" t="str">
        <f>IFERROR(__xludf.DUMMYFUNCTION("""COMPUTED_VALUE"""),"")</f>
        <v/>
      </c>
      <c r="K715" s="19"/>
      <c r="L715" s="19"/>
      <c r="M715" s="19"/>
      <c r="N715" s="19"/>
      <c r="O715" s="19"/>
    </row>
    <row r="716">
      <c r="A716" s="18"/>
      <c r="B716" s="29"/>
      <c r="C716" s="19"/>
      <c r="D716" s="19"/>
      <c r="E716" s="18"/>
      <c r="F716" s="18" t="str">
        <f>IFERROR(__xludf.DUMMYFUNCTION("""COMPUTED_VALUE"""),"")</f>
        <v/>
      </c>
      <c r="G716" s="18" t="str">
        <f>IFERROR(__xludf.DUMMYFUNCTION("""COMPUTED_VALUE"""),"")</f>
        <v/>
      </c>
      <c r="H716" s="18" t="str">
        <f>IFERROR(__xludf.DUMMYFUNCTION("""COMPUTED_VALUE"""),"")</f>
        <v/>
      </c>
      <c r="I716" s="18" t="str">
        <f>IFERROR(__xludf.DUMMYFUNCTION("""COMPUTED_VALUE"""),"")</f>
        <v/>
      </c>
      <c r="J716" s="18" t="str">
        <f>IFERROR(__xludf.DUMMYFUNCTION("""COMPUTED_VALUE"""),"")</f>
        <v/>
      </c>
      <c r="K716" s="19"/>
      <c r="L716" s="19"/>
      <c r="M716" s="19"/>
      <c r="N716" s="19"/>
      <c r="O716" s="19"/>
    </row>
    <row r="717">
      <c r="A717" s="18"/>
      <c r="B717" s="29"/>
      <c r="C717" s="19"/>
      <c r="D717" s="19"/>
      <c r="E717" s="18"/>
      <c r="F717" s="18" t="str">
        <f>IFERROR(__xludf.DUMMYFUNCTION("""COMPUTED_VALUE"""),"")</f>
        <v/>
      </c>
      <c r="G717" s="18" t="str">
        <f>IFERROR(__xludf.DUMMYFUNCTION("""COMPUTED_VALUE"""),"")</f>
        <v/>
      </c>
      <c r="H717" s="18" t="str">
        <f>IFERROR(__xludf.DUMMYFUNCTION("""COMPUTED_VALUE"""),"")</f>
        <v/>
      </c>
      <c r="I717" s="18" t="str">
        <f>IFERROR(__xludf.DUMMYFUNCTION("""COMPUTED_VALUE"""),"")</f>
        <v/>
      </c>
      <c r="J717" s="18" t="str">
        <f>IFERROR(__xludf.DUMMYFUNCTION("""COMPUTED_VALUE"""),"")</f>
        <v/>
      </c>
      <c r="K717" s="19"/>
      <c r="L717" s="19"/>
      <c r="M717" s="19"/>
      <c r="N717" s="19"/>
      <c r="O717" s="19"/>
    </row>
    <row r="718">
      <c r="A718" s="18"/>
      <c r="B718" s="29"/>
      <c r="C718" s="19"/>
      <c r="D718" s="19"/>
      <c r="E718" s="18"/>
      <c r="F718" s="18" t="str">
        <f>IFERROR(__xludf.DUMMYFUNCTION("""COMPUTED_VALUE"""),"")</f>
        <v/>
      </c>
      <c r="G718" s="18" t="str">
        <f>IFERROR(__xludf.DUMMYFUNCTION("""COMPUTED_VALUE"""),"")</f>
        <v/>
      </c>
      <c r="H718" s="18" t="str">
        <f>IFERROR(__xludf.DUMMYFUNCTION("""COMPUTED_VALUE"""),"")</f>
        <v/>
      </c>
      <c r="I718" s="18" t="str">
        <f>IFERROR(__xludf.DUMMYFUNCTION("""COMPUTED_VALUE"""),"")</f>
        <v/>
      </c>
      <c r="J718" s="18" t="str">
        <f>IFERROR(__xludf.DUMMYFUNCTION("""COMPUTED_VALUE"""),"")</f>
        <v/>
      </c>
      <c r="K718" s="19"/>
      <c r="L718" s="19"/>
      <c r="M718" s="19"/>
      <c r="N718" s="19"/>
      <c r="O718" s="19"/>
    </row>
    <row r="719">
      <c r="A719" s="18"/>
      <c r="B719" s="29"/>
      <c r="C719" s="19"/>
      <c r="D719" s="19"/>
      <c r="E719" s="18"/>
      <c r="F719" s="18" t="str">
        <f>IFERROR(__xludf.DUMMYFUNCTION("""COMPUTED_VALUE"""),"")</f>
        <v/>
      </c>
      <c r="G719" s="18" t="str">
        <f>IFERROR(__xludf.DUMMYFUNCTION("""COMPUTED_VALUE"""),"")</f>
        <v/>
      </c>
      <c r="H719" s="18" t="str">
        <f>IFERROR(__xludf.DUMMYFUNCTION("""COMPUTED_VALUE"""),"")</f>
        <v/>
      </c>
      <c r="I719" s="18" t="str">
        <f>IFERROR(__xludf.DUMMYFUNCTION("""COMPUTED_VALUE"""),"")</f>
        <v/>
      </c>
      <c r="J719" s="18" t="str">
        <f>IFERROR(__xludf.DUMMYFUNCTION("""COMPUTED_VALUE"""),"")</f>
        <v/>
      </c>
      <c r="K719" s="19"/>
      <c r="L719" s="19"/>
      <c r="M719" s="19"/>
      <c r="N719" s="19"/>
      <c r="O719" s="19"/>
    </row>
    <row r="720">
      <c r="A720" s="18"/>
      <c r="B720" s="29"/>
      <c r="C720" s="19"/>
      <c r="D720" s="19"/>
      <c r="E720" s="18"/>
      <c r="F720" s="18" t="str">
        <f>IFERROR(__xludf.DUMMYFUNCTION("""COMPUTED_VALUE"""),"")</f>
        <v/>
      </c>
      <c r="G720" s="18" t="str">
        <f>IFERROR(__xludf.DUMMYFUNCTION("""COMPUTED_VALUE"""),"")</f>
        <v/>
      </c>
      <c r="H720" s="18" t="str">
        <f>IFERROR(__xludf.DUMMYFUNCTION("""COMPUTED_VALUE"""),"")</f>
        <v/>
      </c>
      <c r="I720" s="18" t="str">
        <f>IFERROR(__xludf.DUMMYFUNCTION("""COMPUTED_VALUE"""),"")</f>
        <v/>
      </c>
      <c r="J720" s="18" t="str">
        <f>IFERROR(__xludf.DUMMYFUNCTION("""COMPUTED_VALUE"""),"")</f>
        <v/>
      </c>
      <c r="K720" s="19"/>
      <c r="L720" s="19"/>
      <c r="M720" s="19"/>
      <c r="N720" s="19"/>
      <c r="O720" s="19"/>
    </row>
    <row r="721">
      <c r="A721" s="18"/>
      <c r="B721" s="29"/>
      <c r="C721" s="19"/>
      <c r="D721" s="19"/>
      <c r="E721" s="18"/>
      <c r="F721" s="18" t="str">
        <f>IFERROR(__xludf.DUMMYFUNCTION("""COMPUTED_VALUE"""),"")</f>
        <v/>
      </c>
      <c r="G721" s="18" t="str">
        <f>IFERROR(__xludf.DUMMYFUNCTION("""COMPUTED_VALUE"""),"")</f>
        <v/>
      </c>
      <c r="H721" s="18" t="str">
        <f>IFERROR(__xludf.DUMMYFUNCTION("""COMPUTED_VALUE"""),"")</f>
        <v/>
      </c>
      <c r="I721" s="18" t="str">
        <f>IFERROR(__xludf.DUMMYFUNCTION("""COMPUTED_VALUE"""),"")</f>
        <v/>
      </c>
      <c r="J721" s="18" t="str">
        <f>IFERROR(__xludf.DUMMYFUNCTION("""COMPUTED_VALUE"""),"")</f>
        <v/>
      </c>
      <c r="K721" s="19"/>
      <c r="L721" s="19"/>
      <c r="M721" s="19"/>
      <c r="N721" s="19"/>
      <c r="O721" s="19"/>
    </row>
    <row r="722">
      <c r="A722" s="18"/>
      <c r="B722" s="29"/>
      <c r="C722" s="19"/>
      <c r="D722" s="19"/>
      <c r="E722" s="18"/>
      <c r="F722" s="18" t="str">
        <f>IFERROR(__xludf.DUMMYFUNCTION("""COMPUTED_VALUE"""),"")</f>
        <v/>
      </c>
      <c r="G722" s="18" t="str">
        <f>IFERROR(__xludf.DUMMYFUNCTION("""COMPUTED_VALUE"""),"")</f>
        <v/>
      </c>
      <c r="H722" s="18" t="str">
        <f>IFERROR(__xludf.DUMMYFUNCTION("""COMPUTED_VALUE"""),"")</f>
        <v/>
      </c>
      <c r="I722" s="18" t="str">
        <f>IFERROR(__xludf.DUMMYFUNCTION("""COMPUTED_VALUE"""),"")</f>
        <v/>
      </c>
      <c r="J722" s="18" t="str">
        <f>IFERROR(__xludf.DUMMYFUNCTION("""COMPUTED_VALUE"""),"")</f>
        <v/>
      </c>
      <c r="K722" s="19"/>
      <c r="L722" s="19"/>
      <c r="M722" s="19"/>
      <c r="N722" s="19"/>
      <c r="O722" s="19"/>
    </row>
    <row r="723">
      <c r="A723" s="18"/>
      <c r="B723" s="29"/>
      <c r="C723" s="19"/>
      <c r="D723" s="19"/>
      <c r="E723" s="18"/>
      <c r="F723" s="18" t="str">
        <f>IFERROR(__xludf.DUMMYFUNCTION("""COMPUTED_VALUE"""),"")</f>
        <v/>
      </c>
      <c r="G723" s="18" t="str">
        <f>IFERROR(__xludf.DUMMYFUNCTION("""COMPUTED_VALUE"""),"")</f>
        <v/>
      </c>
      <c r="H723" s="18" t="str">
        <f>IFERROR(__xludf.DUMMYFUNCTION("""COMPUTED_VALUE"""),"")</f>
        <v/>
      </c>
      <c r="I723" s="18" t="str">
        <f>IFERROR(__xludf.DUMMYFUNCTION("""COMPUTED_VALUE"""),"")</f>
        <v/>
      </c>
      <c r="J723" s="18" t="str">
        <f>IFERROR(__xludf.DUMMYFUNCTION("""COMPUTED_VALUE"""),"")</f>
        <v/>
      </c>
      <c r="K723" s="19"/>
      <c r="L723" s="19"/>
      <c r="M723" s="19"/>
      <c r="N723" s="19"/>
      <c r="O723" s="19"/>
    </row>
    <row r="724">
      <c r="A724" s="18"/>
      <c r="B724" s="29"/>
      <c r="C724" s="19"/>
      <c r="D724" s="19"/>
      <c r="E724" s="18"/>
      <c r="F724" s="18" t="str">
        <f>IFERROR(__xludf.DUMMYFUNCTION("""COMPUTED_VALUE"""),"")</f>
        <v/>
      </c>
      <c r="G724" s="18" t="str">
        <f>IFERROR(__xludf.DUMMYFUNCTION("""COMPUTED_VALUE"""),"")</f>
        <v/>
      </c>
      <c r="H724" s="18" t="str">
        <f>IFERROR(__xludf.DUMMYFUNCTION("""COMPUTED_VALUE"""),"")</f>
        <v/>
      </c>
      <c r="I724" s="18" t="str">
        <f>IFERROR(__xludf.DUMMYFUNCTION("""COMPUTED_VALUE"""),"")</f>
        <v/>
      </c>
      <c r="J724" s="18" t="str">
        <f>IFERROR(__xludf.DUMMYFUNCTION("""COMPUTED_VALUE"""),"")</f>
        <v/>
      </c>
      <c r="K724" s="19"/>
      <c r="L724" s="19"/>
      <c r="M724" s="19"/>
      <c r="N724" s="19"/>
      <c r="O724" s="19"/>
    </row>
    <row r="725">
      <c r="A725" s="18"/>
      <c r="B725" s="29"/>
      <c r="C725" s="19"/>
      <c r="D725" s="19"/>
      <c r="E725" s="18"/>
      <c r="F725" s="18" t="str">
        <f>IFERROR(__xludf.DUMMYFUNCTION("""COMPUTED_VALUE"""),"")</f>
        <v/>
      </c>
      <c r="G725" s="18" t="str">
        <f>IFERROR(__xludf.DUMMYFUNCTION("""COMPUTED_VALUE"""),"")</f>
        <v/>
      </c>
      <c r="H725" s="18" t="str">
        <f>IFERROR(__xludf.DUMMYFUNCTION("""COMPUTED_VALUE"""),"")</f>
        <v/>
      </c>
      <c r="I725" s="18" t="str">
        <f>IFERROR(__xludf.DUMMYFUNCTION("""COMPUTED_VALUE"""),"")</f>
        <v/>
      </c>
      <c r="J725" s="18" t="str">
        <f>IFERROR(__xludf.DUMMYFUNCTION("""COMPUTED_VALUE"""),"")</f>
        <v/>
      </c>
      <c r="K725" s="19"/>
      <c r="L725" s="19"/>
      <c r="M725" s="19"/>
      <c r="N725" s="19"/>
      <c r="O725" s="19"/>
    </row>
    <row r="726">
      <c r="A726" s="18"/>
      <c r="B726" s="29"/>
      <c r="C726" s="19"/>
      <c r="D726" s="19"/>
      <c r="E726" s="18"/>
      <c r="F726" s="18" t="str">
        <f>IFERROR(__xludf.DUMMYFUNCTION("""COMPUTED_VALUE"""),"")</f>
        <v/>
      </c>
      <c r="G726" s="18" t="str">
        <f>IFERROR(__xludf.DUMMYFUNCTION("""COMPUTED_VALUE"""),"")</f>
        <v/>
      </c>
      <c r="H726" s="18" t="str">
        <f>IFERROR(__xludf.DUMMYFUNCTION("""COMPUTED_VALUE"""),"")</f>
        <v/>
      </c>
      <c r="I726" s="18" t="str">
        <f>IFERROR(__xludf.DUMMYFUNCTION("""COMPUTED_VALUE"""),"")</f>
        <v/>
      </c>
      <c r="J726" s="18" t="str">
        <f>IFERROR(__xludf.DUMMYFUNCTION("""COMPUTED_VALUE"""),"")</f>
        <v/>
      </c>
      <c r="K726" s="19"/>
      <c r="L726" s="19"/>
      <c r="M726" s="19"/>
      <c r="N726" s="19"/>
      <c r="O726" s="19"/>
    </row>
    <row r="727">
      <c r="A727" s="18"/>
      <c r="B727" s="29"/>
      <c r="C727" s="19"/>
      <c r="D727" s="19"/>
      <c r="E727" s="18"/>
      <c r="F727" s="18" t="str">
        <f>IFERROR(__xludf.DUMMYFUNCTION("""COMPUTED_VALUE"""),"")</f>
        <v/>
      </c>
      <c r="G727" s="18" t="str">
        <f>IFERROR(__xludf.DUMMYFUNCTION("""COMPUTED_VALUE"""),"")</f>
        <v/>
      </c>
      <c r="H727" s="18" t="str">
        <f>IFERROR(__xludf.DUMMYFUNCTION("""COMPUTED_VALUE"""),"")</f>
        <v/>
      </c>
      <c r="I727" s="18" t="str">
        <f>IFERROR(__xludf.DUMMYFUNCTION("""COMPUTED_VALUE"""),"")</f>
        <v/>
      </c>
      <c r="J727" s="18" t="str">
        <f>IFERROR(__xludf.DUMMYFUNCTION("""COMPUTED_VALUE"""),"")</f>
        <v/>
      </c>
      <c r="K727" s="19"/>
      <c r="L727" s="19"/>
      <c r="M727" s="19"/>
      <c r="N727" s="19"/>
      <c r="O727" s="19"/>
    </row>
    <row r="728">
      <c r="A728" s="18"/>
      <c r="B728" s="29"/>
      <c r="C728" s="19"/>
      <c r="D728" s="19"/>
      <c r="E728" s="18"/>
      <c r="F728" s="18" t="str">
        <f>IFERROR(__xludf.DUMMYFUNCTION("""COMPUTED_VALUE"""),"")</f>
        <v/>
      </c>
      <c r="G728" s="18" t="str">
        <f>IFERROR(__xludf.DUMMYFUNCTION("""COMPUTED_VALUE"""),"")</f>
        <v/>
      </c>
      <c r="H728" s="18" t="str">
        <f>IFERROR(__xludf.DUMMYFUNCTION("""COMPUTED_VALUE"""),"")</f>
        <v/>
      </c>
      <c r="I728" s="18" t="str">
        <f>IFERROR(__xludf.DUMMYFUNCTION("""COMPUTED_VALUE"""),"")</f>
        <v/>
      </c>
      <c r="J728" s="18" t="str">
        <f>IFERROR(__xludf.DUMMYFUNCTION("""COMPUTED_VALUE"""),"")</f>
        <v/>
      </c>
      <c r="K728" s="19"/>
      <c r="L728" s="19"/>
      <c r="M728" s="19"/>
      <c r="N728" s="19"/>
      <c r="O728" s="19"/>
    </row>
    <row r="729">
      <c r="A729" s="18"/>
      <c r="B729" s="29"/>
      <c r="C729" s="19"/>
      <c r="D729" s="19"/>
      <c r="E729" s="18"/>
      <c r="F729" s="18" t="str">
        <f>IFERROR(__xludf.DUMMYFUNCTION("""COMPUTED_VALUE"""),"")</f>
        <v/>
      </c>
      <c r="G729" s="18" t="str">
        <f>IFERROR(__xludf.DUMMYFUNCTION("""COMPUTED_VALUE"""),"")</f>
        <v/>
      </c>
      <c r="H729" s="18" t="str">
        <f>IFERROR(__xludf.DUMMYFUNCTION("""COMPUTED_VALUE"""),"")</f>
        <v/>
      </c>
      <c r="I729" s="18" t="str">
        <f>IFERROR(__xludf.DUMMYFUNCTION("""COMPUTED_VALUE"""),"")</f>
        <v/>
      </c>
      <c r="J729" s="18" t="str">
        <f>IFERROR(__xludf.DUMMYFUNCTION("""COMPUTED_VALUE"""),"")</f>
        <v/>
      </c>
      <c r="K729" s="19"/>
      <c r="L729" s="19"/>
      <c r="M729" s="19"/>
      <c r="N729" s="19"/>
      <c r="O729" s="19"/>
    </row>
    <row r="730">
      <c r="A730" s="18"/>
      <c r="B730" s="29"/>
      <c r="C730" s="19"/>
      <c r="D730" s="19"/>
      <c r="E730" s="18"/>
      <c r="F730" s="18" t="str">
        <f>IFERROR(__xludf.DUMMYFUNCTION("""COMPUTED_VALUE"""),"")</f>
        <v/>
      </c>
      <c r="G730" s="18" t="str">
        <f>IFERROR(__xludf.DUMMYFUNCTION("""COMPUTED_VALUE"""),"")</f>
        <v/>
      </c>
      <c r="H730" s="18" t="str">
        <f>IFERROR(__xludf.DUMMYFUNCTION("""COMPUTED_VALUE"""),"")</f>
        <v/>
      </c>
      <c r="I730" s="18" t="str">
        <f>IFERROR(__xludf.DUMMYFUNCTION("""COMPUTED_VALUE"""),"")</f>
        <v/>
      </c>
      <c r="J730" s="18" t="str">
        <f>IFERROR(__xludf.DUMMYFUNCTION("""COMPUTED_VALUE"""),"")</f>
        <v/>
      </c>
      <c r="K730" s="19"/>
      <c r="L730" s="19"/>
      <c r="M730" s="19"/>
      <c r="N730" s="19"/>
      <c r="O730" s="19"/>
    </row>
    <row r="731">
      <c r="A731" s="18"/>
      <c r="B731" s="29"/>
      <c r="C731" s="19"/>
      <c r="D731" s="19"/>
      <c r="E731" s="18"/>
      <c r="F731" s="18" t="str">
        <f>IFERROR(__xludf.DUMMYFUNCTION("""COMPUTED_VALUE"""),"")</f>
        <v/>
      </c>
      <c r="G731" s="18" t="str">
        <f>IFERROR(__xludf.DUMMYFUNCTION("""COMPUTED_VALUE"""),"")</f>
        <v/>
      </c>
      <c r="H731" s="18" t="str">
        <f>IFERROR(__xludf.DUMMYFUNCTION("""COMPUTED_VALUE"""),"")</f>
        <v/>
      </c>
      <c r="I731" s="18" t="str">
        <f>IFERROR(__xludf.DUMMYFUNCTION("""COMPUTED_VALUE"""),"")</f>
        <v/>
      </c>
      <c r="J731" s="18" t="str">
        <f>IFERROR(__xludf.DUMMYFUNCTION("""COMPUTED_VALUE"""),"")</f>
        <v/>
      </c>
      <c r="K731" s="19"/>
      <c r="L731" s="19"/>
      <c r="M731" s="19"/>
      <c r="N731" s="19"/>
      <c r="O731" s="19"/>
    </row>
    <row r="732">
      <c r="A732" s="18"/>
      <c r="B732" s="29"/>
      <c r="C732" s="19"/>
      <c r="D732" s="19"/>
      <c r="E732" s="18"/>
      <c r="F732" s="18" t="str">
        <f>IFERROR(__xludf.DUMMYFUNCTION("""COMPUTED_VALUE"""),"")</f>
        <v/>
      </c>
      <c r="G732" s="18" t="str">
        <f>IFERROR(__xludf.DUMMYFUNCTION("""COMPUTED_VALUE"""),"")</f>
        <v/>
      </c>
      <c r="H732" s="18" t="str">
        <f>IFERROR(__xludf.DUMMYFUNCTION("""COMPUTED_VALUE"""),"")</f>
        <v/>
      </c>
      <c r="I732" s="18" t="str">
        <f>IFERROR(__xludf.DUMMYFUNCTION("""COMPUTED_VALUE"""),"")</f>
        <v/>
      </c>
      <c r="J732" s="18" t="str">
        <f>IFERROR(__xludf.DUMMYFUNCTION("""COMPUTED_VALUE"""),"")</f>
        <v/>
      </c>
      <c r="K732" s="19"/>
      <c r="L732" s="19"/>
      <c r="M732" s="19"/>
      <c r="N732" s="19"/>
      <c r="O732" s="19"/>
    </row>
    <row r="733">
      <c r="A733" s="18"/>
      <c r="B733" s="29"/>
      <c r="C733" s="19"/>
      <c r="D733" s="19"/>
      <c r="E733" s="18"/>
      <c r="F733" s="18" t="str">
        <f>IFERROR(__xludf.DUMMYFUNCTION("""COMPUTED_VALUE"""),"")</f>
        <v/>
      </c>
      <c r="G733" s="18" t="str">
        <f>IFERROR(__xludf.DUMMYFUNCTION("""COMPUTED_VALUE"""),"")</f>
        <v/>
      </c>
      <c r="H733" s="18" t="str">
        <f>IFERROR(__xludf.DUMMYFUNCTION("""COMPUTED_VALUE"""),"")</f>
        <v/>
      </c>
      <c r="I733" s="18" t="str">
        <f>IFERROR(__xludf.DUMMYFUNCTION("""COMPUTED_VALUE"""),"")</f>
        <v/>
      </c>
      <c r="J733" s="18" t="str">
        <f>IFERROR(__xludf.DUMMYFUNCTION("""COMPUTED_VALUE"""),"")</f>
        <v/>
      </c>
      <c r="K733" s="19"/>
      <c r="L733" s="19"/>
      <c r="M733" s="19"/>
      <c r="N733" s="19"/>
      <c r="O733" s="19"/>
    </row>
    <row r="734">
      <c r="A734" s="18"/>
      <c r="B734" s="29"/>
      <c r="C734" s="19"/>
      <c r="D734" s="19"/>
      <c r="E734" s="18"/>
      <c r="F734" s="18" t="str">
        <f>IFERROR(__xludf.DUMMYFUNCTION("""COMPUTED_VALUE"""),"")</f>
        <v/>
      </c>
      <c r="G734" s="18" t="str">
        <f>IFERROR(__xludf.DUMMYFUNCTION("""COMPUTED_VALUE"""),"")</f>
        <v/>
      </c>
      <c r="H734" s="18" t="str">
        <f>IFERROR(__xludf.DUMMYFUNCTION("""COMPUTED_VALUE"""),"")</f>
        <v/>
      </c>
      <c r="I734" s="18" t="str">
        <f>IFERROR(__xludf.DUMMYFUNCTION("""COMPUTED_VALUE"""),"")</f>
        <v/>
      </c>
      <c r="J734" s="18" t="str">
        <f>IFERROR(__xludf.DUMMYFUNCTION("""COMPUTED_VALUE"""),"")</f>
        <v/>
      </c>
      <c r="K734" s="19"/>
      <c r="L734" s="19"/>
      <c r="M734" s="19"/>
      <c r="N734" s="19"/>
      <c r="O734" s="19"/>
    </row>
    <row r="735">
      <c r="A735" s="18"/>
      <c r="B735" s="29"/>
      <c r="C735" s="19"/>
      <c r="D735" s="19"/>
      <c r="E735" s="18"/>
      <c r="F735" s="18" t="str">
        <f>IFERROR(__xludf.DUMMYFUNCTION("""COMPUTED_VALUE"""),"")</f>
        <v/>
      </c>
      <c r="G735" s="18" t="str">
        <f>IFERROR(__xludf.DUMMYFUNCTION("""COMPUTED_VALUE"""),"")</f>
        <v/>
      </c>
      <c r="H735" s="18" t="str">
        <f>IFERROR(__xludf.DUMMYFUNCTION("""COMPUTED_VALUE"""),"")</f>
        <v/>
      </c>
      <c r="I735" s="18" t="str">
        <f>IFERROR(__xludf.DUMMYFUNCTION("""COMPUTED_VALUE"""),"")</f>
        <v/>
      </c>
      <c r="J735" s="18" t="str">
        <f>IFERROR(__xludf.DUMMYFUNCTION("""COMPUTED_VALUE"""),"")</f>
        <v/>
      </c>
      <c r="K735" s="19"/>
      <c r="L735" s="19"/>
      <c r="M735" s="19"/>
      <c r="N735" s="19"/>
      <c r="O735" s="19"/>
    </row>
    <row r="736">
      <c r="A736" s="18"/>
      <c r="B736" s="29"/>
      <c r="C736" s="19"/>
      <c r="D736" s="19"/>
      <c r="E736" s="18"/>
      <c r="F736" s="18" t="str">
        <f>IFERROR(__xludf.DUMMYFUNCTION("""COMPUTED_VALUE"""),"")</f>
        <v/>
      </c>
      <c r="G736" s="18" t="str">
        <f>IFERROR(__xludf.DUMMYFUNCTION("""COMPUTED_VALUE"""),"")</f>
        <v/>
      </c>
      <c r="H736" s="18" t="str">
        <f>IFERROR(__xludf.DUMMYFUNCTION("""COMPUTED_VALUE"""),"")</f>
        <v/>
      </c>
      <c r="I736" s="18" t="str">
        <f>IFERROR(__xludf.DUMMYFUNCTION("""COMPUTED_VALUE"""),"")</f>
        <v/>
      </c>
      <c r="J736" s="18" t="str">
        <f>IFERROR(__xludf.DUMMYFUNCTION("""COMPUTED_VALUE"""),"")</f>
        <v/>
      </c>
      <c r="K736" s="19"/>
      <c r="L736" s="19"/>
      <c r="M736" s="19"/>
      <c r="N736" s="19"/>
      <c r="O736" s="19"/>
    </row>
    <row r="737">
      <c r="A737" s="18"/>
      <c r="B737" s="29"/>
      <c r="C737" s="19"/>
      <c r="D737" s="19"/>
      <c r="E737" s="18"/>
      <c r="F737" s="18" t="str">
        <f>IFERROR(__xludf.DUMMYFUNCTION("""COMPUTED_VALUE"""),"")</f>
        <v/>
      </c>
      <c r="G737" s="18" t="str">
        <f>IFERROR(__xludf.DUMMYFUNCTION("""COMPUTED_VALUE"""),"")</f>
        <v/>
      </c>
      <c r="H737" s="18" t="str">
        <f>IFERROR(__xludf.DUMMYFUNCTION("""COMPUTED_VALUE"""),"")</f>
        <v/>
      </c>
      <c r="I737" s="18" t="str">
        <f>IFERROR(__xludf.DUMMYFUNCTION("""COMPUTED_VALUE"""),"")</f>
        <v/>
      </c>
      <c r="J737" s="18" t="str">
        <f>IFERROR(__xludf.DUMMYFUNCTION("""COMPUTED_VALUE"""),"")</f>
        <v/>
      </c>
      <c r="K737" s="19"/>
      <c r="L737" s="19"/>
      <c r="M737" s="19"/>
      <c r="N737" s="19"/>
      <c r="O737" s="19"/>
    </row>
    <row r="738">
      <c r="A738" s="18"/>
      <c r="B738" s="29"/>
      <c r="C738" s="19"/>
      <c r="D738" s="19"/>
      <c r="E738" s="18"/>
      <c r="F738" s="18" t="str">
        <f>IFERROR(__xludf.DUMMYFUNCTION("""COMPUTED_VALUE"""),"")</f>
        <v/>
      </c>
      <c r="G738" s="18" t="str">
        <f>IFERROR(__xludf.DUMMYFUNCTION("""COMPUTED_VALUE"""),"")</f>
        <v/>
      </c>
      <c r="H738" s="18" t="str">
        <f>IFERROR(__xludf.DUMMYFUNCTION("""COMPUTED_VALUE"""),"")</f>
        <v/>
      </c>
      <c r="I738" s="18" t="str">
        <f>IFERROR(__xludf.DUMMYFUNCTION("""COMPUTED_VALUE"""),"")</f>
        <v/>
      </c>
      <c r="J738" s="18" t="str">
        <f>IFERROR(__xludf.DUMMYFUNCTION("""COMPUTED_VALUE"""),"")</f>
        <v/>
      </c>
      <c r="K738" s="19"/>
      <c r="L738" s="19"/>
      <c r="M738" s="19"/>
      <c r="N738" s="19"/>
      <c r="O738" s="19"/>
    </row>
    <row r="739">
      <c r="A739" s="18"/>
      <c r="B739" s="29"/>
      <c r="C739" s="19"/>
      <c r="D739" s="19"/>
      <c r="E739" s="18"/>
      <c r="F739" s="18" t="str">
        <f>IFERROR(__xludf.DUMMYFUNCTION("""COMPUTED_VALUE"""),"")</f>
        <v/>
      </c>
      <c r="G739" s="18" t="str">
        <f>IFERROR(__xludf.DUMMYFUNCTION("""COMPUTED_VALUE"""),"")</f>
        <v/>
      </c>
      <c r="H739" s="18" t="str">
        <f>IFERROR(__xludf.DUMMYFUNCTION("""COMPUTED_VALUE"""),"")</f>
        <v/>
      </c>
      <c r="I739" s="18" t="str">
        <f>IFERROR(__xludf.DUMMYFUNCTION("""COMPUTED_VALUE"""),"")</f>
        <v/>
      </c>
      <c r="J739" s="18" t="str">
        <f>IFERROR(__xludf.DUMMYFUNCTION("""COMPUTED_VALUE"""),"")</f>
        <v/>
      </c>
      <c r="K739" s="19"/>
      <c r="L739" s="19"/>
      <c r="M739" s="19"/>
      <c r="N739" s="19"/>
      <c r="O739" s="19"/>
    </row>
    <row r="740">
      <c r="A740" s="18"/>
      <c r="B740" s="29"/>
      <c r="C740" s="19"/>
      <c r="D740" s="19"/>
      <c r="E740" s="18"/>
      <c r="F740" s="18" t="str">
        <f>IFERROR(__xludf.DUMMYFUNCTION("""COMPUTED_VALUE"""),"")</f>
        <v/>
      </c>
      <c r="G740" s="18" t="str">
        <f>IFERROR(__xludf.DUMMYFUNCTION("""COMPUTED_VALUE"""),"")</f>
        <v/>
      </c>
      <c r="H740" s="18" t="str">
        <f>IFERROR(__xludf.DUMMYFUNCTION("""COMPUTED_VALUE"""),"")</f>
        <v/>
      </c>
      <c r="I740" s="18" t="str">
        <f>IFERROR(__xludf.DUMMYFUNCTION("""COMPUTED_VALUE"""),"")</f>
        <v/>
      </c>
      <c r="J740" s="18" t="str">
        <f>IFERROR(__xludf.DUMMYFUNCTION("""COMPUTED_VALUE"""),"")</f>
        <v/>
      </c>
      <c r="K740" s="19"/>
      <c r="L740" s="19"/>
      <c r="M740" s="19"/>
      <c r="N740" s="19"/>
      <c r="O740" s="19"/>
    </row>
    <row r="741">
      <c r="A741" s="18"/>
      <c r="B741" s="29"/>
      <c r="C741" s="19"/>
      <c r="D741" s="19"/>
      <c r="E741" s="18"/>
      <c r="F741" s="18" t="str">
        <f>IFERROR(__xludf.DUMMYFUNCTION("""COMPUTED_VALUE"""),"")</f>
        <v/>
      </c>
      <c r="G741" s="18" t="str">
        <f>IFERROR(__xludf.DUMMYFUNCTION("""COMPUTED_VALUE"""),"")</f>
        <v/>
      </c>
      <c r="H741" s="18" t="str">
        <f>IFERROR(__xludf.DUMMYFUNCTION("""COMPUTED_VALUE"""),"")</f>
        <v/>
      </c>
      <c r="I741" s="18" t="str">
        <f>IFERROR(__xludf.DUMMYFUNCTION("""COMPUTED_VALUE"""),"")</f>
        <v/>
      </c>
      <c r="J741" s="18" t="str">
        <f>IFERROR(__xludf.DUMMYFUNCTION("""COMPUTED_VALUE"""),"")</f>
        <v/>
      </c>
      <c r="K741" s="19"/>
      <c r="L741" s="19"/>
      <c r="M741" s="19"/>
      <c r="N741" s="19"/>
      <c r="O741" s="19"/>
    </row>
    <row r="742">
      <c r="A742" s="18"/>
      <c r="B742" s="29"/>
      <c r="C742" s="19"/>
      <c r="D742" s="19"/>
      <c r="E742" s="18"/>
      <c r="F742" s="18" t="str">
        <f>IFERROR(__xludf.DUMMYFUNCTION("""COMPUTED_VALUE"""),"")</f>
        <v/>
      </c>
      <c r="G742" s="18" t="str">
        <f>IFERROR(__xludf.DUMMYFUNCTION("""COMPUTED_VALUE"""),"")</f>
        <v/>
      </c>
      <c r="H742" s="18" t="str">
        <f>IFERROR(__xludf.DUMMYFUNCTION("""COMPUTED_VALUE"""),"")</f>
        <v/>
      </c>
      <c r="I742" s="18" t="str">
        <f>IFERROR(__xludf.DUMMYFUNCTION("""COMPUTED_VALUE"""),"")</f>
        <v/>
      </c>
      <c r="J742" s="18" t="str">
        <f>IFERROR(__xludf.DUMMYFUNCTION("""COMPUTED_VALUE"""),"")</f>
        <v/>
      </c>
      <c r="K742" s="19"/>
      <c r="L742" s="19"/>
      <c r="M742" s="19"/>
      <c r="N742" s="19"/>
      <c r="O742" s="19"/>
    </row>
    <row r="743">
      <c r="A743" s="18"/>
      <c r="B743" s="29"/>
      <c r="C743" s="19"/>
      <c r="D743" s="19"/>
      <c r="E743" s="18"/>
      <c r="F743" s="18" t="str">
        <f>IFERROR(__xludf.DUMMYFUNCTION("""COMPUTED_VALUE"""),"")</f>
        <v/>
      </c>
      <c r="G743" s="18" t="str">
        <f>IFERROR(__xludf.DUMMYFUNCTION("""COMPUTED_VALUE"""),"")</f>
        <v/>
      </c>
      <c r="H743" s="18" t="str">
        <f>IFERROR(__xludf.DUMMYFUNCTION("""COMPUTED_VALUE"""),"")</f>
        <v/>
      </c>
      <c r="I743" s="18" t="str">
        <f>IFERROR(__xludf.DUMMYFUNCTION("""COMPUTED_VALUE"""),"")</f>
        <v/>
      </c>
      <c r="J743" s="18" t="str">
        <f>IFERROR(__xludf.DUMMYFUNCTION("""COMPUTED_VALUE"""),"")</f>
        <v/>
      </c>
      <c r="K743" s="19"/>
      <c r="L743" s="19"/>
      <c r="M743" s="19"/>
      <c r="N743" s="19"/>
      <c r="O743" s="19"/>
    </row>
    <row r="744">
      <c r="A744" s="18"/>
      <c r="B744" s="29"/>
      <c r="C744" s="19"/>
      <c r="D744" s="19"/>
      <c r="E744" s="18"/>
      <c r="F744" s="18" t="str">
        <f>IFERROR(__xludf.DUMMYFUNCTION("""COMPUTED_VALUE"""),"")</f>
        <v/>
      </c>
      <c r="G744" s="18" t="str">
        <f>IFERROR(__xludf.DUMMYFUNCTION("""COMPUTED_VALUE"""),"")</f>
        <v/>
      </c>
      <c r="H744" s="18" t="str">
        <f>IFERROR(__xludf.DUMMYFUNCTION("""COMPUTED_VALUE"""),"")</f>
        <v/>
      </c>
      <c r="I744" s="18" t="str">
        <f>IFERROR(__xludf.DUMMYFUNCTION("""COMPUTED_VALUE"""),"")</f>
        <v/>
      </c>
      <c r="J744" s="18" t="str">
        <f>IFERROR(__xludf.DUMMYFUNCTION("""COMPUTED_VALUE"""),"")</f>
        <v/>
      </c>
      <c r="K744" s="19"/>
      <c r="L744" s="19"/>
      <c r="M744" s="19"/>
      <c r="N744" s="19"/>
      <c r="O744" s="19"/>
    </row>
    <row r="745">
      <c r="A745" s="18"/>
      <c r="B745" s="29"/>
      <c r="C745" s="19"/>
      <c r="D745" s="19"/>
      <c r="E745" s="18"/>
      <c r="F745" s="18" t="str">
        <f>IFERROR(__xludf.DUMMYFUNCTION("""COMPUTED_VALUE"""),"")</f>
        <v/>
      </c>
      <c r="G745" s="18" t="str">
        <f>IFERROR(__xludf.DUMMYFUNCTION("""COMPUTED_VALUE"""),"")</f>
        <v/>
      </c>
      <c r="H745" s="18" t="str">
        <f>IFERROR(__xludf.DUMMYFUNCTION("""COMPUTED_VALUE"""),"")</f>
        <v/>
      </c>
      <c r="I745" s="18" t="str">
        <f>IFERROR(__xludf.DUMMYFUNCTION("""COMPUTED_VALUE"""),"")</f>
        <v/>
      </c>
      <c r="J745" s="18" t="str">
        <f>IFERROR(__xludf.DUMMYFUNCTION("""COMPUTED_VALUE"""),"")</f>
        <v/>
      </c>
      <c r="K745" s="19"/>
      <c r="L745" s="19"/>
      <c r="M745" s="19"/>
      <c r="N745" s="19"/>
      <c r="O745" s="19"/>
    </row>
    <row r="746">
      <c r="A746" s="18"/>
      <c r="B746" s="29"/>
      <c r="C746" s="19"/>
      <c r="D746" s="19"/>
      <c r="E746" s="18"/>
      <c r="F746" s="18" t="str">
        <f>IFERROR(__xludf.DUMMYFUNCTION("""COMPUTED_VALUE"""),"")</f>
        <v/>
      </c>
      <c r="G746" s="18" t="str">
        <f>IFERROR(__xludf.DUMMYFUNCTION("""COMPUTED_VALUE"""),"")</f>
        <v/>
      </c>
      <c r="H746" s="18" t="str">
        <f>IFERROR(__xludf.DUMMYFUNCTION("""COMPUTED_VALUE"""),"")</f>
        <v/>
      </c>
      <c r="I746" s="18" t="str">
        <f>IFERROR(__xludf.DUMMYFUNCTION("""COMPUTED_VALUE"""),"")</f>
        <v/>
      </c>
      <c r="J746" s="18" t="str">
        <f>IFERROR(__xludf.DUMMYFUNCTION("""COMPUTED_VALUE"""),"")</f>
        <v/>
      </c>
      <c r="K746" s="19"/>
      <c r="L746" s="19"/>
      <c r="M746" s="19"/>
      <c r="N746" s="19"/>
      <c r="O746" s="19"/>
    </row>
    <row r="747">
      <c r="A747" s="18"/>
      <c r="B747" s="29"/>
      <c r="C747" s="19"/>
      <c r="D747" s="19"/>
      <c r="E747" s="18"/>
      <c r="F747" s="18" t="str">
        <f>IFERROR(__xludf.DUMMYFUNCTION("""COMPUTED_VALUE"""),"")</f>
        <v/>
      </c>
      <c r="G747" s="18" t="str">
        <f>IFERROR(__xludf.DUMMYFUNCTION("""COMPUTED_VALUE"""),"")</f>
        <v/>
      </c>
      <c r="H747" s="18" t="str">
        <f>IFERROR(__xludf.DUMMYFUNCTION("""COMPUTED_VALUE"""),"")</f>
        <v/>
      </c>
      <c r="I747" s="18" t="str">
        <f>IFERROR(__xludf.DUMMYFUNCTION("""COMPUTED_VALUE"""),"")</f>
        <v/>
      </c>
      <c r="J747" s="18" t="str">
        <f>IFERROR(__xludf.DUMMYFUNCTION("""COMPUTED_VALUE"""),"")</f>
        <v/>
      </c>
      <c r="K747" s="19"/>
      <c r="L747" s="19"/>
      <c r="M747" s="19"/>
      <c r="N747" s="19"/>
      <c r="O747" s="19"/>
    </row>
    <row r="748">
      <c r="A748" s="18"/>
      <c r="B748" s="29"/>
      <c r="C748" s="19"/>
      <c r="D748" s="19"/>
      <c r="E748" s="18"/>
      <c r="F748" s="18" t="str">
        <f>IFERROR(__xludf.DUMMYFUNCTION("""COMPUTED_VALUE"""),"")</f>
        <v/>
      </c>
      <c r="G748" s="18" t="str">
        <f>IFERROR(__xludf.DUMMYFUNCTION("""COMPUTED_VALUE"""),"")</f>
        <v/>
      </c>
      <c r="H748" s="18" t="str">
        <f>IFERROR(__xludf.DUMMYFUNCTION("""COMPUTED_VALUE"""),"")</f>
        <v/>
      </c>
      <c r="I748" s="18" t="str">
        <f>IFERROR(__xludf.DUMMYFUNCTION("""COMPUTED_VALUE"""),"")</f>
        <v/>
      </c>
      <c r="J748" s="18" t="str">
        <f>IFERROR(__xludf.DUMMYFUNCTION("""COMPUTED_VALUE"""),"")</f>
        <v/>
      </c>
      <c r="K748" s="19"/>
      <c r="L748" s="19"/>
      <c r="M748" s="19"/>
      <c r="N748" s="19"/>
      <c r="O748" s="19"/>
    </row>
    <row r="749">
      <c r="A749" s="18"/>
      <c r="B749" s="29"/>
      <c r="C749" s="19"/>
      <c r="D749" s="19"/>
      <c r="E749" s="18"/>
      <c r="F749" s="18" t="str">
        <f>IFERROR(__xludf.DUMMYFUNCTION("""COMPUTED_VALUE"""),"")</f>
        <v/>
      </c>
      <c r="G749" s="18" t="str">
        <f>IFERROR(__xludf.DUMMYFUNCTION("""COMPUTED_VALUE"""),"")</f>
        <v/>
      </c>
      <c r="H749" s="18" t="str">
        <f>IFERROR(__xludf.DUMMYFUNCTION("""COMPUTED_VALUE"""),"")</f>
        <v/>
      </c>
      <c r="I749" s="18" t="str">
        <f>IFERROR(__xludf.DUMMYFUNCTION("""COMPUTED_VALUE"""),"")</f>
        <v/>
      </c>
      <c r="J749" s="18" t="str">
        <f>IFERROR(__xludf.DUMMYFUNCTION("""COMPUTED_VALUE"""),"")</f>
        <v/>
      </c>
      <c r="K749" s="19"/>
      <c r="L749" s="19"/>
      <c r="M749" s="19"/>
      <c r="N749" s="19"/>
      <c r="O749" s="19"/>
    </row>
    <row r="750">
      <c r="A750" s="18"/>
      <c r="B750" s="29"/>
      <c r="C750" s="19"/>
      <c r="D750" s="19"/>
      <c r="E750" s="18"/>
      <c r="F750" s="18" t="str">
        <f>IFERROR(__xludf.DUMMYFUNCTION("""COMPUTED_VALUE"""),"")</f>
        <v/>
      </c>
      <c r="G750" s="18" t="str">
        <f>IFERROR(__xludf.DUMMYFUNCTION("""COMPUTED_VALUE"""),"")</f>
        <v/>
      </c>
      <c r="H750" s="18" t="str">
        <f>IFERROR(__xludf.DUMMYFUNCTION("""COMPUTED_VALUE"""),"")</f>
        <v/>
      </c>
      <c r="I750" s="18" t="str">
        <f>IFERROR(__xludf.DUMMYFUNCTION("""COMPUTED_VALUE"""),"")</f>
        <v/>
      </c>
      <c r="J750" s="18" t="str">
        <f>IFERROR(__xludf.DUMMYFUNCTION("""COMPUTED_VALUE"""),"")</f>
        <v/>
      </c>
      <c r="K750" s="19"/>
      <c r="L750" s="19"/>
      <c r="M750" s="19"/>
      <c r="N750" s="19"/>
      <c r="O750" s="19"/>
    </row>
    <row r="751">
      <c r="A751" s="18"/>
      <c r="B751" s="29"/>
      <c r="C751" s="19"/>
      <c r="D751" s="19"/>
      <c r="E751" s="18"/>
      <c r="F751" s="18" t="str">
        <f>IFERROR(__xludf.DUMMYFUNCTION("""COMPUTED_VALUE"""),"")</f>
        <v/>
      </c>
      <c r="G751" s="18" t="str">
        <f>IFERROR(__xludf.DUMMYFUNCTION("""COMPUTED_VALUE"""),"")</f>
        <v/>
      </c>
      <c r="H751" s="18" t="str">
        <f>IFERROR(__xludf.DUMMYFUNCTION("""COMPUTED_VALUE"""),"")</f>
        <v/>
      </c>
      <c r="I751" s="18" t="str">
        <f>IFERROR(__xludf.DUMMYFUNCTION("""COMPUTED_VALUE"""),"")</f>
        <v/>
      </c>
      <c r="J751" s="18" t="str">
        <f>IFERROR(__xludf.DUMMYFUNCTION("""COMPUTED_VALUE"""),"")</f>
        <v/>
      </c>
      <c r="K751" s="19"/>
      <c r="L751" s="19"/>
      <c r="M751" s="19"/>
      <c r="N751" s="19"/>
      <c r="O751" s="19"/>
    </row>
    <row r="752">
      <c r="A752" s="18"/>
      <c r="B752" s="29"/>
      <c r="C752" s="19"/>
      <c r="D752" s="19"/>
      <c r="E752" s="18"/>
      <c r="F752" s="18" t="str">
        <f>IFERROR(__xludf.DUMMYFUNCTION("""COMPUTED_VALUE"""),"")</f>
        <v/>
      </c>
      <c r="G752" s="18" t="str">
        <f>IFERROR(__xludf.DUMMYFUNCTION("""COMPUTED_VALUE"""),"")</f>
        <v/>
      </c>
      <c r="H752" s="18" t="str">
        <f>IFERROR(__xludf.DUMMYFUNCTION("""COMPUTED_VALUE"""),"")</f>
        <v/>
      </c>
      <c r="I752" s="18" t="str">
        <f>IFERROR(__xludf.DUMMYFUNCTION("""COMPUTED_VALUE"""),"")</f>
        <v/>
      </c>
      <c r="J752" s="18" t="str">
        <f>IFERROR(__xludf.DUMMYFUNCTION("""COMPUTED_VALUE"""),"")</f>
        <v/>
      </c>
      <c r="K752" s="19"/>
      <c r="L752" s="19"/>
      <c r="M752" s="19"/>
      <c r="N752" s="19"/>
      <c r="O752" s="19"/>
    </row>
    <row r="753">
      <c r="A753" s="18"/>
      <c r="B753" s="29"/>
      <c r="C753" s="19"/>
      <c r="D753" s="19"/>
      <c r="E753" s="18"/>
      <c r="F753" s="18" t="str">
        <f>IFERROR(__xludf.DUMMYFUNCTION("""COMPUTED_VALUE"""),"")</f>
        <v/>
      </c>
      <c r="G753" s="18" t="str">
        <f>IFERROR(__xludf.DUMMYFUNCTION("""COMPUTED_VALUE"""),"")</f>
        <v/>
      </c>
      <c r="H753" s="18" t="str">
        <f>IFERROR(__xludf.DUMMYFUNCTION("""COMPUTED_VALUE"""),"")</f>
        <v/>
      </c>
      <c r="I753" s="18" t="str">
        <f>IFERROR(__xludf.DUMMYFUNCTION("""COMPUTED_VALUE"""),"")</f>
        <v/>
      </c>
      <c r="J753" s="18" t="str">
        <f>IFERROR(__xludf.DUMMYFUNCTION("""COMPUTED_VALUE"""),"")</f>
        <v/>
      </c>
      <c r="K753" s="19"/>
      <c r="L753" s="19"/>
      <c r="M753" s="19"/>
      <c r="N753" s="19"/>
      <c r="O753" s="19"/>
    </row>
    <row r="754">
      <c r="A754" s="18"/>
      <c r="B754" s="29"/>
      <c r="C754" s="19"/>
      <c r="D754" s="19"/>
      <c r="E754" s="18"/>
      <c r="F754" s="18" t="str">
        <f>IFERROR(__xludf.DUMMYFUNCTION("""COMPUTED_VALUE"""),"")</f>
        <v/>
      </c>
      <c r="G754" s="18" t="str">
        <f>IFERROR(__xludf.DUMMYFUNCTION("""COMPUTED_VALUE"""),"")</f>
        <v/>
      </c>
      <c r="H754" s="18" t="str">
        <f>IFERROR(__xludf.DUMMYFUNCTION("""COMPUTED_VALUE"""),"")</f>
        <v/>
      </c>
      <c r="I754" s="18" t="str">
        <f>IFERROR(__xludf.DUMMYFUNCTION("""COMPUTED_VALUE"""),"")</f>
        <v/>
      </c>
      <c r="J754" s="18" t="str">
        <f>IFERROR(__xludf.DUMMYFUNCTION("""COMPUTED_VALUE"""),"")</f>
        <v/>
      </c>
      <c r="K754" s="19"/>
      <c r="L754" s="19"/>
      <c r="M754" s="19"/>
      <c r="N754" s="19"/>
      <c r="O754" s="19"/>
    </row>
    <row r="755">
      <c r="A755" s="18"/>
      <c r="B755" s="29"/>
      <c r="C755" s="19"/>
      <c r="D755" s="19"/>
      <c r="E755" s="18"/>
      <c r="F755" s="18" t="str">
        <f>IFERROR(__xludf.DUMMYFUNCTION("""COMPUTED_VALUE"""),"")</f>
        <v/>
      </c>
      <c r="G755" s="18" t="str">
        <f>IFERROR(__xludf.DUMMYFUNCTION("""COMPUTED_VALUE"""),"")</f>
        <v/>
      </c>
      <c r="H755" s="18" t="str">
        <f>IFERROR(__xludf.DUMMYFUNCTION("""COMPUTED_VALUE"""),"")</f>
        <v/>
      </c>
      <c r="I755" s="18" t="str">
        <f>IFERROR(__xludf.DUMMYFUNCTION("""COMPUTED_VALUE"""),"")</f>
        <v/>
      </c>
      <c r="J755" s="18" t="str">
        <f>IFERROR(__xludf.DUMMYFUNCTION("""COMPUTED_VALUE"""),"")</f>
        <v/>
      </c>
      <c r="K755" s="19"/>
      <c r="L755" s="19"/>
      <c r="M755" s="19"/>
      <c r="N755" s="19"/>
      <c r="O755" s="19"/>
    </row>
    <row r="756">
      <c r="A756" s="18"/>
      <c r="B756" s="29"/>
      <c r="C756" s="19"/>
      <c r="D756" s="19"/>
      <c r="E756" s="18"/>
      <c r="F756" s="18" t="str">
        <f>IFERROR(__xludf.DUMMYFUNCTION("""COMPUTED_VALUE"""),"")</f>
        <v/>
      </c>
      <c r="G756" s="18" t="str">
        <f>IFERROR(__xludf.DUMMYFUNCTION("""COMPUTED_VALUE"""),"")</f>
        <v/>
      </c>
      <c r="H756" s="18" t="str">
        <f>IFERROR(__xludf.DUMMYFUNCTION("""COMPUTED_VALUE"""),"")</f>
        <v/>
      </c>
      <c r="I756" s="18" t="str">
        <f>IFERROR(__xludf.DUMMYFUNCTION("""COMPUTED_VALUE"""),"")</f>
        <v/>
      </c>
      <c r="J756" s="18" t="str">
        <f>IFERROR(__xludf.DUMMYFUNCTION("""COMPUTED_VALUE"""),"")</f>
        <v/>
      </c>
      <c r="K756" s="19"/>
      <c r="L756" s="19"/>
      <c r="M756" s="19"/>
      <c r="N756" s="19"/>
      <c r="O756" s="19"/>
    </row>
    <row r="757">
      <c r="A757" s="18"/>
      <c r="B757" s="29"/>
      <c r="C757" s="19"/>
      <c r="D757" s="19"/>
      <c r="E757" s="18"/>
      <c r="F757" s="18" t="str">
        <f>IFERROR(__xludf.DUMMYFUNCTION("""COMPUTED_VALUE"""),"")</f>
        <v/>
      </c>
      <c r="G757" s="18" t="str">
        <f>IFERROR(__xludf.DUMMYFUNCTION("""COMPUTED_VALUE"""),"")</f>
        <v/>
      </c>
      <c r="H757" s="18" t="str">
        <f>IFERROR(__xludf.DUMMYFUNCTION("""COMPUTED_VALUE"""),"")</f>
        <v/>
      </c>
      <c r="I757" s="18" t="str">
        <f>IFERROR(__xludf.DUMMYFUNCTION("""COMPUTED_VALUE"""),"")</f>
        <v/>
      </c>
      <c r="J757" s="18" t="str">
        <f>IFERROR(__xludf.DUMMYFUNCTION("""COMPUTED_VALUE"""),"")</f>
        <v/>
      </c>
      <c r="K757" s="19"/>
      <c r="L757" s="19"/>
      <c r="M757" s="19"/>
      <c r="N757" s="19"/>
      <c r="O757" s="19"/>
    </row>
    <row r="758">
      <c r="A758" s="18"/>
      <c r="B758" s="29"/>
      <c r="C758" s="19"/>
      <c r="D758" s="19"/>
      <c r="E758" s="18"/>
      <c r="F758" s="18" t="str">
        <f>IFERROR(__xludf.DUMMYFUNCTION("""COMPUTED_VALUE"""),"")</f>
        <v/>
      </c>
      <c r="G758" s="18" t="str">
        <f>IFERROR(__xludf.DUMMYFUNCTION("""COMPUTED_VALUE"""),"")</f>
        <v/>
      </c>
      <c r="H758" s="18" t="str">
        <f>IFERROR(__xludf.DUMMYFUNCTION("""COMPUTED_VALUE"""),"")</f>
        <v/>
      </c>
      <c r="I758" s="18" t="str">
        <f>IFERROR(__xludf.DUMMYFUNCTION("""COMPUTED_VALUE"""),"")</f>
        <v/>
      </c>
      <c r="J758" s="18" t="str">
        <f>IFERROR(__xludf.DUMMYFUNCTION("""COMPUTED_VALUE"""),"")</f>
        <v/>
      </c>
      <c r="K758" s="19"/>
      <c r="L758" s="19"/>
      <c r="M758" s="19"/>
      <c r="N758" s="19"/>
      <c r="O758" s="19"/>
    </row>
    <row r="759">
      <c r="A759" s="18"/>
      <c r="B759" s="29"/>
      <c r="C759" s="19"/>
      <c r="D759" s="19"/>
      <c r="E759" s="18"/>
      <c r="F759" s="18" t="str">
        <f>IFERROR(__xludf.DUMMYFUNCTION("""COMPUTED_VALUE"""),"")</f>
        <v/>
      </c>
      <c r="G759" s="18" t="str">
        <f>IFERROR(__xludf.DUMMYFUNCTION("""COMPUTED_VALUE"""),"")</f>
        <v/>
      </c>
      <c r="H759" s="18" t="str">
        <f>IFERROR(__xludf.DUMMYFUNCTION("""COMPUTED_VALUE"""),"")</f>
        <v/>
      </c>
      <c r="I759" s="18" t="str">
        <f>IFERROR(__xludf.DUMMYFUNCTION("""COMPUTED_VALUE"""),"")</f>
        <v/>
      </c>
      <c r="J759" s="18" t="str">
        <f>IFERROR(__xludf.DUMMYFUNCTION("""COMPUTED_VALUE"""),"")</f>
        <v/>
      </c>
      <c r="K759" s="19"/>
      <c r="L759" s="19"/>
      <c r="M759" s="19"/>
      <c r="N759" s="19"/>
      <c r="O759" s="19"/>
    </row>
    <row r="760">
      <c r="A760" s="18"/>
      <c r="B760" s="29"/>
      <c r="C760" s="19"/>
      <c r="D760" s="19"/>
      <c r="E760" s="18"/>
      <c r="F760" s="18" t="str">
        <f>IFERROR(__xludf.DUMMYFUNCTION("""COMPUTED_VALUE"""),"")</f>
        <v/>
      </c>
      <c r="G760" s="18" t="str">
        <f>IFERROR(__xludf.DUMMYFUNCTION("""COMPUTED_VALUE"""),"")</f>
        <v/>
      </c>
      <c r="H760" s="18" t="str">
        <f>IFERROR(__xludf.DUMMYFUNCTION("""COMPUTED_VALUE"""),"")</f>
        <v/>
      </c>
      <c r="I760" s="18" t="str">
        <f>IFERROR(__xludf.DUMMYFUNCTION("""COMPUTED_VALUE"""),"")</f>
        <v/>
      </c>
      <c r="J760" s="18" t="str">
        <f>IFERROR(__xludf.DUMMYFUNCTION("""COMPUTED_VALUE"""),"")</f>
        <v/>
      </c>
      <c r="K760" s="19"/>
      <c r="L760" s="19"/>
      <c r="M760" s="19"/>
      <c r="N760" s="19"/>
      <c r="O760" s="19"/>
    </row>
    <row r="761">
      <c r="A761" s="18"/>
      <c r="B761" s="29"/>
      <c r="C761" s="19"/>
      <c r="D761" s="19"/>
      <c r="E761" s="18"/>
      <c r="F761" s="18" t="str">
        <f>IFERROR(__xludf.DUMMYFUNCTION("""COMPUTED_VALUE"""),"")</f>
        <v/>
      </c>
      <c r="G761" s="18" t="str">
        <f>IFERROR(__xludf.DUMMYFUNCTION("""COMPUTED_VALUE"""),"")</f>
        <v/>
      </c>
      <c r="H761" s="18" t="str">
        <f>IFERROR(__xludf.DUMMYFUNCTION("""COMPUTED_VALUE"""),"")</f>
        <v/>
      </c>
      <c r="I761" s="18" t="str">
        <f>IFERROR(__xludf.DUMMYFUNCTION("""COMPUTED_VALUE"""),"")</f>
        <v/>
      </c>
      <c r="J761" s="18" t="str">
        <f>IFERROR(__xludf.DUMMYFUNCTION("""COMPUTED_VALUE"""),"")</f>
        <v/>
      </c>
      <c r="K761" s="19"/>
      <c r="L761" s="19"/>
      <c r="M761" s="19"/>
      <c r="N761" s="19"/>
      <c r="O761" s="19"/>
    </row>
    <row r="762">
      <c r="A762" s="18"/>
      <c r="B762" s="29"/>
      <c r="C762" s="19"/>
      <c r="D762" s="19"/>
      <c r="E762" s="18"/>
      <c r="F762" s="18" t="str">
        <f>IFERROR(__xludf.DUMMYFUNCTION("""COMPUTED_VALUE"""),"")</f>
        <v/>
      </c>
      <c r="G762" s="18" t="str">
        <f>IFERROR(__xludf.DUMMYFUNCTION("""COMPUTED_VALUE"""),"")</f>
        <v/>
      </c>
      <c r="H762" s="18" t="str">
        <f>IFERROR(__xludf.DUMMYFUNCTION("""COMPUTED_VALUE"""),"")</f>
        <v/>
      </c>
      <c r="I762" s="18" t="str">
        <f>IFERROR(__xludf.DUMMYFUNCTION("""COMPUTED_VALUE"""),"")</f>
        <v/>
      </c>
      <c r="J762" s="18" t="str">
        <f>IFERROR(__xludf.DUMMYFUNCTION("""COMPUTED_VALUE"""),"")</f>
        <v/>
      </c>
      <c r="K762" s="19"/>
      <c r="L762" s="19"/>
      <c r="M762" s="19"/>
      <c r="N762" s="19"/>
      <c r="O762" s="19"/>
    </row>
    <row r="763">
      <c r="A763" s="18"/>
      <c r="B763" s="29"/>
      <c r="C763" s="19"/>
      <c r="D763" s="19"/>
      <c r="E763" s="18"/>
      <c r="F763" s="18" t="str">
        <f>IFERROR(__xludf.DUMMYFUNCTION("""COMPUTED_VALUE"""),"")</f>
        <v/>
      </c>
      <c r="G763" s="18" t="str">
        <f>IFERROR(__xludf.DUMMYFUNCTION("""COMPUTED_VALUE"""),"")</f>
        <v/>
      </c>
      <c r="H763" s="18" t="str">
        <f>IFERROR(__xludf.DUMMYFUNCTION("""COMPUTED_VALUE"""),"")</f>
        <v/>
      </c>
      <c r="I763" s="18" t="str">
        <f>IFERROR(__xludf.DUMMYFUNCTION("""COMPUTED_VALUE"""),"")</f>
        <v/>
      </c>
      <c r="J763" s="18" t="str">
        <f>IFERROR(__xludf.DUMMYFUNCTION("""COMPUTED_VALUE"""),"")</f>
        <v/>
      </c>
      <c r="K763" s="19"/>
      <c r="L763" s="19"/>
      <c r="M763" s="19"/>
      <c r="N763" s="19"/>
      <c r="O763" s="19"/>
    </row>
    <row r="764">
      <c r="A764" s="18"/>
      <c r="B764" s="29"/>
      <c r="C764" s="19"/>
      <c r="D764" s="19"/>
      <c r="E764" s="18"/>
      <c r="F764" s="18" t="str">
        <f>IFERROR(__xludf.DUMMYFUNCTION("""COMPUTED_VALUE"""),"")</f>
        <v/>
      </c>
      <c r="G764" s="18" t="str">
        <f>IFERROR(__xludf.DUMMYFUNCTION("""COMPUTED_VALUE"""),"")</f>
        <v/>
      </c>
      <c r="H764" s="18" t="str">
        <f>IFERROR(__xludf.DUMMYFUNCTION("""COMPUTED_VALUE"""),"")</f>
        <v/>
      </c>
      <c r="I764" s="18" t="str">
        <f>IFERROR(__xludf.DUMMYFUNCTION("""COMPUTED_VALUE"""),"")</f>
        <v/>
      </c>
      <c r="J764" s="18" t="str">
        <f>IFERROR(__xludf.DUMMYFUNCTION("""COMPUTED_VALUE"""),"")</f>
        <v/>
      </c>
      <c r="K764" s="19"/>
      <c r="L764" s="19"/>
      <c r="M764" s="19"/>
      <c r="N764" s="19"/>
      <c r="O764" s="19"/>
    </row>
    <row r="765">
      <c r="A765" s="18"/>
      <c r="B765" s="29"/>
      <c r="C765" s="19"/>
      <c r="D765" s="19"/>
      <c r="E765" s="18"/>
      <c r="F765" s="18" t="str">
        <f>IFERROR(__xludf.DUMMYFUNCTION("""COMPUTED_VALUE"""),"")</f>
        <v/>
      </c>
      <c r="G765" s="18" t="str">
        <f>IFERROR(__xludf.DUMMYFUNCTION("""COMPUTED_VALUE"""),"")</f>
        <v/>
      </c>
      <c r="H765" s="18" t="str">
        <f>IFERROR(__xludf.DUMMYFUNCTION("""COMPUTED_VALUE"""),"")</f>
        <v/>
      </c>
      <c r="I765" s="18" t="str">
        <f>IFERROR(__xludf.DUMMYFUNCTION("""COMPUTED_VALUE"""),"")</f>
        <v/>
      </c>
      <c r="J765" s="18" t="str">
        <f>IFERROR(__xludf.DUMMYFUNCTION("""COMPUTED_VALUE"""),"")</f>
        <v/>
      </c>
      <c r="K765" s="19"/>
      <c r="L765" s="19"/>
      <c r="M765" s="19"/>
      <c r="N765" s="19"/>
      <c r="O765" s="19"/>
    </row>
    <row r="766">
      <c r="A766" s="18"/>
      <c r="B766" s="29"/>
      <c r="C766" s="19"/>
      <c r="D766" s="19"/>
      <c r="E766" s="18"/>
      <c r="F766" s="18" t="str">
        <f>IFERROR(__xludf.DUMMYFUNCTION("""COMPUTED_VALUE"""),"")</f>
        <v/>
      </c>
      <c r="G766" s="18" t="str">
        <f>IFERROR(__xludf.DUMMYFUNCTION("""COMPUTED_VALUE"""),"")</f>
        <v/>
      </c>
      <c r="H766" s="18" t="str">
        <f>IFERROR(__xludf.DUMMYFUNCTION("""COMPUTED_VALUE"""),"")</f>
        <v/>
      </c>
      <c r="I766" s="18" t="str">
        <f>IFERROR(__xludf.DUMMYFUNCTION("""COMPUTED_VALUE"""),"")</f>
        <v/>
      </c>
      <c r="J766" s="18" t="str">
        <f>IFERROR(__xludf.DUMMYFUNCTION("""COMPUTED_VALUE"""),"")</f>
        <v/>
      </c>
      <c r="K766" s="19"/>
      <c r="L766" s="19"/>
      <c r="M766" s="19"/>
      <c r="N766" s="19"/>
      <c r="O766" s="19"/>
    </row>
    <row r="767">
      <c r="A767" s="18"/>
      <c r="B767" s="29"/>
      <c r="C767" s="19"/>
      <c r="D767" s="19"/>
      <c r="E767" s="18"/>
      <c r="F767" s="18" t="str">
        <f>IFERROR(__xludf.DUMMYFUNCTION("""COMPUTED_VALUE"""),"")</f>
        <v/>
      </c>
      <c r="G767" s="18" t="str">
        <f>IFERROR(__xludf.DUMMYFUNCTION("""COMPUTED_VALUE"""),"")</f>
        <v/>
      </c>
      <c r="H767" s="18" t="str">
        <f>IFERROR(__xludf.DUMMYFUNCTION("""COMPUTED_VALUE"""),"")</f>
        <v/>
      </c>
      <c r="I767" s="18" t="str">
        <f>IFERROR(__xludf.DUMMYFUNCTION("""COMPUTED_VALUE"""),"")</f>
        <v/>
      </c>
      <c r="J767" s="18" t="str">
        <f>IFERROR(__xludf.DUMMYFUNCTION("""COMPUTED_VALUE"""),"")</f>
        <v/>
      </c>
      <c r="K767" s="19"/>
      <c r="L767" s="19"/>
      <c r="M767" s="19"/>
      <c r="N767" s="19"/>
      <c r="O767" s="19"/>
    </row>
    <row r="768">
      <c r="A768" s="18"/>
      <c r="B768" s="29"/>
      <c r="C768" s="19"/>
      <c r="D768" s="19"/>
      <c r="E768" s="18"/>
      <c r="F768" s="18" t="str">
        <f>IFERROR(__xludf.DUMMYFUNCTION("""COMPUTED_VALUE"""),"")</f>
        <v/>
      </c>
      <c r="G768" s="18" t="str">
        <f>IFERROR(__xludf.DUMMYFUNCTION("""COMPUTED_VALUE"""),"")</f>
        <v/>
      </c>
      <c r="H768" s="18" t="str">
        <f>IFERROR(__xludf.DUMMYFUNCTION("""COMPUTED_VALUE"""),"")</f>
        <v/>
      </c>
      <c r="I768" s="18" t="str">
        <f>IFERROR(__xludf.DUMMYFUNCTION("""COMPUTED_VALUE"""),"")</f>
        <v/>
      </c>
      <c r="J768" s="18" t="str">
        <f>IFERROR(__xludf.DUMMYFUNCTION("""COMPUTED_VALUE"""),"")</f>
        <v/>
      </c>
      <c r="K768" s="19"/>
      <c r="L768" s="19"/>
      <c r="M768" s="19"/>
      <c r="N768" s="19"/>
      <c r="O768" s="19"/>
    </row>
    <row r="769">
      <c r="A769" s="18"/>
      <c r="B769" s="29"/>
      <c r="C769" s="19"/>
      <c r="D769" s="19"/>
      <c r="E769" s="18"/>
      <c r="F769" s="18" t="str">
        <f>IFERROR(__xludf.DUMMYFUNCTION("""COMPUTED_VALUE"""),"")</f>
        <v/>
      </c>
      <c r="G769" s="18" t="str">
        <f>IFERROR(__xludf.DUMMYFUNCTION("""COMPUTED_VALUE"""),"")</f>
        <v/>
      </c>
      <c r="H769" s="18" t="str">
        <f>IFERROR(__xludf.DUMMYFUNCTION("""COMPUTED_VALUE"""),"")</f>
        <v/>
      </c>
      <c r="I769" s="18" t="str">
        <f>IFERROR(__xludf.DUMMYFUNCTION("""COMPUTED_VALUE"""),"")</f>
        <v/>
      </c>
      <c r="J769" s="18" t="str">
        <f>IFERROR(__xludf.DUMMYFUNCTION("""COMPUTED_VALUE"""),"")</f>
        <v/>
      </c>
      <c r="K769" s="19"/>
      <c r="L769" s="19"/>
      <c r="M769" s="19"/>
      <c r="N769" s="19"/>
      <c r="O769" s="19"/>
    </row>
    <row r="770">
      <c r="A770" s="18"/>
      <c r="B770" s="29"/>
      <c r="C770" s="19"/>
      <c r="D770" s="19"/>
      <c r="E770" s="18"/>
      <c r="F770" s="18" t="str">
        <f>IFERROR(__xludf.DUMMYFUNCTION("""COMPUTED_VALUE"""),"")</f>
        <v/>
      </c>
      <c r="G770" s="18" t="str">
        <f>IFERROR(__xludf.DUMMYFUNCTION("""COMPUTED_VALUE"""),"")</f>
        <v/>
      </c>
      <c r="H770" s="18" t="str">
        <f>IFERROR(__xludf.DUMMYFUNCTION("""COMPUTED_VALUE"""),"")</f>
        <v/>
      </c>
      <c r="I770" s="18" t="str">
        <f>IFERROR(__xludf.DUMMYFUNCTION("""COMPUTED_VALUE"""),"")</f>
        <v/>
      </c>
      <c r="J770" s="18" t="str">
        <f>IFERROR(__xludf.DUMMYFUNCTION("""COMPUTED_VALUE"""),"")</f>
        <v/>
      </c>
      <c r="K770" s="19"/>
      <c r="L770" s="19"/>
      <c r="M770" s="19"/>
      <c r="N770" s="19"/>
      <c r="O770" s="19"/>
    </row>
    <row r="771">
      <c r="A771" s="18"/>
      <c r="B771" s="29"/>
      <c r="C771" s="19"/>
      <c r="D771" s="19"/>
      <c r="E771" s="18"/>
      <c r="F771" s="18" t="str">
        <f>IFERROR(__xludf.DUMMYFUNCTION("""COMPUTED_VALUE"""),"")</f>
        <v/>
      </c>
      <c r="G771" s="18" t="str">
        <f>IFERROR(__xludf.DUMMYFUNCTION("""COMPUTED_VALUE"""),"")</f>
        <v/>
      </c>
      <c r="H771" s="18" t="str">
        <f>IFERROR(__xludf.DUMMYFUNCTION("""COMPUTED_VALUE"""),"")</f>
        <v/>
      </c>
      <c r="I771" s="18" t="str">
        <f>IFERROR(__xludf.DUMMYFUNCTION("""COMPUTED_VALUE"""),"")</f>
        <v/>
      </c>
      <c r="J771" s="18" t="str">
        <f>IFERROR(__xludf.DUMMYFUNCTION("""COMPUTED_VALUE"""),"")</f>
        <v/>
      </c>
      <c r="K771" s="19"/>
      <c r="L771" s="19"/>
      <c r="M771" s="19"/>
      <c r="N771" s="19"/>
      <c r="O771" s="19"/>
    </row>
    <row r="772">
      <c r="A772" s="18"/>
      <c r="B772" s="29"/>
      <c r="C772" s="19"/>
      <c r="D772" s="19"/>
      <c r="E772" s="18"/>
      <c r="F772" s="18" t="str">
        <f>IFERROR(__xludf.DUMMYFUNCTION("""COMPUTED_VALUE"""),"")</f>
        <v/>
      </c>
      <c r="G772" s="18" t="str">
        <f>IFERROR(__xludf.DUMMYFUNCTION("""COMPUTED_VALUE"""),"")</f>
        <v/>
      </c>
      <c r="H772" s="18" t="str">
        <f>IFERROR(__xludf.DUMMYFUNCTION("""COMPUTED_VALUE"""),"")</f>
        <v/>
      </c>
      <c r="I772" s="18" t="str">
        <f>IFERROR(__xludf.DUMMYFUNCTION("""COMPUTED_VALUE"""),"")</f>
        <v/>
      </c>
      <c r="J772" s="18" t="str">
        <f>IFERROR(__xludf.DUMMYFUNCTION("""COMPUTED_VALUE"""),"")</f>
        <v/>
      </c>
      <c r="K772" s="19"/>
      <c r="L772" s="19"/>
      <c r="M772" s="19"/>
      <c r="N772" s="19"/>
      <c r="O772" s="19"/>
    </row>
    <row r="773">
      <c r="A773" s="18"/>
      <c r="B773" s="29"/>
      <c r="C773" s="19"/>
      <c r="D773" s="19"/>
      <c r="E773" s="18"/>
      <c r="F773" s="18" t="str">
        <f>IFERROR(__xludf.DUMMYFUNCTION("""COMPUTED_VALUE"""),"")</f>
        <v/>
      </c>
      <c r="G773" s="18" t="str">
        <f>IFERROR(__xludf.DUMMYFUNCTION("""COMPUTED_VALUE"""),"")</f>
        <v/>
      </c>
      <c r="H773" s="18" t="str">
        <f>IFERROR(__xludf.DUMMYFUNCTION("""COMPUTED_VALUE"""),"")</f>
        <v/>
      </c>
      <c r="I773" s="18" t="str">
        <f>IFERROR(__xludf.DUMMYFUNCTION("""COMPUTED_VALUE"""),"")</f>
        <v/>
      </c>
      <c r="J773" s="18" t="str">
        <f>IFERROR(__xludf.DUMMYFUNCTION("""COMPUTED_VALUE"""),"")</f>
        <v/>
      </c>
      <c r="K773" s="19"/>
      <c r="L773" s="19"/>
      <c r="M773" s="19"/>
      <c r="N773" s="19"/>
      <c r="O773" s="19"/>
    </row>
    <row r="774">
      <c r="A774" s="18"/>
      <c r="B774" s="29"/>
      <c r="C774" s="19"/>
      <c r="D774" s="19"/>
      <c r="E774" s="18"/>
      <c r="F774" s="18" t="str">
        <f>IFERROR(__xludf.DUMMYFUNCTION("""COMPUTED_VALUE"""),"")</f>
        <v/>
      </c>
      <c r="G774" s="18" t="str">
        <f>IFERROR(__xludf.DUMMYFUNCTION("""COMPUTED_VALUE"""),"")</f>
        <v/>
      </c>
      <c r="H774" s="18" t="str">
        <f>IFERROR(__xludf.DUMMYFUNCTION("""COMPUTED_VALUE"""),"")</f>
        <v/>
      </c>
      <c r="I774" s="18" t="str">
        <f>IFERROR(__xludf.DUMMYFUNCTION("""COMPUTED_VALUE"""),"")</f>
        <v/>
      </c>
      <c r="J774" s="18" t="str">
        <f>IFERROR(__xludf.DUMMYFUNCTION("""COMPUTED_VALUE"""),"")</f>
        <v/>
      </c>
      <c r="K774" s="19"/>
      <c r="L774" s="19"/>
      <c r="M774" s="19"/>
      <c r="N774" s="19"/>
      <c r="O774" s="19"/>
    </row>
    <row r="775">
      <c r="A775" s="18"/>
      <c r="B775" s="29"/>
      <c r="C775" s="19"/>
      <c r="D775" s="19"/>
      <c r="E775" s="18"/>
      <c r="F775" s="18" t="str">
        <f>IFERROR(__xludf.DUMMYFUNCTION("""COMPUTED_VALUE"""),"")</f>
        <v/>
      </c>
      <c r="G775" s="18" t="str">
        <f>IFERROR(__xludf.DUMMYFUNCTION("""COMPUTED_VALUE"""),"")</f>
        <v/>
      </c>
      <c r="H775" s="18" t="str">
        <f>IFERROR(__xludf.DUMMYFUNCTION("""COMPUTED_VALUE"""),"")</f>
        <v/>
      </c>
      <c r="I775" s="18" t="str">
        <f>IFERROR(__xludf.DUMMYFUNCTION("""COMPUTED_VALUE"""),"")</f>
        <v/>
      </c>
      <c r="J775" s="18" t="str">
        <f>IFERROR(__xludf.DUMMYFUNCTION("""COMPUTED_VALUE"""),"")</f>
        <v/>
      </c>
      <c r="K775" s="19"/>
      <c r="L775" s="19"/>
      <c r="M775" s="19"/>
      <c r="N775" s="19"/>
      <c r="O775" s="19"/>
    </row>
    <row r="776">
      <c r="A776" s="18"/>
      <c r="B776" s="29"/>
      <c r="C776" s="19"/>
      <c r="D776" s="19"/>
      <c r="E776" s="18"/>
      <c r="F776" s="18" t="str">
        <f>IFERROR(__xludf.DUMMYFUNCTION("""COMPUTED_VALUE"""),"")</f>
        <v/>
      </c>
      <c r="G776" s="18" t="str">
        <f>IFERROR(__xludf.DUMMYFUNCTION("""COMPUTED_VALUE"""),"")</f>
        <v/>
      </c>
      <c r="H776" s="18" t="str">
        <f>IFERROR(__xludf.DUMMYFUNCTION("""COMPUTED_VALUE"""),"")</f>
        <v/>
      </c>
      <c r="I776" s="18" t="str">
        <f>IFERROR(__xludf.DUMMYFUNCTION("""COMPUTED_VALUE"""),"")</f>
        <v/>
      </c>
      <c r="J776" s="18" t="str">
        <f>IFERROR(__xludf.DUMMYFUNCTION("""COMPUTED_VALUE"""),"")</f>
        <v/>
      </c>
      <c r="K776" s="19"/>
      <c r="L776" s="19"/>
      <c r="M776" s="19"/>
      <c r="N776" s="19"/>
      <c r="O776" s="19"/>
    </row>
    <row r="777">
      <c r="A777" s="18"/>
      <c r="B777" s="29"/>
      <c r="C777" s="19"/>
      <c r="D777" s="19"/>
      <c r="E777" s="18"/>
      <c r="F777" s="18" t="str">
        <f>IFERROR(__xludf.DUMMYFUNCTION("""COMPUTED_VALUE"""),"")</f>
        <v/>
      </c>
      <c r="G777" s="18" t="str">
        <f>IFERROR(__xludf.DUMMYFUNCTION("""COMPUTED_VALUE"""),"")</f>
        <v/>
      </c>
      <c r="H777" s="18" t="str">
        <f>IFERROR(__xludf.DUMMYFUNCTION("""COMPUTED_VALUE"""),"")</f>
        <v/>
      </c>
      <c r="I777" s="18" t="str">
        <f>IFERROR(__xludf.DUMMYFUNCTION("""COMPUTED_VALUE"""),"")</f>
        <v/>
      </c>
      <c r="J777" s="18" t="str">
        <f>IFERROR(__xludf.DUMMYFUNCTION("""COMPUTED_VALUE"""),"")</f>
        <v/>
      </c>
      <c r="K777" s="19"/>
      <c r="L777" s="19"/>
      <c r="M777" s="19"/>
      <c r="N777" s="19"/>
      <c r="O777" s="19"/>
    </row>
    <row r="778">
      <c r="A778" s="18"/>
      <c r="B778" s="29"/>
      <c r="C778" s="19"/>
      <c r="D778" s="19"/>
      <c r="E778" s="18"/>
      <c r="F778" s="18" t="str">
        <f>IFERROR(__xludf.DUMMYFUNCTION("""COMPUTED_VALUE"""),"")</f>
        <v/>
      </c>
      <c r="G778" s="18" t="str">
        <f>IFERROR(__xludf.DUMMYFUNCTION("""COMPUTED_VALUE"""),"")</f>
        <v/>
      </c>
      <c r="H778" s="18" t="str">
        <f>IFERROR(__xludf.DUMMYFUNCTION("""COMPUTED_VALUE"""),"")</f>
        <v/>
      </c>
      <c r="I778" s="18" t="str">
        <f>IFERROR(__xludf.DUMMYFUNCTION("""COMPUTED_VALUE"""),"")</f>
        <v/>
      </c>
      <c r="J778" s="18" t="str">
        <f>IFERROR(__xludf.DUMMYFUNCTION("""COMPUTED_VALUE"""),"")</f>
        <v/>
      </c>
      <c r="K778" s="19"/>
      <c r="L778" s="19"/>
      <c r="M778" s="19"/>
      <c r="N778" s="19"/>
      <c r="O778" s="19"/>
    </row>
    <row r="779">
      <c r="A779" s="18"/>
      <c r="B779" s="29"/>
      <c r="C779" s="19"/>
      <c r="D779" s="19"/>
      <c r="E779" s="18"/>
      <c r="F779" s="18" t="str">
        <f>IFERROR(__xludf.DUMMYFUNCTION("""COMPUTED_VALUE"""),"")</f>
        <v/>
      </c>
      <c r="G779" s="18" t="str">
        <f>IFERROR(__xludf.DUMMYFUNCTION("""COMPUTED_VALUE"""),"")</f>
        <v/>
      </c>
      <c r="H779" s="18" t="str">
        <f>IFERROR(__xludf.DUMMYFUNCTION("""COMPUTED_VALUE"""),"")</f>
        <v/>
      </c>
      <c r="I779" s="18" t="str">
        <f>IFERROR(__xludf.DUMMYFUNCTION("""COMPUTED_VALUE"""),"")</f>
        <v/>
      </c>
      <c r="J779" s="18" t="str">
        <f>IFERROR(__xludf.DUMMYFUNCTION("""COMPUTED_VALUE"""),"")</f>
        <v/>
      </c>
      <c r="K779" s="19"/>
      <c r="L779" s="19"/>
      <c r="M779" s="19"/>
      <c r="N779" s="19"/>
      <c r="O779" s="19"/>
    </row>
    <row r="780">
      <c r="A780" s="18"/>
      <c r="B780" s="29"/>
      <c r="C780" s="19"/>
      <c r="D780" s="19"/>
      <c r="E780" s="18"/>
      <c r="F780" s="18" t="str">
        <f>IFERROR(__xludf.DUMMYFUNCTION("""COMPUTED_VALUE"""),"")</f>
        <v/>
      </c>
      <c r="G780" s="18" t="str">
        <f>IFERROR(__xludf.DUMMYFUNCTION("""COMPUTED_VALUE"""),"")</f>
        <v/>
      </c>
      <c r="H780" s="18" t="str">
        <f>IFERROR(__xludf.DUMMYFUNCTION("""COMPUTED_VALUE"""),"")</f>
        <v/>
      </c>
      <c r="I780" s="18" t="str">
        <f>IFERROR(__xludf.DUMMYFUNCTION("""COMPUTED_VALUE"""),"")</f>
        <v/>
      </c>
      <c r="J780" s="18" t="str">
        <f>IFERROR(__xludf.DUMMYFUNCTION("""COMPUTED_VALUE"""),"")</f>
        <v/>
      </c>
      <c r="K780" s="19"/>
      <c r="L780" s="19"/>
      <c r="M780" s="19"/>
      <c r="N780" s="19"/>
      <c r="O780" s="19"/>
    </row>
    <row r="781">
      <c r="A781" s="18"/>
      <c r="B781" s="29"/>
      <c r="C781" s="19"/>
      <c r="D781" s="19"/>
      <c r="E781" s="18"/>
      <c r="F781" s="18" t="str">
        <f>IFERROR(__xludf.DUMMYFUNCTION("""COMPUTED_VALUE"""),"")</f>
        <v/>
      </c>
      <c r="G781" s="18" t="str">
        <f>IFERROR(__xludf.DUMMYFUNCTION("""COMPUTED_VALUE"""),"")</f>
        <v/>
      </c>
      <c r="H781" s="18" t="str">
        <f>IFERROR(__xludf.DUMMYFUNCTION("""COMPUTED_VALUE"""),"")</f>
        <v/>
      </c>
      <c r="I781" s="18" t="str">
        <f>IFERROR(__xludf.DUMMYFUNCTION("""COMPUTED_VALUE"""),"")</f>
        <v/>
      </c>
      <c r="J781" s="18" t="str">
        <f>IFERROR(__xludf.DUMMYFUNCTION("""COMPUTED_VALUE"""),"")</f>
        <v/>
      </c>
      <c r="K781" s="19"/>
      <c r="L781" s="19"/>
      <c r="M781" s="19"/>
      <c r="N781" s="19"/>
      <c r="O781" s="19"/>
    </row>
    <row r="782">
      <c r="A782" s="18"/>
      <c r="B782" s="29"/>
      <c r="C782" s="19"/>
      <c r="D782" s="19"/>
      <c r="E782" s="18"/>
      <c r="F782" s="18" t="str">
        <f>IFERROR(__xludf.DUMMYFUNCTION("""COMPUTED_VALUE"""),"")</f>
        <v/>
      </c>
      <c r="G782" s="18" t="str">
        <f>IFERROR(__xludf.DUMMYFUNCTION("""COMPUTED_VALUE"""),"")</f>
        <v/>
      </c>
      <c r="H782" s="18" t="str">
        <f>IFERROR(__xludf.DUMMYFUNCTION("""COMPUTED_VALUE"""),"")</f>
        <v/>
      </c>
      <c r="I782" s="18" t="str">
        <f>IFERROR(__xludf.DUMMYFUNCTION("""COMPUTED_VALUE"""),"")</f>
        <v/>
      </c>
      <c r="J782" s="18" t="str">
        <f>IFERROR(__xludf.DUMMYFUNCTION("""COMPUTED_VALUE"""),"")</f>
        <v/>
      </c>
      <c r="K782" s="19"/>
      <c r="L782" s="19"/>
      <c r="M782" s="19"/>
      <c r="N782" s="19"/>
      <c r="O782" s="19"/>
    </row>
    <row r="783">
      <c r="A783" s="18"/>
      <c r="B783" s="29"/>
      <c r="C783" s="19"/>
      <c r="D783" s="19"/>
      <c r="E783" s="18"/>
      <c r="F783" s="18" t="str">
        <f>IFERROR(__xludf.DUMMYFUNCTION("""COMPUTED_VALUE"""),"")</f>
        <v/>
      </c>
      <c r="G783" s="18" t="str">
        <f>IFERROR(__xludf.DUMMYFUNCTION("""COMPUTED_VALUE"""),"")</f>
        <v/>
      </c>
      <c r="H783" s="18" t="str">
        <f>IFERROR(__xludf.DUMMYFUNCTION("""COMPUTED_VALUE"""),"")</f>
        <v/>
      </c>
      <c r="I783" s="18" t="str">
        <f>IFERROR(__xludf.DUMMYFUNCTION("""COMPUTED_VALUE"""),"")</f>
        <v/>
      </c>
      <c r="J783" s="18" t="str">
        <f>IFERROR(__xludf.DUMMYFUNCTION("""COMPUTED_VALUE"""),"")</f>
        <v/>
      </c>
      <c r="K783" s="19"/>
      <c r="L783" s="19"/>
      <c r="M783" s="19"/>
      <c r="N783" s="19"/>
      <c r="O783" s="19"/>
    </row>
    <row r="784">
      <c r="A784" s="18"/>
      <c r="B784" s="29"/>
      <c r="C784" s="19"/>
      <c r="D784" s="19"/>
      <c r="E784" s="18"/>
      <c r="F784" s="18" t="str">
        <f>IFERROR(__xludf.DUMMYFUNCTION("""COMPUTED_VALUE"""),"")</f>
        <v/>
      </c>
      <c r="G784" s="18" t="str">
        <f>IFERROR(__xludf.DUMMYFUNCTION("""COMPUTED_VALUE"""),"")</f>
        <v/>
      </c>
      <c r="H784" s="18" t="str">
        <f>IFERROR(__xludf.DUMMYFUNCTION("""COMPUTED_VALUE"""),"")</f>
        <v/>
      </c>
      <c r="I784" s="18" t="str">
        <f>IFERROR(__xludf.DUMMYFUNCTION("""COMPUTED_VALUE"""),"")</f>
        <v/>
      </c>
      <c r="J784" s="18" t="str">
        <f>IFERROR(__xludf.DUMMYFUNCTION("""COMPUTED_VALUE"""),"")</f>
        <v/>
      </c>
      <c r="K784" s="19"/>
      <c r="L784" s="19"/>
      <c r="M784" s="19"/>
      <c r="N784" s="19"/>
      <c r="O784" s="19"/>
    </row>
    <row r="785">
      <c r="A785" s="18"/>
      <c r="B785" s="29"/>
      <c r="C785" s="19"/>
      <c r="D785" s="19"/>
      <c r="E785" s="18"/>
      <c r="F785" s="18" t="str">
        <f>IFERROR(__xludf.DUMMYFUNCTION("""COMPUTED_VALUE"""),"")</f>
        <v/>
      </c>
      <c r="G785" s="18" t="str">
        <f>IFERROR(__xludf.DUMMYFUNCTION("""COMPUTED_VALUE"""),"")</f>
        <v/>
      </c>
      <c r="H785" s="18" t="str">
        <f>IFERROR(__xludf.DUMMYFUNCTION("""COMPUTED_VALUE"""),"")</f>
        <v/>
      </c>
      <c r="I785" s="18" t="str">
        <f>IFERROR(__xludf.DUMMYFUNCTION("""COMPUTED_VALUE"""),"")</f>
        <v/>
      </c>
      <c r="J785" s="18" t="str">
        <f>IFERROR(__xludf.DUMMYFUNCTION("""COMPUTED_VALUE"""),"")</f>
        <v/>
      </c>
      <c r="K785" s="19"/>
      <c r="L785" s="19"/>
      <c r="M785" s="19"/>
      <c r="N785" s="19"/>
      <c r="O785" s="19"/>
    </row>
    <row r="786">
      <c r="A786" s="18"/>
      <c r="B786" s="29"/>
      <c r="C786" s="19"/>
      <c r="D786" s="19"/>
      <c r="E786" s="18"/>
      <c r="F786" s="18" t="str">
        <f>IFERROR(__xludf.DUMMYFUNCTION("""COMPUTED_VALUE"""),"")</f>
        <v/>
      </c>
      <c r="G786" s="18" t="str">
        <f>IFERROR(__xludf.DUMMYFUNCTION("""COMPUTED_VALUE"""),"")</f>
        <v/>
      </c>
      <c r="H786" s="18" t="str">
        <f>IFERROR(__xludf.DUMMYFUNCTION("""COMPUTED_VALUE"""),"")</f>
        <v/>
      </c>
      <c r="I786" s="18" t="str">
        <f>IFERROR(__xludf.DUMMYFUNCTION("""COMPUTED_VALUE"""),"")</f>
        <v/>
      </c>
      <c r="J786" s="18" t="str">
        <f>IFERROR(__xludf.DUMMYFUNCTION("""COMPUTED_VALUE"""),"")</f>
        <v/>
      </c>
      <c r="K786" s="19"/>
      <c r="L786" s="19"/>
      <c r="M786" s="19"/>
      <c r="N786" s="19"/>
      <c r="O786" s="19"/>
    </row>
    <row r="787">
      <c r="A787" s="18"/>
      <c r="B787" s="29"/>
      <c r="C787" s="19"/>
      <c r="D787" s="19"/>
      <c r="E787" s="18"/>
      <c r="F787" s="18" t="str">
        <f>IFERROR(__xludf.DUMMYFUNCTION("""COMPUTED_VALUE"""),"")</f>
        <v/>
      </c>
      <c r="G787" s="18" t="str">
        <f>IFERROR(__xludf.DUMMYFUNCTION("""COMPUTED_VALUE"""),"")</f>
        <v/>
      </c>
      <c r="H787" s="18" t="str">
        <f>IFERROR(__xludf.DUMMYFUNCTION("""COMPUTED_VALUE"""),"")</f>
        <v/>
      </c>
      <c r="I787" s="18" t="str">
        <f>IFERROR(__xludf.DUMMYFUNCTION("""COMPUTED_VALUE"""),"")</f>
        <v/>
      </c>
      <c r="J787" s="18" t="str">
        <f>IFERROR(__xludf.DUMMYFUNCTION("""COMPUTED_VALUE"""),"")</f>
        <v/>
      </c>
      <c r="K787" s="19"/>
      <c r="L787" s="19"/>
      <c r="M787" s="19"/>
      <c r="N787" s="19"/>
      <c r="O787" s="19"/>
    </row>
    <row r="788">
      <c r="A788" s="18"/>
      <c r="B788" s="29"/>
      <c r="C788" s="19"/>
      <c r="D788" s="19"/>
      <c r="E788" s="18"/>
      <c r="F788" s="18" t="str">
        <f>IFERROR(__xludf.DUMMYFUNCTION("""COMPUTED_VALUE"""),"")</f>
        <v/>
      </c>
      <c r="G788" s="18" t="str">
        <f>IFERROR(__xludf.DUMMYFUNCTION("""COMPUTED_VALUE"""),"")</f>
        <v/>
      </c>
      <c r="H788" s="18" t="str">
        <f>IFERROR(__xludf.DUMMYFUNCTION("""COMPUTED_VALUE"""),"")</f>
        <v/>
      </c>
      <c r="I788" s="18" t="str">
        <f>IFERROR(__xludf.DUMMYFUNCTION("""COMPUTED_VALUE"""),"")</f>
        <v/>
      </c>
      <c r="J788" s="18" t="str">
        <f>IFERROR(__xludf.DUMMYFUNCTION("""COMPUTED_VALUE"""),"")</f>
        <v/>
      </c>
      <c r="K788" s="19"/>
      <c r="L788" s="19"/>
      <c r="M788" s="19"/>
      <c r="N788" s="19"/>
      <c r="O788" s="19"/>
    </row>
    <row r="789">
      <c r="A789" s="18"/>
      <c r="B789" s="29"/>
      <c r="C789" s="19"/>
      <c r="D789" s="19"/>
      <c r="E789" s="18"/>
      <c r="F789" s="18" t="str">
        <f>IFERROR(__xludf.DUMMYFUNCTION("""COMPUTED_VALUE"""),"")</f>
        <v/>
      </c>
      <c r="G789" s="18" t="str">
        <f>IFERROR(__xludf.DUMMYFUNCTION("""COMPUTED_VALUE"""),"")</f>
        <v/>
      </c>
      <c r="H789" s="18" t="str">
        <f>IFERROR(__xludf.DUMMYFUNCTION("""COMPUTED_VALUE"""),"")</f>
        <v/>
      </c>
      <c r="I789" s="18" t="str">
        <f>IFERROR(__xludf.DUMMYFUNCTION("""COMPUTED_VALUE"""),"")</f>
        <v/>
      </c>
      <c r="J789" s="18" t="str">
        <f>IFERROR(__xludf.DUMMYFUNCTION("""COMPUTED_VALUE"""),"")</f>
        <v/>
      </c>
      <c r="K789" s="19"/>
      <c r="L789" s="19"/>
      <c r="M789" s="19"/>
      <c r="N789" s="19"/>
      <c r="O789" s="19"/>
    </row>
    <row r="790">
      <c r="A790" s="18"/>
      <c r="B790" s="29"/>
      <c r="C790" s="19"/>
      <c r="D790" s="19"/>
      <c r="E790" s="18"/>
      <c r="F790" s="18" t="str">
        <f>IFERROR(__xludf.DUMMYFUNCTION("""COMPUTED_VALUE"""),"")</f>
        <v/>
      </c>
      <c r="G790" s="18" t="str">
        <f>IFERROR(__xludf.DUMMYFUNCTION("""COMPUTED_VALUE"""),"")</f>
        <v/>
      </c>
      <c r="H790" s="18" t="str">
        <f>IFERROR(__xludf.DUMMYFUNCTION("""COMPUTED_VALUE"""),"")</f>
        <v/>
      </c>
      <c r="I790" s="18" t="str">
        <f>IFERROR(__xludf.DUMMYFUNCTION("""COMPUTED_VALUE"""),"")</f>
        <v/>
      </c>
      <c r="J790" s="18" t="str">
        <f>IFERROR(__xludf.DUMMYFUNCTION("""COMPUTED_VALUE"""),"")</f>
        <v/>
      </c>
      <c r="K790" s="19"/>
      <c r="L790" s="19"/>
      <c r="M790" s="19"/>
      <c r="N790" s="19"/>
      <c r="O790" s="19"/>
    </row>
    <row r="791">
      <c r="A791" s="18"/>
      <c r="B791" s="29"/>
      <c r="C791" s="19"/>
      <c r="D791" s="19"/>
      <c r="E791" s="18"/>
      <c r="F791" s="18" t="str">
        <f>IFERROR(__xludf.DUMMYFUNCTION("""COMPUTED_VALUE"""),"")</f>
        <v/>
      </c>
      <c r="G791" s="18" t="str">
        <f>IFERROR(__xludf.DUMMYFUNCTION("""COMPUTED_VALUE"""),"")</f>
        <v/>
      </c>
      <c r="H791" s="18" t="str">
        <f>IFERROR(__xludf.DUMMYFUNCTION("""COMPUTED_VALUE"""),"")</f>
        <v/>
      </c>
      <c r="I791" s="18" t="str">
        <f>IFERROR(__xludf.DUMMYFUNCTION("""COMPUTED_VALUE"""),"")</f>
        <v/>
      </c>
      <c r="J791" s="18" t="str">
        <f>IFERROR(__xludf.DUMMYFUNCTION("""COMPUTED_VALUE"""),"")</f>
        <v/>
      </c>
      <c r="K791" s="19"/>
      <c r="L791" s="19"/>
      <c r="M791" s="19"/>
      <c r="N791" s="19"/>
      <c r="O791" s="19"/>
    </row>
    <row r="792">
      <c r="A792" s="18"/>
      <c r="B792" s="29"/>
      <c r="C792" s="19"/>
      <c r="D792" s="19"/>
      <c r="E792" s="18"/>
      <c r="F792" s="18" t="str">
        <f>IFERROR(__xludf.DUMMYFUNCTION("""COMPUTED_VALUE"""),"")</f>
        <v/>
      </c>
      <c r="G792" s="18" t="str">
        <f>IFERROR(__xludf.DUMMYFUNCTION("""COMPUTED_VALUE"""),"")</f>
        <v/>
      </c>
      <c r="H792" s="18" t="str">
        <f>IFERROR(__xludf.DUMMYFUNCTION("""COMPUTED_VALUE"""),"")</f>
        <v/>
      </c>
      <c r="I792" s="18" t="str">
        <f>IFERROR(__xludf.DUMMYFUNCTION("""COMPUTED_VALUE"""),"")</f>
        <v/>
      </c>
      <c r="J792" s="18" t="str">
        <f>IFERROR(__xludf.DUMMYFUNCTION("""COMPUTED_VALUE"""),"")</f>
        <v/>
      </c>
      <c r="K792" s="19"/>
      <c r="L792" s="19"/>
      <c r="M792" s="19"/>
      <c r="N792" s="19"/>
      <c r="O792" s="19"/>
    </row>
    <row r="793">
      <c r="A793" s="18"/>
      <c r="B793" s="29"/>
      <c r="C793" s="19"/>
      <c r="D793" s="19"/>
      <c r="E793" s="18"/>
      <c r="F793" s="18" t="str">
        <f>IFERROR(__xludf.DUMMYFUNCTION("""COMPUTED_VALUE"""),"")</f>
        <v/>
      </c>
      <c r="G793" s="18" t="str">
        <f>IFERROR(__xludf.DUMMYFUNCTION("""COMPUTED_VALUE"""),"")</f>
        <v/>
      </c>
      <c r="H793" s="18" t="str">
        <f>IFERROR(__xludf.DUMMYFUNCTION("""COMPUTED_VALUE"""),"")</f>
        <v/>
      </c>
      <c r="I793" s="18" t="str">
        <f>IFERROR(__xludf.DUMMYFUNCTION("""COMPUTED_VALUE"""),"")</f>
        <v/>
      </c>
      <c r="J793" s="18" t="str">
        <f>IFERROR(__xludf.DUMMYFUNCTION("""COMPUTED_VALUE"""),"")</f>
        <v/>
      </c>
      <c r="K793" s="19"/>
      <c r="L793" s="19"/>
      <c r="M793" s="19"/>
      <c r="N793" s="19"/>
      <c r="O793" s="19"/>
    </row>
    <row r="794">
      <c r="A794" s="18"/>
      <c r="B794" s="29"/>
      <c r="C794" s="19"/>
      <c r="D794" s="19"/>
      <c r="E794" s="18"/>
      <c r="F794" s="18" t="str">
        <f>IFERROR(__xludf.DUMMYFUNCTION("""COMPUTED_VALUE"""),"")</f>
        <v/>
      </c>
      <c r="G794" s="18" t="str">
        <f>IFERROR(__xludf.DUMMYFUNCTION("""COMPUTED_VALUE"""),"")</f>
        <v/>
      </c>
      <c r="H794" s="18" t="str">
        <f>IFERROR(__xludf.DUMMYFUNCTION("""COMPUTED_VALUE"""),"")</f>
        <v/>
      </c>
      <c r="I794" s="18" t="str">
        <f>IFERROR(__xludf.DUMMYFUNCTION("""COMPUTED_VALUE"""),"")</f>
        <v/>
      </c>
      <c r="J794" s="18" t="str">
        <f>IFERROR(__xludf.DUMMYFUNCTION("""COMPUTED_VALUE"""),"")</f>
        <v/>
      </c>
      <c r="K794" s="19"/>
      <c r="L794" s="19"/>
      <c r="M794" s="19"/>
      <c r="N794" s="19"/>
      <c r="O794" s="19"/>
    </row>
    <row r="795">
      <c r="A795" s="18"/>
      <c r="B795" s="29"/>
      <c r="C795" s="19"/>
      <c r="D795" s="19"/>
      <c r="E795" s="18"/>
      <c r="F795" s="18" t="str">
        <f>IFERROR(__xludf.DUMMYFUNCTION("""COMPUTED_VALUE"""),"")</f>
        <v/>
      </c>
      <c r="G795" s="18" t="str">
        <f>IFERROR(__xludf.DUMMYFUNCTION("""COMPUTED_VALUE"""),"")</f>
        <v/>
      </c>
      <c r="H795" s="18" t="str">
        <f>IFERROR(__xludf.DUMMYFUNCTION("""COMPUTED_VALUE"""),"")</f>
        <v/>
      </c>
      <c r="I795" s="18" t="str">
        <f>IFERROR(__xludf.DUMMYFUNCTION("""COMPUTED_VALUE"""),"")</f>
        <v/>
      </c>
      <c r="J795" s="18" t="str">
        <f>IFERROR(__xludf.DUMMYFUNCTION("""COMPUTED_VALUE"""),"")</f>
        <v/>
      </c>
      <c r="K795" s="19"/>
      <c r="L795" s="19"/>
      <c r="M795" s="19"/>
      <c r="N795" s="19"/>
      <c r="O795" s="19"/>
    </row>
    <row r="796">
      <c r="A796" s="18"/>
      <c r="B796" s="29"/>
      <c r="C796" s="19"/>
      <c r="D796" s="19"/>
      <c r="E796" s="18"/>
      <c r="F796" s="18" t="str">
        <f>IFERROR(__xludf.DUMMYFUNCTION("""COMPUTED_VALUE"""),"")</f>
        <v/>
      </c>
      <c r="G796" s="18" t="str">
        <f>IFERROR(__xludf.DUMMYFUNCTION("""COMPUTED_VALUE"""),"")</f>
        <v/>
      </c>
      <c r="H796" s="18" t="str">
        <f>IFERROR(__xludf.DUMMYFUNCTION("""COMPUTED_VALUE"""),"")</f>
        <v/>
      </c>
      <c r="I796" s="18" t="str">
        <f>IFERROR(__xludf.DUMMYFUNCTION("""COMPUTED_VALUE"""),"")</f>
        <v/>
      </c>
      <c r="J796" s="18" t="str">
        <f>IFERROR(__xludf.DUMMYFUNCTION("""COMPUTED_VALUE"""),"")</f>
        <v/>
      </c>
      <c r="K796" s="19"/>
      <c r="L796" s="19"/>
      <c r="M796" s="19"/>
      <c r="N796" s="19"/>
      <c r="O796" s="19"/>
    </row>
    <row r="797">
      <c r="A797" s="18"/>
      <c r="B797" s="29"/>
      <c r="C797" s="19"/>
      <c r="D797" s="19"/>
      <c r="E797" s="18"/>
      <c r="F797" s="18" t="str">
        <f>IFERROR(__xludf.DUMMYFUNCTION("""COMPUTED_VALUE"""),"")</f>
        <v/>
      </c>
      <c r="G797" s="18" t="str">
        <f>IFERROR(__xludf.DUMMYFUNCTION("""COMPUTED_VALUE"""),"")</f>
        <v/>
      </c>
      <c r="H797" s="18" t="str">
        <f>IFERROR(__xludf.DUMMYFUNCTION("""COMPUTED_VALUE"""),"")</f>
        <v/>
      </c>
      <c r="I797" s="18" t="str">
        <f>IFERROR(__xludf.DUMMYFUNCTION("""COMPUTED_VALUE"""),"")</f>
        <v/>
      </c>
      <c r="J797" s="18" t="str">
        <f>IFERROR(__xludf.DUMMYFUNCTION("""COMPUTED_VALUE"""),"")</f>
        <v/>
      </c>
      <c r="K797" s="19"/>
      <c r="L797" s="19"/>
      <c r="M797" s="19"/>
      <c r="N797" s="19"/>
      <c r="O797" s="19"/>
    </row>
    <row r="798">
      <c r="A798" s="18"/>
      <c r="B798" s="29"/>
      <c r="C798" s="19"/>
      <c r="D798" s="19"/>
      <c r="E798" s="18"/>
      <c r="F798" s="18" t="str">
        <f>IFERROR(__xludf.DUMMYFUNCTION("""COMPUTED_VALUE"""),"")</f>
        <v/>
      </c>
      <c r="G798" s="18" t="str">
        <f>IFERROR(__xludf.DUMMYFUNCTION("""COMPUTED_VALUE"""),"")</f>
        <v/>
      </c>
      <c r="H798" s="18" t="str">
        <f>IFERROR(__xludf.DUMMYFUNCTION("""COMPUTED_VALUE"""),"")</f>
        <v/>
      </c>
      <c r="I798" s="18" t="str">
        <f>IFERROR(__xludf.DUMMYFUNCTION("""COMPUTED_VALUE"""),"")</f>
        <v/>
      </c>
      <c r="J798" s="18" t="str">
        <f>IFERROR(__xludf.DUMMYFUNCTION("""COMPUTED_VALUE"""),"")</f>
        <v/>
      </c>
      <c r="K798" s="19"/>
      <c r="L798" s="19"/>
      <c r="M798" s="19"/>
      <c r="N798" s="19"/>
      <c r="O798" s="19"/>
    </row>
    <row r="799">
      <c r="A799" s="18"/>
      <c r="B799" s="29"/>
      <c r="C799" s="19"/>
      <c r="D799" s="19"/>
      <c r="E799" s="18"/>
      <c r="F799" s="18" t="str">
        <f>IFERROR(__xludf.DUMMYFUNCTION("""COMPUTED_VALUE"""),"")</f>
        <v/>
      </c>
      <c r="G799" s="18" t="str">
        <f>IFERROR(__xludf.DUMMYFUNCTION("""COMPUTED_VALUE"""),"")</f>
        <v/>
      </c>
      <c r="H799" s="18" t="str">
        <f>IFERROR(__xludf.DUMMYFUNCTION("""COMPUTED_VALUE"""),"")</f>
        <v/>
      </c>
      <c r="I799" s="18" t="str">
        <f>IFERROR(__xludf.DUMMYFUNCTION("""COMPUTED_VALUE"""),"")</f>
        <v/>
      </c>
      <c r="J799" s="18" t="str">
        <f>IFERROR(__xludf.DUMMYFUNCTION("""COMPUTED_VALUE"""),"")</f>
        <v/>
      </c>
      <c r="K799" s="19"/>
      <c r="L799" s="19"/>
      <c r="M799" s="19"/>
      <c r="N799" s="19"/>
      <c r="O799" s="19"/>
    </row>
    <row r="800">
      <c r="A800" s="18"/>
      <c r="B800" s="29"/>
      <c r="C800" s="19"/>
      <c r="D800" s="19"/>
      <c r="E800" s="18"/>
      <c r="F800" s="18" t="str">
        <f>IFERROR(__xludf.DUMMYFUNCTION("""COMPUTED_VALUE"""),"")</f>
        <v/>
      </c>
      <c r="G800" s="18" t="str">
        <f>IFERROR(__xludf.DUMMYFUNCTION("""COMPUTED_VALUE"""),"")</f>
        <v/>
      </c>
      <c r="H800" s="18" t="str">
        <f>IFERROR(__xludf.DUMMYFUNCTION("""COMPUTED_VALUE"""),"")</f>
        <v/>
      </c>
      <c r="I800" s="18" t="str">
        <f>IFERROR(__xludf.DUMMYFUNCTION("""COMPUTED_VALUE"""),"")</f>
        <v/>
      </c>
      <c r="J800" s="18" t="str">
        <f>IFERROR(__xludf.DUMMYFUNCTION("""COMPUTED_VALUE"""),"")</f>
        <v/>
      </c>
      <c r="K800" s="19"/>
      <c r="L800" s="19"/>
      <c r="M800" s="19"/>
      <c r="N800" s="19"/>
      <c r="O800" s="19"/>
    </row>
    <row r="801">
      <c r="A801" s="18"/>
      <c r="B801" s="29"/>
      <c r="C801" s="19"/>
      <c r="D801" s="19"/>
      <c r="E801" s="18"/>
      <c r="F801" s="18" t="str">
        <f>IFERROR(__xludf.DUMMYFUNCTION("""COMPUTED_VALUE"""),"")</f>
        <v/>
      </c>
      <c r="G801" s="18" t="str">
        <f>IFERROR(__xludf.DUMMYFUNCTION("""COMPUTED_VALUE"""),"")</f>
        <v/>
      </c>
      <c r="H801" s="18" t="str">
        <f>IFERROR(__xludf.DUMMYFUNCTION("""COMPUTED_VALUE"""),"")</f>
        <v/>
      </c>
      <c r="I801" s="18" t="str">
        <f>IFERROR(__xludf.DUMMYFUNCTION("""COMPUTED_VALUE"""),"")</f>
        <v/>
      </c>
      <c r="J801" s="18" t="str">
        <f>IFERROR(__xludf.DUMMYFUNCTION("""COMPUTED_VALUE"""),"")</f>
        <v/>
      </c>
      <c r="K801" s="19"/>
      <c r="L801" s="19"/>
      <c r="M801" s="19"/>
      <c r="N801" s="19"/>
      <c r="O801" s="19"/>
    </row>
    <row r="802">
      <c r="A802" s="18"/>
      <c r="B802" s="29"/>
      <c r="C802" s="19"/>
      <c r="D802" s="19"/>
      <c r="E802" s="18"/>
      <c r="F802" s="18" t="str">
        <f>IFERROR(__xludf.DUMMYFUNCTION("""COMPUTED_VALUE"""),"")</f>
        <v/>
      </c>
      <c r="G802" s="18" t="str">
        <f>IFERROR(__xludf.DUMMYFUNCTION("""COMPUTED_VALUE"""),"")</f>
        <v/>
      </c>
      <c r="H802" s="18" t="str">
        <f>IFERROR(__xludf.DUMMYFUNCTION("""COMPUTED_VALUE"""),"")</f>
        <v/>
      </c>
      <c r="I802" s="18" t="str">
        <f>IFERROR(__xludf.DUMMYFUNCTION("""COMPUTED_VALUE"""),"")</f>
        <v/>
      </c>
      <c r="J802" s="18" t="str">
        <f>IFERROR(__xludf.DUMMYFUNCTION("""COMPUTED_VALUE"""),"")</f>
        <v/>
      </c>
      <c r="K802" s="19"/>
      <c r="L802" s="19"/>
      <c r="M802" s="19"/>
      <c r="N802" s="19"/>
      <c r="O802" s="19"/>
    </row>
    <row r="803">
      <c r="A803" s="18"/>
      <c r="B803" s="29"/>
      <c r="C803" s="19"/>
      <c r="D803" s="19"/>
      <c r="E803" s="18"/>
      <c r="F803" s="18" t="str">
        <f>IFERROR(__xludf.DUMMYFUNCTION("""COMPUTED_VALUE"""),"")</f>
        <v/>
      </c>
      <c r="G803" s="18" t="str">
        <f>IFERROR(__xludf.DUMMYFUNCTION("""COMPUTED_VALUE"""),"")</f>
        <v/>
      </c>
      <c r="H803" s="18" t="str">
        <f>IFERROR(__xludf.DUMMYFUNCTION("""COMPUTED_VALUE"""),"")</f>
        <v/>
      </c>
      <c r="I803" s="18" t="str">
        <f>IFERROR(__xludf.DUMMYFUNCTION("""COMPUTED_VALUE"""),"")</f>
        <v/>
      </c>
      <c r="J803" s="18" t="str">
        <f>IFERROR(__xludf.DUMMYFUNCTION("""COMPUTED_VALUE"""),"")</f>
        <v/>
      </c>
      <c r="K803" s="19"/>
      <c r="L803" s="19"/>
      <c r="M803" s="19"/>
      <c r="N803" s="19"/>
      <c r="O803" s="19"/>
    </row>
    <row r="804">
      <c r="A804" s="18"/>
      <c r="B804" s="29"/>
      <c r="C804" s="19"/>
      <c r="D804" s="19"/>
      <c r="E804" s="18"/>
      <c r="F804" s="18" t="str">
        <f>IFERROR(__xludf.DUMMYFUNCTION("""COMPUTED_VALUE"""),"")</f>
        <v/>
      </c>
      <c r="G804" s="18" t="str">
        <f>IFERROR(__xludf.DUMMYFUNCTION("""COMPUTED_VALUE"""),"")</f>
        <v/>
      </c>
      <c r="H804" s="18" t="str">
        <f>IFERROR(__xludf.DUMMYFUNCTION("""COMPUTED_VALUE"""),"")</f>
        <v/>
      </c>
      <c r="I804" s="18" t="str">
        <f>IFERROR(__xludf.DUMMYFUNCTION("""COMPUTED_VALUE"""),"")</f>
        <v/>
      </c>
      <c r="J804" s="18" t="str">
        <f>IFERROR(__xludf.DUMMYFUNCTION("""COMPUTED_VALUE"""),"")</f>
        <v/>
      </c>
      <c r="K804" s="19"/>
      <c r="L804" s="19"/>
      <c r="M804" s="19"/>
      <c r="N804" s="19"/>
      <c r="O804" s="19"/>
    </row>
    <row r="805">
      <c r="A805" s="18"/>
      <c r="B805" s="29"/>
      <c r="C805" s="19"/>
      <c r="D805" s="19"/>
      <c r="E805" s="18"/>
      <c r="F805" s="18" t="str">
        <f>IFERROR(__xludf.DUMMYFUNCTION("""COMPUTED_VALUE"""),"")</f>
        <v/>
      </c>
      <c r="G805" s="18" t="str">
        <f>IFERROR(__xludf.DUMMYFUNCTION("""COMPUTED_VALUE"""),"")</f>
        <v/>
      </c>
      <c r="H805" s="18" t="str">
        <f>IFERROR(__xludf.DUMMYFUNCTION("""COMPUTED_VALUE"""),"")</f>
        <v/>
      </c>
      <c r="I805" s="18" t="str">
        <f>IFERROR(__xludf.DUMMYFUNCTION("""COMPUTED_VALUE"""),"")</f>
        <v/>
      </c>
      <c r="J805" s="18" t="str">
        <f>IFERROR(__xludf.DUMMYFUNCTION("""COMPUTED_VALUE"""),"")</f>
        <v/>
      </c>
      <c r="K805" s="19"/>
      <c r="L805" s="19"/>
      <c r="M805" s="19"/>
      <c r="N805" s="19"/>
      <c r="O805" s="19"/>
    </row>
    <row r="806">
      <c r="A806" s="18"/>
      <c r="B806" s="29"/>
      <c r="C806" s="19"/>
      <c r="D806" s="19"/>
      <c r="E806" s="18"/>
      <c r="F806" s="18" t="str">
        <f>IFERROR(__xludf.DUMMYFUNCTION("""COMPUTED_VALUE"""),"")</f>
        <v/>
      </c>
      <c r="G806" s="18" t="str">
        <f>IFERROR(__xludf.DUMMYFUNCTION("""COMPUTED_VALUE"""),"")</f>
        <v/>
      </c>
      <c r="H806" s="18" t="str">
        <f>IFERROR(__xludf.DUMMYFUNCTION("""COMPUTED_VALUE"""),"")</f>
        <v/>
      </c>
      <c r="I806" s="18" t="str">
        <f>IFERROR(__xludf.DUMMYFUNCTION("""COMPUTED_VALUE"""),"")</f>
        <v/>
      </c>
      <c r="J806" s="18" t="str">
        <f>IFERROR(__xludf.DUMMYFUNCTION("""COMPUTED_VALUE"""),"")</f>
        <v/>
      </c>
      <c r="K806" s="19"/>
      <c r="L806" s="19"/>
      <c r="M806" s="19"/>
      <c r="N806" s="19"/>
      <c r="O806" s="19"/>
    </row>
    <row r="807">
      <c r="A807" s="18"/>
      <c r="B807" s="29"/>
      <c r="C807" s="19"/>
      <c r="D807" s="19"/>
      <c r="E807" s="18"/>
      <c r="F807" s="18" t="str">
        <f>IFERROR(__xludf.DUMMYFUNCTION("""COMPUTED_VALUE"""),"")</f>
        <v/>
      </c>
      <c r="G807" s="18" t="str">
        <f>IFERROR(__xludf.DUMMYFUNCTION("""COMPUTED_VALUE"""),"")</f>
        <v/>
      </c>
      <c r="H807" s="18" t="str">
        <f>IFERROR(__xludf.DUMMYFUNCTION("""COMPUTED_VALUE"""),"")</f>
        <v/>
      </c>
      <c r="I807" s="18" t="str">
        <f>IFERROR(__xludf.DUMMYFUNCTION("""COMPUTED_VALUE"""),"")</f>
        <v/>
      </c>
      <c r="J807" s="18" t="str">
        <f>IFERROR(__xludf.DUMMYFUNCTION("""COMPUTED_VALUE"""),"")</f>
        <v/>
      </c>
      <c r="K807" s="19"/>
      <c r="L807" s="19"/>
      <c r="M807" s="19"/>
      <c r="N807" s="19"/>
      <c r="O807" s="19"/>
    </row>
    <row r="808">
      <c r="A808" s="18"/>
      <c r="B808" s="29"/>
      <c r="C808" s="19"/>
      <c r="D808" s="19"/>
      <c r="E808" s="18"/>
      <c r="F808" s="18" t="str">
        <f>IFERROR(__xludf.DUMMYFUNCTION("""COMPUTED_VALUE"""),"")</f>
        <v/>
      </c>
      <c r="G808" s="18" t="str">
        <f>IFERROR(__xludf.DUMMYFUNCTION("""COMPUTED_VALUE"""),"")</f>
        <v/>
      </c>
      <c r="H808" s="18" t="str">
        <f>IFERROR(__xludf.DUMMYFUNCTION("""COMPUTED_VALUE"""),"")</f>
        <v/>
      </c>
      <c r="I808" s="18" t="str">
        <f>IFERROR(__xludf.DUMMYFUNCTION("""COMPUTED_VALUE"""),"")</f>
        <v/>
      </c>
      <c r="J808" s="18" t="str">
        <f>IFERROR(__xludf.DUMMYFUNCTION("""COMPUTED_VALUE"""),"")</f>
        <v/>
      </c>
      <c r="K808" s="19"/>
      <c r="L808" s="19"/>
      <c r="M808" s="19"/>
      <c r="N808" s="19"/>
      <c r="O808" s="19"/>
    </row>
    <row r="809">
      <c r="A809" s="18"/>
      <c r="B809" s="29"/>
      <c r="C809" s="19"/>
      <c r="D809" s="19"/>
      <c r="E809" s="18"/>
      <c r="F809" s="18" t="str">
        <f>IFERROR(__xludf.DUMMYFUNCTION("""COMPUTED_VALUE"""),"")</f>
        <v/>
      </c>
      <c r="G809" s="18" t="str">
        <f>IFERROR(__xludf.DUMMYFUNCTION("""COMPUTED_VALUE"""),"")</f>
        <v/>
      </c>
      <c r="H809" s="18" t="str">
        <f>IFERROR(__xludf.DUMMYFUNCTION("""COMPUTED_VALUE"""),"")</f>
        <v/>
      </c>
      <c r="I809" s="18" t="str">
        <f>IFERROR(__xludf.DUMMYFUNCTION("""COMPUTED_VALUE"""),"")</f>
        <v/>
      </c>
      <c r="J809" s="18" t="str">
        <f>IFERROR(__xludf.DUMMYFUNCTION("""COMPUTED_VALUE"""),"")</f>
        <v/>
      </c>
      <c r="K809" s="19"/>
      <c r="L809" s="19"/>
      <c r="M809" s="19"/>
      <c r="N809" s="19"/>
      <c r="O809" s="19"/>
    </row>
    <row r="810">
      <c r="A810" s="18"/>
      <c r="B810" s="29"/>
      <c r="C810" s="19"/>
      <c r="D810" s="19"/>
      <c r="E810" s="18"/>
      <c r="F810" s="18" t="str">
        <f>IFERROR(__xludf.DUMMYFUNCTION("""COMPUTED_VALUE"""),"")</f>
        <v/>
      </c>
      <c r="G810" s="18" t="str">
        <f>IFERROR(__xludf.DUMMYFUNCTION("""COMPUTED_VALUE"""),"")</f>
        <v/>
      </c>
      <c r="H810" s="18" t="str">
        <f>IFERROR(__xludf.DUMMYFUNCTION("""COMPUTED_VALUE"""),"")</f>
        <v/>
      </c>
      <c r="I810" s="18" t="str">
        <f>IFERROR(__xludf.DUMMYFUNCTION("""COMPUTED_VALUE"""),"")</f>
        <v/>
      </c>
      <c r="J810" s="18" t="str">
        <f>IFERROR(__xludf.DUMMYFUNCTION("""COMPUTED_VALUE"""),"")</f>
        <v/>
      </c>
      <c r="K810" s="19"/>
      <c r="L810" s="19"/>
      <c r="M810" s="19"/>
      <c r="N810" s="19"/>
      <c r="O810" s="19"/>
    </row>
    <row r="811">
      <c r="A811" s="18"/>
      <c r="B811" s="29"/>
      <c r="C811" s="19"/>
      <c r="D811" s="19"/>
      <c r="E811" s="18"/>
      <c r="F811" s="18" t="str">
        <f>IFERROR(__xludf.DUMMYFUNCTION("""COMPUTED_VALUE"""),"")</f>
        <v/>
      </c>
      <c r="G811" s="18" t="str">
        <f>IFERROR(__xludf.DUMMYFUNCTION("""COMPUTED_VALUE"""),"")</f>
        <v/>
      </c>
      <c r="H811" s="18" t="str">
        <f>IFERROR(__xludf.DUMMYFUNCTION("""COMPUTED_VALUE"""),"")</f>
        <v/>
      </c>
      <c r="I811" s="18" t="str">
        <f>IFERROR(__xludf.DUMMYFUNCTION("""COMPUTED_VALUE"""),"")</f>
        <v/>
      </c>
      <c r="J811" s="18" t="str">
        <f>IFERROR(__xludf.DUMMYFUNCTION("""COMPUTED_VALUE"""),"")</f>
        <v/>
      </c>
      <c r="K811" s="19"/>
      <c r="L811" s="19"/>
      <c r="M811" s="19"/>
      <c r="N811" s="19"/>
      <c r="O811" s="19"/>
    </row>
    <row r="812">
      <c r="A812" s="18"/>
      <c r="B812" s="29"/>
      <c r="C812" s="19"/>
      <c r="D812" s="19"/>
      <c r="E812" s="18"/>
      <c r="F812" s="18" t="str">
        <f>IFERROR(__xludf.DUMMYFUNCTION("""COMPUTED_VALUE"""),"")</f>
        <v/>
      </c>
      <c r="G812" s="18" t="str">
        <f>IFERROR(__xludf.DUMMYFUNCTION("""COMPUTED_VALUE"""),"")</f>
        <v/>
      </c>
      <c r="H812" s="18" t="str">
        <f>IFERROR(__xludf.DUMMYFUNCTION("""COMPUTED_VALUE"""),"")</f>
        <v/>
      </c>
      <c r="I812" s="18" t="str">
        <f>IFERROR(__xludf.DUMMYFUNCTION("""COMPUTED_VALUE"""),"")</f>
        <v/>
      </c>
      <c r="J812" s="18" t="str">
        <f>IFERROR(__xludf.DUMMYFUNCTION("""COMPUTED_VALUE"""),"")</f>
        <v/>
      </c>
      <c r="K812" s="19"/>
      <c r="L812" s="19"/>
      <c r="M812" s="19"/>
      <c r="N812" s="19"/>
      <c r="O812" s="19"/>
    </row>
    <row r="813">
      <c r="A813" s="18"/>
      <c r="B813" s="29"/>
      <c r="C813" s="19"/>
      <c r="D813" s="19"/>
      <c r="E813" s="18"/>
      <c r="F813" s="18" t="str">
        <f>IFERROR(__xludf.DUMMYFUNCTION("""COMPUTED_VALUE"""),"")</f>
        <v/>
      </c>
      <c r="G813" s="18" t="str">
        <f>IFERROR(__xludf.DUMMYFUNCTION("""COMPUTED_VALUE"""),"")</f>
        <v/>
      </c>
      <c r="H813" s="18" t="str">
        <f>IFERROR(__xludf.DUMMYFUNCTION("""COMPUTED_VALUE"""),"")</f>
        <v/>
      </c>
      <c r="I813" s="18" t="str">
        <f>IFERROR(__xludf.DUMMYFUNCTION("""COMPUTED_VALUE"""),"")</f>
        <v/>
      </c>
      <c r="J813" s="18" t="str">
        <f>IFERROR(__xludf.DUMMYFUNCTION("""COMPUTED_VALUE"""),"")</f>
        <v/>
      </c>
      <c r="K813" s="19"/>
      <c r="L813" s="19"/>
      <c r="M813" s="19"/>
      <c r="N813" s="19"/>
      <c r="O813" s="19"/>
    </row>
    <row r="814">
      <c r="A814" s="18"/>
      <c r="B814" s="29"/>
      <c r="C814" s="19"/>
      <c r="D814" s="19"/>
      <c r="E814" s="18"/>
      <c r="F814" s="18" t="str">
        <f>IFERROR(__xludf.DUMMYFUNCTION("""COMPUTED_VALUE"""),"")</f>
        <v/>
      </c>
      <c r="G814" s="18" t="str">
        <f>IFERROR(__xludf.DUMMYFUNCTION("""COMPUTED_VALUE"""),"")</f>
        <v/>
      </c>
      <c r="H814" s="18" t="str">
        <f>IFERROR(__xludf.DUMMYFUNCTION("""COMPUTED_VALUE"""),"")</f>
        <v/>
      </c>
      <c r="I814" s="18" t="str">
        <f>IFERROR(__xludf.DUMMYFUNCTION("""COMPUTED_VALUE"""),"")</f>
        <v/>
      </c>
      <c r="J814" s="18" t="str">
        <f>IFERROR(__xludf.DUMMYFUNCTION("""COMPUTED_VALUE"""),"")</f>
        <v/>
      </c>
      <c r="K814" s="19"/>
      <c r="L814" s="19"/>
      <c r="M814" s="19"/>
      <c r="N814" s="19"/>
      <c r="O814" s="19"/>
    </row>
    <row r="815">
      <c r="A815" s="18"/>
      <c r="B815" s="29"/>
      <c r="C815" s="19"/>
      <c r="D815" s="19"/>
      <c r="E815" s="18"/>
      <c r="F815" s="18" t="str">
        <f>IFERROR(__xludf.DUMMYFUNCTION("""COMPUTED_VALUE"""),"")</f>
        <v/>
      </c>
      <c r="G815" s="18" t="str">
        <f>IFERROR(__xludf.DUMMYFUNCTION("""COMPUTED_VALUE"""),"")</f>
        <v/>
      </c>
      <c r="H815" s="18" t="str">
        <f>IFERROR(__xludf.DUMMYFUNCTION("""COMPUTED_VALUE"""),"")</f>
        <v/>
      </c>
      <c r="I815" s="18" t="str">
        <f>IFERROR(__xludf.DUMMYFUNCTION("""COMPUTED_VALUE"""),"")</f>
        <v/>
      </c>
      <c r="J815" s="18" t="str">
        <f>IFERROR(__xludf.DUMMYFUNCTION("""COMPUTED_VALUE"""),"")</f>
        <v/>
      </c>
      <c r="K815" s="19"/>
      <c r="L815" s="19"/>
      <c r="M815" s="19"/>
      <c r="N815" s="19"/>
      <c r="O815" s="19"/>
    </row>
    <row r="816">
      <c r="A816" s="18"/>
      <c r="B816" s="29"/>
      <c r="C816" s="19"/>
      <c r="D816" s="19"/>
      <c r="E816" s="18"/>
      <c r="F816" s="18" t="str">
        <f>IFERROR(__xludf.DUMMYFUNCTION("""COMPUTED_VALUE"""),"")</f>
        <v/>
      </c>
      <c r="G816" s="18" t="str">
        <f>IFERROR(__xludf.DUMMYFUNCTION("""COMPUTED_VALUE"""),"")</f>
        <v/>
      </c>
      <c r="H816" s="18" t="str">
        <f>IFERROR(__xludf.DUMMYFUNCTION("""COMPUTED_VALUE"""),"")</f>
        <v/>
      </c>
      <c r="I816" s="18" t="str">
        <f>IFERROR(__xludf.DUMMYFUNCTION("""COMPUTED_VALUE"""),"")</f>
        <v/>
      </c>
      <c r="J816" s="18" t="str">
        <f>IFERROR(__xludf.DUMMYFUNCTION("""COMPUTED_VALUE"""),"")</f>
        <v/>
      </c>
      <c r="K816" s="19"/>
      <c r="L816" s="19"/>
      <c r="M816" s="19"/>
      <c r="N816" s="19"/>
      <c r="O816" s="19"/>
    </row>
    <row r="817">
      <c r="A817" s="18"/>
      <c r="B817" s="29"/>
      <c r="C817" s="19"/>
      <c r="D817" s="19"/>
      <c r="E817" s="18"/>
      <c r="F817" s="18" t="str">
        <f>IFERROR(__xludf.DUMMYFUNCTION("""COMPUTED_VALUE"""),"")</f>
        <v/>
      </c>
      <c r="G817" s="18" t="str">
        <f>IFERROR(__xludf.DUMMYFUNCTION("""COMPUTED_VALUE"""),"")</f>
        <v/>
      </c>
      <c r="H817" s="18" t="str">
        <f>IFERROR(__xludf.DUMMYFUNCTION("""COMPUTED_VALUE"""),"")</f>
        <v/>
      </c>
      <c r="I817" s="18" t="str">
        <f>IFERROR(__xludf.DUMMYFUNCTION("""COMPUTED_VALUE"""),"")</f>
        <v/>
      </c>
      <c r="J817" s="18" t="str">
        <f>IFERROR(__xludf.DUMMYFUNCTION("""COMPUTED_VALUE"""),"")</f>
        <v/>
      </c>
      <c r="K817" s="19"/>
      <c r="L817" s="19"/>
      <c r="M817" s="19"/>
      <c r="N817" s="19"/>
      <c r="O817" s="19"/>
    </row>
    <row r="818">
      <c r="A818" s="18"/>
      <c r="B818" s="29"/>
      <c r="C818" s="19"/>
      <c r="D818" s="19"/>
      <c r="E818" s="18"/>
      <c r="F818" s="18" t="str">
        <f>IFERROR(__xludf.DUMMYFUNCTION("""COMPUTED_VALUE"""),"")</f>
        <v/>
      </c>
      <c r="G818" s="18" t="str">
        <f>IFERROR(__xludf.DUMMYFUNCTION("""COMPUTED_VALUE"""),"")</f>
        <v/>
      </c>
      <c r="H818" s="18" t="str">
        <f>IFERROR(__xludf.DUMMYFUNCTION("""COMPUTED_VALUE"""),"")</f>
        <v/>
      </c>
      <c r="I818" s="18" t="str">
        <f>IFERROR(__xludf.DUMMYFUNCTION("""COMPUTED_VALUE"""),"")</f>
        <v/>
      </c>
      <c r="J818" s="18" t="str">
        <f>IFERROR(__xludf.DUMMYFUNCTION("""COMPUTED_VALUE"""),"")</f>
        <v/>
      </c>
      <c r="K818" s="19"/>
      <c r="L818" s="19"/>
      <c r="M818" s="19"/>
      <c r="N818" s="19"/>
      <c r="O818" s="19"/>
    </row>
    <row r="819">
      <c r="A819" s="18"/>
      <c r="B819" s="29"/>
      <c r="C819" s="19"/>
      <c r="D819" s="19"/>
      <c r="E819" s="18"/>
      <c r="F819" s="18" t="str">
        <f>IFERROR(__xludf.DUMMYFUNCTION("""COMPUTED_VALUE"""),"")</f>
        <v/>
      </c>
      <c r="G819" s="18" t="str">
        <f>IFERROR(__xludf.DUMMYFUNCTION("""COMPUTED_VALUE"""),"")</f>
        <v/>
      </c>
      <c r="H819" s="18" t="str">
        <f>IFERROR(__xludf.DUMMYFUNCTION("""COMPUTED_VALUE"""),"")</f>
        <v/>
      </c>
      <c r="I819" s="18" t="str">
        <f>IFERROR(__xludf.DUMMYFUNCTION("""COMPUTED_VALUE"""),"")</f>
        <v/>
      </c>
      <c r="J819" s="18" t="str">
        <f>IFERROR(__xludf.DUMMYFUNCTION("""COMPUTED_VALUE"""),"")</f>
        <v/>
      </c>
      <c r="K819" s="19"/>
      <c r="L819" s="19"/>
      <c r="M819" s="19"/>
      <c r="N819" s="19"/>
      <c r="O819" s="19"/>
    </row>
    <row r="820">
      <c r="A820" s="18"/>
      <c r="B820" s="29"/>
      <c r="C820" s="19"/>
      <c r="D820" s="19"/>
      <c r="E820" s="18"/>
      <c r="F820" s="18" t="str">
        <f>IFERROR(__xludf.DUMMYFUNCTION("""COMPUTED_VALUE"""),"")</f>
        <v/>
      </c>
      <c r="G820" s="18" t="str">
        <f>IFERROR(__xludf.DUMMYFUNCTION("""COMPUTED_VALUE"""),"")</f>
        <v/>
      </c>
      <c r="H820" s="18" t="str">
        <f>IFERROR(__xludf.DUMMYFUNCTION("""COMPUTED_VALUE"""),"")</f>
        <v/>
      </c>
      <c r="I820" s="18" t="str">
        <f>IFERROR(__xludf.DUMMYFUNCTION("""COMPUTED_VALUE"""),"")</f>
        <v/>
      </c>
      <c r="J820" s="18" t="str">
        <f>IFERROR(__xludf.DUMMYFUNCTION("""COMPUTED_VALUE"""),"")</f>
        <v/>
      </c>
      <c r="K820" s="19"/>
      <c r="L820" s="19"/>
      <c r="M820" s="19"/>
      <c r="N820" s="19"/>
      <c r="O820" s="19"/>
    </row>
    <row r="821">
      <c r="A821" s="18"/>
      <c r="B821" s="29"/>
      <c r="C821" s="19"/>
      <c r="D821" s="19"/>
      <c r="E821" s="18"/>
      <c r="F821" s="18" t="str">
        <f>IFERROR(__xludf.DUMMYFUNCTION("""COMPUTED_VALUE"""),"")</f>
        <v/>
      </c>
      <c r="G821" s="18" t="str">
        <f>IFERROR(__xludf.DUMMYFUNCTION("""COMPUTED_VALUE"""),"")</f>
        <v/>
      </c>
      <c r="H821" s="18" t="str">
        <f>IFERROR(__xludf.DUMMYFUNCTION("""COMPUTED_VALUE"""),"")</f>
        <v/>
      </c>
      <c r="I821" s="18" t="str">
        <f>IFERROR(__xludf.DUMMYFUNCTION("""COMPUTED_VALUE"""),"")</f>
        <v/>
      </c>
      <c r="J821" s="18" t="str">
        <f>IFERROR(__xludf.DUMMYFUNCTION("""COMPUTED_VALUE"""),"")</f>
        <v/>
      </c>
      <c r="K821" s="19"/>
      <c r="L821" s="19"/>
      <c r="M821" s="19"/>
      <c r="N821" s="19"/>
      <c r="O821" s="19"/>
    </row>
    <row r="822">
      <c r="A822" s="18"/>
      <c r="B822" s="29"/>
      <c r="C822" s="19"/>
      <c r="D822" s="19"/>
      <c r="E822" s="18"/>
      <c r="F822" s="18" t="str">
        <f>IFERROR(__xludf.DUMMYFUNCTION("""COMPUTED_VALUE"""),"")</f>
        <v/>
      </c>
      <c r="G822" s="18" t="str">
        <f>IFERROR(__xludf.DUMMYFUNCTION("""COMPUTED_VALUE"""),"")</f>
        <v/>
      </c>
      <c r="H822" s="18" t="str">
        <f>IFERROR(__xludf.DUMMYFUNCTION("""COMPUTED_VALUE"""),"")</f>
        <v/>
      </c>
      <c r="I822" s="18" t="str">
        <f>IFERROR(__xludf.DUMMYFUNCTION("""COMPUTED_VALUE"""),"")</f>
        <v/>
      </c>
      <c r="J822" s="18" t="str">
        <f>IFERROR(__xludf.DUMMYFUNCTION("""COMPUTED_VALUE"""),"")</f>
        <v/>
      </c>
      <c r="K822" s="19"/>
      <c r="L822" s="19"/>
      <c r="M822" s="19"/>
      <c r="N822" s="19"/>
      <c r="O822" s="19"/>
    </row>
    <row r="823">
      <c r="A823" s="18"/>
      <c r="B823" s="29"/>
      <c r="C823" s="19"/>
      <c r="D823" s="19"/>
      <c r="E823" s="18"/>
      <c r="F823" s="18" t="str">
        <f>IFERROR(__xludf.DUMMYFUNCTION("""COMPUTED_VALUE"""),"")</f>
        <v/>
      </c>
      <c r="G823" s="18" t="str">
        <f>IFERROR(__xludf.DUMMYFUNCTION("""COMPUTED_VALUE"""),"")</f>
        <v/>
      </c>
      <c r="H823" s="18" t="str">
        <f>IFERROR(__xludf.DUMMYFUNCTION("""COMPUTED_VALUE"""),"")</f>
        <v/>
      </c>
      <c r="I823" s="18" t="str">
        <f>IFERROR(__xludf.DUMMYFUNCTION("""COMPUTED_VALUE"""),"")</f>
        <v/>
      </c>
      <c r="J823" s="18" t="str">
        <f>IFERROR(__xludf.DUMMYFUNCTION("""COMPUTED_VALUE"""),"")</f>
        <v/>
      </c>
      <c r="K823" s="19"/>
      <c r="L823" s="19"/>
      <c r="M823" s="19"/>
      <c r="N823" s="19"/>
      <c r="O823" s="19"/>
    </row>
    <row r="824">
      <c r="A824" s="18"/>
      <c r="B824" s="29"/>
      <c r="C824" s="19"/>
      <c r="D824" s="19"/>
      <c r="E824" s="18"/>
      <c r="F824" s="18" t="str">
        <f>IFERROR(__xludf.DUMMYFUNCTION("""COMPUTED_VALUE"""),"")</f>
        <v/>
      </c>
      <c r="G824" s="18" t="str">
        <f>IFERROR(__xludf.DUMMYFUNCTION("""COMPUTED_VALUE"""),"")</f>
        <v/>
      </c>
      <c r="H824" s="18" t="str">
        <f>IFERROR(__xludf.DUMMYFUNCTION("""COMPUTED_VALUE"""),"")</f>
        <v/>
      </c>
      <c r="I824" s="18" t="str">
        <f>IFERROR(__xludf.DUMMYFUNCTION("""COMPUTED_VALUE"""),"")</f>
        <v/>
      </c>
      <c r="J824" s="18" t="str">
        <f>IFERROR(__xludf.DUMMYFUNCTION("""COMPUTED_VALUE"""),"")</f>
        <v/>
      </c>
      <c r="K824" s="19"/>
      <c r="L824" s="19"/>
      <c r="M824" s="19"/>
      <c r="N824" s="19"/>
      <c r="O824" s="19"/>
    </row>
    <row r="825">
      <c r="A825" s="18"/>
      <c r="B825" s="29"/>
      <c r="C825" s="19"/>
      <c r="D825" s="19"/>
      <c r="E825" s="18"/>
      <c r="F825" s="18" t="str">
        <f>IFERROR(__xludf.DUMMYFUNCTION("""COMPUTED_VALUE"""),"")</f>
        <v/>
      </c>
      <c r="G825" s="18" t="str">
        <f>IFERROR(__xludf.DUMMYFUNCTION("""COMPUTED_VALUE"""),"")</f>
        <v/>
      </c>
      <c r="H825" s="18" t="str">
        <f>IFERROR(__xludf.DUMMYFUNCTION("""COMPUTED_VALUE"""),"")</f>
        <v/>
      </c>
      <c r="I825" s="18" t="str">
        <f>IFERROR(__xludf.DUMMYFUNCTION("""COMPUTED_VALUE"""),"")</f>
        <v/>
      </c>
      <c r="J825" s="18" t="str">
        <f>IFERROR(__xludf.DUMMYFUNCTION("""COMPUTED_VALUE"""),"")</f>
        <v/>
      </c>
      <c r="K825" s="19"/>
      <c r="L825" s="19"/>
      <c r="M825" s="19"/>
      <c r="N825" s="19"/>
      <c r="O825" s="19"/>
    </row>
    <row r="826">
      <c r="A826" s="18"/>
      <c r="B826" s="29"/>
      <c r="C826" s="19"/>
      <c r="D826" s="19"/>
      <c r="E826" s="18"/>
      <c r="F826" s="18" t="str">
        <f>IFERROR(__xludf.DUMMYFUNCTION("""COMPUTED_VALUE"""),"")</f>
        <v/>
      </c>
      <c r="G826" s="18" t="str">
        <f>IFERROR(__xludf.DUMMYFUNCTION("""COMPUTED_VALUE"""),"")</f>
        <v/>
      </c>
      <c r="H826" s="18" t="str">
        <f>IFERROR(__xludf.DUMMYFUNCTION("""COMPUTED_VALUE"""),"")</f>
        <v/>
      </c>
      <c r="I826" s="18" t="str">
        <f>IFERROR(__xludf.DUMMYFUNCTION("""COMPUTED_VALUE"""),"")</f>
        <v/>
      </c>
      <c r="J826" s="18" t="str">
        <f>IFERROR(__xludf.DUMMYFUNCTION("""COMPUTED_VALUE"""),"")</f>
        <v/>
      </c>
      <c r="K826" s="19"/>
      <c r="L826" s="19"/>
      <c r="M826" s="19"/>
      <c r="N826" s="19"/>
      <c r="O826" s="19"/>
    </row>
    <row r="827">
      <c r="A827" s="18"/>
      <c r="B827" s="29"/>
      <c r="C827" s="19"/>
      <c r="D827" s="19"/>
      <c r="E827" s="18"/>
      <c r="F827" s="18" t="str">
        <f>IFERROR(__xludf.DUMMYFUNCTION("""COMPUTED_VALUE"""),"")</f>
        <v/>
      </c>
      <c r="G827" s="18" t="str">
        <f>IFERROR(__xludf.DUMMYFUNCTION("""COMPUTED_VALUE"""),"")</f>
        <v/>
      </c>
      <c r="H827" s="18" t="str">
        <f>IFERROR(__xludf.DUMMYFUNCTION("""COMPUTED_VALUE"""),"")</f>
        <v/>
      </c>
      <c r="I827" s="18" t="str">
        <f>IFERROR(__xludf.DUMMYFUNCTION("""COMPUTED_VALUE"""),"")</f>
        <v/>
      </c>
      <c r="J827" s="18" t="str">
        <f>IFERROR(__xludf.DUMMYFUNCTION("""COMPUTED_VALUE"""),"")</f>
        <v/>
      </c>
      <c r="K827" s="19"/>
      <c r="L827" s="19"/>
      <c r="M827" s="19"/>
      <c r="N827" s="19"/>
      <c r="O827" s="19"/>
    </row>
    <row r="828">
      <c r="A828" s="18"/>
      <c r="B828" s="29"/>
      <c r="C828" s="19"/>
      <c r="D828" s="19"/>
      <c r="E828" s="18"/>
      <c r="F828" s="18" t="str">
        <f>IFERROR(__xludf.DUMMYFUNCTION("""COMPUTED_VALUE"""),"")</f>
        <v/>
      </c>
      <c r="G828" s="18" t="str">
        <f>IFERROR(__xludf.DUMMYFUNCTION("""COMPUTED_VALUE"""),"")</f>
        <v/>
      </c>
      <c r="H828" s="18" t="str">
        <f>IFERROR(__xludf.DUMMYFUNCTION("""COMPUTED_VALUE"""),"")</f>
        <v/>
      </c>
      <c r="I828" s="18" t="str">
        <f>IFERROR(__xludf.DUMMYFUNCTION("""COMPUTED_VALUE"""),"")</f>
        <v/>
      </c>
      <c r="J828" s="18" t="str">
        <f>IFERROR(__xludf.DUMMYFUNCTION("""COMPUTED_VALUE"""),"")</f>
        <v/>
      </c>
      <c r="K828" s="19"/>
      <c r="L828" s="19"/>
      <c r="M828" s="19"/>
      <c r="N828" s="19"/>
      <c r="O828" s="19"/>
    </row>
    <row r="829">
      <c r="A829" s="18"/>
      <c r="B829" s="29"/>
      <c r="C829" s="19"/>
      <c r="D829" s="19"/>
      <c r="E829" s="18"/>
      <c r="F829" s="18" t="str">
        <f>IFERROR(__xludf.DUMMYFUNCTION("""COMPUTED_VALUE"""),"")</f>
        <v/>
      </c>
      <c r="G829" s="18" t="str">
        <f>IFERROR(__xludf.DUMMYFUNCTION("""COMPUTED_VALUE"""),"")</f>
        <v/>
      </c>
      <c r="H829" s="18" t="str">
        <f>IFERROR(__xludf.DUMMYFUNCTION("""COMPUTED_VALUE"""),"")</f>
        <v/>
      </c>
      <c r="I829" s="18" t="str">
        <f>IFERROR(__xludf.DUMMYFUNCTION("""COMPUTED_VALUE"""),"")</f>
        <v/>
      </c>
      <c r="J829" s="18" t="str">
        <f>IFERROR(__xludf.DUMMYFUNCTION("""COMPUTED_VALUE"""),"")</f>
        <v/>
      </c>
      <c r="K829" s="19"/>
      <c r="L829" s="19"/>
      <c r="M829" s="19"/>
      <c r="N829" s="19"/>
      <c r="O829" s="19"/>
    </row>
    <row r="830">
      <c r="A830" s="18"/>
      <c r="B830" s="29"/>
      <c r="C830" s="19"/>
      <c r="D830" s="19"/>
      <c r="E830" s="18"/>
      <c r="F830" s="18" t="str">
        <f>IFERROR(__xludf.DUMMYFUNCTION("""COMPUTED_VALUE"""),"")</f>
        <v/>
      </c>
      <c r="G830" s="18" t="str">
        <f>IFERROR(__xludf.DUMMYFUNCTION("""COMPUTED_VALUE"""),"")</f>
        <v/>
      </c>
      <c r="H830" s="18" t="str">
        <f>IFERROR(__xludf.DUMMYFUNCTION("""COMPUTED_VALUE"""),"")</f>
        <v/>
      </c>
      <c r="I830" s="18" t="str">
        <f>IFERROR(__xludf.DUMMYFUNCTION("""COMPUTED_VALUE"""),"")</f>
        <v/>
      </c>
      <c r="J830" s="18" t="str">
        <f>IFERROR(__xludf.DUMMYFUNCTION("""COMPUTED_VALUE"""),"")</f>
        <v/>
      </c>
      <c r="K830" s="19"/>
      <c r="L830" s="19"/>
      <c r="M830" s="19"/>
      <c r="N830" s="19"/>
      <c r="O830" s="19"/>
    </row>
    <row r="831">
      <c r="A831" s="18"/>
      <c r="B831" s="29"/>
      <c r="C831" s="19"/>
      <c r="D831" s="19"/>
      <c r="E831" s="18"/>
      <c r="F831" s="18" t="str">
        <f>IFERROR(__xludf.DUMMYFUNCTION("""COMPUTED_VALUE"""),"")</f>
        <v/>
      </c>
      <c r="G831" s="18" t="str">
        <f>IFERROR(__xludf.DUMMYFUNCTION("""COMPUTED_VALUE"""),"")</f>
        <v/>
      </c>
      <c r="H831" s="18" t="str">
        <f>IFERROR(__xludf.DUMMYFUNCTION("""COMPUTED_VALUE"""),"")</f>
        <v/>
      </c>
      <c r="I831" s="18" t="str">
        <f>IFERROR(__xludf.DUMMYFUNCTION("""COMPUTED_VALUE"""),"")</f>
        <v/>
      </c>
      <c r="J831" s="18" t="str">
        <f>IFERROR(__xludf.DUMMYFUNCTION("""COMPUTED_VALUE"""),"")</f>
        <v/>
      </c>
      <c r="K831" s="19"/>
      <c r="L831" s="19"/>
      <c r="M831" s="19"/>
      <c r="N831" s="19"/>
      <c r="O831" s="19"/>
    </row>
    <row r="832">
      <c r="A832" s="18"/>
      <c r="B832" s="29"/>
      <c r="C832" s="19"/>
      <c r="D832" s="19"/>
      <c r="E832" s="18"/>
      <c r="F832" s="18" t="str">
        <f>IFERROR(__xludf.DUMMYFUNCTION("""COMPUTED_VALUE"""),"")</f>
        <v/>
      </c>
      <c r="G832" s="18" t="str">
        <f>IFERROR(__xludf.DUMMYFUNCTION("""COMPUTED_VALUE"""),"")</f>
        <v/>
      </c>
      <c r="H832" s="18" t="str">
        <f>IFERROR(__xludf.DUMMYFUNCTION("""COMPUTED_VALUE"""),"")</f>
        <v/>
      </c>
      <c r="I832" s="18" t="str">
        <f>IFERROR(__xludf.DUMMYFUNCTION("""COMPUTED_VALUE"""),"")</f>
        <v/>
      </c>
      <c r="J832" s="18" t="str">
        <f>IFERROR(__xludf.DUMMYFUNCTION("""COMPUTED_VALUE"""),"")</f>
        <v/>
      </c>
      <c r="K832" s="19"/>
      <c r="L832" s="19"/>
      <c r="M832" s="19"/>
      <c r="N832" s="19"/>
      <c r="O832" s="19"/>
    </row>
    <row r="833">
      <c r="A833" s="18"/>
      <c r="B833" s="29"/>
      <c r="C833" s="19"/>
      <c r="D833" s="19"/>
      <c r="E833" s="18"/>
      <c r="F833" s="18" t="str">
        <f>IFERROR(__xludf.DUMMYFUNCTION("""COMPUTED_VALUE"""),"")</f>
        <v/>
      </c>
      <c r="G833" s="18" t="str">
        <f>IFERROR(__xludf.DUMMYFUNCTION("""COMPUTED_VALUE"""),"")</f>
        <v/>
      </c>
      <c r="H833" s="18" t="str">
        <f>IFERROR(__xludf.DUMMYFUNCTION("""COMPUTED_VALUE"""),"")</f>
        <v/>
      </c>
      <c r="I833" s="18" t="str">
        <f>IFERROR(__xludf.DUMMYFUNCTION("""COMPUTED_VALUE"""),"")</f>
        <v/>
      </c>
      <c r="J833" s="18" t="str">
        <f>IFERROR(__xludf.DUMMYFUNCTION("""COMPUTED_VALUE"""),"")</f>
        <v/>
      </c>
      <c r="K833" s="19"/>
      <c r="L833" s="19"/>
      <c r="M833" s="19"/>
      <c r="N833" s="19"/>
      <c r="O833" s="19"/>
    </row>
    <row r="834">
      <c r="A834" s="18"/>
      <c r="B834" s="29"/>
      <c r="C834" s="19"/>
      <c r="D834" s="19"/>
      <c r="E834" s="18"/>
      <c r="F834" s="18" t="str">
        <f>IFERROR(__xludf.DUMMYFUNCTION("""COMPUTED_VALUE"""),"")</f>
        <v/>
      </c>
      <c r="G834" s="18" t="str">
        <f>IFERROR(__xludf.DUMMYFUNCTION("""COMPUTED_VALUE"""),"")</f>
        <v/>
      </c>
      <c r="H834" s="18" t="str">
        <f>IFERROR(__xludf.DUMMYFUNCTION("""COMPUTED_VALUE"""),"")</f>
        <v/>
      </c>
      <c r="I834" s="18" t="str">
        <f>IFERROR(__xludf.DUMMYFUNCTION("""COMPUTED_VALUE"""),"")</f>
        <v/>
      </c>
      <c r="J834" s="18" t="str">
        <f>IFERROR(__xludf.DUMMYFUNCTION("""COMPUTED_VALUE"""),"")</f>
        <v/>
      </c>
      <c r="K834" s="19"/>
      <c r="L834" s="19"/>
      <c r="M834" s="19"/>
      <c r="N834" s="19"/>
      <c r="O834" s="19"/>
    </row>
    <row r="835">
      <c r="A835" s="18"/>
      <c r="B835" s="29"/>
      <c r="C835" s="19"/>
      <c r="D835" s="19"/>
      <c r="E835" s="18"/>
      <c r="F835" s="18" t="str">
        <f>IFERROR(__xludf.DUMMYFUNCTION("""COMPUTED_VALUE"""),"")</f>
        <v/>
      </c>
      <c r="G835" s="18" t="str">
        <f>IFERROR(__xludf.DUMMYFUNCTION("""COMPUTED_VALUE"""),"")</f>
        <v/>
      </c>
      <c r="H835" s="18" t="str">
        <f>IFERROR(__xludf.DUMMYFUNCTION("""COMPUTED_VALUE"""),"")</f>
        <v/>
      </c>
      <c r="I835" s="18" t="str">
        <f>IFERROR(__xludf.DUMMYFUNCTION("""COMPUTED_VALUE"""),"")</f>
        <v/>
      </c>
      <c r="J835" s="18" t="str">
        <f>IFERROR(__xludf.DUMMYFUNCTION("""COMPUTED_VALUE"""),"")</f>
        <v/>
      </c>
      <c r="K835" s="19"/>
      <c r="L835" s="19"/>
      <c r="M835" s="19"/>
      <c r="N835" s="19"/>
      <c r="O835" s="19"/>
    </row>
    <row r="836">
      <c r="A836" s="18"/>
      <c r="B836" s="29"/>
      <c r="C836" s="19"/>
      <c r="D836" s="19"/>
      <c r="E836" s="18"/>
      <c r="F836" s="18" t="str">
        <f>IFERROR(__xludf.DUMMYFUNCTION("""COMPUTED_VALUE"""),"")</f>
        <v/>
      </c>
      <c r="G836" s="18" t="str">
        <f>IFERROR(__xludf.DUMMYFUNCTION("""COMPUTED_VALUE"""),"")</f>
        <v/>
      </c>
      <c r="H836" s="18" t="str">
        <f>IFERROR(__xludf.DUMMYFUNCTION("""COMPUTED_VALUE"""),"")</f>
        <v/>
      </c>
      <c r="I836" s="18" t="str">
        <f>IFERROR(__xludf.DUMMYFUNCTION("""COMPUTED_VALUE"""),"")</f>
        <v/>
      </c>
      <c r="J836" s="18" t="str">
        <f>IFERROR(__xludf.DUMMYFUNCTION("""COMPUTED_VALUE"""),"")</f>
        <v/>
      </c>
      <c r="K836" s="19"/>
      <c r="L836" s="19"/>
      <c r="M836" s="19"/>
      <c r="N836" s="19"/>
      <c r="O836" s="19"/>
    </row>
    <row r="837">
      <c r="A837" s="18"/>
      <c r="B837" s="29"/>
      <c r="C837" s="19"/>
      <c r="D837" s="19"/>
      <c r="E837" s="18"/>
      <c r="F837" s="18" t="str">
        <f>IFERROR(__xludf.DUMMYFUNCTION("""COMPUTED_VALUE"""),"")</f>
        <v/>
      </c>
      <c r="G837" s="18" t="str">
        <f>IFERROR(__xludf.DUMMYFUNCTION("""COMPUTED_VALUE"""),"")</f>
        <v/>
      </c>
      <c r="H837" s="18" t="str">
        <f>IFERROR(__xludf.DUMMYFUNCTION("""COMPUTED_VALUE"""),"")</f>
        <v/>
      </c>
      <c r="I837" s="18" t="str">
        <f>IFERROR(__xludf.DUMMYFUNCTION("""COMPUTED_VALUE"""),"")</f>
        <v/>
      </c>
      <c r="J837" s="18" t="str">
        <f>IFERROR(__xludf.DUMMYFUNCTION("""COMPUTED_VALUE"""),"")</f>
        <v/>
      </c>
      <c r="K837" s="19"/>
      <c r="L837" s="19"/>
      <c r="M837" s="19"/>
      <c r="N837" s="19"/>
      <c r="O837" s="19"/>
    </row>
    <row r="838">
      <c r="A838" s="18"/>
      <c r="B838" s="29"/>
      <c r="C838" s="19"/>
      <c r="D838" s="19"/>
      <c r="E838" s="18"/>
      <c r="F838" s="18" t="str">
        <f>IFERROR(__xludf.DUMMYFUNCTION("""COMPUTED_VALUE"""),"")</f>
        <v/>
      </c>
      <c r="G838" s="18" t="str">
        <f>IFERROR(__xludf.DUMMYFUNCTION("""COMPUTED_VALUE"""),"")</f>
        <v/>
      </c>
      <c r="H838" s="18" t="str">
        <f>IFERROR(__xludf.DUMMYFUNCTION("""COMPUTED_VALUE"""),"")</f>
        <v/>
      </c>
      <c r="I838" s="18" t="str">
        <f>IFERROR(__xludf.DUMMYFUNCTION("""COMPUTED_VALUE"""),"")</f>
        <v/>
      </c>
      <c r="J838" s="18" t="str">
        <f>IFERROR(__xludf.DUMMYFUNCTION("""COMPUTED_VALUE"""),"")</f>
        <v/>
      </c>
      <c r="K838" s="19"/>
      <c r="L838" s="19"/>
      <c r="M838" s="19"/>
      <c r="N838" s="19"/>
      <c r="O838" s="19"/>
    </row>
    <row r="839">
      <c r="A839" s="18"/>
      <c r="B839" s="29"/>
      <c r="C839" s="19"/>
      <c r="D839" s="19"/>
      <c r="E839" s="18"/>
      <c r="F839" s="18" t="str">
        <f>IFERROR(__xludf.DUMMYFUNCTION("""COMPUTED_VALUE"""),"")</f>
        <v/>
      </c>
      <c r="G839" s="18" t="str">
        <f>IFERROR(__xludf.DUMMYFUNCTION("""COMPUTED_VALUE"""),"")</f>
        <v/>
      </c>
      <c r="H839" s="18" t="str">
        <f>IFERROR(__xludf.DUMMYFUNCTION("""COMPUTED_VALUE"""),"")</f>
        <v/>
      </c>
      <c r="I839" s="18" t="str">
        <f>IFERROR(__xludf.DUMMYFUNCTION("""COMPUTED_VALUE"""),"")</f>
        <v/>
      </c>
      <c r="J839" s="18" t="str">
        <f>IFERROR(__xludf.DUMMYFUNCTION("""COMPUTED_VALUE"""),"")</f>
        <v/>
      </c>
      <c r="K839" s="19"/>
      <c r="L839" s="19"/>
      <c r="M839" s="19"/>
      <c r="N839" s="19"/>
      <c r="O839" s="19"/>
    </row>
    <row r="840">
      <c r="A840" s="18"/>
      <c r="B840" s="29"/>
      <c r="C840" s="19"/>
      <c r="D840" s="19"/>
      <c r="E840" s="18"/>
      <c r="F840" s="18" t="str">
        <f>IFERROR(__xludf.DUMMYFUNCTION("""COMPUTED_VALUE"""),"")</f>
        <v/>
      </c>
      <c r="G840" s="18" t="str">
        <f>IFERROR(__xludf.DUMMYFUNCTION("""COMPUTED_VALUE"""),"")</f>
        <v/>
      </c>
      <c r="H840" s="18" t="str">
        <f>IFERROR(__xludf.DUMMYFUNCTION("""COMPUTED_VALUE"""),"")</f>
        <v/>
      </c>
      <c r="I840" s="18" t="str">
        <f>IFERROR(__xludf.DUMMYFUNCTION("""COMPUTED_VALUE"""),"")</f>
        <v/>
      </c>
      <c r="J840" s="18" t="str">
        <f>IFERROR(__xludf.DUMMYFUNCTION("""COMPUTED_VALUE"""),"")</f>
        <v/>
      </c>
      <c r="K840" s="19"/>
      <c r="L840" s="19"/>
      <c r="M840" s="19"/>
      <c r="N840" s="19"/>
      <c r="O840" s="19"/>
    </row>
    <row r="841">
      <c r="A841" s="18"/>
      <c r="B841" s="29"/>
      <c r="C841" s="19"/>
      <c r="D841" s="19"/>
      <c r="E841" s="18"/>
      <c r="F841" s="18" t="str">
        <f>IFERROR(__xludf.DUMMYFUNCTION("""COMPUTED_VALUE"""),"")</f>
        <v/>
      </c>
      <c r="G841" s="18" t="str">
        <f>IFERROR(__xludf.DUMMYFUNCTION("""COMPUTED_VALUE"""),"")</f>
        <v/>
      </c>
      <c r="H841" s="18" t="str">
        <f>IFERROR(__xludf.DUMMYFUNCTION("""COMPUTED_VALUE"""),"")</f>
        <v/>
      </c>
      <c r="I841" s="18" t="str">
        <f>IFERROR(__xludf.DUMMYFUNCTION("""COMPUTED_VALUE"""),"")</f>
        <v/>
      </c>
      <c r="J841" s="18" t="str">
        <f>IFERROR(__xludf.DUMMYFUNCTION("""COMPUTED_VALUE"""),"")</f>
        <v/>
      </c>
      <c r="K841" s="19"/>
      <c r="L841" s="19"/>
      <c r="M841" s="19"/>
      <c r="N841" s="19"/>
      <c r="O841" s="19"/>
    </row>
    <row r="842">
      <c r="A842" s="18"/>
      <c r="B842" s="29"/>
      <c r="C842" s="19"/>
      <c r="D842" s="19"/>
      <c r="E842" s="18"/>
      <c r="F842" s="18" t="str">
        <f>IFERROR(__xludf.DUMMYFUNCTION("""COMPUTED_VALUE"""),"")</f>
        <v/>
      </c>
      <c r="G842" s="18" t="str">
        <f>IFERROR(__xludf.DUMMYFUNCTION("""COMPUTED_VALUE"""),"")</f>
        <v/>
      </c>
      <c r="H842" s="18" t="str">
        <f>IFERROR(__xludf.DUMMYFUNCTION("""COMPUTED_VALUE"""),"")</f>
        <v/>
      </c>
      <c r="I842" s="18" t="str">
        <f>IFERROR(__xludf.DUMMYFUNCTION("""COMPUTED_VALUE"""),"")</f>
        <v/>
      </c>
      <c r="J842" s="18" t="str">
        <f>IFERROR(__xludf.DUMMYFUNCTION("""COMPUTED_VALUE"""),"")</f>
        <v/>
      </c>
      <c r="K842" s="19"/>
      <c r="L842" s="19"/>
      <c r="M842" s="19"/>
      <c r="N842" s="19"/>
      <c r="O842" s="19"/>
    </row>
    <row r="843">
      <c r="A843" s="18"/>
      <c r="B843" s="29"/>
      <c r="C843" s="19"/>
      <c r="D843" s="19"/>
      <c r="E843" s="18"/>
      <c r="F843" s="18" t="str">
        <f>IFERROR(__xludf.DUMMYFUNCTION("""COMPUTED_VALUE"""),"")</f>
        <v/>
      </c>
      <c r="G843" s="18" t="str">
        <f>IFERROR(__xludf.DUMMYFUNCTION("""COMPUTED_VALUE"""),"")</f>
        <v/>
      </c>
      <c r="H843" s="18" t="str">
        <f>IFERROR(__xludf.DUMMYFUNCTION("""COMPUTED_VALUE"""),"")</f>
        <v/>
      </c>
      <c r="I843" s="18" t="str">
        <f>IFERROR(__xludf.DUMMYFUNCTION("""COMPUTED_VALUE"""),"")</f>
        <v/>
      </c>
      <c r="J843" s="18" t="str">
        <f>IFERROR(__xludf.DUMMYFUNCTION("""COMPUTED_VALUE"""),"")</f>
        <v/>
      </c>
      <c r="K843" s="19"/>
      <c r="L843" s="19"/>
      <c r="M843" s="19"/>
      <c r="N843" s="19"/>
      <c r="O843" s="19"/>
    </row>
    <row r="844">
      <c r="A844" s="18"/>
      <c r="B844" s="29"/>
      <c r="C844" s="19"/>
      <c r="D844" s="19"/>
      <c r="E844" s="18"/>
      <c r="F844" s="18" t="str">
        <f>IFERROR(__xludf.DUMMYFUNCTION("""COMPUTED_VALUE"""),"")</f>
        <v/>
      </c>
      <c r="G844" s="18" t="str">
        <f>IFERROR(__xludf.DUMMYFUNCTION("""COMPUTED_VALUE"""),"")</f>
        <v/>
      </c>
      <c r="H844" s="18" t="str">
        <f>IFERROR(__xludf.DUMMYFUNCTION("""COMPUTED_VALUE"""),"")</f>
        <v/>
      </c>
      <c r="I844" s="18" t="str">
        <f>IFERROR(__xludf.DUMMYFUNCTION("""COMPUTED_VALUE"""),"")</f>
        <v/>
      </c>
      <c r="J844" s="18" t="str">
        <f>IFERROR(__xludf.DUMMYFUNCTION("""COMPUTED_VALUE"""),"")</f>
        <v/>
      </c>
      <c r="K844" s="19"/>
      <c r="L844" s="19"/>
      <c r="M844" s="19"/>
      <c r="N844" s="19"/>
      <c r="O844" s="19"/>
    </row>
    <row r="845">
      <c r="A845" s="18"/>
      <c r="B845" s="29"/>
      <c r="C845" s="19"/>
      <c r="D845" s="19"/>
      <c r="E845" s="18"/>
      <c r="F845" s="18" t="str">
        <f>IFERROR(__xludf.DUMMYFUNCTION("""COMPUTED_VALUE"""),"")</f>
        <v/>
      </c>
      <c r="G845" s="18" t="str">
        <f>IFERROR(__xludf.DUMMYFUNCTION("""COMPUTED_VALUE"""),"")</f>
        <v/>
      </c>
      <c r="H845" s="18" t="str">
        <f>IFERROR(__xludf.DUMMYFUNCTION("""COMPUTED_VALUE"""),"")</f>
        <v/>
      </c>
      <c r="I845" s="18" t="str">
        <f>IFERROR(__xludf.DUMMYFUNCTION("""COMPUTED_VALUE"""),"")</f>
        <v/>
      </c>
      <c r="J845" s="18" t="str">
        <f>IFERROR(__xludf.DUMMYFUNCTION("""COMPUTED_VALUE"""),"")</f>
        <v/>
      </c>
      <c r="K845" s="19"/>
      <c r="L845" s="19"/>
      <c r="M845" s="19"/>
      <c r="N845" s="19"/>
      <c r="O845" s="19"/>
    </row>
    <row r="846">
      <c r="A846" s="18"/>
      <c r="B846" s="29"/>
      <c r="C846" s="19"/>
      <c r="D846" s="19"/>
      <c r="E846" s="18"/>
      <c r="F846" s="18" t="str">
        <f>IFERROR(__xludf.DUMMYFUNCTION("""COMPUTED_VALUE"""),"")</f>
        <v/>
      </c>
      <c r="G846" s="18" t="str">
        <f>IFERROR(__xludf.DUMMYFUNCTION("""COMPUTED_VALUE"""),"")</f>
        <v/>
      </c>
      <c r="H846" s="18" t="str">
        <f>IFERROR(__xludf.DUMMYFUNCTION("""COMPUTED_VALUE"""),"")</f>
        <v/>
      </c>
      <c r="I846" s="18" t="str">
        <f>IFERROR(__xludf.DUMMYFUNCTION("""COMPUTED_VALUE"""),"")</f>
        <v/>
      </c>
      <c r="J846" s="18" t="str">
        <f>IFERROR(__xludf.DUMMYFUNCTION("""COMPUTED_VALUE"""),"")</f>
        <v/>
      </c>
      <c r="K846" s="19"/>
      <c r="L846" s="19"/>
      <c r="M846" s="19"/>
      <c r="N846" s="19"/>
      <c r="O846" s="19"/>
    </row>
    <row r="847">
      <c r="A847" s="18"/>
      <c r="B847" s="29"/>
      <c r="C847" s="19"/>
      <c r="D847" s="19"/>
      <c r="E847" s="18"/>
      <c r="F847" s="18" t="str">
        <f>IFERROR(__xludf.DUMMYFUNCTION("""COMPUTED_VALUE"""),"")</f>
        <v/>
      </c>
      <c r="G847" s="18" t="str">
        <f>IFERROR(__xludf.DUMMYFUNCTION("""COMPUTED_VALUE"""),"")</f>
        <v/>
      </c>
      <c r="H847" s="18" t="str">
        <f>IFERROR(__xludf.DUMMYFUNCTION("""COMPUTED_VALUE"""),"")</f>
        <v/>
      </c>
      <c r="I847" s="18" t="str">
        <f>IFERROR(__xludf.DUMMYFUNCTION("""COMPUTED_VALUE"""),"")</f>
        <v/>
      </c>
      <c r="J847" s="18" t="str">
        <f>IFERROR(__xludf.DUMMYFUNCTION("""COMPUTED_VALUE"""),"")</f>
        <v/>
      </c>
      <c r="K847" s="19"/>
      <c r="L847" s="19"/>
      <c r="M847" s="19"/>
      <c r="N847" s="19"/>
      <c r="O847" s="19"/>
    </row>
    <row r="848">
      <c r="A848" s="18"/>
      <c r="B848" s="29"/>
      <c r="C848" s="19"/>
      <c r="D848" s="19"/>
      <c r="E848" s="18"/>
      <c r="F848" s="18" t="str">
        <f>IFERROR(__xludf.DUMMYFUNCTION("""COMPUTED_VALUE"""),"")</f>
        <v/>
      </c>
      <c r="G848" s="18" t="str">
        <f>IFERROR(__xludf.DUMMYFUNCTION("""COMPUTED_VALUE"""),"")</f>
        <v/>
      </c>
      <c r="H848" s="18" t="str">
        <f>IFERROR(__xludf.DUMMYFUNCTION("""COMPUTED_VALUE"""),"")</f>
        <v/>
      </c>
      <c r="I848" s="18" t="str">
        <f>IFERROR(__xludf.DUMMYFUNCTION("""COMPUTED_VALUE"""),"")</f>
        <v/>
      </c>
      <c r="J848" s="18" t="str">
        <f>IFERROR(__xludf.DUMMYFUNCTION("""COMPUTED_VALUE"""),"")</f>
        <v/>
      </c>
      <c r="K848" s="19"/>
      <c r="L848" s="19"/>
      <c r="M848" s="19"/>
      <c r="N848" s="19"/>
      <c r="O848" s="19"/>
    </row>
    <row r="849">
      <c r="A849" s="18"/>
      <c r="B849" s="29"/>
      <c r="C849" s="19"/>
      <c r="D849" s="19"/>
      <c r="E849" s="18"/>
      <c r="F849" s="18" t="str">
        <f>IFERROR(__xludf.DUMMYFUNCTION("""COMPUTED_VALUE"""),"")</f>
        <v/>
      </c>
      <c r="G849" s="18" t="str">
        <f>IFERROR(__xludf.DUMMYFUNCTION("""COMPUTED_VALUE"""),"")</f>
        <v/>
      </c>
      <c r="H849" s="18" t="str">
        <f>IFERROR(__xludf.DUMMYFUNCTION("""COMPUTED_VALUE"""),"")</f>
        <v/>
      </c>
      <c r="I849" s="18" t="str">
        <f>IFERROR(__xludf.DUMMYFUNCTION("""COMPUTED_VALUE"""),"")</f>
        <v/>
      </c>
      <c r="J849" s="18" t="str">
        <f>IFERROR(__xludf.DUMMYFUNCTION("""COMPUTED_VALUE"""),"")</f>
        <v/>
      </c>
      <c r="K849" s="19"/>
      <c r="L849" s="19"/>
      <c r="M849" s="19"/>
      <c r="N849" s="19"/>
      <c r="O849" s="19"/>
    </row>
    <row r="850">
      <c r="A850" s="18"/>
      <c r="B850" s="29"/>
      <c r="C850" s="19"/>
      <c r="D850" s="19"/>
      <c r="E850" s="18"/>
      <c r="F850" s="18" t="str">
        <f>IFERROR(__xludf.DUMMYFUNCTION("""COMPUTED_VALUE"""),"")</f>
        <v/>
      </c>
      <c r="G850" s="18" t="str">
        <f>IFERROR(__xludf.DUMMYFUNCTION("""COMPUTED_VALUE"""),"")</f>
        <v/>
      </c>
      <c r="H850" s="18" t="str">
        <f>IFERROR(__xludf.DUMMYFUNCTION("""COMPUTED_VALUE"""),"")</f>
        <v/>
      </c>
      <c r="I850" s="18" t="str">
        <f>IFERROR(__xludf.DUMMYFUNCTION("""COMPUTED_VALUE"""),"")</f>
        <v/>
      </c>
      <c r="J850" s="18" t="str">
        <f>IFERROR(__xludf.DUMMYFUNCTION("""COMPUTED_VALUE"""),"")</f>
        <v/>
      </c>
      <c r="K850" s="19"/>
      <c r="L850" s="19"/>
      <c r="M850" s="19"/>
      <c r="N850" s="19"/>
      <c r="O850" s="19"/>
    </row>
    <row r="851">
      <c r="A851" s="18"/>
      <c r="B851" s="29"/>
      <c r="C851" s="19"/>
      <c r="D851" s="19"/>
      <c r="E851" s="18"/>
      <c r="F851" s="18" t="str">
        <f>IFERROR(__xludf.DUMMYFUNCTION("""COMPUTED_VALUE"""),"")</f>
        <v/>
      </c>
      <c r="G851" s="18" t="str">
        <f>IFERROR(__xludf.DUMMYFUNCTION("""COMPUTED_VALUE"""),"")</f>
        <v/>
      </c>
      <c r="H851" s="18" t="str">
        <f>IFERROR(__xludf.DUMMYFUNCTION("""COMPUTED_VALUE"""),"")</f>
        <v/>
      </c>
      <c r="I851" s="18" t="str">
        <f>IFERROR(__xludf.DUMMYFUNCTION("""COMPUTED_VALUE"""),"")</f>
        <v/>
      </c>
      <c r="J851" s="18" t="str">
        <f>IFERROR(__xludf.DUMMYFUNCTION("""COMPUTED_VALUE"""),"")</f>
        <v/>
      </c>
      <c r="K851" s="19"/>
      <c r="L851" s="19"/>
      <c r="M851" s="19"/>
      <c r="N851" s="19"/>
      <c r="O851" s="19"/>
    </row>
    <row r="852">
      <c r="A852" s="18"/>
      <c r="B852" s="29"/>
      <c r="C852" s="19"/>
      <c r="D852" s="19"/>
      <c r="E852" s="18"/>
      <c r="F852" s="18" t="str">
        <f>IFERROR(__xludf.DUMMYFUNCTION("""COMPUTED_VALUE"""),"")</f>
        <v/>
      </c>
      <c r="G852" s="18" t="str">
        <f>IFERROR(__xludf.DUMMYFUNCTION("""COMPUTED_VALUE"""),"")</f>
        <v/>
      </c>
      <c r="H852" s="18" t="str">
        <f>IFERROR(__xludf.DUMMYFUNCTION("""COMPUTED_VALUE"""),"")</f>
        <v/>
      </c>
      <c r="I852" s="18" t="str">
        <f>IFERROR(__xludf.DUMMYFUNCTION("""COMPUTED_VALUE"""),"")</f>
        <v/>
      </c>
      <c r="J852" s="18" t="str">
        <f>IFERROR(__xludf.DUMMYFUNCTION("""COMPUTED_VALUE"""),"")</f>
        <v/>
      </c>
      <c r="K852" s="19"/>
      <c r="L852" s="19"/>
      <c r="M852" s="19"/>
      <c r="N852" s="19"/>
      <c r="O852" s="19"/>
    </row>
    <row r="853">
      <c r="A853" s="18"/>
      <c r="B853" s="29"/>
      <c r="C853" s="19"/>
      <c r="D853" s="19"/>
      <c r="E853" s="18"/>
      <c r="F853" s="18" t="str">
        <f>IFERROR(__xludf.DUMMYFUNCTION("""COMPUTED_VALUE"""),"")</f>
        <v/>
      </c>
      <c r="G853" s="18" t="str">
        <f>IFERROR(__xludf.DUMMYFUNCTION("""COMPUTED_VALUE"""),"")</f>
        <v/>
      </c>
      <c r="H853" s="18" t="str">
        <f>IFERROR(__xludf.DUMMYFUNCTION("""COMPUTED_VALUE"""),"")</f>
        <v/>
      </c>
      <c r="I853" s="18" t="str">
        <f>IFERROR(__xludf.DUMMYFUNCTION("""COMPUTED_VALUE"""),"")</f>
        <v/>
      </c>
      <c r="J853" s="18" t="str">
        <f>IFERROR(__xludf.DUMMYFUNCTION("""COMPUTED_VALUE"""),"")</f>
        <v/>
      </c>
      <c r="K853" s="19"/>
      <c r="L853" s="19"/>
      <c r="M853" s="19"/>
      <c r="N853" s="19"/>
      <c r="O853" s="19"/>
    </row>
    <row r="854">
      <c r="A854" s="18"/>
      <c r="B854" s="29"/>
      <c r="C854" s="19"/>
      <c r="D854" s="19"/>
      <c r="E854" s="18"/>
      <c r="F854" s="18" t="str">
        <f>IFERROR(__xludf.DUMMYFUNCTION("""COMPUTED_VALUE"""),"")</f>
        <v/>
      </c>
      <c r="G854" s="18" t="str">
        <f>IFERROR(__xludf.DUMMYFUNCTION("""COMPUTED_VALUE"""),"")</f>
        <v/>
      </c>
      <c r="H854" s="18" t="str">
        <f>IFERROR(__xludf.DUMMYFUNCTION("""COMPUTED_VALUE"""),"")</f>
        <v/>
      </c>
      <c r="I854" s="18" t="str">
        <f>IFERROR(__xludf.DUMMYFUNCTION("""COMPUTED_VALUE"""),"")</f>
        <v/>
      </c>
      <c r="J854" s="18" t="str">
        <f>IFERROR(__xludf.DUMMYFUNCTION("""COMPUTED_VALUE"""),"")</f>
        <v/>
      </c>
      <c r="K854" s="19"/>
      <c r="L854" s="19"/>
      <c r="M854" s="19"/>
      <c r="N854" s="19"/>
      <c r="O854" s="19"/>
    </row>
    <row r="855">
      <c r="A855" s="18"/>
      <c r="B855" s="29"/>
      <c r="C855" s="19"/>
      <c r="D855" s="19"/>
      <c r="E855" s="18"/>
      <c r="F855" s="18" t="str">
        <f>IFERROR(__xludf.DUMMYFUNCTION("""COMPUTED_VALUE"""),"")</f>
        <v/>
      </c>
      <c r="G855" s="18" t="str">
        <f>IFERROR(__xludf.DUMMYFUNCTION("""COMPUTED_VALUE"""),"")</f>
        <v/>
      </c>
      <c r="H855" s="18" t="str">
        <f>IFERROR(__xludf.DUMMYFUNCTION("""COMPUTED_VALUE"""),"")</f>
        <v/>
      </c>
      <c r="I855" s="18" t="str">
        <f>IFERROR(__xludf.DUMMYFUNCTION("""COMPUTED_VALUE"""),"")</f>
        <v/>
      </c>
      <c r="J855" s="18" t="str">
        <f>IFERROR(__xludf.DUMMYFUNCTION("""COMPUTED_VALUE"""),"")</f>
        <v/>
      </c>
      <c r="K855" s="19"/>
      <c r="L855" s="19"/>
      <c r="M855" s="19"/>
      <c r="N855" s="19"/>
      <c r="O855" s="19"/>
    </row>
    <row r="856">
      <c r="A856" s="18"/>
      <c r="B856" s="29"/>
      <c r="C856" s="19"/>
      <c r="D856" s="19"/>
      <c r="E856" s="18"/>
      <c r="F856" s="18" t="str">
        <f>IFERROR(__xludf.DUMMYFUNCTION("""COMPUTED_VALUE"""),"")</f>
        <v/>
      </c>
      <c r="G856" s="18" t="str">
        <f>IFERROR(__xludf.DUMMYFUNCTION("""COMPUTED_VALUE"""),"")</f>
        <v/>
      </c>
      <c r="H856" s="18" t="str">
        <f>IFERROR(__xludf.DUMMYFUNCTION("""COMPUTED_VALUE"""),"")</f>
        <v/>
      </c>
      <c r="I856" s="18" t="str">
        <f>IFERROR(__xludf.DUMMYFUNCTION("""COMPUTED_VALUE"""),"")</f>
        <v/>
      </c>
      <c r="J856" s="18" t="str">
        <f>IFERROR(__xludf.DUMMYFUNCTION("""COMPUTED_VALUE"""),"")</f>
        <v/>
      </c>
      <c r="K856" s="19"/>
      <c r="L856" s="19"/>
      <c r="M856" s="19"/>
      <c r="N856" s="19"/>
      <c r="O856" s="19"/>
    </row>
    <row r="857">
      <c r="A857" s="18"/>
      <c r="B857" s="29"/>
      <c r="C857" s="19"/>
      <c r="D857" s="19"/>
      <c r="E857" s="18"/>
      <c r="F857" s="18" t="str">
        <f>IFERROR(__xludf.DUMMYFUNCTION("""COMPUTED_VALUE"""),"")</f>
        <v/>
      </c>
      <c r="G857" s="18" t="str">
        <f>IFERROR(__xludf.DUMMYFUNCTION("""COMPUTED_VALUE"""),"")</f>
        <v/>
      </c>
      <c r="H857" s="18" t="str">
        <f>IFERROR(__xludf.DUMMYFUNCTION("""COMPUTED_VALUE"""),"")</f>
        <v/>
      </c>
      <c r="I857" s="18" t="str">
        <f>IFERROR(__xludf.DUMMYFUNCTION("""COMPUTED_VALUE"""),"")</f>
        <v/>
      </c>
      <c r="J857" s="18" t="str">
        <f>IFERROR(__xludf.DUMMYFUNCTION("""COMPUTED_VALUE"""),"")</f>
        <v/>
      </c>
      <c r="K857" s="19"/>
      <c r="L857" s="19"/>
      <c r="M857" s="19"/>
      <c r="N857" s="19"/>
      <c r="O857" s="19"/>
    </row>
    <row r="858">
      <c r="A858" s="18"/>
      <c r="B858" s="29"/>
      <c r="C858" s="19"/>
      <c r="D858" s="19"/>
      <c r="E858" s="18"/>
      <c r="F858" s="18" t="str">
        <f>IFERROR(__xludf.DUMMYFUNCTION("""COMPUTED_VALUE"""),"")</f>
        <v/>
      </c>
      <c r="G858" s="18" t="str">
        <f>IFERROR(__xludf.DUMMYFUNCTION("""COMPUTED_VALUE"""),"")</f>
        <v/>
      </c>
      <c r="H858" s="18" t="str">
        <f>IFERROR(__xludf.DUMMYFUNCTION("""COMPUTED_VALUE"""),"")</f>
        <v/>
      </c>
      <c r="I858" s="18" t="str">
        <f>IFERROR(__xludf.DUMMYFUNCTION("""COMPUTED_VALUE"""),"")</f>
        <v/>
      </c>
      <c r="J858" s="18" t="str">
        <f>IFERROR(__xludf.DUMMYFUNCTION("""COMPUTED_VALUE"""),"")</f>
        <v/>
      </c>
      <c r="K858" s="19"/>
      <c r="L858" s="19"/>
      <c r="M858" s="19"/>
      <c r="N858" s="19"/>
      <c r="O858" s="19"/>
    </row>
    <row r="859">
      <c r="A859" s="18"/>
      <c r="B859" s="29"/>
      <c r="C859" s="19"/>
      <c r="D859" s="19"/>
      <c r="E859" s="18"/>
      <c r="F859" s="18" t="str">
        <f>IFERROR(__xludf.DUMMYFUNCTION("""COMPUTED_VALUE"""),"")</f>
        <v/>
      </c>
      <c r="G859" s="18" t="str">
        <f>IFERROR(__xludf.DUMMYFUNCTION("""COMPUTED_VALUE"""),"")</f>
        <v/>
      </c>
      <c r="H859" s="18" t="str">
        <f>IFERROR(__xludf.DUMMYFUNCTION("""COMPUTED_VALUE"""),"")</f>
        <v/>
      </c>
      <c r="I859" s="18" t="str">
        <f>IFERROR(__xludf.DUMMYFUNCTION("""COMPUTED_VALUE"""),"")</f>
        <v/>
      </c>
      <c r="J859" s="18" t="str">
        <f>IFERROR(__xludf.DUMMYFUNCTION("""COMPUTED_VALUE"""),"")</f>
        <v/>
      </c>
      <c r="K859" s="19"/>
      <c r="L859" s="19"/>
      <c r="M859" s="19"/>
      <c r="N859" s="19"/>
      <c r="O859" s="19"/>
    </row>
    <row r="860">
      <c r="A860" s="18"/>
      <c r="B860" s="29"/>
      <c r="C860" s="19"/>
      <c r="D860" s="19"/>
      <c r="E860" s="18"/>
      <c r="F860" s="18" t="str">
        <f>IFERROR(__xludf.DUMMYFUNCTION("""COMPUTED_VALUE"""),"")</f>
        <v/>
      </c>
      <c r="G860" s="18" t="str">
        <f>IFERROR(__xludf.DUMMYFUNCTION("""COMPUTED_VALUE"""),"")</f>
        <v/>
      </c>
      <c r="H860" s="18" t="str">
        <f>IFERROR(__xludf.DUMMYFUNCTION("""COMPUTED_VALUE"""),"")</f>
        <v/>
      </c>
      <c r="I860" s="18" t="str">
        <f>IFERROR(__xludf.DUMMYFUNCTION("""COMPUTED_VALUE"""),"")</f>
        <v/>
      </c>
      <c r="J860" s="18" t="str">
        <f>IFERROR(__xludf.DUMMYFUNCTION("""COMPUTED_VALUE"""),"")</f>
        <v/>
      </c>
      <c r="K860" s="19"/>
      <c r="L860" s="19"/>
      <c r="M860" s="19"/>
      <c r="N860" s="19"/>
      <c r="O860" s="19"/>
    </row>
    <row r="861">
      <c r="A861" s="18"/>
      <c r="B861" s="29"/>
      <c r="C861" s="19"/>
      <c r="D861" s="19"/>
      <c r="E861" s="18"/>
      <c r="F861" s="18" t="str">
        <f>IFERROR(__xludf.DUMMYFUNCTION("""COMPUTED_VALUE"""),"")</f>
        <v/>
      </c>
      <c r="G861" s="18" t="str">
        <f>IFERROR(__xludf.DUMMYFUNCTION("""COMPUTED_VALUE"""),"")</f>
        <v/>
      </c>
      <c r="H861" s="18" t="str">
        <f>IFERROR(__xludf.DUMMYFUNCTION("""COMPUTED_VALUE"""),"")</f>
        <v/>
      </c>
      <c r="I861" s="18" t="str">
        <f>IFERROR(__xludf.DUMMYFUNCTION("""COMPUTED_VALUE"""),"")</f>
        <v/>
      </c>
      <c r="J861" s="18" t="str">
        <f>IFERROR(__xludf.DUMMYFUNCTION("""COMPUTED_VALUE"""),"")</f>
        <v/>
      </c>
      <c r="K861" s="19"/>
      <c r="L861" s="19"/>
      <c r="M861" s="19"/>
      <c r="N861" s="19"/>
      <c r="O861" s="19"/>
    </row>
    <row r="862">
      <c r="A862" s="18"/>
      <c r="B862" s="29"/>
      <c r="C862" s="19"/>
      <c r="D862" s="19"/>
      <c r="E862" s="18"/>
      <c r="F862" s="18" t="str">
        <f>IFERROR(__xludf.DUMMYFUNCTION("""COMPUTED_VALUE"""),"")</f>
        <v/>
      </c>
      <c r="G862" s="18" t="str">
        <f>IFERROR(__xludf.DUMMYFUNCTION("""COMPUTED_VALUE"""),"")</f>
        <v/>
      </c>
      <c r="H862" s="18" t="str">
        <f>IFERROR(__xludf.DUMMYFUNCTION("""COMPUTED_VALUE"""),"")</f>
        <v/>
      </c>
      <c r="I862" s="18" t="str">
        <f>IFERROR(__xludf.DUMMYFUNCTION("""COMPUTED_VALUE"""),"")</f>
        <v/>
      </c>
      <c r="J862" s="18" t="str">
        <f>IFERROR(__xludf.DUMMYFUNCTION("""COMPUTED_VALUE"""),"")</f>
        <v/>
      </c>
      <c r="K862" s="19"/>
      <c r="L862" s="19"/>
      <c r="M862" s="19"/>
      <c r="N862" s="19"/>
      <c r="O862" s="19"/>
    </row>
    <row r="863">
      <c r="A863" s="18"/>
      <c r="B863" s="29"/>
      <c r="C863" s="19"/>
      <c r="D863" s="19"/>
      <c r="E863" s="18"/>
      <c r="F863" s="18" t="str">
        <f>IFERROR(__xludf.DUMMYFUNCTION("""COMPUTED_VALUE"""),"")</f>
        <v/>
      </c>
      <c r="G863" s="18" t="str">
        <f>IFERROR(__xludf.DUMMYFUNCTION("""COMPUTED_VALUE"""),"")</f>
        <v/>
      </c>
      <c r="H863" s="18" t="str">
        <f>IFERROR(__xludf.DUMMYFUNCTION("""COMPUTED_VALUE"""),"")</f>
        <v/>
      </c>
      <c r="I863" s="18" t="str">
        <f>IFERROR(__xludf.DUMMYFUNCTION("""COMPUTED_VALUE"""),"")</f>
        <v/>
      </c>
      <c r="J863" s="18" t="str">
        <f>IFERROR(__xludf.DUMMYFUNCTION("""COMPUTED_VALUE"""),"")</f>
        <v/>
      </c>
      <c r="K863" s="19"/>
      <c r="L863" s="19"/>
      <c r="M863" s="19"/>
      <c r="N863" s="19"/>
      <c r="O863" s="19"/>
    </row>
    <row r="864">
      <c r="A864" s="18"/>
      <c r="B864" s="29"/>
      <c r="C864" s="19"/>
      <c r="D864" s="19"/>
      <c r="E864" s="18"/>
      <c r="F864" s="18" t="str">
        <f>IFERROR(__xludf.DUMMYFUNCTION("""COMPUTED_VALUE"""),"")</f>
        <v/>
      </c>
      <c r="G864" s="18" t="str">
        <f>IFERROR(__xludf.DUMMYFUNCTION("""COMPUTED_VALUE"""),"")</f>
        <v/>
      </c>
      <c r="H864" s="18" t="str">
        <f>IFERROR(__xludf.DUMMYFUNCTION("""COMPUTED_VALUE"""),"")</f>
        <v/>
      </c>
      <c r="I864" s="18" t="str">
        <f>IFERROR(__xludf.DUMMYFUNCTION("""COMPUTED_VALUE"""),"")</f>
        <v/>
      </c>
      <c r="J864" s="18" t="str">
        <f>IFERROR(__xludf.DUMMYFUNCTION("""COMPUTED_VALUE"""),"")</f>
        <v/>
      </c>
      <c r="K864" s="19"/>
      <c r="L864" s="19"/>
      <c r="M864" s="19"/>
      <c r="N864" s="19"/>
      <c r="O864" s="19"/>
    </row>
    <row r="865">
      <c r="A865" s="18"/>
      <c r="B865" s="29"/>
      <c r="C865" s="19"/>
      <c r="D865" s="19"/>
      <c r="E865" s="18"/>
      <c r="F865" s="18" t="str">
        <f>IFERROR(__xludf.DUMMYFUNCTION("""COMPUTED_VALUE"""),"")</f>
        <v/>
      </c>
      <c r="G865" s="18" t="str">
        <f>IFERROR(__xludf.DUMMYFUNCTION("""COMPUTED_VALUE"""),"")</f>
        <v/>
      </c>
      <c r="H865" s="18" t="str">
        <f>IFERROR(__xludf.DUMMYFUNCTION("""COMPUTED_VALUE"""),"")</f>
        <v/>
      </c>
      <c r="I865" s="18" t="str">
        <f>IFERROR(__xludf.DUMMYFUNCTION("""COMPUTED_VALUE"""),"")</f>
        <v/>
      </c>
      <c r="J865" s="18" t="str">
        <f>IFERROR(__xludf.DUMMYFUNCTION("""COMPUTED_VALUE"""),"")</f>
        <v/>
      </c>
      <c r="K865" s="19"/>
      <c r="L865" s="19"/>
      <c r="M865" s="19"/>
      <c r="N865" s="19"/>
      <c r="O865" s="19"/>
    </row>
    <row r="866">
      <c r="A866" s="18"/>
      <c r="B866" s="29"/>
      <c r="C866" s="19"/>
      <c r="D866" s="19"/>
      <c r="E866" s="18"/>
      <c r="F866" s="18" t="str">
        <f>IFERROR(__xludf.DUMMYFUNCTION("""COMPUTED_VALUE"""),"")</f>
        <v/>
      </c>
      <c r="G866" s="18" t="str">
        <f>IFERROR(__xludf.DUMMYFUNCTION("""COMPUTED_VALUE"""),"")</f>
        <v/>
      </c>
      <c r="H866" s="18" t="str">
        <f>IFERROR(__xludf.DUMMYFUNCTION("""COMPUTED_VALUE"""),"")</f>
        <v/>
      </c>
      <c r="I866" s="18" t="str">
        <f>IFERROR(__xludf.DUMMYFUNCTION("""COMPUTED_VALUE"""),"")</f>
        <v/>
      </c>
      <c r="J866" s="18" t="str">
        <f>IFERROR(__xludf.DUMMYFUNCTION("""COMPUTED_VALUE"""),"")</f>
        <v/>
      </c>
      <c r="K866" s="19"/>
      <c r="L866" s="19"/>
      <c r="M866" s="19"/>
      <c r="N866" s="19"/>
      <c r="O866" s="19"/>
    </row>
    <row r="867">
      <c r="A867" s="18"/>
      <c r="B867" s="29"/>
      <c r="C867" s="19"/>
      <c r="D867" s="19"/>
      <c r="E867" s="18"/>
      <c r="F867" s="18" t="str">
        <f>IFERROR(__xludf.DUMMYFUNCTION("""COMPUTED_VALUE"""),"")</f>
        <v/>
      </c>
      <c r="G867" s="18" t="str">
        <f>IFERROR(__xludf.DUMMYFUNCTION("""COMPUTED_VALUE"""),"")</f>
        <v/>
      </c>
      <c r="H867" s="18" t="str">
        <f>IFERROR(__xludf.DUMMYFUNCTION("""COMPUTED_VALUE"""),"")</f>
        <v/>
      </c>
      <c r="I867" s="18" t="str">
        <f>IFERROR(__xludf.DUMMYFUNCTION("""COMPUTED_VALUE"""),"")</f>
        <v/>
      </c>
      <c r="J867" s="18" t="str">
        <f>IFERROR(__xludf.DUMMYFUNCTION("""COMPUTED_VALUE"""),"")</f>
        <v/>
      </c>
      <c r="K867" s="19"/>
      <c r="L867" s="19"/>
      <c r="M867" s="19"/>
      <c r="N867" s="19"/>
      <c r="O867" s="19"/>
    </row>
    <row r="868">
      <c r="A868" s="18"/>
      <c r="B868" s="29"/>
      <c r="C868" s="19"/>
      <c r="D868" s="19"/>
      <c r="E868" s="18"/>
      <c r="F868" s="18" t="str">
        <f>IFERROR(__xludf.DUMMYFUNCTION("""COMPUTED_VALUE"""),"")</f>
        <v/>
      </c>
      <c r="G868" s="18" t="str">
        <f>IFERROR(__xludf.DUMMYFUNCTION("""COMPUTED_VALUE"""),"")</f>
        <v/>
      </c>
      <c r="H868" s="18" t="str">
        <f>IFERROR(__xludf.DUMMYFUNCTION("""COMPUTED_VALUE"""),"")</f>
        <v/>
      </c>
      <c r="I868" s="18" t="str">
        <f>IFERROR(__xludf.DUMMYFUNCTION("""COMPUTED_VALUE"""),"")</f>
        <v/>
      </c>
      <c r="J868" s="18" t="str">
        <f>IFERROR(__xludf.DUMMYFUNCTION("""COMPUTED_VALUE"""),"")</f>
        <v/>
      </c>
      <c r="K868" s="19"/>
      <c r="L868" s="19"/>
      <c r="M868" s="19"/>
      <c r="N868" s="19"/>
      <c r="O868" s="19"/>
    </row>
    <row r="869">
      <c r="A869" s="18"/>
      <c r="B869" s="29"/>
      <c r="C869" s="19"/>
      <c r="D869" s="19"/>
      <c r="E869" s="18"/>
      <c r="F869" s="18" t="str">
        <f>IFERROR(__xludf.DUMMYFUNCTION("""COMPUTED_VALUE"""),"")</f>
        <v/>
      </c>
      <c r="G869" s="18" t="str">
        <f>IFERROR(__xludf.DUMMYFUNCTION("""COMPUTED_VALUE"""),"")</f>
        <v/>
      </c>
      <c r="H869" s="18" t="str">
        <f>IFERROR(__xludf.DUMMYFUNCTION("""COMPUTED_VALUE"""),"")</f>
        <v/>
      </c>
      <c r="I869" s="18" t="str">
        <f>IFERROR(__xludf.DUMMYFUNCTION("""COMPUTED_VALUE"""),"")</f>
        <v/>
      </c>
      <c r="J869" s="18" t="str">
        <f>IFERROR(__xludf.DUMMYFUNCTION("""COMPUTED_VALUE"""),"")</f>
        <v/>
      </c>
      <c r="K869" s="19"/>
      <c r="L869" s="19"/>
      <c r="M869" s="19"/>
      <c r="N869" s="19"/>
      <c r="O869" s="19"/>
    </row>
    <row r="870">
      <c r="A870" s="18"/>
      <c r="B870" s="29"/>
      <c r="C870" s="19"/>
      <c r="D870" s="19"/>
      <c r="E870" s="18"/>
      <c r="F870" s="18" t="str">
        <f>IFERROR(__xludf.DUMMYFUNCTION("""COMPUTED_VALUE"""),"")</f>
        <v/>
      </c>
      <c r="G870" s="18" t="str">
        <f>IFERROR(__xludf.DUMMYFUNCTION("""COMPUTED_VALUE"""),"")</f>
        <v/>
      </c>
      <c r="H870" s="18" t="str">
        <f>IFERROR(__xludf.DUMMYFUNCTION("""COMPUTED_VALUE"""),"")</f>
        <v/>
      </c>
      <c r="I870" s="18" t="str">
        <f>IFERROR(__xludf.DUMMYFUNCTION("""COMPUTED_VALUE"""),"")</f>
        <v/>
      </c>
      <c r="J870" s="18" t="str">
        <f>IFERROR(__xludf.DUMMYFUNCTION("""COMPUTED_VALUE"""),"")</f>
        <v/>
      </c>
      <c r="K870" s="19"/>
      <c r="L870" s="19"/>
      <c r="M870" s="19"/>
      <c r="N870" s="19"/>
      <c r="O870" s="19"/>
    </row>
    <row r="871">
      <c r="A871" s="18"/>
      <c r="B871" s="29"/>
      <c r="C871" s="19"/>
      <c r="D871" s="19"/>
      <c r="E871" s="18"/>
      <c r="F871" s="18" t="str">
        <f>IFERROR(__xludf.DUMMYFUNCTION("""COMPUTED_VALUE"""),"")</f>
        <v/>
      </c>
      <c r="G871" s="18" t="str">
        <f>IFERROR(__xludf.DUMMYFUNCTION("""COMPUTED_VALUE"""),"")</f>
        <v/>
      </c>
      <c r="H871" s="18" t="str">
        <f>IFERROR(__xludf.DUMMYFUNCTION("""COMPUTED_VALUE"""),"")</f>
        <v/>
      </c>
      <c r="I871" s="18" t="str">
        <f>IFERROR(__xludf.DUMMYFUNCTION("""COMPUTED_VALUE"""),"")</f>
        <v/>
      </c>
      <c r="J871" s="18" t="str">
        <f>IFERROR(__xludf.DUMMYFUNCTION("""COMPUTED_VALUE"""),"")</f>
        <v/>
      </c>
      <c r="K871" s="19"/>
      <c r="L871" s="19"/>
      <c r="M871" s="19"/>
      <c r="N871" s="19"/>
      <c r="O871" s="19"/>
    </row>
    <row r="872">
      <c r="A872" s="18"/>
      <c r="B872" s="29"/>
      <c r="C872" s="19"/>
      <c r="D872" s="19"/>
      <c r="E872" s="18"/>
      <c r="F872" s="18" t="str">
        <f>IFERROR(__xludf.DUMMYFUNCTION("""COMPUTED_VALUE"""),"")</f>
        <v/>
      </c>
      <c r="G872" s="18" t="str">
        <f>IFERROR(__xludf.DUMMYFUNCTION("""COMPUTED_VALUE"""),"")</f>
        <v/>
      </c>
      <c r="H872" s="18" t="str">
        <f>IFERROR(__xludf.DUMMYFUNCTION("""COMPUTED_VALUE"""),"")</f>
        <v/>
      </c>
      <c r="I872" s="18" t="str">
        <f>IFERROR(__xludf.DUMMYFUNCTION("""COMPUTED_VALUE"""),"")</f>
        <v/>
      </c>
      <c r="J872" s="18" t="str">
        <f>IFERROR(__xludf.DUMMYFUNCTION("""COMPUTED_VALUE"""),"")</f>
        <v/>
      </c>
      <c r="K872" s="19"/>
      <c r="L872" s="19"/>
      <c r="M872" s="19"/>
      <c r="N872" s="19"/>
      <c r="O872" s="19"/>
    </row>
    <row r="873">
      <c r="A873" s="18"/>
      <c r="B873" s="29"/>
      <c r="C873" s="19"/>
      <c r="D873" s="19"/>
      <c r="E873" s="18"/>
      <c r="F873" s="18" t="str">
        <f>IFERROR(__xludf.DUMMYFUNCTION("""COMPUTED_VALUE"""),"")</f>
        <v/>
      </c>
      <c r="G873" s="18" t="str">
        <f>IFERROR(__xludf.DUMMYFUNCTION("""COMPUTED_VALUE"""),"")</f>
        <v/>
      </c>
      <c r="H873" s="18" t="str">
        <f>IFERROR(__xludf.DUMMYFUNCTION("""COMPUTED_VALUE"""),"")</f>
        <v/>
      </c>
      <c r="I873" s="18" t="str">
        <f>IFERROR(__xludf.DUMMYFUNCTION("""COMPUTED_VALUE"""),"")</f>
        <v/>
      </c>
      <c r="J873" s="18" t="str">
        <f>IFERROR(__xludf.DUMMYFUNCTION("""COMPUTED_VALUE"""),"")</f>
        <v/>
      </c>
      <c r="K873" s="19"/>
      <c r="L873" s="19"/>
      <c r="M873" s="19"/>
      <c r="N873" s="19"/>
      <c r="O873" s="19"/>
    </row>
    <row r="874">
      <c r="A874" s="18"/>
      <c r="B874" s="29"/>
      <c r="C874" s="19"/>
      <c r="D874" s="19"/>
      <c r="E874" s="18"/>
      <c r="F874" s="18" t="str">
        <f>IFERROR(__xludf.DUMMYFUNCTION("""COMPUTED_VALUE"""),"")</f>
        <v/>
      </c>
      <c r="G874" s="18" t="str">
        <f>IFERROR(__xludf.DUMMYFUNCTION("""COMPUTED_VALUE"""),"")</f>
        <v/>
      </c>
      <c r="H874" s="18" t="str">
        <f>IFERROR(__xludf.DUMMYFUNCTION("""COMPUTED_VALUE"""),"")</f>
        <v/>
      </c>
      <c r="I874" s="18" t="str">
        <f>IFERROR(__xludf.DUMMYFUNCTION("""COMPUTED_VALUE"""),"")</f>
        <v/>
      </c>
      <c r="J874" s="18" t="str">
        <f>IFERROR(__xludf.DUMMYFUNCTION("""COMPUTED_VALUE"""),"")</f>
        <v/>
      </c>
      <c r="K874" s="19"/>
      <c r="L874" s="19"/>
      <c r="M874" s="19"/>
      <c r="N874" s="19"/>
      <c r="O874" s="19"/>
    </row>
    <row r="875">
      <c r="A875" s="18"/>
      <c r="B875" s="29"/>
      <c r="C875" s="19"/>
      <c r="D875" s="19"/>
      <c r="E875" s="18"/>
      <c r="F875" s="18" t="str">
        <f>IFERROR(__xludf.DUMMYFUNCTION("""COMPUTED_VALUE"""),"")</f>
        <v/>
      </c>
      <c r="G875" s="18" t="str">
        <f>IFERROR(__xludf.DUMMYFUNCTION("""COMPUTED_VALUE"""),"")</f>
        <v/>
      </c>
      <c r="H875" s="18" t="str">
        <f>IFERROR(__xludf.DUMMYFUNCTION("""COMPUTED_VALUE"""),"")</f>
        <v/>
      </c>
      <c r="I875" s="18" t="str">
        <f>IFERROR(__xludf.DUMMYFUNCTION("""COMPUTED_VALUE"""),"")</f>
        <v/>
      </c>
      <c r="J875" s="18" t="str">
        <f>IFERROR(__xludf.DUMMYFUNCTION("""COMPUTED_VALUE"""),"")</f>
        <v/>
      </c>
      <c r="K875" s="19"/>
      <c r="L875" s="19"/>
      <c r="M875" s="19"/>
      <c r="N875" s="19"/>
      <c r="O875" s="19"/>
    </row>
    <row r="876">
      <c r="A876" s="18"/>
      <c r="B876" s="29"/>
      <c r="C876" s="19"/>
      <c r="D876" s="19"/>
      <c r="E876" s="18"/>
      <c r="F876" s="18" t="str">
        <f>IFERROR(__xludf.DUMMYFUNCTION("""COMPUTED_VALUE"""),"")</f>
        <v/>
      </c>
      <c r="G876" s="18" t="str">
        <f>IFERROR(__xludf.DUMMYFUNCTION("""COMPUTED_VALUE"""),"")</f>
        <v/>
      </c>
      <c r="H876" s="18" t="str">
        <f>IFERROR(__xludf.DUMMYFUNCTION("""COMPUTED_VALUE"""),"")</f>
        <v/>
      </c>
      <c r="I876" s="18" t="str">
        <f>IFERROR(__xludf.DUMMYFUNCTION("""COMPUTED_VALUE"""),"")</f>
        <v/>
      </c>
      <c r="J876" s="18" t="str">
        <f>IFERROR(__xludf.DUMMYFUNCTION("""COMPUTED_VALUE"""),"")</f>
        <v/>
      </c>
      <c r="K876" s="19"/>
      <c r="L876" s="19"/>
      <c r="M876" s="19"/>
      <c r="N876" s="19"/>
      <c r="O876" s="19"/>
    </row>
    <row r="877">
      <c r="A877" s="18"/>
      <c r="B877" s="29"/>
      <c r="C877" s="19"/>
      <c r="D877" s="19"/>
      <c r="E877" s="18"/>
      <c r="F877" s="18" t="str">
        <f>IFERROR(__xludf.DUMMYFUNCTION("""COMPUTED_VALUE"""),"")</f>
        <v/>
      </c>
      <c r="G877" s="18" t="str">
        <f>IFERROR(__xludf.DUMMYFUNCTION("""COMPUTED_VALUE"""),"")</f>
        <v/>
      </c>
      <c r="H877" s="18" t="str">
        <f>IFERROR(__xludf.DUMMYFUNCTION("""COMPUTED_VALUE"""),"")</f>
        <v/>
      </c>
      <c r="I877" s="18" t="str">
        <f>IFERROR(__xludf.DUMMYFUNCTION("""COMPUTED_VALUE"""),"")</f>
        <v/>
      </c>
      <c r="J877" s="18" t="str">
        <f>IFERROR(__xludf.DUMMYFUNCTION("""COMPUTED_VALUE"""),"")</f>
        <v/>
      </c>
      <c r="K877" s="19"/>
      <c r="L877" s="19"/>
      <c r="M877" s="19"/>
      <c r="N877" s="19"/>
      <c r="O877" s="19"/>
    </row>
    <row r="878">
      <c r="A878" s="18"/>
      <c r="B878" s="29"/>
      <c r="C878" s="19"/>
      <c r="D878" s="19"/>
      <c r="E878" s="18"/>
      <c r="F878" s="18" t="str">
        <f>IFERROR(__xludf.DUMMYFUNCTION("""COMPUTED_VALUE"""),"")</f>
        <v/>
      </c>
      <c r="G878" s="18" t="str">
        <f>IFERROR(__xludf.DUMMYFUNCTION("""COMPUTED_VALUE"""),"")</f>
        <v/>
      </c>
      <c r="H878" s="18" t="str">
        <f>IFERROR(__xludf.DUMMYFUNCTION("""COMPUTED_VALUE"""),"")</f>
        <v/>
      </c>
      <c r="I878" s="18" t="str">
        <f>IFERROR(__xludf.DUMMYFUNCTION("""COMPUTED_VALUE"""),"")</f>
        <v/>
      </c>
      <c r="J878" s="18" t="str">
        <f>IFERROR(__xludf.DUMMYFUNCTION("""COMPUTED_VALUE"""),"")</f>
        <v/>
      </c>
      <c r="K878" s="19"/>
      <c r="L878" s="19"/>
      <c r="M878" s="19"/>
      <c r="N878" s="19"/>
      <c r="O878" s="19"/>
    </row>
    <row r="879">
      <c r="A879" s="18"/>
      <c r="B879" s="29"/>
      <c r="C879" s="19"/>
      <c r="D879" s="19"/>
      <c r="E879" s="18"/>
      <c r="F879" s="18" t="str">
        <f>IFERROR(__xludf.DUMMYFUNCTION("""COMPUTED_VALUE"""),"")</f>
        <v/>
      </c>
      <c r="G879" s="18" t="str">
        <f>IFERROR(__xludf.DUMMYFUNCTION("""COMPUTED_VALUE"""),"")</f>
        <v/>
      </c>
      <c r="H879" s="18" t="str">
        <f>IFERROR(__xludf.DUMMYFUNCTION("""COMPUTED_VALUE"""),"")</f>
        <v/>
      </c>
      <c r="I879" s="18" t="str">
        <f>IFERROR(__xludf.DUMMYFUNCTION("""COMPUTED_VALUE"""),"")</f>
        <v/>
      </c>
      <c r="J879" s="18" t="str">
        <f>IFERROR(__xludf.DUMMYFUNCTION("""COMPUTED_VALUE"""),"")</f>
        <v/>
      </c>
      <c r="K879" s="19"/>
      <c r="L879" s="19"/>
      <c r="M879" s="19"/>
      <c r="N879" s="19"/>
      <c r="O879" s="19"/>
    </row>
    <row r="880">
      <c r="A880" s="18"/>
      <c r="B880" s="29"/>
      <c r="C880" s="19"/>
      <c r="D880" s="19"/>
      <c r="E880" s="18"/>
      <c r="F880" s="18" t="str">
        <f>IFERROR(__xludf.DUMMYFUNCTION("""COMPUTED_VALUE"""),"")</f>
        <v/>
      </c>
      <c r="G880" s="18" t="str">
        <f>IFERROR(__xludf.DUMMYFUNCTION("""COMPUTED_VALUE"""),"")</f>
        <v/>
      </c>
      <c r="H880" s="18" t="str">
        <f>IFERROR(__xludf.DUMMYFUNCTION("""COMPUTED_VALUE"""),"")</f>
        <v/>
      </c>
      <c r="I880" s="18" t="str">
        <f>IFERROR(__xludf.DUMMYFUNCTION("""COMPUTED_VALUE"""),"")</f>
        <v/>
      </c>
      <c r="J880" s="18" t="str">
        <f>IFERROR(__xludf.DUMMYFUNCTION("""COMPUTED_VALUE"""),"")</f>
        <v/>
      </c>
      <c r="K880" s="19"/>
      <c r="L880" s="19"/>
      <c r="M880" s="19"/>
      <c r="N880" s="19"/>
      <c r="O880" s="19"/>
    </row>
    <row r="881">
      <c r="A881" s="18"/>
      <c r="B881" s="29"/>
      <c r="C881" s="19"/>
      <c r="D881" s="19"/>
      <c r="E881" s="18"/>
      <c r="F881" s="18" t="str">
        <f>IFERROR(__xludf.DUMMYFUNCTION("""COMPUTED_VALUE"""),"")</f>
        <v/>
      </c>
      <c r="G881" s="18" t="str">
        <f>IFERROR(__xludf.DUMMYFUNCTION("""COMPUTED_VALUE"""),"")</f>
        <v/>
      </c>
      <c r="H881" s="18" t="str">
        <f>IFERROR(__xludf.DUMMYFUNCTION("""COMPUTED_VALUE"""),"")</f>
        <v/>
      </c>
      <c r="I881" s="18" t="str">
        <f>IFERROR(__xludf.DUMMYFUNCTION("""COMPUTED_VALUE"""),"")</f>
        <v/>
      </c>
      <c r="J881" s="18" t="str">
        <f>IFERROR(__xludf.DUMMYFUNCTION("""COMPUTED_VALUE"""),"")</f>
        <v/>
      </c>
      <c r="K881" s="19"/>
      <c r="L881" s="19"/>
      <c r="M881" s="19"/>
      <c r="N881" s="19"/>
      <c r="O881" s="19"/>
    </row>
    <row r="882">
      <c r="A882" s="18"/>
      <c r="B882" s="29"/>
      <c r="C882" s="19"/>
      <c r="D882" s="19"/>
      <c r="E882" s="18"/>
      <c r="F882" s="18" t="str">
        <f>IFERROR(__xludf.DUMMYFUNCTION("""COMPUTED_VALUE"""),"")</f>
        <v/>
      </c>
      <c r="G882" s="18" t="str">
        <f>IFERROR(__xludf.DUMMYFUNCTION("""COMPUTED_VALUE"""),"")</f>
        <v/>
      </c>
      <c r="H882" s="18" t="str">
        <f>IFERROR(__xludf.DUMMYFUNCTION("""COMPUTED_VALUE"""),"")</f>
        <v/>
      </c>
      <c r="I882" s="18" t="str">
        <f>IFERROR(__xludf.DUMMYFUNCTION("""COMPUTED_VALUE"""),"")</f>
        <v/>
      </c>
      <c r="J882" s="18" t="str">
        <f>IFERROR(__xludf.DUMMYFUNCTION("""COMPUTED_VALUE"""),"")</f>
        <v/>
      </c>
      <c r="K882" s="19"/>
      <c r="L882" s="19"/>
      <c r="M882" s="19"/>
      <c r="N882" s="19"/>
      <c r="O882" s="19"/>
    </row>
    <row r="883">
      <c r="A883" s="18"/>
      <c r="B883" s="29"/>
      <c r="C883" s="19"/>
      <c r="D883" s="19"/>
      <c r="E883" s="18"/>
      <c r="F883" s="18" t="str">
        <f>IFERROR(__xludf.DUMMYFUNCTION("""COMPUTED_VALUE"""),"")</f>
        <v/>
      </c>
      <c r="G883" s="18" t="str">
        <f>IFERROR(__xludf.DUMMYFUNCTION("""COMPUTED_VALUE"""),"")</f>
        <v/>
      </c>
      <c r="H883" s="18" t="str">
        <f>IFERROR(__xludf.DUMMYFUNCTION("""COMPUTED_VALUE"""),"")</f>
        <v/>
      </c>
      <c r="I883" s="18" t="str">
        <f>IFERROR(__xludf.DUMMYFUNCTION("""COMPUTED_VALUE"""),"")</f>
        <v/>
      </c>
      <c r="J883" s="18" t="str">
        <f>IFERROR(__xludf.DUMMYFUNCTION("""COMPUTED_VALUE"""),"")</f>
        <v/>
      </c>
      <c r="K883" s="19"/>
      <c r="L883" s="19"/>
      <c r="M883" s="19"/>
      <c r="N883" s="19"/>
      <c r="O883" s="19"/>
    </row>
    <row r="884">
      <c r="A884" s="18"/>
      <c r="B884" s="29"/>
      <c r="C884" s="19"/>
      <c r="D884" s="19"/>
      <c r="E884" s="18"/>
      <c r="F884" s="18" t="str">
        <f>IFERROR(__xludf.DUMMYFUNCTION("""COMPUTED_VALUE"""),"")</f>
        <v/>
      </c>
      <c r="G884" s="18" t="str">
        <f>IFERROR(__xludf.DUMMYFUNCTION("""COMPUTED_VALUE"""),"")</f>
        <v/>
      </c>
      <c r="H884" s="18" t="str">
        <f>IFERROR(__xludf.DUMMYFUNCTION("""COMPUTED_VALUE"""),"")</f>
        <v/>
      </c>
      <c r="I884" s="18" t="str">
        <f>IFERROR(__xludf.DUMMYFUNCTION("""COMPUTED_VALUE"""),"")</f>
        <v/>
      </c>
      <c r="J884" s="18" t="str">
        <f>IFERROR(__xludf.DUMMYFUNCTION("""COMPUTED_VALUE"""),"")</f>
        <v/>
      </c>
      <c r="K884" s="19"/>
      <c r="L884" s="19"/>
      <c r="M884" s="19"/>
      <c r="N884" s="19"/>
      <c r="O884" s="19"/>
    </row>
    <row r="885">
      <c r="A885" s="18"/>
      <c r="B885" s="29"/>
      <c r="C885" s="19"/>
      <c r="D885" s="19"/>
      <c r="E885" s="18"/>
      <c r="F885" s="18" t="str">
        <f>IFERROR(__xludf.DUMMYFUNCTION("""COMPUTED_VALUE"""),"")</f>
        <v/>
      </c>
      <c r="G885" s="18" t="str">
        <f>IFERROR(__xludf.DUMMYFUNCTION("""COMPUTED_VALUE"""),"")</f>
        <v/>
      </c>
      <c r="H885" s="18" t="str">
        <f>IFERROR(__xludf.DUMMYFUNCTION("""COMPUTED_VALUE"""),"")</f>
        <v/>
      </c>
      <c r="I885" s="18" t="str">
        <f>IFERROR(__xludf.DUMMYFUNCTION("""COMPUTED_VALUE"""),"")</f>
        <v/>
      </c>
      <c r="J885" s="18" t="str">
        <f>IFERROR(__xludf.DUMMYFUNCTION("""COMPUTED_VALUE"""),"")</f>
        <v/>
      </c>
      <c r="K885" s="19"/>
      <c r="L885" s="19"/>
      <c r="M885" s="19"/>
      <c r="N885" s="19"/>
      <c r="O885" s="19"/>
    </row>
    <row r="886">
      <c r="A886" s="18"/>
      <c r="B886" s="29"/>
      <c r="C886" s="19"/>
      <c r="D886" s="19"/>
      <c r="E886" s="18"/>
      <c r="F886" s="18" t="str">
        <f>IFERROR(__xludf.DUMMYFUNCTION("""COMPUTED_VALUE"""),"")</f>
        <v/>
      </c>
      <c r="G886" s="18" t="str">
        <f>IFERROR(__xludf.DUMMYFUNCTION("""COMPUTED_VALUE"""),"")</f>
        <v/>
      </c>
      <c r="H886" s="18" t="str">
        <f>IFERROR(__xludf.DUMMYFUNCTION("""COMPUTED_VALUE"""),"")</f>
        <v/>
      </c>
      <c r="I886" s="18" t="str">
        <f>IFERROR(__xludf.DUMMYFUNCTION("""COMPUTED_VALUE"""),"")</f>
        <v/>
      </c>
      <c r="J886" s="18" t="str">
        <f>IFERROR(__xludf.DUMMYFUNCTION("""COMPUTED_VALUE"""),"")</f>
        <v/>
      </c>
      <c r="K886" s="19"/>
      <c r="L886" s="19"/>
      <c r="M886" s="19"/>
      <c r="N886" s="19"/>
      <c r="O886" s="19"/>
    </row>
    <row r="887">
      <c r="A887" s="18"/>
      <c r="B887" s="29"/>
      <c r="C887" s="19"/>
      <c r="D887" s="19"/>
      <c r="E887" s="18"/>
      <c r="F887" s="18" t="str">
        <f>IFERROR(__xludf.DUMMYFUNCTION("""COMPUTED_VALUE"""),"")</f>
        <v/>
      </c>
      <c r="G887" s="18" t="str">
        <f>IFERROR(__xludf.DUMMYFUNCTION("""COMPUTED_VALUE"""),"")</f>
        <v/>
      </c>
      <c r="H887" s="18" t="str">
        <f>IFERROR(__xludf.DUMMYFUNCTION("""COMPUTED_VALUE"""),"")</f>
        <v/>
      </c>
      <c r="I887" s="18" t="str">
        <f>IFERROR(__xludf.DUMMYFUNCTION("""COMPUTED_VALUE"""),"")</f>
        <v/>
      </c>
      <c r="J887" s="18" t="str">
        <f>IFERROR(__xludf.DUMMYFUNCTION("""COMPUTED_VALUE"""),"")</f>
        <v/>
      </c>
      <c r="K887" s="19"/>
      <c r="L887" s="19"/>
      <c r="M887" s="19"/>
      <c r="N887" s="19"/>
      <c r="O887" s="19"/>
    </row>
    <row r="888">
      <c r="A888" s="18"/>
      <c r="B888" s="29"/>
      <c r="C888" s="19"/>
      <c r="D888" s="19"/>
      <c r="E888" s="18"/>
      <c r="F888" s="18" t="str">
        <f>IFERROR(__xludf.DUMMYFUNCTION("""COMPUTED_VALUE"""),"")</f>
        <v/>
      </c>
      <c r="G888" s="18" t="str">
        <f>IFERROR(__xludf.DUMMYFUNCTION("""COMPUTED_VALUE"""),"")</f>
        <v/>
      </c>
      <c r="H888" s="18" t="str">
        <f>IFERROR(__xludf.DUMMYFUNCTION("""COMPUTED_VALUE"""),"")</f>
        <v/>
      </c>
      <c r="I888" s="18" t="str">
        <f>IFERROR(__xludf.DUMMYFUNCTION("""COMPUTED_VALUE"""),"")</f>
        <v/>
      </c>
      <c r="J888" s="18" t="str">
        <f>IFERROR(__xludf.DUMMYFUNCTION("""COMPUTED_VALUE"""),"")</f>
        <v/>
      </c>
      <c r="K888" s="19"/>
      <c r="L888" s="19"/>
      <c r="M888" s="19"/>
      <c r="N888" s="19"/>
      <c r="O888" s="19"/>
    </row>
    <row r="889">
      <c r="A889" s="18"/>
      <c r="B889" s="29"/>
      <c r="C889" s="19"/>
      <c r="D889" s="19"/>
      <c r="E889" s="18"/>
      <c r="F889" s="18" t="str">
        <f>IFERROR(__xludf.DUMMYFUNCTION("""COMPUTED_VALUE"""),"")</f>
        <v/>
      </c>
      <c r="G889" s="18" t="str">
        <f>IFERROR(__xludf.DUMMYFUNCTION("""COMPUTED_VALUE"""),"")</f>
        <v/>
      </c>
      <c r="H889" s="18" t="str">
        <f>IFERROR(__xludf.DUMMYFUNCTION("""COMPUTED_VALUE"""),"")</f>
        <v/>
      </c>
      <c r="I889" s="18" t="str">
        <f>IFERROR(__xludf.DUMMYFUNCTION("""COMPUTED_VALUE"""),"")</f>
        <v/>
      </c>
      <c r="J889" s="18" t="str">
        <f>IFERROR(__xludf.DUMMYFUNCTION("""COMPUTED_VALUE"""),"")</f>
        <v/>
      </c>
      <c r="K889" s="19"/>
      <c r="L889" s="19"/>
      <c r="M889" s="19"/>
      <c r="N889" s="19"/>
      <c r="O889" s="19"/>
    </row>
    <row r="890">
      <c r="A890" s="18"/>
      <c r="B890" s="29"/>
      <c r="C890" s="19"/>
      <c r="D890" s="19"/>
      <c r="E890" s="18"/>
      <c r="F890" s="18" t="str">
        <f>IFERROR(__xludf.DUMMYFUNCTION("""COMPUTED_VALUE"""),"")</f>
        <v/>
      </c>
      <c r="G890" s="18" t="str">
        <f>IFERROR(__xludf.DUMMYFUNCTION("""COMPUTED_VALUE"""),"")</f>
        <v/>
      </c>
      <c r="H890" s="18" t="str">
        <f>IFERROR(__xludf.DUMMYFUNCTION("""COMPUTED_VALUE"""),"")</f>
        <v/>
      </c>
      <c r="I890" s="18" t="str">
        <f>IFERROR(__xludf.DUMMYFUNCTION("""COMPUTED_VALUE"""),"")</f>
        <v/>
      </c>
      <c r="J890" s="18" t="str">
        <f>IFERROR(__xludf.DUMMYFUNCTION("""COMPUTED_VALUE"""),"")</f>
        <v/>
      </c>
      <c r="K890" s="19"/>
      <c r="L890" s="19"/>
      <c r="M890" s="19"/>
      <c r="N890" s="19"/>
      <c r="O890" s="19"/>
    </row>
    <row r="891">
      <c r="A891" s="18"/>
      <c r="B891" s="29"/>
      <c r="C891" s="19"/>
      <c r="D891" s="19"/>
      <c r="E891" s="18"/>
      <c r="F891" s="18" t="str">
        <f>IFERROR(__xludf.DUMMYFUNCTION("""COMPUTED_VALUE"""),"")</f>
        <v/>
      </c>
      <c r="G891" s="18" t="str">
        <f>IFERROR(__xludf.DUMMYFUNCTION("""COMPUTED_VALUE"""),"")</f>
        <v/>
      </c>
      <c r="H891" s="18" t="str">
        <f>IFERROR(__xludf.DUMMYFUNCTION("""COMPUTED_VALUE"""),"")</f>
        <v/>
      </c>
      <c r="I891" s="18" t="str">
        <f>IFERROR(__xludf.DUMMYFUNCTION("""COMPUTED_VALUE"""),"")</f>
        <v/>
      </c>
      <c r="J891" s="18" t="str">
        <f>IFERROR(__xludf.DUMMYFUNCTION("""COMPUTED_VALUE"""),"")</f>
        <v/>
      </c>
      <c r="K891" s="19"/>
      <c r="L891" s="19"/>
      <c r="M891" s="19"/>
      <c r="N891" s="19"/>
      <c r="O891" s="19"/>
    </row>
    <row r="892">
      <c r="A892" s="18"/>
      <c r="B892" s="29"/>
      <c r="C892" s="19"/>
      <c r="D892" s="19"/>
      <c r="E892" s="18"/>
      <c r="F892" s="18" t="str">
        <f>IFERROR(__xludf.DUMMYFUNCTION("""COMPUTED_VALUE"""),"")</f>
        <v/>
      </c>
      <c r="G892" s="18" t="str">
        <f>IFERROR(__xludf.DUMMYFUNCTION("""COMPUTED_VALUE"""),"")</f>
        <v/>
      </c>
      <c r="H892" s="18" t="str">
        <f>IFERROR(__xludf.DUMMYFUNCTION("""COMPUTED_VALUE"""),"")</f>
        <v/>
      </c>
      <c r="I892" s="18" t="str">
        <f>IFERROR(__xludf.DUMMYFUNCTION("""COMPUTED_VALUE"""),"")</f>
        <v/>
      </c>
      <c r="J892" s="18" t="str">
        <f>IFERROR(__xludf.DUMMYFUNCTION("""COMPUTED_VALUE"""),"")</f>
        <v/>
      </c>
      <c r="K892" s="19"/>
      <c r="L892" s="19"/>
      <c r="M892" s="19"/>
      <c r="N892" s="19"/>
      <c r="O892" s="19"/>
    </row>
    <row r="893">
      <c r="A893" s="18"/>
      <c r="B893" s="29"/>
      <c r="C893" s="19"/>
      <c r="D893" s="19"/>
      <c r="E893" s="18"/>
      <c r="F893" s="18" t="str">
        <f>IFERROR(__xludf.DUMMYFUNCTION("""COMPUTED_VALUE"""),"")</f>
        <v/>
      </c>
      <c r="G893" s="18" t="str">
        <f>IFERROR(__xludf.DUMMYFUNCTION("""COMPUTED_VALUE"""),"")</f>
        <v/>
      </c>
      <c r="H893" s="18" t="str">
        <f>IFERROR(__xludf.DUMMYFUNCTION("""COMPUTED_VALUE"""),"")</f>
        <v/>
      </c>
      <c r="I893" s="18" t="str">
        <f>IFERROR(__xludf.DUMMYFUNCTION("""COMPUTED_VALUE"""),"")</f>
        <v/>
      </c>
      <c r="J893" s="18" t="str">
        <f>IFERROR(__xludf.DUMMYFUNCTION("""COMPUTED_VALUE"""),"")</f>
        <v/>
      </c>
      <c r="K893" s="19"/>
      <c r="L893" s="19"/>
      <c r="M893" s="19"/>
      <c r="N893" s="19"/>
      <c r="O893" s="19"/>
    </row>
    <row r="894">
      <c r="A894" s="18"/>
      <c r="B894" s="29"/>
      <c r="C894" s="19"/>
      <c r="D894" s="19"/>
      <c r="E894" s="18"/>
      <c r="F894" s="18" t="str">
        <f>IFERROR(__xludf.DUMMYFUNCTION("""COMPUTED_VALUE"""),"")</f>
        <v/>
      </c>
      <c r="G894" s="18" t="str">
        <f>IFERROR(__xludf.DUMMYFUNCTION("""COMPUTED_VALUE"""),"")</f>
        <v/>
      </c>
      <c r="H894" s="18" t="str">
        <f>IFERROR(__xludf.DUMMYFUNCTION("""COMPUTED_VALUE"""),"")</f>
        <v/>
      </c>
      <c r="I894" s="18" t="str">
        <f>IFERROR(__xludf.DUMMYFUNCTION("""COMPUTED_VALUE"""),"")</f>
        <v/>
      </c>
      <c r="J894" s="18" t="str">
        <f>IFERROR(__xludf.DUMMYFUNCTION("""COMPUTED_VALUE"""),"")</f>
        <v/>
      </c>
      <c r="K894" s="19"/>
      <c r="L894" s="19"/>
      <c r="M894" s="19"/>
      <c r="N894" s="19"/>
      <c r="O894" s="19"/>
    </row>
    <row r="895">
      <c r="A895" s="18"/>
      <c r="B895" s="29"/>
      <c r="C895" s="19"/>
      <c r="D895" s="19"/>
      <c r="E895" s="18"/>
      <c r="F895" s="18" t="str">
        <f>IFERROR(__xludf.DUMMYFUNCTION("""COMPUTED_VALUE"""),"")</f>
        <v/>
      </c>
      <c r="G895" s="18" t="str">
        <f>IFERROR(__xludf.DUMMYFUNCTION("""COMPUTED_VALUE"""),"")</f>
        <v/>
      </c>
      <c r="H895" s="18" t="str">
        <f>IFERROR(__xludf.DUMMYFUNCTION("""COMPUTED_VALUE"""),"")</f>
        <v/>
      </c>
      <c r="I895" s="18" t="str">
        <f>IFERROR(__xludf.DUMMYFUNCTION("""COMPUTED_VALUE"""),"")</f>
        <v/>
      </c>
      <c r="J895" s="18" t="str">
        <f>IFERROR(__xludf.DUMMYFUNCTION("""COMPUTED_VALUE"""),"")</f>
        <v/>
      </c>
      <c r="K895" s="19"/>
      <c r="L895" s="19"/>
      <c r="M895" s="19"/>
      <c r="N895" s="19"/>
      <c r="O895" s="19"/>
    </row>
    <row r="896">
      <c r="A896" s="18"/>
      <c r="B896" s="29"/>
      <c r="C896" s="19"/>
      <c r="D896" s="19"/>
      <c r="E896" s="18"/>
      <c r="F896" s="18" t="str">
        <f>IFERROR(__xludf.DUMMYFUNCTION("""COMPUTED_VALUE"""),"")</f>
        <v/>
      </c>
      <c r="G896" s="18" t="str">
        <f>IFERROR(__xludf.DUMMYFUNCTION("""COMPUTED_VALUE"""),"")</f>
        <v/>
      </c>
      <c r="H896" s="18" t="str">
        <f>IFERROR(__xludf.DUMMYFUNCTION("""COMPUTED_VALUE"""),"")</f>
        <v/>
      </c>
      <c r="I896" s="18" t="str">
        <f>IFERROR(__xludf.DUMMYFUNCTION("""COMPUTED_VALUE"""),"")</f>
        <v/>
      </c>
      <c r="J896" s="18" t="str">
        <f>IFERROR(__xludf.DUMMYFUNCTION("""COMPUTED_VALUE"""),"")</f>
        <v/>
      </c>
      <c r="K896" s="19"/>
      <c r="L896" s="19"/>
      <c r="M896" s="19"/>
      <c r="N896" s="19"/>
      <c r="O896" s="19"/>
    </row>
    <row r="897">
      <c r="A897" s="18"/>
      <c r="B897" s="29"/>
      <c r="C897" s="19"/>
      <c r="D897" s="19"/>
      <c r="E897" s="18"/>
      <c r="F897" s="18" t="str">
        <f>IFERROR(__xludf.DUMMYFUNCTION("""COMPUTED_VALUE"""),"")</f>
        <v/>
      </c>
      <c r="G897" s="18" t="str">
        <f>IFERROR(__xludf.DUMMYFUNCTION("""COMPUTED_VALUE"""),"")</f>
        <v/>
      </c>
      <c r="H897" s="18" t="str">
        <f>IFERROR(__xludf.DUMMYFUNCTION("""COMPUTED_VALUE"""),"")</f>
        <v/>
      </c>
      <c r="I897" s="18" t="str">
        <f>IFERROR(__xludf.DUMMYFUNCTION("""COMPUTED_VALUE"""),"")</f>
        <v/>
      </c>
      <c r="J897" s="18" t="str">
        <f>IFERROR(__xludf.DUMMYFUNCTION("""COMPUTED_VALUE"""),"")</f>
        <v/>
      </c>
      <c r="K897" s="19"/>
      <c r="L897" s="19"/>
      <c r="M897" s="19"/>
      <c r="N897" s="19"/>
      <c r="O897" s="19"/>
    </row>
    <row r="898">
      <c r="A898" s="18"/>
      <c r="B898" s="29"/>
      <c r="C898" s="19"/>
      <c r="D898" s="19"/>
      <c r="E898" s="18"/>
      <c r="F898" s="18" t="str">
        <f>IFERROR(__xludf.DUMMYFUNCTION("""COMPUTED_VALUE"""),"")</f>
        <v/>
      </c>
      <c r="G898" s="18" t="str">
        <f>IFERROR(__xludf.DUMMYFUNCTION("""COMPUTED_VALUE"""),"")</f>
        <v/>
      </c>
      <c r="H898" s="18" t="str">
        <f>IFERROR(__xludf.DUMMYFUNCTION("""COMPUTED_VALUE"""),"")</f>
        <v/>
      </c>
      <c r="I898" s="18" t="str">
        <f>IFERROR(__xludf.DUMMYFUNCTION("""COMPUTED_VALUE"""),"")</f>
        <v/>
      </c>
      <c r="J898" s="18" t="str">
        <f>IFERROR(__xludf.DUMMYFUNCTION("""COMPUTED_VALUE"""),"")</f>
        <v/>
      </c>
      <c r="K898" s="19"/>
      <c r="L898" s="19"/>
      <c r="M898" s="19"/>
      <c r="N898" s="19"/>
      <c r="O898" s="19"/>
    </row>
    <row r="899">
      <c r="A899" s="18"/>
      <c r="B899" s="29"/>
      <c r="C899" s="19"/>
      <c r="D899" s="19"/>
      <c r="E899" s="18"/>
      <c r="F899" s="18" t="str">
        <f>IFERROR(__xludf.DUMMYFUNCTION("""COMPUTED_VALUE"""),"")</f>
        <v/>
      </c>
      <c r="G899" s="18" t="str">
        <f>IFERROR(__xludf.DUMMYFUNCTION("""COMPUTED_VALUE"""),"")</f>
        <v/>
      </c>
      <c r="H899" s="18" t="str">
        <f>IFERROR(__xludf.DUMMYFUNCTION("""COMPUTED_VALUE"""),"")</f>
        <v/>
      </c>
      <c r="I899" s="18" t="str">
        <f>IFERROR(__xludf.DUMMYFUNCTION("""COMPUTED_VALUE"""),"")</f>
        <v/>
      </c>
      <c r="J899" s="18" t="str">
        <f>IFERROR(__xludf.DUMMYFUNCTION("""COMPUTED_VALUE"""),"")</f>
        <v/>
      </c>
      <c r="K899" s="19"/>
      <c r="L899" s="19"/>
      <c r="M899" s="19"/>
      <c r="N899" s="19"/>
      <c r="O899" s="19"/>
    </row>
    <row r="900">
      <c r="A900" s="18"/>
      <c r="B900" s="29"/>
      <c r="C900" s="19"/>
      <c r="D900" s="19"/>
      <c r="E900" s="18"/>
      <c r="F900" s="18" t="str">
        <f>IFERROR(__xludf.DUMMYFUNCTION("""COMPUTED_VALUE"""),"")</f>
        <v/>
      </c>
      <c r="G900" s="18" t="str">
        <f>IFERROR(__xludf.DUMMYFUNCTION("""COMPUTED_VALUE"""),"")</f>
        <v/>
      </c>
      <c r="H900" s="18" t="str">
        <f>IFERROR(__xludf.DUMMYFUNCTION("""COMPUTED_VALUE"""),"")</f>
        <v/>
      </c>
      <c r="I900" s="18" t="str">
        <f>IFERROR(__xludf.DUMMYFUNCTION("""COMPUTED_VALUE"""),"")</f>
        <v/>
      </c>
      <c r="J900" s="18" t="str">
        <f>IFERROR(__xludf.DUMMYFUNCTION("""COMPUTED_VALUE"""),"")</f>
        <v/>
      </c>
      <c r="K900" s="19"/>
      <c r="L900" s="19"/>
      <c r="M900" s="19"/>
      <c r="N900" s="19"/>
      <c r="O900" s="19"/>
    </row>
    <row r="901">
      <c r="A901" s="18"/>
      <c r="B901" s="29"/>
      <c r="C901" s="19"/>
      <c r="D901" s="19"/>
      <c r="E901" s="18"/>
      <c r="F901" s="18" t="str">
        <f>IFERROR(__xludf.DUMMYFUNCTION("""COMPUTED_VALUE"""),"")</f>
        <v/>
      </c>
      <c r="G901" s="18" t="str">
        <f>IFERROR(__xludf.DUMMYFUNCTION("""COMPUTED_VALUE"""),"")</f>
        <v/>
      </c>
      <c r="H901" s="18" t="str">
        <f>IFERROR(__xludf.DUMMYFUNCTION("""COMPUTED_VALUE"""),"")</f>
        <v/>
      </c>
      <c r="I901" s="18" t="str">
        <f>IFERROR(__xludf.DUMMYFUNCTION("""COMPUTED_VALUE"""),"")</f>
        <v/>
      </c>
      <c r="J901" s="18" t="str">
        <f>IFERROR(__xludf.DUMMYFUNCTION("""COMPUTED_VALUE"""),"")</f>
        <v/>
      </c>
      <c r="K901" s="19"/>
      <c r="L901" s="19"/>
      <c r="M901" s="19"/>
      <c r="N901" s="19"/>
      <c r="O901" s="19"/>
    </row>
    <row r="902">
      <c r="A902" s="18"/>
      <c r="B902" s="29"/>
      <c r="C902" s="19"/>
      <c r="D902" s="19"/>
      <c r="E902" s="18"/>
      <c r="F902" s="18" t="str">
        <f>IFERROR(__xludf.DUMMYFUNCTION("""COMPUTED_VALUE"""),"")</f>
        <v/>
      </c>
      <c r="G902" s="18" t="str">
        <f>IFERROR(__xludf.DUMMYFUNCTION("""COMPUTED_VALUE"""),"")</f>
        <v/>
      </c>
      <c r="H902" s="18" t="str">
        <f>IFERROR(__xludf.DUMMYFUNCTION("""COMPUTED_VALUE"""),"")</f>
        <v/>
      </c>
      <c r="I902" s="18" t="str">
        <f>IFERROR(__xludf.DUMMYFUNCTION("""COMPUTED_VALUE"""),"")</f>
        <v/>
      </c>
      <c r="J902" s="18" t="str">
        <f>IFERROR(__xludf.DUMMYFUNCTION("""COMPUTED_VALUE"""),"")</f>
        <v/>
      </c>
      <c r="K902" s="19"/>
      <c r="L902" s="19"/>
      <c r="M902" s="19"/>
      <c r="N902" s="19"/>
      <c r="O902" s="19"/>
    </row>
    <row r="903">
      <c r="A903" s="18"/>
      <c r="B903" s="29"/>
      <c r="C903" s="19"/>
      <c r="D903" s="19"/>
      <c r="E903" s="18"/>
      <c r="F903" s="18" t="str">
        <f>IFERROR(__xludf.DUMMYFUNCTION("""COMPUTED_VALUE"""),"")</f>
        <v/>
      </c>
      <c r="G903" s="18" t="str">
        <f>IFERROR(__xludf.DUMMYFUNCTION("""COMPUTED_VALUE"""),"")</f>
        <v/>
      </c>
      <c r="H903" s="18" t="str">
        <f>IFERROR(__xludf.DUMMYFUNCTION("""COMPUTED_VALUE"""),"")</f>
        <v/>
      </c>
      <c r="I903" s="18" t="str">
        <f>IFERROR(__xludf.DUMMYFUNCTION("""COMPUTED_VALUE"""),"")</f>
        <v/>
      </c>
      <c r="J903" s="18" t="str">
        <f>IFERROR(__xludf.DUMMYFUNCTION("""COMPUTED_VALUE"""),"")</f>
        <v/>
      </c>
      <c r="K903" s="19"/>
      <c r="L903" s="19"/>
      <c r="M903" s="19"/>
      <c r="N903" s="19"/>
      <c r="O903" s="19"/>
    </row>
    <row r="904">
      <c r="A904" s="18"/>
      <c r="B904" s="29"/>
      <c r="C904" s="19"/>
      <c r="D904" s="19"/>
      <c r="E904" s="18"/>
      <c r="F904" s="18" t="str">
        <f>IFERROR(__xludf.DUMMYFUNCTION("""COMPUTED_VALUE"""),"")</f>
        <v/>
      </c>
      <c r="G904" s="18" t="str">
        <f>IFERROR(__xludf.DUMMYFUNCTION("""COMPUTED_VALUE"""),"")</f>
        <v/>
      </c>
      <c r="H904" s="18" t="str">
        <f>IFERROR(__xludf.DUMMYFUNCTION("""COMPUTED_VALUE"""),"")</f>
        <v/>
      </c>
      <c r="I904" s="18" t="str">
        <f>IFERROR(__xludf.DUMMYFUNCTION("""COMPUTED_VALUE"""),"")</f>
        <v/>
      </c>
      <c r="J904" s="18" t="str">
        <f>IFERROR(__xludf.DUMMYFUNCTION("""COMPUTED_VALUE"""),"")</f>
        <v/>
      </c>
      <c r="K904" s="19"/>
      <c r="L904" s="19"/>
      <c r="M904" s="19"/>
      <c r="N904" s="19"/>
      <c r="O904" s="19"/>
    </row>
    <row r="905">
      <c r="A905" s="18"/>
      <c r="B905" s="29"/>
      <c r="C905" s="19"/>
      <c r="D905" s="19"/>
      <c r="E905" s="18"/>
      <c r="F905" s="18" t="str">
        <f>IFERROR(__xludf.DUMMYFUNCTION("""COMPUTED_VALUE"""),"")</f>
        <v/>
      </c>
      <c r="G905" s="18" t="str">
        <f>IFERROR(__xludf.DUMMYFUNCTION("""COMPUTED_VALUE"""),"")</f>
        <v/>
      </c>
      <c r="H905" s="18" t="str">
        <f>IFERROR(__xludf.DUMMYFUNCTION("""COMPUTED_VALUE"""),"")</f>
        <v/>
      </c>
      <c r="I905" s="18" t="str">
        <f>IFERROR(__xludf.DUMMYFUNCTION("""COMPUTED_VALUE"""),"")</f>
        <v/>
      </c>
      <c r="J905" s="18" t="str">
        <f>IFERROR(__xludf.DUMMYFUNCTION("""COMPUTED_VALUE"""),"")</f>
        <v/>
      </c>
      <c r="K905" s="19"/>
      <c r="L905" s="19"/>
      <c r="M905" s="19"/>
      <c r="N905" s="19"/>
      <c r="O905" s="19"/>
    </row>
    <row r="906">
      <c r="A906" s="18"/>
      <c r="B906" s="29"/>
      <c r="C906" s="19"/>
      <c r="D906" s="19"/>
      <c r="E906" s="18"/>
      <c r="F906" s="18" t="str">
        <f>IFERROR(__xludf.DUMMYFUNCTION("""COMPUTED_VALUE"""),"")</f>
        <v/>
      </c>
      <c r="G906" s="18" t="str">
        <f>IFERROR(__xludf.DUMMYFUNCTION("""COMPUTED_VALUE"""),"")</f>
        <v/>
      </c>
      <c r="H906" s="18" t="str">
        <f>IFERROR(__xludf.DUMMYFUNCTION("""COMPUTED_VALUE"""),"")</f>
        <v/>
      </c>
      <c r="I906" s="18" t="str">
        <f>IFERROR(__xludf.DUMMYFUNCTION("""COMPUTED_VALUE"""),"")</f>
        <v/>
      </c>
      <c r="J906" s="18" t="str">
        <f>IFERROR(__xludf.DUMMYFUNCTION("""COMPUTED_VALUE"""),"")</f>
        <v/>
      </c>
      <c r="K906" s="19"/>
      <c r="L906" s="19"/>
      <c r="M906" s="19"/>
      <c r="N906" s="19"/>
      <c r="O906" s="19"/>
    </row>
    <row r="907">
      <c r="A907" s="18"/>
      <c r="B907" s="29"/>
      <c r="C907" s="19"/>
      <c r="D907" s="19"/>
      <c r="E907" s="18"/>
      <c r="F907" s="18" t="str">
        <f>IFERROR(__xludf.DUMMYFUNCTION("""COMPUTED_VALUE"""),"")</f>
        <v/>
      </c>
      <c r="G907" s="18" t="str">
        <f>IFERROR(__xludf.DUMMYFUNCTION("""COMPUTED_VALUE"""),"")</f>
        <v/>
      </c>
      <c r="H907" s="18" t="str">
        <f>IFERROR(__xludf.DUMMYFUNCTION("""COMPUTED_VALUE"""),"")</f>
        <v/>
      </c>
      <c r="I907" s="18" t="str">
        <f>IFERROR(__xludf.DUMMYFUNCTION("""COMPUTED_VALUE"""),"")</f>
        <v/>
      </c>
      <c r="J907" s="18" t="str">
        <f>IFERROR(__xludf.DUMMYFUNCTION("""COMPUTED_VALUE"""),"")</f>
        <v/>
      </c>
      <c r="K907" s="19"/>
      <c r="L907" s="19"/>
      <c r="M907" s="19"/>
      <c r="N907" s="19"/>
      <c r="O907" s="19"/>
    </row>
    <row r="908">
      <c r="A908" s="18"/>
      <c r="B908" s="29"/>
      <c r="C908" s="19"/>
      <c r="D908" s="19"/>
      <c r="E908" s="18"/>
      <c r="F908" s="18" t="str">
        <f>IFERROR(__xludf.DUMMYFUNCTION("""COMPUTED_VALUE"""),"")</f>
        <v/>
      </c>
      <c r="G908" s="18" t="str">
        <f>IFERROR(__xludf.DUMMYFUNCTION("""COMPUTED_VALUE"""),"")</f>
        <v/>
      </c>
      <c r="H908" s="18" t="str">
        <f>IFERROR(__xludf.DUMMYFUNCTION("""COMPUTED_VALUE"""),"")</f>
        <v/>
      </c>
      <c r="I908" s="18" t="str">
        <f>IFERROR(__xludf.DUMMYFUNCTION("""COMPUTED_VALUE"""),"")</f>
        <v/>
      </c>
      <c r="J908" s="18" t="str">
        <f>IFERROR(__xludf.DUMMYFUNCTION("""COMPUTED_VALUE"""),"")</f>
        <v/>
      </c>
      <c r="K908" s="19"/>
      <c r="L908" s="19"/>
      <c r="M908" s="19"/>
      <c r="N908" s="19"/>
      <c r="O908" s="19"/>
    </row>
    <row r="909">
      <c r="A909" s="18"/>
      <c r="B909" s="29"/>
      <c r="C909" s="19"/>
      <c r="D909" s="19"/>
      <c r="E909" s="18"/>
      <c r="F909" s="18" t="str">
        <f>IFERROR(__xludf.DUMMYFUNCTION("""COMPUTED_VALUE"""),"")</f>
        <v/>
      </c>
      <c r="G909" s="18" t="str">
        <f>IFERROR(__xludf.DUMMYFUNCTION("""COMPUTED_VALUE"""),"")</f>
        <v/>
      </c>
      <c r="H909" s="18" t="str">
        <f>IFERROR(__xludf.DUMMYFUNCTION("""COMPUTED_VALUE"""),"")</f>
        <v/>
      </c>
      <c r="I909" s="18" t="str">
        <f>IFERROR(__xludf.DUMMYFUNCTION("""COMPUTED_VALUE"""),"")</f>
        <v/>
      </c>
      <c r="J909" s="18" t="str">
        <f>IFERROR(__xludf.DUMMYFUNCTION("""COMPUTED_VALUE"""),"")</f>
        <v/>
      </c>
      <c r="K909" s="19"/>
      <c r="L909" s="19"/>
      <c r="M909" s="19"/>
      <c r="N909" s="19"/>
      <c r="O909" s="19"/>
    </row>
    <row r="910">
      <c r="A910" s="18"/>
      <c r="B910" s="29"/>
      <c r="C910" s="19"/>
      <c r="D910" s="19"/>
      <c r="E910" s="18"/>
      <c r="F910" s="18" t="str">
        <f>IFERROR(__xludf.DUMMYFUNCTION("""COMPUTED_VALUE"""),"")</f>
        <v/>
      </c>
      <c r="G910" s="18" t="str">
        <f>IFERROR(__xludf.DUMMYFUNCTION("""COMPUTED_VALUE"""),"")</f>
        <v/>
      </c>
      <c r="H910" s="18" t="str">
        <f>IFERROR(__xludf.DUMMYFUNCTION("""COMPUTED_VALUE"""),"")</f>
        <v/>
      </c>
      <c r="I910" s="18" t="str">
        <f>IFERROR(__xludf.DUMMYFUNCTION("""COMPUTED_VALUE"""),"")</f>
        <v/>
      </c>
      <c r="J910" s="18" t="str">
        <f>IFERROR(__xludf.DUMMYFUNCTION("""COMPUTED_VALUE"""),"")</f>
        <v/>
      </c>
      <c r="K910" s="19"/>
      <c r="L910" s="19"/>
      <c r="M910" s="19"/>
      <c r="N910" s="19"/>
      <c r="O910" s="19"/>
    </row>
    <row r="911">
      <c r="A911" s="18"/>
      <c r="B911" s="29"/>
      <c r="C911" s="19"/>
      <c r="D911" s="19"/>
      <c r="E911" s="18"/>
      <c r="F911" s="18" t="str">
        <f>IFERROR(__xludf.DUMMYFUNCTION("""COMPUTED_VALUE"""),"")</f>
        <v/>
      </c>
      <c r="G911" s="18" t="str">
        <f>IFERROR(__xludf.DUMMYFUNCTION("""COMPUTED_VALUE"""),"")</f>
        <v/>
      </c>
      <c r="H911" s="18" t="str">
        <f>IFERROR(__xludf.DUMMYFUNCTION("""COMPUTED_VALUE"""),"")</f>
        <v/>
      </c>
      <c r="I911" s="18" t="str">
        <f>IFERROR(__xludf.DUMMYFUNCTION("""COMPUTED_VALUE"""),"")</f>
        <v/>
      </c>
      <c r="J911" s="18" t="str">
        <f>IFERROR(__xludf.DUMMYFUNCTION("""COMPUTED_VALUE"""),"")</f>
        <v/>
      </c>
      <c r="K911" s="19"/>
      <c r="L911" s="19"/>
      <c r="M911" s="19"/>
      <c r="N911" s="19"/>
      <c r="O911" s="19"/>
    </row>
    <row r="912">
      <c r="A912" s="18"/>
      <c r="B912" s="29"/>
      <c r="C912" s="19"/>
      <c r="D912" s="19"/>
      <c r="E912" s="18"/>
      <c r="F912" s="18" t="str">
        <f>IFERROR(__xludf.DUMMYFUNCTION("""COMPUTED_VALUE"""),"")</f>
        <v/>
      </c>
      <c r="G912" s="18" t="str">
        <f>IFERROR(__xludf.DUMMYFUNCTION("""COMPUTED_VALUE"""),"")</f>
        <v/>
      </c>
      <c r="H912" s="18" t="str">
        <f>IFERROR(__xludf.DUMMYFUNCTION("""COMPUTED_VALUE"""),"")</f>
        <v/>
      </c>
      <c r="I912" s="18" t="str">
        <f>IFERROR(__xludf.DUMMYFUNCTION("""COMPUTED_VALUE"""),"")</f>
        <v/>
      </c>
      <c r="J912" s="18" t="str">
        <f>IFERROR(__xludf.DUMMYFUNCTION("""COMPUTED_VALUE"""),"")</f>
        <v/>
      </c>
      <c r="K912" s="19"/>
      <c r="L912" s="19"/>
      <c r="M912" s="19"/>
      <c r="N912" s="19"/>
      <c r="O912" s="19"/>
    </row>
    <row r="913">
      <c r="A913" s="18"/>
      <c r="B913" s="29"/>
      <c r="C913" s="19"/>
      <c r="D913" s="19"/>
      <c r="E913" s="18"/>
      <c r="F913" s="18" t="str">
        <f>IFERROR(__xludf.DUMMYFUNCTION("""COMPUTED_VALUE"""),"")</f>
        <v/>
      </c>
      <c r="G913" s="18" t="str">
        <f>IFERROR(__xludf.DUMMYFUNCTION("""COMPUTED_VALUE"""),"")</f>
        <v/>
      </c>
      <c r="H913" s="18" t="str">
        <f>IFERROR(__xludf.DUMMYFUNCTION("""COMPUTED_VALUE"""),"")</f>
        <v/>
      </c>
      <c r="I913" s="18" t="str">
        <f>IFERROR(__xludf.DUMMYFUNCTION("""COMPUTED_VALUE"""),"")</f>
        <v/>
      </c>
      <c r="J913" s="18" t="str">
        <f>IFERROR(__xludf.DUMMYFUNCTION("""COMPUTED_VALUE"""),"")</f>
        <v/>
      </c>
      <c r="K913" s="19"/>
      <c r="L913" s="19"/>
      <c r="M913" s="19"/>
      <c r="N913" s="19"/>
      <c r="O913" s="19"/>
    </row>
    <row r="914">
      <c r="A914" s="18"/>
      <c r="B914" s="29"/>
      <c r="C914" s="19"/>
      <c r="D914" s="19"/>
      <c r="E914" s="18"/>
      <c r="F914" s="18" t="str">
        <f>IFERROR(__xludf.DUMMYFUNCTION("""COMPUTED_VALUE"""),"")</f>
        <v/>
      </c>
      <c r="G914" s="18" t="str">
        <f>IFERROR(__xludf.DUMMYFUNCTION("""COMPUTED_VALUE"""),"")</f>
        <v/>
      </c>
      <c r="H914" s="18" t="str">
        <f>IFERROR(__xludf.DUMMYFUNCTION("""COMPUTED_VALUE"""),"")</f>
        <v/>
      </c>
      <c r="I914" s="18" t="str">
        <f>IFERROR(__xludf.DUMMYFUNCTION("""COMPUTED_VALUE"""),"")</f>
        <v/>
      </c>
      <c r="J914" s="18" t="str">
        <f>IFERROR(__xludf.DUMMYFUNCTION("""COMPUTED_VALUE"""),"")</f>
        <v/>
      </c>
      <c r="K914" s="19"/>
      <c r="L914" s="19"/>
      <c r="M914" s="19"/>
      <c r="N914" s="19"/>
      <c r="O914" s="19"/>
    </row>
    <row r="915">
      <c r="A915" s="18"/>
      <c r="B915" s="29"/>
      <c r="C915" s="19"/>
      <c r="D915" s="19"/>
      <c r="E915" s="18"/>
      <c r="F915" s="18" t="str">
        <f>IFERROR(__xludf.DUMMYFUNCTION("""COMPUTED_VALUE"""),"")</f>
        <v/>
      </c>
      <c r="G915" s="18" t="str">
        <f>IFERROR(__xludf.DUMMYFUNCTION("""COMPUTED_VALUE"""),"")</f>
        <v/>
      </c>
      <c r="H915" s="18" t="str">
        <f>IFERROR(__xludf.DUMMYFUNCTION("""COMPUTED_VALUE"""),"")</f>
        <v/>
      </c>
      <c r="I915" s="18" t="str">
        <f>IFERROR(__xludf.DUMMYFUNCTION("""COMPUTED_VALUE"""),"")</f>
        <v/>
      </c>
      <c r="J915" s="18" t="str">
        <f>IFERROR(__xludf.DUMMYFUNCTION("""COMPUTED_VALUE"""),"")</f>
        <v/>
      </c>
      <c r="K915" s="19"/>
      <c r="L915" s="19"/>
      <c r="M915" s="19"/>
      <c r="N915" s="19"/>
      <c r="O915" s="19"/>
    </row>
    <row r="916">
      <c r="A916" s="18"/>
      <c r="B916" s="29"/>
      <c r="C916" s="19"/>
      <c r="D916" s="19"/>
      <c r="E916" s="18"/>
      <c r="F916" s="18" t="str">
        <f>IFERROR(__xludf.DUMMYFUNCTION("""COMPUTED_VALUE"""),"")</f>
        <v/>
      </c>
      <c r="G916" s="18" t="str">
        <f>IFERROR(__xludf.DUMMYFUNCTION("""COMPUTED_VALUE"""),"")</f>
        <v/>
      </c>
      <c r="H916" s="18" t="str">
        <f>IFERROR(__xludf.DUMMYFUNCTION("""COMPUTED_VALUE"""),"")</f>
        <v/>
      </c>
      <c r="I916" s="18" t="str">
        <f>IFERROR(__xludf.DUMMYFUNCTION("""COMPUTED_VALUE"""),"")</f>
        <v/>
      </c>
      <c r="J916" s="18" t="str">
        <f>IFERROR(__xludf.DUMMYFUNCTION("""COMPUTED_VALUE"""),"")</f>
        <v/>
      </c>
      <c r="K916" s="19"/>
      <c r="L916" s="19"/>
      <c r="M916" s="19"/>
      <c r="N916" s="19"/>
      <c r="O916" s="19"/>
    </row>
    <row r="917">
      <c r="A917" s="18"/>
      <c r="B917" s="29"/>
      <c r="C917" s="19"/>
      <c r="D917" s="19"/>
      <c r="E917" s="18"/>
      <c r="F917" s="18" t="str">
        <f>IFERROR(__xludf.DUMMYFUNCTION("""COMPUTED_VALUE"""),"")</f>
        <v/>
      </c>
      <c r="G917" s="18" t="str">
        <f>IFERROR(__xludf.DUMMYFUNCTION("""COMPUTED_VALUE"""),"")</f>
        <v/>
      </c>
      <c r="H917" s="18" t="str">
        <f>IFERROR(__xludf.DUMMYFUNCTION("""COMPUTED_VALUE"""),"")</f>
        <v/>
      </c>
      <c r="I917" s="18" t="str">
        <f>IFERROR(__xludf.DUMMYFUNCTION("""COMPUTED_VALUE"""),"")</f>
        <v/>
      </c>
      <c r="J917" s="18" t="str">
        <f>IFERROR(__xludf.DUMMYFUNCTION("""COMPUTED_VALUE"""),"")</f>
        <v/>
      </c>
      <c r="K917" s="19"/>
      <c r="L917" s="19"/>
      <c r="M917" s="19"/>
      <c r="N917" s="19"/>
      <c r="O917" s="19"/>
    </row>
    <row r="918">
      <c r="A918" s="18"/>
      <c r="B918" s="29"/>
      <c r="C918" s="19"/>
      <c r="D918" s="19"/>
      <c r="E918" s="18"/>
      <c r="F918" s="18" t="str">
        <f>IFERROR(__xludf.DUMMYFUNCTION("""COMPUTED_VALUE"""),"")</f>
        <v/>
      </c>
      <c r="G918" s="18" t="str">
        <f>IFERROR(__xludf.DUMMYFUNCTION("""COMPUTED_VALUE"""),"")</f>
        <v/>
      </c>
      <c r="H918" s="18" t="str">
        <f>IFERROR(__xludf.DUMMYFUNCTION("""COMPUTED_VALUE"""),"")</f>
        <v/>
      </c>
      <c r="I918" s="18" t="str">
        <f>IFERROR(__xludf.DUMMYFUNCTION("""COMPUTED_VALUE"""),"")</f>
        <v/>
      </c>
      <c r="J918" s="18" t="str">
        <f>IFERROR(__xludf.DUMMYFUNCTION("""COMPUTED_VALUE"""),"")</f>
        <v/>
      </c>
      <c r="K918" s="19"/>
      <c r="L918" s="19"/>
      <c r="M918" s="19"/>
      <c r="N918" s="19"/>
      <c r="O918" s="19"/>
    </row>
    <row r="919">
      <c r="A919" s="18"/>
      <c r="B919" s="29"/>
      <c r="C919" s="19"/>
      <c r="D919" s="19"/>
      <c r="E919" s="18"/>
      <c r="F919" s="18" t="str">
        <f>IFERROR(__xludf.DUMMYFUNCTION("""COMPUTED_VALUE"""),"")</f>
        <v/>
      </c>
      <c r="G919" s="18" t="str">
        <f>IFERROR(__xludf.DUMMYFUNCTION("""COMPUTED_VALUE"""),"")</f>
        <v/>
      </c>
      <c r="H919" s="18" t="str">
        <f>IFERROR(__xludf.DUMMYFUNCTION("""COMPUTED_VALUE"""),"")</f>
        <v/>
      </c>
      <c r="I919" s="18" t="str">
        <f>IFERROR(__xludf.DUMMYFUNCTION("""COMPUTED_VALUE"""),"")</f>
        <v/>
      </c>
      <c r="J919" s="18" t="str">
        <f>IFERROR(__xludf.DUMMYFUNCTION("""COMPUTED_VALUE"""),"")</f>
        <v/>
      </c>
      <c r="K919" s="19"/>
      <c r="L919" s="19"/>
      <c r="M919" s="19"/>
      <c r="N919" s="19"/>
      <c r="O919" s="19"/>
    </row>
    <row r="920">
      <c r="A920" s="18"/>
      <c r="B920" s="29"/>
      <c r="C920" s="19"/>
      <c r="D920" s="19"/>
      <c r="E920" s="18"/>
      <c r="F920" s="18" t="str">
        <f>IFERROR(__xludf.DUMMYFUNCTION("""COMPUTED_VALUE"""),"")</f>
        <v/>
      </c>
      <c r="G920" s="18" t="str">
        <f>IFERROR(__xludf.DUMMYFUNCTION("""COMPUTED_VALUE"""),"")</f>
        <v/>
      </c>
      <c r="H920" s="18" t="str">
        <f>IFERROR(__xludf.DUMMYFUNCTION("""COMPUTED_VALUE"""),"")</f>
        <v/>
      </c>
      <c r="I920" s="18" t="str">
        <f>IFERROR(__xludf.DUMMYFUNCTION("""COMPUTED_VALUE"""),"")</f>
        <v/>
      </c>
      <c r="J920" s="18" t="str">
        <f>IFERROR(__xludf.DUMMYFUNCTION("""COMPUTED_VALUE"""),"")</f>
        <v/>
      </c>
      <c r="K920" s="19"/>
      <c r="L920" s="19"/>
      <c r="M920" s="19"/>
      <c r="N920" s="19"/>
      <c r="O920" s="19"/>
    </row>
    <row r="921">
      <c r="A921" s="18"/>
      <c r="B921" s="29"/>
      <c r="C921" s="19"/>
      <c r="D921" s="19"/>
      <c r="E921" s="18"/>
      <c r="F921" s="18" t="str">
        <f>IFERROR(__xludf.DUMMYFUNCTION("""COMPUTED_VALUE"""),"")</f>
        <v/>
      </c>
      <c r="G921" s="18" t="str">
        <f>IFERROR(__xludf.DUMMYFUNCTION("""COMPUTED_VALUE"""),"")</f>
        <v/>
      </c>
      <c r="H921" s="18" t="str">
        <f>IFERROR(__xludf.DUMMYFUNCTION("""COMPUTED_VALUE"""),"")</f>
        <v/>
      </c>
      <c r="I921" s="18" t="str">
        <f>IFERROR(__xludf.DUMMYFUNCTION("""COMPUTED_VALUE"""),"")</f>
        <v/>
      </c>
      <c r="J921" s="18" t="str">
        <f>IFERROR(__xludf.DUMMYFUNCTION("""COMPUTED_VALUE"""),"")</f>
        <v/>
      </c>
      <c r="K921" s="19"/>
      <c r="L921" s="19"/>
      <c r="M921" s="19"/>
      <c r="N921" s="19"/>
      <c r="O921" s="19"/>
    </row>
    <row r="922">
      <c r="A922" s="18"/>
      <c r="B922" s="29"/>
      <c r="C922" s="19"/>
      <c r="D922" s="19"/>
      <c r="E922" s="18"/>
      <c r="F922" s="18" t="str">
        <f>IFERROR(__xludf.DUMMYFUNCTION("""COMPUTED_VALUE"""),"")</f>
        <v/>
      </c>
      <c r="G922" s="18" t="str">
        <f>IFERROR(__xludf.DUMMYFUNCTION("""COMPUTED_VALUE"""),"")</f>
        <v/>
      </c>
      <c r="H922" s="18" t="str">
        <f>IFERROR(__xludf.DUMMYFUNCTION("""COMPUTED_VALUE"""),"")</f>
        <v/>
      </c>
      <c r="I922" s="18" t="str">
        <f>IFERROR(__xludf.DUMMYFUNCTION("""COMPUTED_VALUE"""),"")</f>
        <v/>
      </c>
      <c r="J922" s="18" t="str">
        <f>IFERROR(__xludf.DUMMYFUNCTION("""COMPUTED_VALUE"""),"")</f>
        <v/>
      </c>
      <c r="K922" s="19"/>
      <c r="L922" s="19"/>
      <c r="M922" s="19"/>
      <c r="N922" s="19"/>
      <c r="O922" s="19"/>
    </row>
    <row r="923">
      <c r="A923" s="18"/>
      <c r="B923" s="29"/>
      <c r="C923" s="19"/>
      <c r="D923" s="19"/>
      <c r="E923" s="18"/>
      <c r="F923" s="18" t="str">
        <f>IFERROR(__xludf.DUMMYFUNCTION("""COMPUTED_VALUE"""),"")</f>
        <v/>
      </c>
      <c r="G923" s="18" t="str">
        <f>IFERROR(__xludf.DUMMYFUNCTION("""COMPUTED_VALUE"""),"")</f>
        <v/>
      </c>
      <c r="H923" s="18" t="str">
        <f>IFERROR(__xludf.DUMMYFUNCTION("""COMPUTED_VALUE"""),"")</f>
        <v/>
      </c>
      <c r="I923" s="18" t="str">
        <f>IFERROR(__xludf.DUMMYFUNCTION("""COMPUTED_VALUE"""),"")</f>
        <v/>
      </c>
      <c r="J923" s="18" t="str">
        <f>IFERROR(__xludf.DUMMYFUNCTION("""COMPUTED_VALUE"""),"")</f>
        <v/>
      </c>
      <c r="K923" s="19"/>
      <c r="L923" s="19"/>
      <c r="M923" s="19"/>
      <c r="N923" s="19"/>
      <c r="O923" s="19"/>
    </row>
    <row r="924">
      <c r="A924" s="18"/>
      <c r="B924" s="29"/>
      <c r="C924" s="19"/>
      <c r="D924" s="19"/>
      <c r="E924" s="18"/>
      <c r="F924" s="18" t="str">
        <f>IFERROR(__xludf.DUMMYFUNCTION("""COMPUTED_VALUE"""),"")</f>
        <v/>
      </c>
      <c r="G924" s="18" t="str">
        <f>IFERROR(__xludf.DUMMYFUNCTION("""COMPUTED_VALUE"""),"")</f>
        <v/>
      </c>
      <c r="H924" s="18" t="str">
        <f>IFERROR(__xludf.DUMMYFUNCTION("""COMPUTED_VALUE"""),"")</f>
        <v/>
      </c>
      <c r="I924" s="18" t="str">
        <f>IFERROR(__xludf.DUMMYFUNCTION("""COMPUTED_VALUE"""),"")</f>
        <v/>
      </c>
      <c r="J924" s="18" t="str">
        <f>IFERROR(__xludf.DUMMYFUNCTION("""COMPUTED_VALUE"""),"")</f>
        <v/>
      </c>
      <c r="K924" s="19"/>
      <c r="L924" s="19"/>
      <c r="M924" s="19"/>
      <c r="N924" s="19"/>
      <c r="O924" s="19"/>
    </row>
    <row r="925">
      <c r="A925" s="18"/>
      <c r="B925" s="29"/>
      <c r="C925" s="19"/>
      <c r="D925" s="19"/>
      <c r="E925" s="18"/>
      <c r="F925" s="18" t="str">
        <f>IFERROR(__xludf.DUMMYFUNCTION("""COMPUTED_VALUE"""),"")</f>
        <v/>
      </c>
      <c r="G925" s="18" t="str">
        <f>IFERROR(__xludf.DUMMYFUNCTION("""COMPUTED_VALUE"""),"")</f>
        <v/>
      </c>
      <c r="H925" s="18" t="str">
        <f>IFERROR(__xludf.DUMMYFUNCTION("""COMPUTED_VALUE"""),"")</f>
        <v/>
      </c>
      <c r="I925" s="18" t="str">
        <f>IFERROR(__xludf.DUMMYFUNCTION("""COMPUTED_VALUE"""),"")</f>
        <v/>
      </c>
      <c r="J925" s="18" t="str">
        <f>IFERROR(__xludf.DUMMYFUNCTION("""COMPUTED_VALUE"""),"")</f>
        <v/>
      </c>
      <c r="K925" s="19"/>
      <c r="L925" s="19"/>
      <c r="M925" s="19"/>
      <c r="N925" s="19"/>
      <c r="O925" s="19"/>
    </row>
    <row r="926">
      <c r="A926" s="18"/>
      <c r="B926" s="29"/>
      <c r="C926" s="19"/>
      <c r="D926" s="19"/>
      <c r="E926" s="18"/>
      <c r="F926" s="18" t="str">
        <f>IFERROR(__xludf.DUMMYFUNCTION("""COMPUTED_VALUE"""),"")</f>
        <v/>
      </c>
      <c r="G926" s="18" t="str">
        <f>IFERROR(__xludf.DUMMYFUNCTION("""COMPUTED_VALUE"""),"")</f>
        <v/>
      </c>
      <c r="H926" s="18" t="str">
        <f>IFERROR(__xludf.DUMMYFUNCTION("""COMPUTED_VALUE"""),"")</f>
        <v/>
      </c>
      <c r="I926" s="18" t="str">
        <f>IFERROR(__xludf.DUMMYFUNCTION("""COMPUTED_VALUE"""),"")</f>
        <v/>
      </c>
      <c r="J926" s="18" t="str">
        <f>IFERROR(__xludf.DUMMYFUNCTION("""COMPUTED_VALUE"""),"")</f>
        <v/>
      </c>
      <c r="K926" s="19"/>
      <c r="L926" s="19"/>
      <c r="M926" s="19"/>
      <c r="N926" s="19"/>
      <c r="O926" s="19"/>
    </row>
    <row r="927">
      <c r="A927" s="18"/>
      <c r="B927" s="29"/>
      <c r="C927" s="19"/>
      <c r="D927" s="19"/>
      <c r="E927" s="18"/>
      <c r="F927" s="18" t="str">
        <f>IFERROR(__xludf.DUMMYFUNCTION("""COMPUTED_VALUE"""),"")</f>
        <v/>
      </c>
      <c r="G927" s="18" t="str">
        <f>IFERROR(__xludf.DUMMYFUNCTION("""COMPUTED_VALUE"""),"")</f>
        <v/>
      </c>
      <c r="H927" s="18" t="str">
        <f>IFERROR(__xludf.DUMMYFUNCTION("""COMPUTED_VALUE"""),"")</f>
        <v/>
      </c>
      <c r="I927" s="18" t="str">
        <f>IFERROR(__xludf.DUMMYFUNCTION("""COMPUTED_VALUE"""),"")</f>
        <v/>
      </c>
      <c r="J927" s="18" t="str">
        <f>IFERROR(__xludf.DUMMYFUNCTION("""COMPUTED_VALUE"""),"")</f>
        <v/>
      </c>
      <c r="K927" s="19"/>
      <c r="L927" s="19"/>
      <c r="M927" s="19"/>
      <c r="N927" s="19"/>
      <c r="O927" s="19"/>
    </row>
    <row r="928">
      <c r="A928" s="18"/>
      <c r="B928" s="29"/>
      <c r="C928" s="19"/>
      <c r="D928" s="19"/>
      <c r="E928" s="18"/>
      <c r="F928" s="18" t="str">
        <f>IFERROR(__xludf.DUMMYFUNCTION("""COMPUTED_VALUE"""),"")</f>
        <v/>
      </c>
      <c r="G928" s="18" t="str">
        <f>IFERROR(__xludf.DUMMYFUNCTION("""COMPUTED_VALUE"""),"")</f>
        <v/>
      </c>
      <c r="H928" s="18" t="str">
        <f>IFERROR(__xludf.DUMMYFUNCTION("""COMPUTED_VALUE"""),"")</f>
        <v/>
      </c>
      <c r="I928" s="18" t="str">
        <f>IFERROR(__xludf.DUMMYFUNCTION("""COMPUTED_VALUE"""),"")</f>
        <v/>
      </c>
      <c r="J928" s="18" t="str">
        <f>IFERROR(__xludf.DUMMYFUNCTION("""COMPUTED_VALUE"""),"")</f>
        <v/>
      </c>
      <c r="K928" s="19"/>
      <c r="L928" s="19"/>
      <c r="M928" s="19"/>
      <c r="N928" s="19"/>
      <c r="O928" s="19"/>
    </row>
    <row r="929">
      <c r="A929" s="18"/>
      <c r="B929" s="29"/>
      <c r="C929" s="19"/>
      <c r="D929" s="19"/>
      <c r="E929" s="18"/>
      <c r="F929" s="18" t="str">
        <f>IFERROR(__xludf.DUMMYFUNCTION("""COMPUTED_VALUE"""),"")</f>
        <v/>
      </c>
      <c r="G929" s="18" t="str">
        <f>IFERROR(__xludf.DUMMYFUNCTION("""COMPUTED_VALUE"""),"")</f>
        <v/>
      </c>
      <c r="H929" s="18" t="str">
        <f>IFERROR(__xludf.DUMMYFUNCTION("""COMPUTED_VALUE"""),"")</f>
        <v/>
      </c>
      <c r="I929" s="18" t="str">
        <f>IFERROR(__xludf.DUMMYFUNCTION("""COMPUTED_VALUE"""),"")</f>
        <v/>
      </c>
      <c r="J929" s="18" t="str">
        <f>IFERROR(__xludf.DUMMYFUNCTION("""COMPUTED_VALUE"""),"")</f>
        <v/>
      </c>
      <c r="K929" s="19"/>
      <c r="L929" s="19"/>
      <c r="M929" s="19"/>
      <c r="N929" s="19"/>
      <c r="O929" s="19"/>
    </row>
    <row r="930">
      <c r="A930" s="18"/>
      <c r="B930" s="29"/>
      <c r="C930" s="19"/>
      <c r="D930" s="19"/>
      <c r="E930" s="18"/>
      <c r="F930" s="18" t="str">
        <f>IFERROR(__xludf.DUMMYFUNCTION("""COMPUTED_VALUE"""),"")</f>
        <v/>
      </c>
      <c r="G930" s="18" t="str">
        <f>IFERROR(__xludf.DUMMYFUNCTION("""COMPUTED_VALUE"""),"")</f>
        <v/>
      </c>
      <c r="H930" s="18" t="str">
        <f>IFERROR(__xludf.DUMMYFUNCTION("""COMPUTED_VALUE"""),"")</f>
        <v/>
      </c>
      <c r="I930" s="18" t="str">
        <f>IFERROR(__xludf.DUMMYFUNCTION("""COMPUTED_VALUE"""),"")</f>
        <v/>
      </c>
      <c r="J930" s="18" t="str">
        <f>IFERROR(__xludf.DUMMYFUNCTION("""COMPUTED_VALUE"""),"")</f>
        <v/>
      </c>
      <c r="K930" s="19"/>
      <c r="L930" s="19"/>
      <c r="M930" s="19"/>
      <c r="N930" s="19"/>
      <c r="O930" s="19"/>
    </row>
    <row r="931">
      <c r="A931" s="18"/>
      <c r="B931" s="29"/>
      <c r="C931" s="19"/>
      <c r="D931" s="19"/>
      <c r="E931" s="18"/>
      <c r="F931" s="18" t="str">
        <f>IFERROR(__xludf.DUMMYFUNCTION("""COMPUTED_VALUE"""),"")</f>
        <v/>
      </c>
      <c r="G931" s="18" t="str">
        <f>IFERROR(__xludf.DUMMYFUNCTION("""COMPUTED_VALUE"""),"")</f>
        <v/>
      </c>
      <c r="H931" s="18" t="str">
        <f>IFERROR(__xludf.DUMMYFUNCTION("""COMPUTED_VALUE"""),"")</f>
        <v/>
      </c>
      <c r="I931" s="18" t="str">
        <f>IFERROR(__xludf.DUMMYFUNCTION("""COMPUTED_VALUE"""),"")</f>
        <v/>
      </c>
      <c r="J931" s="18" t="str">
        <f>IFERROR(__xludf.DUMMYFUNCTION("""COMPUTED_VALUE"""),"")</f>
        <v/>
      </c>
      <c r="K931" s="19"/>
      <c r="L931" s="19"/>
      <c r="M931" s="19"/>
      <c r="N931" s="19"/>
      <c r="O931" s="19"/>
    </row>
    <row r="932">
      <c r="A932" s="18"/>
      <c r="B932" s="29"/>
      <c r="C932" s="19"/>
      <c r="D932" s="19"/>
      <c r="E932" s="18"/>
      <c r="F932" s="18" t="str">
        <f>IFERROR(__xludf.DUMMYFUNCTION("""COMPUTED_VALUE"""),"")</f>
        <v/>
      </c>
      <c r="G932" s="18" t="str">
        <f>IFERROR(__xludf.DUMMYFUNCTION("""COMPUTED_VALUE"""),"")</f>
        <v/>
      </c>
      <c r="H932" s="18" t="str">
        <f>IFERROR(__xludf.DUMMYFUNCTION("""COMPUTED_VALUE"""),"")</f>
        <v/>
      </c>
      <c r="I932" s="18" t="str">
        <f>IFERROR(__xludf.DUMMYFUNCTION("""COMPUTED_VALUE"""),"")</f>
        <v/>
      </c>
      <c r="J932" s="18" t="str">
        <f>IFERROR(__xludf.DUMMYFUNCTION("""COMPUTED_VALUE"""),"")</f>
        <v/>
      </c>
      <c r="K932" s="19"/>
      <c r="L932" s="19"/>
      <c r="M932" s="19"/>
      <c r="N932" s="19"/>
      <c r="O932" s="19"/>
    </row>
    <row r="933">
      <c r="A933" s="18"/>
      <c r="B933" s="29"/>
      <c r="C933" s="19"/>
      <c r="D933" s="19"/>
      <c r="E933" s="18"/>
      <c r="F933" s="18" t="str">
        <f>IFERROR(__xludf.DUMMYFUNCTION("""COMPUTED_VALUE"""),"")</f>
        <v/>
      </c>
      <c r="G933" s="18" t="str">
        <f>IFERROR(__xludf.DUMMYFUNCTION("""COMPUTED_VALUE"""),"")</f>
        <v/>
      </c>
      <c r="H933" s="18" t="str">
        <f>IFERROR(__xludf.DUMMYFUNCTION("""COMPUTED_VALUE"""),"")</f>
        <v/>
      </c>
      <c r="I933" s="18" t="str">
        <f>IFERROR(__xludf.DUMMYFUNCTION("""COMPUTED_VALUE"""),"")</f>
        <v/>
      </c>
      <c r="J933" s="18" t="str">
        <f>IFERROR(__xludf.DUMMYFUNCTION("""COMPUTED_VALUE"""),"")</f>
        <v/>
      </c>
      <c r="K933" s="19"/>
      <c r="L933" s="19"/>
      <c r="M933" s="19"/>
      <c r="N933" s="19"/>
      <c r="O933" s="19"/>
    </row>
    <row r="934">
      <c r="A934" s="18"/>
      <c r="B934" s="29"/>
      <c r="C934" s="19"/>
      <c r="D934" s="19"/>
      <c r="E934" s="18"/>
      <c r="F934" s="18" t="str">
        <f>IFERROR(__xludf.DUMMYFUNCTION("""COMPUTED_VALUE"""),"")</f>
        <v/>
      </c>
      <c r="G934" s="18" t="str">
        <f>IFERROR(__xludf.DUMMYFUNCTION("""COMPUTED_VALUE"""),"")</f>
        <v/>
      </c>
      <c r="H934" s="18" t="str">
        <f>IFERROR(__xludf.DUMMYFUNCTION("""COMPUTED_VALUE"""),"")</f>
        <v/>
      </c>
      <c r="I934" s="18" t="str">
        <f>IFERROR(__xludf.DUMMYFUNCTION("""COMPUTED_VALUE"""),"")</f>
        <v/>
      </c>
      <c r="J934" s="18" t="str">
        <f>IFERROR(__xludf.DUMMYFUNCTION("""COMPUTED_VALUE"""),"")</f>
        <v/>
      </c>
      <c r="K934" s="19"/>
      <c r="L934" s="19"/>
      <c r="M934" s="19"/>
      <c r="N934" s="19"/>
      <c r="O934" s="19"/>
    </row>
    <row r="935">
      <c r="A935" s="18"/>
      <c r="B935" s="29"/>
      <c r="C935" s="19"/>
      <c r="D935" s="19"/>
      <c r="E935" s="18"/>
      <c r="F935" s="18" t="str">
        <f>IFERROR(__xludf.DUMMYFUNCTION("""COMPUTED_VALUE"""),"")</f>
        <v/>
      </c>
      <c r="G935" s="18" t="str">
        <f>IFERROR(__xludf.DUMMYFUNCTION("""COMPUTED_VALUE"""),"")</f>
        <v/>
      </c>
      <c r="H935" s="18" t="str">
        <f>IFERROR(__xludf.DUMMYFUNCTION("""COMPUTED_VALUE"""),"")</f>
        <v/>
      </c>
      <c r="I935" s="18" t="str">
        <f>IFERROR(__xludf.DUMMYFUNCTION("""COMPUTED_VALUE"""),"")</f>
        <v/>
      </c>
      <c r="J935" s="18" t="str">
        <f>IFERROR(__xludf.DUMMYFUNCTION("""COMPUTED_VALUE"""),"")</f>
        <v/>
      </c>
      <c r="K935" s="19"/>
      <c r="L935" s="19"/>
      <c r="M935" s="19"/>
      <c r="N935" s="19"/>
      <c r="O935" s="19"/>
    </row>
    <row r="936">
      <c r="A936" s="18"/>
      <c r="B936" s="29"/>
      <c r="C936" s="19"/>
      <c r="D936" s="19"/>
      <c r="E936" s="18"/>
      <c r="F936" s="18" t="str">
        <f>IFERROR(__xludf.DUMMYFUNCTION("""COMPUTED_VALUE"""),"")</f>
        <v/>
      </c>
      <c r="G936" s="18" t="str">
        <f>IFERROR(__xludf.DUMMYFUNCTION("""COMPUTED_VALUE"""),"")</f>
        <v/>
      </c>
      <c r="H936" s="18" t="str">
        <f>IFERROR(__xludf.DUMMYFUNCTION("""COMPUTED_VALUE"""),"")</f>
        <v/>
      </c>
      <c r="I936" s="18" t="str">
        <f>IFERROR(__xludf.DUMMYFUNCTION("""COMPUTED_VALUE"""),"")</f>
        <v/>
      </c>
      <c r="J936" s="18" t="str">
        <f>IFERROR(__xludf.DUMMYFUNCTION("""COMPUTED_VALUE"""),"")</f>
        <v/>
      </c>
      <c r="K936" s="19"/>
      <c r="L936" s="19"/>
      <c r="M936" s="19"/>
      <c r="N936" s="19"/>
      <c r="O936" s="19"/>
    </row>
    <row r="937">
      <c r="A937" s="18"/>
      <c r="B937" s="29"/>
      <c r="C937" s="19"/>
      <c r="D937" s="19"/>
      <c r="E937" s="18"/>
      <c r="F937" s="18" t="str">
        <f>IFERROR(__xludf.DUMMYFUNCTION("""COMPUTED_VALUE"""),"")</f>
        <v/>
      </c>
      <c r="G937" s="18" t="str">
        <f>IFERROR(__xludf.DUMMYFUNCTION("""COMPUTED_VALUE"""),"")</f>
        <v/>
      </c>
      <c r="H937" s="18" t="str">
        <f>IFERROR(__xludf.DUMMYFUNCTION("""COMPUTED_VALUE"""),"")</f>
        <v/>
      </c>
      <c r="I937" s="18" t="str">
        <f>IFERROR(__xludf.DUMMYFUNCTION("""COMPUTED_VALUE"""),"")</f>
        <v/>
      </c>
      <c r="J937" s="18" t="str">
        <f>IFERROR(__xludf.DUMMYFUNCTION("""COMPUTED_VALUE"""),"")</f>
        <v/>
      </c>
      <c r="K937" s="19"/>
      <c r="L937" s="19"/>
      <c r="M937" s="19"/>
      <c r="N937" s="19"/>
      <c r="O937" s="19"/>
    </row>
    <row r="938">
      <c r="A938" s="18"/>
      <c r="B938" s="29"/>
      <c r="C938" s="19"/>
      <c r="D938" s="19"/>
      <c r="E938" s="18"/>
      <c r="F938" s="18" t="str">
        <f>IFERROR(__xludf.DUMMYFUNCTION("""COMPUTED_VALUE"""),"")</f>
        <v/>
      </c>
      <c r="G938" s="18" t="str">
        <f>IFERROR(__xludf.DUMMYFUNCTION("""COMPUTED_VALUE"""),"")</f>
        <v/>
      </c>
      <c r="H938" s="18" t="str">
        <f>IFERROR(__xludf.DUMMYFUNCTION("""COMPUTED_VALUE"""),"")</f>
        <v/>
      </c>
      <c r="I938" s="18" t="str">
        <f>IFERROR(__xludf.DUMMYFUNCTION("""COMPUTED_VALUE"""),"")</f>
        <v/>
      </c>
      <c r="J938" s="18" t="str">
        <f>IFERROR(__xludf.DUMMYFUNCTION("""COMPUTED_VALUE"""),"")</f>
        <v/>
      </c>
      <c r="K938" s="19"/>
      <c r="L938" s="19"/>
      <c r="M938" s="19"/>
      <c r="N938" s="19"/>
      <c r="O938" s="19"/>
    </row>
    <row r="939">
      <c r="A939" s="18"/>
      <c r="B939" s="29"/>
      <c r="C939" s="19"/>
      <c r="D939" s="19"/>
      <c r="E939" s="18"/>
      <c r="F939" s="18" t="str">
        <f>IFERROR(__xludf.DUMMYFUNCTION("""COMPUTED_VALUE"""),"")</f>
        <v/>
      </c>
      <c r="G939" s="18" t="str">
        <f>IFERROR(__xludf.DUMMYFUNCTION("""COMPUTED_VALUE"""),"")</f>
        <v/>
      </c>
      <c r="H939" s="18" t="str">
        <f>IFERROR(__xludf.DUMMYFUNCTION("""COMPUTED_VALUE"""),"")</f>
        <v/>
      </c>
      <c r="I939" s="18" t="str">
        <f>IFERROR(__xludf.DUMMYFUNCTION("""COMPUTED_VALUE"""),"")</f>
        <v/>
      </c>
      <c r="J939" s="18" t="str">
        <f>IFERROR(__xludf.DUMMYFUNCTION("""COMPUTED_VALUE"""),"")</f>
        <v/>
      </c>
      <c r="K939" s="19"/>
      <c r="L939" s="19"/>
      <c r="M939" s="19"/>
      <c r="N939" s="19"/>
      <c r="O939" s="19"/>
    </row>
    <row r="940">
      <c r="A940" s="18"/>
      <c r="B940" s="29"/>
      <c r="C940" s="19"/>
      <c r="D940" s="19"/>
      <c r="E940" s="18"/>
      <c r="F940" s="18" t="str">
        <f>IFERROR(__xludf.DUMMYFUNCTION("""COMPUTED_VALUE"""),"")</f>
        <v/>
      </c>
      <c r="G940" s="18" t="str">
        <f>IFERROR(__xludf.DUMMYFUNCTION("""COMPUTED_VALUE"""),"")</f>
        <v/>
      </c>
      <c r="H940" s="18" t="str">
        <f>IFERROR(__xludf.DUMMYFUNCTION("""COMPUTED_VALUE"""),"")</f>
        <v/>
      </c>
      <c r="I940" s="18" t="str">
        <f>IFERROR(__xludf.DUMMYFUNCTION("""COMPUTED_VALUE"""),"")</f>
        <v/>
      </c>
      <c r="J940" s="18" t="str">
        <f>IFERROR(__xludf.DUMMYFUNCTION("""COMPUTED_VALUE"""),"")</f>
        <v/>
      </c>
      <c r="K940" s="19"/>
      <c r="L940" s="19"/>
      <c r="M940" s="19"/>
      <c r="N940" s="19"/>
      <c r="O940" s="19"/>
    </row>
    <row r="941">
      <c r="A941" s="18"/>
      <c r="B941" s="29"/>
      <c r="C941" s="19"/>
      <c r="D941" s="19"/>
      <c r="E941" s="18"/>
      <c r="F941" s="18" t="str">
        <f>IFERROR(__xludf.DUMMYFUNCTION("""COMPUTED_VALUE"""),"")</f>
        <v/>
      </c>
      <c r="G941" s="18" t="str">
        <f>IFERROR(__xludf.DUMMYFUNCTION("""COMPUTED_VALUE"""),"")</f>
        <v/>
      </c>
      <c r="H941" s="18" t="str">
        <f>IFERROR(__xludf.DUMMYFUNCTION("""COMPUTED_VALUE"""),"")</f>
        <v/>
      </c>
      <c r="I941" s="18" t="str">
        <f>IFERROR(__xludf.DUMMYFUNCTION("""COMPUTED_VALUE"""),"")</f>
        <v/>
      </c>
      <c r="J941" s="18" t="str">
        <f>IFERROR(__xludf.DUMMYFUNCTION("""COMPUTED_VALUE"""),"")</f>
        <v/>
      </c>
      <c r="K941" s="19"/>
      <c r="L941" s="19"/>
      <c r="M941" s="19"/>
      <c r="N941" s="19"/>
      <c r="O941" s="19"/>
    </row>
    <row r="942">
      <c r="A942" s="18"/>
      <c r="B942" s="29"/>
      <c r="C942" s="19"/>
      <c r="D942" s="19"/>
      <c r="E942" s="18"/>
      <c r="F942" s="18" t="str">
        <f>IFERROR(__xludf.DUMMYFUNCTION("""COMPUTED_VALUE"""),"")</f>
        <v/>
      </c>
      <c r="G942" s="18" t="str">
        <f>IFERROR(__xludf.DUMMYFUNCTION("""COMPUTED_VALUE"""),"")</f>
        <v/>
      </c>
      <c r="H942" s="18" t="str">
        <f>IFERROR(__xludf.DUMMYFUNCTION("""COMPUTED_VALUE"""),"")</f>
        <v/>
      </c>
      <c r="I942" s="18" t="str">
        <f>IFERROR(__xludf.DUMMYFUNCTION("""COMPUTED_VALUE"""),"")</f>
        <v/>
      </c>
      <c r="J942" s="18" t="str">
        <f>IFERROR(__xludf.DUMMYFUNCTION("""COMPUTED_VALUE"""),"")</f>
        <v/>
      </c>
      <c r="K942" s="19"/>
      <c r="L942" s="19"/>
      <c r="M942" s="19"/>
      <c r="N942" s="19"/>
      <c r="O942" s="19"/>
    </row>
    <row r="943">
      <c r="A943" s="18"/>
      <c r="B943" s="29"/>
      <c r="C943" s="19"/>
      <c r="D943" s="19"/>
      <c r="E943" s="18"/>
      <c r="F943" s="18" t="str">
        <f>IFERROR(__xludf.DUMMYFUNCTION("""COMPUTED_VALUE"""),"")</f>
        <v/>
      </c>
      <c r="G943" s="18" t="str">
        <f>IFERROR(__xludf.DUMMYFUNCTION("""COMPUTED_VALUE"""),"")</f>
        <v/>
      </c>
      <c r="H943" s="18" t="str">
        <f>IFERROR(__xludf.DUMMYFUNCTION("""COMPUTED_VALUE"""),"")</f>
        <v/>
      </c>
      <c r="I943" s="18" t="str">
        <f>IFERROR(__xludf.DUMMYFUNCTION("""COMPUTED_VALUE"""),"")</f>
        <v/>
      </c>
      <c r="J943" s="18" t="str">
        <f>IFERROR(__xludf.DUMMYFUNCTION("""COMPUTED_VALUE"""),"")</f>
        <v/>
      </c>
      <c r="K943" s="19"/>
      <c r="L943" s="19"/>
      <c r="M943" s="19"/>
      <c r="N943" s="19"/>
      <c r="O943" s="19"/>
    </row>
    <row r="944">
      <c r="A944" s="18"/>
      <c r="B944" s="29"/>
      <c r="C944" s="19"/>
      <c r="D944" s="19"/>
      <c r="E944" s="18"/>
      <c r="F944" s="18" t="str">
        <f>IFERROR(__xludf.DUMMYFUNCTION("""COMPUTED_VALUE"""),"")</f>
        <v/>
      </c>
      <c r="G944" s="18" t="str">
        <f>IFERROR(__xludf.DUMMYFUNCTION("""COMPUTED_VALUE"""),"")</f>
        <v/>
      </c>
      <c r="H944" s="18" t="str">
        <f>IFERROR(__xludf.DUMMYFUNCTION("""COMPUTED_VALUE"""),"")</f>
        <v/>
      </c>
      <c r="I944" s="18" t="str">
        <f>IFERROR(__xludf.DUMMYFUNCTION("""COMPUTED_VALUE"""),"")</f>
        <v/>
      </c>
      <c r="J944" s="18" t="str">
        <f>IFERROR(__xludf.DUMMYFUNCTION("""COMPUTED_VALUE"""),"")</f>
        <v/>
      </c>
      <c r="K944" s="19"/>
      <c r="L944" s="19"/>
      <c r="M944" s="19"/>
      <c r="N944" s="19"/>
      <c r="O944" s="19"/>
    </row>
    <row r="945">
      <c r="A945" s="18"/>
      <c r="B945" s="29"/>
      <c r="C945" s="19"/>
      <c r="D945" s="19"/>
      <c r="E945" s="18"/>
      <c r="F945" s="18" t="str">
        <f>IFERROR(__xludf.DUMMYFUNCTION("""COMPUTED_VALUE"""),"")</f>
        <v/>
      </c>
      <c r="G945" s="18" t="str">
        <f>IFERROR(__xludf.DUMMYFUNCTION("""COMPUTED_VALUE"""),"")</f>
        <v/>
      </c>
      <c r="H945" s="18" t="str">
        <f>IFERROR(__xludf.DUMMYFUNCTION("""COMPUTED_VALUE"""),"")</f>
        <v/>
      </c>
      <c r="I945" s="18" t="str">
        <f>IFERROR(__xludf.DUMMYFUNCTION("""COMPUTED_VALUE"""),"")</f>
        <v/>
      </c>
      <c r="J945" s="18" t="str">
        <f>IFERROR(__xludf.DUMMYFUNCTION("""COMPUTED_VALUE"""),"")</f>
        <v/>
      </c>
      <c r="K945" s="19"/>
      <c r="L945" s="19"/>
      <c r="M945" s="19"/>
      <c r="N945" s="19"/>
      <c r="O945" s="19"/>
    </row>
    <row r="946">
      <c r="A946" s="18"/>
      <c r="B946" s="29"/>
      <c r="C946" s="19"/>
      <c r="D946" s="19"/>
      <c r="E946" s="18"/>
      <c r="F946" s="18" t="str">
        <f>IFERROR(__xludf.DUMMYFUNCTION("""COMPUTED_VALUE"""),"")</f>
        <v/>
      </c>
      <c r="G946" s="18" t="str">
        <f>IFERROR(__xludf.DUMMYFUNCTION("""COMPUTED_VALUE"""),"")</f>
        <v/>
      </c>
      <c r="H946" s="18" t="str">
        <f>IFERROR(__xludf.DUMMYFUNCTION("""COMPUTED_VALUE"""),"")</f>
        <v/>
      </c>
      <c r="I946" s="18" t="str">
        <f>IFERROR(__xludf.DUMMYFUNCTION("""COMPUTED_VALUE"""),"")</f>
        <v/>
      </c>
      <c r="J946" s="18" t="str">
        <f>IFERROR(__xludf.DUMMYFUNCTION("""COMPUTED_VALUE"""),"")</f>
        <v/>
      </c>
      <c r="K946" s="19"/>
      <c r="L946" s="19"/>
      <c r="M946" s="19"/>
      <c r="N946" s="19"/>
      <c r="O946" s="19"/>
    </row>
    <row r="947">
      <c r="A947" s="18"/>
      <c r="B947" s="29"/>
      <c r="C947" s="19"/>
      <c r="D947" s="19"/>
      <c r="E947" s="18"/>
      <c r="F947" s="18" t="str">
        <f>IFERROR(__xludf.DUMMYFUNCTION("""COMPUTED_VALUE"""),"")</f>
        <v/>
      </c>
      <c r="G947" s="18" t="str">
        <f>IFERROR(__xludf.DUMMYFUNCTION("""COMPUTED_VALUE"""),"")</f>
        <v/>
      </c>
      <c r="H947" s="18" t="str">
        <f>IFERROR(__xludf.DUMMYFUNCTION("""COMPUTED_VALUE"""),"")</f>
        <v/>
      </c>
      <c r="I947" s="18" t="str">
        <f>IFERROR(__xludf.DUMMYFUNCTION("""COMPUTED_VALUE"""),"")</f>
        <v/>
      </c>
      <c r="J947" s="18" t="str">
        <f>IFERROR(__xludf.DUMMYFUNCTION("""COMPUTED_VALUE"""),"")</f>
        <v/>
      </c>
      <c r="K947" s="19"/>
      <c r="L947" s="19"/>
      <c r="M947" s="19"/>
      <c r="N947" s="19"/>
      <c r="O947" s="19"/>
    </row>
    <row r="948">
      <c r="A948" s="18"/>
      <c r="B948" s="29"/>
      <c r="C948" s="19"/>
      <c r="D948" s="19"/>
      <c r="E948" s="18"/>
      <c r="F948" s="18" t="str">
        <f>IFERROR(__xludf.DUMMYFUNCTION("""COMPUTED_VALUE"""),"")</f>
        <v/>
      </c>
      <c r="G948" s="18" t="str">
        <f>IFERROR(__xludf.DUMMYFUNCTION("""COMPUTED_VALUE"""),"")</f>
        <v/>
      </c>
      <c r="H948" s="18" t="str">
        <f>IFERROR(__xludf.DUMMYFUNCTION("""COMPUTED_VALUE"""),"")</f>
        <v/>
      </c>
      <c r="I948" s="18" t="str">
        <f>IFERROR(__xludf.DUMMYFUNCTION("""COMPUTED_VALUE"""),"")</f>
        <v/>
      </c>
      <c r="J948" s="18" t="str">
        <f>IFERROR(__xludf.DUMMYFUNCTION("""COMPUTED_VALUE"""),"")</f>
        <v/>
      </c>
      <c r="K948" s="19"/>
      <c r="L948" s="19"/>
      <c r="M948" s="19"/>
      <c r="N948" s="19"/>
      <c r="O948" s="19"/>
    </row>
    <row r="949">
      <c r="A949" s="18"/>
      <c r="B949" s="29"/>
      <c r="C949" s="19"/>
      <c r="D949" s="19"/>
      <c r="E949" s="18"/>
      <c r="F949" s="18" t="str">
        <f>IFERROR(__xludf.DUMMYFUNCTION("""COMPUTED_VALUE"""),"")</f>
        <v/>
      </c>
      <c r="G949" s="18" t="str">
        <f>IFERROR(__xludf.DUMMYFUNCTION("""COMPUTED_VALUE"""),"")</f>
        <v/>
      </c>
      <c r="H949" s="18" t="str">
        <f>IFERROR(__xludf.DUMMYFUNCTION("""COMPUTED_VALUE"""),"")</f>
        <v/>
      </c>
      <c r="I949" s="18" t="str">
        <f>IFERROR(__xludf.DUMMYFUNCTION("""COMPUTED_VALUE"""),"")</f>
        <v/>
      </c>
      <c r="J949" s="18" t="str">
        <f>IFERROR(__xludf.DUMMYFUNCTION("""COMPUTED_VALUE"""),"")</f>
        <v/>
      </c>
      <c r="K949" s="19"/>
      <c r="L949" s="19"/>
      <c r="M949" s="19"/>
      <c r="N949" s="19"/>
      <c r="O949" s="19"/>
    </row>
    <row r="950">
      <c r="A950" s="18"/>
      <c r="B950" s="29"/>
      <c r="C950" s="19"/>
      <c r="D950" s="19"/>
      <c r="E950" s="18"/>
      <c r="F950" s="18" t="str">
        <f>IFERROR(__xludf.DUMMYFUNCTION("""COMPUTED_VALUE"""),"")</f>
        <v/>
      </c>
      <c r="G950" s="18" t="str">
        <f>IFERROR(__xludf.DUMMYFUNCTION("""COMPUTED_VALUE"""),"")</f>
        <v/>
      </c>
      <c r="H950" s="18" t="str">
        <f>IFERROR(__xludf.DUMMYFUNCTION("""COMPUTED_VALUE"""),"")</f>
        <v/>
      </c>
      <c r="I950" s="18" t="str">
        <f>IFERROR(__xludf.DUMMYFUNCTION("""COMPUTED_VALUE"""),"")</f>
        <v/>
      </c>
      <c r="J950" s="18" t="str">
        <f>IFERROR(__xludf.DUMMYFUNCTION("""COMPUTED_VALUE"""),"")</f>
        <v/>
      </c>
      <c r="K950" s="19"/>
      <c r="L950" s="19"/>
      <c r="M950" s="19"/>
      <c r="N950" s="19"/>
      <c r="O950" s="19"/>
    </row>
    <row r="951">
      <c r="A951" s="18"/>
      <c r="B951" s="29"/>
      <c r="C951" s="19"/>
      <c r="D951" s="19"/>
      <c r="E951" s="18"/>
      <c r="F951" s="18" t="str">
        <f>IFERROR(__xludf.DUMMYFUNCTION("""COMPUTED_VALUE"""),"")</f>
        <v/>
      </c>
      <c r="G951" s="18" t="str">
        <f>IFERROR(__xludf.DUMMYFUNCTION("""COMPUTED_VALUE"""),"")</f>
        <v/>
      </c>
      <c r="H951" s="18" t="str">
        <f>IFERROR(__xludf.DUMMYFUNCTION("""COMPUTED_VALUE"""),"")</f>
        <v/>
      </c>
      <c r="I951" s="18" t="str">
        <f>IFERROR(__xludf.DUMMYFUNCTION("""COMPUTED_VALUE"""),"")</f>
        <v/>
      </c>
      <c r="J951" s="18" t="str">
        <f>IFERROR(__xludf.DUMMYFUNCTION("""COMPUTED_VALUE"""),"")</f>
        <v/>
      </c>
      <c r="K951" s="19"/>
      <c r="L951" s="19"/>
      <c r="M951" s="19"/>
      <c r="N951" s="19"/>
      <c r="O951" s="19"/>
    </row>
    <row r="952">
      <c r="A952" s="18"/>
      <c r="B952" s="29"/>
      <c r="C952" s="19"/>
      <c r="D952" s="19"/>
      <c r="E952" s="18"/>
      <c r="F952" s="18" t="str">
        <f>IFERROR(__xludf.DUMMYFUNCTION("""COMPUTED_VALUE"""),"")</f>
        <v/>
      </c>
      <c r="G952" s="18" t="str">
        <f>IFERROR(__xludf.DUMMYFUNCTION("""COMPUTED_VALUE"""),"")</f>
        <v/>
      </c>
      <c r="H952" s="18" t="str">
        <f>IFERROR(__xludf.DUMMYFUNCTION("""COMPUTED_VALUE"""),"")</f>
        <v/>
      </c>
      <c r="I952" s="18" t="str">
        <f>IFERROR(__xludf.DUMMYFUNCTION("""COMPUTED_VALUE"""),"")</f>
        <v/>
      </c>
      <c r="J952" s="18" t="str">
        <f>IFERROR(__xludf.DUMMYFUNCTION("""COMPUTED_VALUE"""),"")</f>
        <v/>
      </c>
      <c r="K952" s="19"/>
      <c r="L952" s="19"/>
      <c r="M952" s="19"/>
      <c r="N952" s="19"/>
      <c r="O952" s="19"/>
    </row>
    <row r="953">
      <c r="A953" s="18"/>
      <c r="B953" s="29"/>
      <c r="C953" s="19"/>
      <c r="D953" s="19"/>
      <c r="E953" s="18"/>
      <c r="F953" s="18" t="str">
        <f>IFERROR(__xludf.DUMMYFUNCTION("""COMPUTED_VALUE"""),"")</f>
        <v/>
      </c>
      <c r="G953" s="18" t="str">
        <f>IFERROR(__xludf.DUMMYFUNCTION("""COMPUTED_VALUE"""),"")</f>
        <v/>
      </c>
      <c r="H953" s="18" t="str">
        <f>IFERROR(__xludf.DUMMYFUNCTION("""COMPUTED_VALUE"""),"")</f>
        <v/>
      </c>
      <c r="I953" s="18" t="str">
        <f>IFERROR(__xludf.DUMMYFUNCTION("""COMPUTED_VALUE"""),"")</f>
        <v/>
      </c>
      <c r="J953" s="18" t="str">
        <f>IFERROR(__xludf.DUMMYFUNCTION("""COMPUTED_VALUE"""),"")</f>
        <v/>
      </c>
      <c r="K953" s="19"/>
      <c r="L953" s="19"/>
      <c r="M953" s="19"/>
      <c r="N953" s="19"/>
      <c r="O953" s="19"/>
    </row>
    <row r="954">
      <c r="A954" s="18"/>
      <c r="B954" s="29"/>
      <c r="C954" s="19"/>
      <c r="D954" s="19"/>
      <c r="E954" s="18"/>
      <c r="F954" s="18" t="str">
        <f>IFERROR(__xludf.DUMMYFUNCTION("""COMPUTED_VALUE"""),"")</f>
        <v/>
      </c>
      <c r="G954" s="18" t="str">
        <f>IFERROR(__xludf.DUMMYFUNCTION("""COMPUTED_VALUE"""),"")</f>
        <v/>
      </c>
      <c r="H954" s="18" t="str">
        <f>IFERROR(__xludf.DUMMYFUNCTION("""COMPUTED_VALUE"""),"")</f>
        <v/>
      </c>
      <c r="I954" s="18" t="str">
        <f>IFERROR(__xludf.DUMMYFUNCTION("""COMPUTED_VALUE"""),"")</f>
        <v/>
      </c>
      <c r="J954" s="18" t="str">
        <f>IFERROR(__xludf.DUMMYFUNCTION("""COMPUTED_VALUE"""),"")</f>
        <v/>
      </c>
      <c r="K954" s="19"/>
      <c r="L954" s="19"/>
      <c r="M954" s="19"/>
      <c r="N954" s="19"/>
      <c r="O954" s="19"/>
    </row>
    <row r="955">
      <c r="A955" s="18"/>
      <c r="B955" s="29"/>
      <c r="C955" s="19"/>
      <c r="D955" s="19"/>
      <c r="E955" s="18"/>
      <c r="F955" s="18" t="str">
        <f>IFERROR(__xludf.DUMMYFUNCTION("""COMPUTED_VALUE"""),"")</f>
        <v/>
      </c>
      <c r="G955" s="18" t="str">
        <f>IFERROR(__xludf.DUMMYFUNCTION("""COMPUTED_VALUE"""),"")</f>
        <v/>
      </c>
      <c r="H955" s="18" t="str">
        <f>IFERROR(__xludf.DUMMYFUNCTION("""COMPUTED_VALUE"""),"")</f>
        <v/>
      </c>
      <c r="I955" s="18" t="str">
        <f>IFERROR(__xludf.DUMMYFUNCTION("""COMPUTED_VALUE"""),"")</f>
        <v/>
      </c>
      <c r="J955" s="18" t="str">
        <f>IFERROR(__xludf.DUMMYFUNCTION("""COMPUTED_VALUE"""),"")</f>
        <v/>
      </c>
      <c r="K955" s="19"/>
      <c r="L955" s="19"/>
      <c r="M955" s="19"/>
      <c r="N955" s="19"/>
      <c r="O955" s="19"/>
    </row>
    <row r="956">
      <c r="A956" s="18"/>
      <c r="B956" s="29"/>
      <c r="C956" s="19"/>
      <c r="D956" s="19"/>
      <c r="E956" s="18"/>
      <c r="F956" s="18" t="str">
        <f>IFERROR(__xludf.DUMMYFUNCTION("""COMPUTED_VALUE"""),"")</f>
        <v/>
      </c>
      <c r="G956" s="18" t="str">
        <f>IFERROR(__xludf.DUMMYFUNCTION("""COMPUTED_VALUE"""),"")</f>
        <v/>
      </c>
      <c r="H956" s="18" t="str">
        <f>IFERROR(__xludf.DUMMYFUNCTION("""COMPUTED_VALUE"""),"")</f>
        <v/>
      </c>
      <c r="I956" s="18" t="str">
        <f>IFERROR(__xludf.DUMMYFUNCTION("""COMPUTED_VALUE"""),"")</f>
        <v/>
      </c>
      <c r="J956" s="18" t="str">
        <f>IFERROR(__xludf.DUMMYFUNCTION("""COMPUTED_VALUE"""),"")</f>
        <v/>
      </c>
      <c r="K956" s="19"/>
      <c r="L956" s="19"/>
      <c r="M956" s="19"/>
      <c r="N956" s="19"/>
      <c r="O956" s="19"/>
    </row>
    <row r="957">
      <c r="A957" s="18"/>
      <c r="B957" s="29"/>
      <c r="C957" s="19"/>
      <c r="D957" s="19"/>
      <c r="E957" s="18"/>
      <c r="F957" s="18" t="str">
        <f>IFERROR(__xludf.DUMMYFUNCTION("""COMPUTED_VALUE"""),"")</f>
        <v/>
      </c>
      <c r="G957" s="18" t="str">
        <f>IFERROR(__xludf.DUMMYFUNCTION("""COMPUTED_VALUE"""),"")</f>
        <v/>
      </c>
      <c r="H957" s="18" t="str">
        <f>IFERROR(__xludf.DUMMYFUNCTION("""COMPUTED_VALUE"""),"")</f>
        <v/>
      </c>
      <c r="I957" s="18" t="str">
        <f>IFERROR(__xludf.DUMMYFUNCTION("""COMPUTED_VALUE"""),"")</f>
        <v/>
      </c>
      <c r="J957" s="18" t="str">
        <f>IFERROR(__xludf.DUMMYFUNCTION("""COMPUTED_VALUE"""),"")</f>
        <v/>
      </c>
      <c r="K957" s="19"/>
      <c r="L957" s="19"/>
      <c r="M957" s="19"/>
      <c r="N957" s="19"/>
      <c r="O957" s="19"/>
    </row>
    <row r="958">
      <c r="A958" s="18"/>
      <c r="B958" s="29"/>
      <c r="C958" s="19"/>
      <c r="D958" s="19"/>
      <c r="E958" s="18"/>
      <c r="F958" s="18" t="str">
        <f>IFERROR(__xludf.DUMMYFUNCTION("""COMPUTED_VALUE"""),"")</f>
        <v/>
      </c>
      <c r="G958" s="18" t="str">
        <f>IFERROR(__xludf.DUMMYFUNCTION("""COMPUTED_VALUE"""),"")</f>
        <v/>
      </c>
      <c r="H958" s="18" t="str">
        <f>IFERROR(__xludf.DUMMYFUNCTION("""COMPUTED_VALUE"""),"")</f>
        <v/>
      </c>
      <c r="I958" s="18" t="str">
        <f>IFERROR(__xludf.DUMMYFUNCTION("""COMPUTED_VALUE"""),"")</f>
        <v/>
      </c>
      <c r="J958" s="18" t="str">
        <f>IFERROR(__xludf.DUMMYFUNCTION("""COMPUTED_VALUE"""),"")</f>
        <v/>
      </c>
      <c r="K958" s="19"/>
      <c r="L958" s="19"/>
      <c r="M958" s="19"/>
      <c r="N958" s="19"/>
      <c r="O958" s="19"/>
    </row>
    <row r="959">
      <c r="A959" s="18"/>
      <c r="B959" s="29"/>
      <c r="C959" s="19"/>
      <c r="D959" s="19"/>
      <c r="E959" s="18"/>
      <c r="F959" s="18" t="str">
        <f>IFERROR(__xludf.DUMMYFUNCTION("""COMPUTED_VALUE"""),"")</f>
        <v/>
      </c>
      <c r="G959" s="18" t="str">
        <f>IFERROR(__xludf.DUMMYFUNCTION("""COMPUTED_VALUE"""),"")</f>
        <v/>
      </c>
      <c r="H959" s="18" t="str">
        <f>IFERROR(__xludf.DUMMYFUNCTION("""COMPUTED_VALUE"""),"")</f>
        <v/>
      </c>
      <c r="I959" s="18" t="str">
        <f>IFERROR(__xludf.DUMMYFUNCTION("""COMPUTED_VALUE"""),"")</f>
        <v/>
      </c>
      <c r="J959" s="18" t="str">
        <f>IFERROR(__xludf.DUMMYFUNCTION("""COMPUTED_VALUE"""),"")</f>
        <v/>
      </c>
      <c r="K959" s="19"/>
      <c r="L959" s="19"/>
      <c r="M959" s="19"/>
      <c r="N959" s="19"/>
      <c r="O959" s="19"/>
    </row>
    <row r="960">
      <c r="A960" s="18"/>
      <c r="B960" s="29"/>
      <c r="C960" s="19"/>
      <c r="D960" s="19"/>
      <c r="E960" s="18"/>
      <c r="F960" s="18" t="str">
        <f>IFERROR(__xludf.DUMMYFUNCTION("""COMPUTED_VALUE"""),"")</f>
        <v/>
      </c>
      <c r="G960" s="18" t="str">
        <f>IFERROR(__xludf.DUMMYFUNCTION("""COMPUTED_VALUE"""),"")</f>
        <v/>
      </c>
      <c r="H960" s="18" t="str">
        <f>IFERROR(__xludf.DUMMYFUNCTION("""COMPUTED_VALUE"""),"")</f>
        <v/>
      </c>
      <c r="I960" s="18" t="str">
        <f>IFERROR(__xludf.DUMMYFUNCTION("""COMPUTED_VALUE"""),"")</f>
        <v/>
      </c>
      <c r="J960" s="18" t="str">
        <f>IFERROR(__xludf.DUMMYFUNCTION("""COMPUTED_VALUE"""),"")</f>
        <v/>
      </c>
      <c r="K960" s="19"/>
      <c r="L960" s="19"/>
      <c r="M960" s="19"/>
      <c r="N960" s="19"/>
      <c r="O960" s="19"/>
    </row>
    <row r="961">
      <c r="A961" s="18"/>
      <c r="B961" s="29"/>
      <c r="C961" s="19"/>
      <c r="D961" s="19"/>
      <c r="E961" s="18"/>
      <c r="F961" s="18" t="str">
        <f>IFERROR(__xludf.DUMMYFUNCTION("""COMPUTED_VALUE"""),"")</f>
        <v/>
      </c>
      <c r="G961" s="18" t="str">
        <f>IFERROR(__xludf.DUMMYFUNCTION("""COMPUTED_VALUE"""),"")</f>
        <v/>
      </c>
      <c r="H961" s="18" t="str">
        <f>IFERROR(__xludf.DUMMYFUNCTION("""COMPUTED_VALUE"""),"")</f>
        <v/>
      </c>
      <c r="I961" s="18" t="str">
        <f>IFERROR(__xludf.DUMMYFUNCTION("""COMPUTED_VALUE"""),"")</f>
        <v/>
      </c>
      <c r="J961" s="18" t="str">
        <f>IFERROR(__xludf.DUMMYFUNCTION("""COMPUTED_VALUE"""),"")</f>
        <v/>
      </c>
      <c r="K961" s="19"/>
      <c r="L961" s="19"/>
      <c r="M961" s="19"/>
      <c r="N961" s="19"/>
      <c r="O961" s="19"/>
    </row>
    <row r="962">
      <c r="A962" s="18"/>
      <c r="B962" s="29"/>
      <c r="C962" s="19"/>
      <c r="D962" s="19"/>
      <c r="E962" s="18"/>
      <c r="F962" s="18" t="str">
        <f>IFERROR(__xludf.DUMMYFUNCTION("""COMPUTED_VALUE"""),"")</f>
        <v/>
      </c>
      <c r="G962" s="18" t="str">
        <f>IFERROR(__xludf.DUMMYFUNCTION("""COMPUTED_VALUE"""),"")</f>
        <v/>
      </c>
      <c r="H962" s="18" t="str">
        <f>IFERROR(__xludf.DUMMYFUNCTION("""COMPUTED_VALUE"""),"")</f>
        <v/>
      </c>
      <c r="I962" s="18" t="str">
        <f>IFERROR(__xludf.DUMMYFUNCTION("""COMPUTED_VALUE"""),"")</f>
        <v/>
      </c>
      <c r="J962" s="18" t="str">
        <f>IFERROR(__xludf.DUMMYFUNCTION("""COMPUTED_VALUE"""),"")</f>
        <v/>
      </c>
      <c r="K962" s="19"/>
      <c r="L962" s="19"/>
      <c r="M962" s="19"/>
      <c r="N962" s="19"/>
      <c r="O962" s="19"/>
    </row>
    <row r="963">
      <c r="A963" s="18"/>
      <c r="B963" s="29"/>
      <c r="C963" s="19"/>
      <c r="D963" s="19"/>
      <c r="E963" s="18"/>
      <c r="F963" s="18" t="str">
        <f>IFERROR(__xludf.DUMMYFUNCTION("""COMPUTED_VALUE"""),"")</f>
        <v/>
      </c>
      <c r="G963" s="18" t="str">
        <f>IFERROR(__xludf.DUMMYFUNCTION("""COMPUTED_VALUE"""),"")</f>
        <v/>
      </c>
      <c r="H963" s="18" t="str">
        <f>IFERROR(__xludf.DUMMYFUNCTION("""COMPUTED_VALUE"""),"")</f>
        <v/>
      </c>
      <c r="I963" s="18" t="str">
        <f>IFERROR(__xludf.DUMMYFUNCTION("""COMPUTED_VALUE"""),"")</f>
        <v/>
      </c>
      <c r="J963" s="18" t="str">
        <f>IFERROR(__xludf.DUMMYFUNCTION("""COMPUTED_VALUE"""),"")</f>
        <v/>
      </c>
      <c r="K963" s="19"/>
      <c r="L963" s="19"/>
      <c r="M963" s="19"/>
      <c r="N963" s="19"/>
      <c r="O963" s="19"/>
    </row>
    <row r="964">
      <c r="A964" s="18"/>
      <c r="B964" s="29"/>
      <c r="C964" s="19"/>
      <c r="D964" s="19"/>
      <c r="E964" s="18"/>
      <c r="F964" s="18" t="str">
        <f>IFERROR(__xludf.DUMMYFUNCTION("""COMPUTED_VALUE"""),"")</f>
        <v/>
      </c>
      <c r="G964" s="18" t="str">
        <f>IFERROR(__xludf.DUMMYFUNCTION("""COMPUTED_VALUE"""),"")</f>
        <v/>
      </c>
      <c r="H964" s="18" t="str">
        <f>IFERROR(__xludf.DUMMYFUNCTION("""COMPUTED_VALUE"""),"")</f>
        <v/>
      </c>
      <c r="I964" s="18" t="str">
        <f>IFERROR(__xludf.DUMMYFUNCTION("""COMPUTED_VALUE"""),"")</f>
        <v/>
      </c>
      <c r="J964" s="18" t="str">
        <f>IFERROR(__xludf.DUMMYFUNCTION("""COMPUTED_VALUE"""),"")</f>
        <v/>
      </c>
      <c r="K964" s="19"/>
      <c r="L964" s="19"/>
      <c r="M964" s="19"/>
      <c r="N964" s="19"/>
      <c r="O964" s="19"/>
    </row>
    <row r="965">
      <c r="A965" s="18"/>
      <c r="B965" s="29"/>
      <c r="C965" s="19"/>
      <c r="D965" s="19"/>
      <c r="E965" s="18"/>
      <c r="F965" s="18" t="str">
        <f>IFERROR(__xludf.DUMMYFUNCTION("""COMPUTED_VALUE"""),"")</f>
        <v/>
      </c>
      <c r="G965" s="18" t="str">
        <f>IFERROR(__xludf.DUMMYFUNCTION("""COMPUTED_VALUE"""),"")</f>
        <v/>
      </c>
      <c r="H965" s="18" t="str">
        <f>IFERROR(__xludf.DUMMYFUNCTION("""COMPUTED_VALUE"""),"")</f>
        <v/>
      </c>
      <c r="I965" s="18" t="str">
        <f>IFERROR(__xludf.DUMMYFUNCTION("""COMPUTED_VALUE"""),"")</f>
        <v/>
      </c>
      <c r="J965" s="18" t="str">
        <f>IFERROR(__xludf.DUMMYFUNCTION("""COMPUTED_VALUE"""),"")</f>
        <v/>
      </c>
      <c r="K965" s="19"/>
      <c r="L965" s="19"/>
      <c r="M965" s="19"/>
      <c r="N965" s="19"/>
      <c r="O965" s="19"/>
    </row>
    <row r="966">
      <c r="A966" s="18"/>
      <c r="B966" s="29"/>
      <c r="C966" s="19"/>
      <c r="D966" s="19"/>
      <c r="E966" s="18"/>
      <c r="F966" s="18" t="str">
        <f>IFERROR(__xludf.DUMMYFUNCTION("""COMPUTED_VALUE"""),"")</f>
        <v/>
      </c>
      <c r="G966" s="18" t="str">
        <f>IFERROR(__xludf.DUMMYFUNCTION("""COMPUTED_VALUE"""),"")</f>
        <v/>
      </c>
      <c r="H966" s="18" t="str">
        <f>IFERROR(__xludf.DUMMYFUNCTION("""COMPUTED_VALUE"""),"")</f>
        <v/>
      </c>
      <c r="I966" s="18" t="str">
        <f>IFERROR(__xludf.DUMMYFUNCTION("""COMPUTED_VALUE"""),"")</f>
        <v/>
      </c>
      <c r="J966" s="18" t="str">
        <f>IFERROR(__xludf.DUMMYFUNCTION("""COMPUTED_VALUE"""),"")</f>
        <v/>
      </c>
      <c r="K966" s="19"/>
      <c r="L966" s="19"/>
      <c r="M966" s="19"/>
      <c r="N966" s="19"/>
      <c r="O966" s="19"/>
    </row>
    <row r="967">
      <c r="A967" s="18"/>
      <c r="B967" s="29"/>
      <c r="C967" s="19"/>
      <c r="D967" s="19"/>
      <c r="E967" s="18"/>
      <c r="F967" s="18" t="str">
        <f>IFERROR(__xludf.DUMMYFUNCTION("""COMPUTED_VALUE"""),"")</f>
        <v/>
      </c>
      <c r="G967" s="18" t="str">
        <f>IFERROR(__xludf.DUMMYFUNCTION("""COMPUTED_VALUE"""),"")</f>
        <v/>
      </c>
      <c r="H967" s="18" t="str">
        <f>IFERROR(__xludf.DUMMYFUNCTION("""COMPUTED_VALUE"""),"")</f>
        <v/>
      </c>
      <c r="I967" s="18" t="str">
        <f>IFERROR(__xludf.DUMMYFUNCTION("""COMPUTED_VALUE"""),"")</f>
        <v/>
      </c>
      <c r="J967" s="18" t="str">
        <f>IFERROR(__xludf.DUMMYFUNCTION("""COMPUTED_VALUE"""),"")</f>
        <v/>
      </c>
      <c r="K967" s="19"/>
      <c r="L967" s="19"/>
      <c r="M967" s="19"/>
      <c r="N967" s="19"/>
      <c r="O967" s="19"/>
    </row>
    <row r="968">
      <c r="A968" s="18"/>
      <c r="B968" s="29"/>
      <c r="C968" s="19"/>
      <c r="D968" s="19"/>
      <c r="E968" s="18"/>
      <c r="F968" s="18" t="str">
        <f>IFERROR(__xludf.DUMMYFUNCTION("""COMPUTED_VALUE"""),"")</f>
        <v/>
      </c>
      <c r="G968" s="18" t="str">
        <f>IFERROR(__xludf.DUMMYFUNCTION("""COMPUTED_VALUE"""),"")</f>
        <v/>
      </c>
      <c r="H968" s="18" t="str">
        <f>IFERROR(__xludf.DUMMYFUNCTION("""COMPUTED_VALUE"""),"")</f>
        <v/>
      </c>
      <c r="I968" s="18" t="str">
        <f>IFERROR(__xludf.DUMMYFUNCTION("""COMPUTED_VALUE"""),"")</f>
        <v/>
      </c>
      <c r="J968" s="18" t="str">
        <f>IFERROR(__xludf.DUMMYFUNCTION("""COMPUTED_VALUE"""),"")</f>
        <v/>
      </c>
      <c r="K968" s="19"/>
      <c r="L968" s="19"/>
      <c r="M968" s="19"/>
      <c r="N968" s="19"/>
      <c r="O968" s="19"/>
    </row>
    <row r="969">
      <c r="A969" s="18"/>
      <c r="B969" s="29"/>
      <c r="C969" s="19"/>
      <c r="D969" s="19"/>
      <c r="E969" s="18"/>
      <c r="F969" s="18" t="str">
        <f>IFERROR(__xludf.DUMMYFUNCTION("""COMPUTED_VALUE"""),"")</f>
        <v/>
      </c>
      <c r="G969" s="18" t="str">
        <f>IFERROR(__xludf.DUMMYFUNCTION("""COMPUTED_VALUE"""),"")</f>
        <v/>
      </c>
      <c r="H969" s="18" t="str">
        <f>IFERROR(__xludf.DUMMYFUNCTION("""COMPUTED_VALUE"""),"")</f>
        <v/>
      </c>
      <c r="I969" s="18" t="str">
        <f>IFERROR(__xludf.DUMMYFUNCTION("""COMPUTED_VALUE"""),"")</f>
        <v/>
      </c>
      <c r="J969" s="18" t="str">
        <f>IFERROR(__xludf.DUMMYFUNCTION("""COMPUTED_VALUE"""),"")</f>
        <v/>
      </c>
      <c r="K969" s="19"/>
      <c r="L969" s="19"/>
      <c r="M969" s="19"/>
      <c r="N969" s="19"/>
      <c r="O969" s="19"/>
    </row>
    <row r="970">
      <c r="A970" s="18"/>
      <c r="B970" s="29"/>
      <c r="C970" s="19"/>
      <c r="D970" s="19"/>
      <c r="E970" s="18"/>
      <c r="F970" s="18" t="str">
        <f>IFERROR(__xludf.DUMMYFUNCTION("""COMPUTED_VALUE"""),"")</f>
        <v/>
      </c>
      <c r="G970" s="18" t="str">
        <f>IFERROR(__xludf.DUMMYFUNCTION("""COMPUTED_VALUE"""),"")</f>
        <v/>
      </c>
      <c r="H970" s="18" t="str">
        <f>IFERROR(__xludf.DUMMYFUNCTION("""COMPUTED_VALUE"""),"")</f>
        <v/>
      </c>
      <c r="I970" s="18" t="str">
        <f>IFERROR(__xludf.DUMMYFUNCTION("""COMPUTED_VALUE"""),"")</f>
        <v/>
      </c>
      <c r="J970" s="18" t="str">
        <f>IFERROR(__xludf.DUMMYFUNCTION("""COMPUTED_VALUE"""),"")</f>
        <v/>
      </c>
      <c r="K970" s="19"/>
      <c r="L970" s="19"/>
      <c r="M970" s="19"/>
      <c r="N970" s="19"/>
      <c r="O970" s="19"/>
    </row>
    <row r="971">
      <c r="A971" s="18"/>
      <c r="B971" s="29"/>
      <c r="C971" s="19"/>
      <c r="D971" s="19"/>
      <c r="E971" s="18"/>
      <c r="F971" s="18" t="str">
        <f>IFERROR(__xludf.DUMMYFUNCTION("""COMPUTED_VALUE"""),"")</f>
        <v/>
      </c>
      <c r="G971" s="18" t="str">
        <f>IFERROR(__xludf.DUMMYFUNCTION("""COMPUTED_VALUE"""),"")</f>
        <v/>
      </c>
      <c r="H971" s="18" t="str">
        <f>IFERROR(__xludf.DUMMYFUNCTION("""COMPUTED_VALUE"""),"")</f>
        <v/>
      </c>
      <c r="I971" s="18" t="str">
        <f>IFERROR(__xludf.DUMMYFUNCTION("""COMPUTED_VALUE"""),"")</f>
        <v/>
      </c>
      <c r="J971" s="18" t="str">
        <f>IFERROR(__xludf.DUMMYFUNCTION("""COMPUTED_VALUE"""),"")</f>
        <v/>
      </c>
      <c r="K971" s="19"/>
      <c r="L971" s="19"/>
      <c r="M971" s="19"/>
      <c r="N971" s="19"/>
      <c r="O971" s="19"/>
    </row>
    <row r="972">
      <c r="A972" s="18"/>
      <c r="B972" s="29"/>
      <c r="C972" s="19"/>
      <c r="D972" s="19"/>
      <c r="E972" s="18"/>
      <c r="F972" s="18" t="str">
        <f>IFERROR(__xludf.DUMMYFUNCTION("""COMPUTED_VALUE"""),"")</f>
        <v/>
      </c>
      <c r="G972" s="18" t="str">
        <f>IFERROR(__xludf.DUMMYFUNCTION("""COMPUTED_VALUE"""),"")</f>
        <v/>
      </c>
      <c r="H972" s="18" t="str">
        <f>IFERROR(__xludf.DUMMYFUNCTION("""COMPUTED_VALUE"""),"")</f>
        <v/>
      </c>
      <c r="I972" s="18" t="str">
        <f>IFERROR(__xludf.DUMMYFUNCTION("""COMPUTED_VALUE"""),"")</f>
        <v/>
      </c>
      <c r="J972" s="18" t="str">
        <f>IFERROR(__xludf.DUMMYFUNCTION("""COMPUTED_VALUE"""),"")</f>
        <v/>
      </c>
      <c r="K972" s="19"/>
      <c r="L972" s="19"/>
      <c r="M972" s="19"/>
      <c r="N972" s="19"/>
      <c r="O972" s="19"/>
    </row>
    <row r="973">
      <c r="A973" s="18"/>
      <c r="B973" s="29"/>
      <c r="C973" s="19"/>
      <c r="D973" s="19"/>
      <c r="E973" s="18"/>
      <c r="F973" s="18" t="str">
        <f>IFERROR(__xludf.DUMMYFUNCTION("""COMPUTED_VALUE"""),"")</f>
        <v/>
      </c>
      <c r="G973" s="18" t="str">
        <f>IFERROR(__xludf.DUMMYFUNCTION("""COMPUTED_VALUE"""),"")</f>
        <v/>
      </c>
      <c r="H973" s="18" t="str">
        <f>IFERROR(__xludf.DUMMYFUNCTION("""COMPUTED_VALUE"""),"")</f>
        <v/>
      </c>
      <c r="I973" s="18" t="str">
        <f>IFERROR(__xludf.DUMMYFUNCTION("""COMPUTED_VALUE"""),"")</f>
        <v/>
      </c>
      <c r="J973" s="18" t="str">
        <f>IFERROR(__xludf.DUMMYFUNCTION("""COMPUTED_VALUE"""),"")</f>
        <v/>
      </c>
      <c r="K973" s="19"/>
      <c r="L973" s="19"/>
      <c r="M973" s="19"/>
      <c r="N973" s="19"/>
      <c r="O973" s="19"/>
    </row>
    <row r="974">
      <c r="A974" s="18"/>
      <c r="B974" s="29"/>
      <c r="C974" s="19"/>
      <c r="D974" s="19"/>
      <c r="E974" s="18"/>
      <c r="F974" s="18" t="str">
        <f>IFERROR(__xludf.DUMMYFUNCTION("""COMPUTED_VALUE"""),"")</f>
        <v/>
      </c>
      <c r="G974" s="18" t="str">
        <f>IFERROR(__xludf.DUMMYFUNCTION("""COMPUTED_VALUE"""),"")</f>
        <v/>
      </c>
      <c r="H974" s="18" t="str">
        <f>IFERROR(__xludf.DUMMYFUNCTION("""COMPUTED_VALUE"""),"")</f>
        <v/>
      </c>
      <c r="I974" s="18" t="str">
        <f>IFERROR(__xludf.DUMMYFUNCTION("""COMPUTED_VALUE"""),"")</f>
        <v/>
      </c>
      <c r="J974" s="18" t="str">
        <f>IFERROR(__xludf.DUMMYFUNCTION("""COMPUTED_VALUE"""),"")</f>
        <v/>
      </c>
      <c r="K974" s="19"/>
      <c r="L974" s="19"/>
      <c r="M974" s="19"/>
      <c r="N974" s="19"/>
      <c r="O974" s="19"/>
    </row>
    <row r="975">
      <c r="A975" s="18"/>
      <c r="B975" s="29"/>
      <c r="C975" s="19"/>
      <c r="D975" s="19"/>
      <c r="E975" s="18"/>
      <c r="F975" s="18" t="str">
        <f>IFERROR(__xludf.DUMMYFUNCTION("""COMPUTED_VALUE"""),"")</f>
        <v/>
      </c>
      <c r="G975" s="18" t="str">
        <f>IFERROR(__xludf.DUMMYFUNCTION("""COMPUTED_VALUE"""),"")</f>
        <v/>
      </c>
      <c r="H975" s="18" t="str">
        <f>IFERROR(__xludf.DUMMYFUNCTION("""COMPUTED_VALUE"""),"")</f>
        <v/>
      </c>
      <c r="I975" s="18" t="str">
        <f>IFERROR(__xludf.DUMMYFUNCTION("""COMPUTED_VALUE"""),"")</f>
        <v/>
      </c>
      <c r="J975" s="18" t="str">
        <f>IFERROR(__xludf.DUMMYFUNCTION("""COMPUTED_VALUE"""),"")</f>
        <v/>
      </c>
      <c r="K975" s="19"/>
      <c r="L975" s="19"/>
      <c r="M975" s="19"/>
      <c r="N975" s="19"/>
      <c r="O975" s="19"/>
    </row>
    <row r="976">
      <c r="A976" s="18"/>
      <c r="B976" s="29"/>
      <c r="C976" s="19"/>
      <c r="D976" s="19"/>
      <c r="E976" s="18"/>
      <c r="F976" s="18" t="str">
        <f>IFERROR(__xludf.DUMMYFUNCTION("""COMPUTED_VALUE"""),"")</f>
        <v/>
      </c>
      <c r="G976" s="18" t="str">
        <f>IFERROR(__xludf.DUMMYFUNCTION("""COMPUTED_VALUE"""),"")</f>
        <v/>
      </c>
      <c r="H976" s="18" t="str">
        <f>IFERROR(__xludf.DUMMYFUNCTION("""COMPUTED_VALUE"""),"")</f>
        <v/>
      </c>
      <c r="I976" s="18" t="str">
        <f>IFERROR(__xludf.DUMMYFUNCTION("""COMPUTED_VALUE"""),"")</f>
        <v/>
      </c>
      <c r="J976" s="18" t="str">
        <f>IFERROR(__xludf.DUMMYFUNCTION("""COMPUTED_VALUE"""),"")</f>
        <v/>
      </c>
      <c r="K976" s="19"/>
      <c r="L976" s="19"/>
      <c r="M976" s="19"/>
      <c r="N976" s="19"/>
      <c r="O976" s="19"/>
    </row>
    <row r="977">
      <c r="A977" s="18"/>
      <c r="B977" s="29"/>
      <c r="C977" s="19"/>
      <c r="D977" s="19"/>
      <c r="E977" s="18"/>
      <c r="F977" s="18" t="str">
        <f>IFERROR(__xludf.DUMMYFUNCTION("""COMPUTED_VALUE"""),"")</f>
        <v/>
      </c>
      <c r="G977" s="18" t="str">
        <f>IFERROR(__xludf.DUMMYFUNCTION("""COMPUTED_VALUE"""),"")</f>
        <v/>
      </c>
      <c r="H977" s="18" t="str">
        <f>IFERROR(__xludf.DUMMYFUNCTION("""COMPUTED_VALUE"""),"")</f>
        <v/>
      </c>
      <c r="I977" s="18" t="str">
        <f>IFERROR(__xludf.DUMMYFUNCTION("""COMPUTED_VALUE"""),"")</f>
        <v/>
      </c>
      <c r="J977" s="18" t="str">
        <f>IFERROR(__xludf.DUMMYFUNCTION("""COMPUTED_VALUE"""),"")</f>
        <v/>
      </c>
      <c r="K977" s="19"/>
      <c r="L977" s="19"/>
      <c r="M977" s="19"/>
      <c r="N977" s="19"/>
      <c r="O977" s="19"/>
    </row>
    <row r="978">
      <c r="A978" s="18"/>
      <c r="B978" s="29"/>
      <c r="C978" s="19"/>
      <c r="D978" s="19"/>
      <c r="E978" s="18"/>
      <c r="F978" s="18" t="str">
        <f>IFERROR(__xludf.DUMMYFUNCTION("""COMPUTED_VALUE"""),"")</f>
        <v/>
      </c>
      <c r="G978" s="18" t="str">
        <f>IFERROR(__xludf.DUMMYFUNCTION("""COMPUTED_VALUE"""),"")</f>
        <v/>
      </c>
      <c r="H978" s="18" t="str">
        <f>IFERROR(__xludf.DUMMYFUNCTION("""COMPUTED_VALUE"""),"")</f>
        <v/>
      </c>
      <c r="I978" s="18" t="str">
        <f>IFERROR(__xludf.DUMMYFUNCTION("""COMPUTED_VALUE"""),"")</f>
        <v/>
      </c>
      <c r="J978" s="18" t="str">
        <f>IFERROR(__xludf.DUMMYFUNCTION("""COMPUTED_VALUE"""),"")</f>
        <v/>
      </c>
      <c r="K978" s="19"/>
      <c r="L978" s="19"/>
      <c r="M978" s="19"/>
      <c r="N978" s="19"/>
      <c r="O978" s="19"/>
    </row>
    <row r="979">
      <c r="A979" s="18"/>
      <c r="B979" s="29"/>
      <c r="C979" s="19"/>
      <c r="D979" s="19"/>
      <c r="E979" s="18"/>
      <c r="F979" s="18" t="str">
        <f>IFERROR(__xludf.DUMMYFUNCTION("""COMPUTED_VALUE"""),"")</f>
        <v/>
      </c>
      <c r="G979" s="18" t="str">
        <f>IFERROR(__xludf.DUMMYFUNCTION("""COMPUTED_VALUE"""),"")</f>
        <v/>
      </c>
      <c r="H979" s="18" t="str">
        <f>IFERROR(__xludf.DUMMYFUNCTION("""COMPUTED_VALUE"""),"")</f>
        <v/>
      </c>
      <c r="I979" s="18" t="str">
        <f>IFERROR(__xludf.DUMMYFUNCTION("""COMPUTED_VALUE"""),"")</f>
        <v/>
      </c>
      <c r="J979" s="18" t="str">
        <f>IFERROR(__xludf.DUMMYFUNCTION("""COMPUTED_VALUE"""),"")</f>
        <v/>
      </c>
      <c r="K979" s="19"/>
      <c r="L979" s="19"/>
      <c r="M979" s="19"/>
      <c r="N979" s="19"/>
      <c r="O979" s="19"/>
    </row>
    <row r="980">
      <c r="A980" s="18"/>
      <c r="B980" s="29"/>
      <c r="C980" s="19"/>
      <c r="D980" s="19"/>
      <c r="E980" s="18"/>
      <c r="F980" s="18" t="str">
        <f>IFERROR(__xludf.DUMMYFUNCTION("""COMPUTED_VALUE"""),"")</f>
        <v/>
      </c>
      <c r="G980" s="18" t="str">
        <f>IFERROR(__xludf.DUMMYFUNCTION("""COMPUTED_VALUE"""),"")</f>
        <v/>
      </c>
      <c r="H980" s="18" t="str">
        <f>IFERROR(__xludf.DUMMYFUNCTION("""COMPUTED_VALUE"""),"")</f>
        <v/>
      </c>
      <c r="I980" s="18" t="str">
        <f>IFERROR(__xludf.DUMMYFUNCTION("""COMPUTED_VALUE"""),"")</f>
        <v/>
      </c>
      <c r="J980" s="18" t="str">
        <f>IFERROR(__xludf.DUMMYFUNCTION("""COMPUTED_VALUE"""),"")</f>
        <v/>
      </c>
      <c r="K980" s="19"/>
      <c r="L980" s="19"/>
      <c r="M980" s="19"/>
      <c r="N980" s="19"/>
      <c r="O980" s="19"/>
    </row>
    <row r="981">
      <c r="A981" s="18"/>
      <c r="B981" s="29"/>
      <c r="C981" s="19"/>
      <c r="D981" s="19"/>
      <c r="E981" s="18"/>
      <c r="F981" s="18" t="str">
        <f>IFERROR(__xludf.DUMMYFUNCTION("""COMPUTED_VALUE"""),"")</f>
        <v/>
      </c>
      <c r="G981" s="18" t="str">
        <f>IFERROR(__xludf.DUMMYFUNCTION("""COMPUTED_VALUE"""),"")</f>
        <v/>
      </c>
      <c r="H981" s="18" t="str">
        <f>IFERROR(__xludf.DUMMYFUNCTION("""COMPUTED_VALUE"""),"")</f>
        <v/>
      </c>
      <c r="I981" s="18" t="str">
        <f>IFERROR(__xludf.DUMMYFUNCTION("""COMPUTED_VALUE"""),"")</f>
        <v/>
      </c>
      <c r="J981" s="18" t="str">
        <f>IFERROR(__xludf.DUMMYFUNCTION("""COMPUTED_VALUE"""),"")</f>
        <v/>
      </c>
      <c r="K981" s="19"/>
      <c r="L981" s="19"/>
      <c r="M981" s="19"/>
      <c r="N981" s="19"/>
      <c r="O981" s="19"/>
    </row>
    <row r="982">
      <c r="A982" s="18"/>
      <c r="B982" s="29"/>
      <c r="C982" s="19"/>
      <c r="D982" s="19"/>
      <c r="E982" s="18"/>
      <c r="F982" s="18" t="str">
        <f>IFERROR(__xludf.DUMMYFUNCTION("""COMPUTED_VALUE"""),"")</f>
        <v/>
      </c>
      <c r="G982" s="18" t="str">
        <f>IFERROR(__xludf.DUMMYFUNCTION("""COMPUTED_VALUE"""),"")</f>
        <v/>
      </c>
      <c r="H982" s="18" t="str">
        <f>IFERROR(__xludf.DUMMYFUNCTION("""COMPUTED_VALUE"""),"")</f>
        <v/>
      </c>
      <c r="I982" s="18" t="str">
        <f>IFERROR(__xludf.DUMMYFUNCTION("""COMPUTED_VALUE"""),"")</f>
        <v/>
      </c>
      <c r="J982" s="18" t="str">
        <f>IFERROR(__xludf.DUMMYFUNCTION("""COMPUTED_VALUE"""),"")</f>
        <v/>
      </c>
      <c r="K982" s="19"/>
      <c r="L982" s="19"/>
      <c r="M982" s="19"/>
      <c r="N982" s="19"/>
      <c r="O982" s="19"/>
    </row>
    <row r="983">
      <c r="A983" s="18"/>
      <c r="B983" s="29"/>
      <c r="C983" s="19"/>
      <c r="D983" s="19"/>
      <c r="E983" s="18"/>
      <c r="F983" s="18" t="str">
        <f>IFERROR(__xludf.DUMMYFUNCTION("""COMPUTED_VALUE"""),"")</f>
        <v/>
      </c>
      <c r="G983" s="18" t="str">
        <f>IFERROR(__xludf.DUMMYFUNCTION("""COMPUTED_VALUE"""),"")</f>
        <v/>
      </c>
      <c r="H983" s="18" t="str">
        <f>IFERROR(__xludf.DUMMYFUNCTION("""COMPUTED_VALUE"""),"")</f>
        <v/>
      </c>
      <c r="I983" s="18" t="str">
        <f>IFERROR(__xludf.DUMMYFUNCTION("""COMPUTED_VALUE"""),"")</f>
        <v/>
      </c>
      <c r="J983" s="18" t="str">
        <f>IFERROR(__xludf.DUMMYFUNCTION("""COMPUTED_VALUE"""),"")</f>
        <v/>
      </c>
      <c r="K983" s="19"/>
      <c r="L983" s="19"/>
      <c r="M983" s="19"/>
      <c r="N983" s="19"/>
      <c r="O983" s="19"/>
    </row>
    <row r="984">
      <c r="A984" s="18"/>
      <c r="B984" s="29"/>
      <c r="C984" s="19"/>
      <c r="D984" s="19"/>
      <c r="E984" s="18"/>
      <c r="F984" s="18" t="str">
        <f>IFERROR(__xludf.DUMMYFUNCTION("""COMPUTED_VALUE"""),"")</f>
        <v/>
      </c>
      <c r="G984" s="18" t="str">
        <f>IFERROR(__xludf.DUMMYFUNCTION("""COMPUTED_VALUE"""),"")</f>
        <v/>
      </c>
      <c r="H984" s="18" t="str">
        <f>IFERROR(__xludf.DUMMYFUNCTION("""COMPUTED_VALUE"""),"")</f>
        <v/>
      </c>
      <c r="I984" s="18" t="str">
        <f>IFERROR(__xludf.DUMMYFUNCTION("""COMPUTED_VALUE"""),"")</f>
        <v/>
      </c>
      <c r="J984" s="18" t="str">
        <f>IFERROR(__xludf.DUMMYFUNCTION("""COMPUTED_VALUE"""),"")</f>
        <v/>
      </c>
      <c r="K984" s="19"/>
      <c r="L984" s="19"/>
      <c r="M984" s="19"/>
      <c r="N984" s="19"/>
      <c r="O984" s="19"/>
    </row>
    <row r="985">
      <c r="A985" s="18"/>
      <c r="B985" s="29"/>
      <c r="C985" s="19"/>
      <c r="D985" s="19"/>
      <c r="E985" s="18"/>
      <c r="F985" s="18" t="str">
        <f>IFERROR(__xludf.DUMMYFUNCTION("""COMPUTED_VALUE"""),"")</f>
        <v/>
      </c>
      <c r="G985" s="18" t="str">
        <f>IFERROR(__xludf.DUMMYFUNCTION("""COMPUTED_VALUE"""),"")</f>
        <v/>
      </c>
      <c r="H985" s="18" t="str">
        <f>IFERROR(__xludf.DUMMYFUNCTION("""COMPUTED_VALUE"""),"")</f>
        <v/>
      </c>
      <c r="I985" s="18" t="str">
        <f>IFERROR(__xludf.DUMMYFUNCTION("""COMPUTED_VALUE"""),"")</f>
        <v/>
      </c>
      <c r="J985" s="18" t="str">
        <f>IFERROR(__xludf.DUMMYFUNCTION("""COMPUTED_VALUE"""),"")</f>
        <v/>
      </c>
      <c r="K985" s="19"/>
      <c r="L985" s="19"/>
      <c r="M985" s="19"/>
      <c r="N985" s="19"/>
      <c r="O985" s="19"/>
    </row>
    <row r="986">
      <c r="A986" s="18"/>
      <c r="B986" s="29"/>
      <c r="C986" s="19"/>
      <c r="D986" s="19"/>
      <c r="E986" s="18"/>
      <c r="F986" s="18" t="str">
        <f>IFERROR(__xludf.DUMMYFUNCTION("""COMPUTED_VALUE"""),"")</f>
        <v/>
      </c>
      <c r="G986" s="18" t="str">
        <f>IFERROR(__xludf.DUMMYFUNCTION("""COMPUTED_VALUE"""),"")</f>
        <v/>
      </c>
      <c r="H986" s="18" t="str">
        <f>IFERROR(__xludf.DUMMYFUNCTION("""COMPUTED_VALUE"""),"")</f>
        <v/>
      </c>
      <c r="I986" s="18" t="str">
        <f>IFERROR(__xludf.DUMMYFUNCTION("""COMPUTED_VALUE"""),"")</f>
        <v/>
      </c>
      <c r="J986" s="18" t="str">
        <f>IFERROR(__xludf.DUMMYFUNCTION("""COMPUTED_VALUE"""),"")</f>
        <v/>
      </c>
      <c r="K986" s="19"/>
      <c r="L986" s="19"/>
      <c r="M986" s="19"/>
      <c r="N986" s="19"/>
      <c r="O986" s="19"/>
    </row>
    <row r="987">
      <c r="A987" s="18"/>
      <c r="B987" s="29"/>
      <c r="C987" s="19"/>
      <c r="D987" s="19"/>
      <c r="E987" s="18"/>
      <c r="F987" s="18" t="str">
        <f>IFERROR(__xludf.DUMMYFUNCTION("""COMPUTED_VALUE"""),"")</f>
        <v/>
      </c>
      <c r="G987" s="18" t="str">
        <f>IFERROR(__xludf.DUMMYFUNCTION("""COMPUTED_VALUE"""),"")</f>
        <v/>
      </c>
      <c r="H987" s="18" t="str">
        <f>IFERROR(__xludf.DUMMYFUNCTION("""COMPUTED_VALUE"""),"")</f>
        <v/>
      </c>
      <c r="I987" s="18" t="str">
        <f>IFERROR(__xludf.DUMMYFUNCTION("""COMPUTED_VALUE"""),"")</f>
        <v/>
      </c>
      <c r="J987" s="18" t="str">
        <f>IFERROR(__xludf.DUMMYFUNCTION("""COMPUTED_VALUE"""),"")</f>
        <v/>
      </c>
      <c r="K987" s="19"/>
      <c r="L987" s="19"/>
      <c r="M987" s="19"/>
      <c r="N987" s="19"/>
      <c r="O987" s="19"/>
    </row>
    <row r="988">
      <c r="A988" s="18"/>
      <c r="B988" s="29"/>
      <c r="C988" s="19"/>
      <c r="D988" s="19"/>
      <c r="E988" s="18"/>
      <c r="F988" s="18" t="str">
        <f>IFERROR(__xludf.DUMMYFUNCTION("""COMPUTED_VALUE"""),"")</f>
        <v/>
      </c>
      <c r="G988" s="18" t="str">
        <f>IFERROR(__xludf.DUMMYFUNCTION("""COMPUTED_VALUE"""),"")</f>
        <v/>
      </c>
      <c r="H988" s="18" t="str">
        <f>IFERROR(__xludf.DUMMYFUNCTION("""COMPUTED_VALUE"""),"")</f>
        <v/>
      </c>
      <c r="I988" s="18" t="str">
        <f>IFERROR(__xludf.DUMMYFUNCTION("""COMPUTED_VALUE"""),"")</f>
        <v/>
      </c>
      <c r="J988" s="18" t="str">
        <f>IFERROR(__xludf.DUMMYFUNCTION("""COMPUTED_VALUE"""),"")</f>
        <v/>
      </c>
      <c r="K988" s="19"/>
      <c r="L988" s="19"/>
      <c r="M988" s="19"/>
      <c r="N988" s="19"/>
      <c r="O988" s="19"/>
    </row>
    <row r="989">
      <c r="A989" s="18"/>
      <c r="B989" s="29"/>
      <c r="C989" s="19"/>
      <c r="D989" s="19"/>
      <c r="E989" s="18"/>
      <c r="F989" s="18" t="str">
        <f>IFERROR(__xludf.DUMMYFUNCTION("""COMPUTED_VALUE"""),"")</f>
        <v/>
      </c>
      <c r="G989" s="18" t="str">
        <f>IFERROR(__xludf.DUMMYFUNCTION("""COMPUTED_VALUE"""),"")</f>
        <v/>
      </c>
      <c r="H989" s="18" t="str">
        <f>IFERROR(__xludf.DUMMYFUNCTION("""COMPUTED_VALUE"""),"")</f>
        <v/>
      </c>
      <c r="I989" s="18" t="str">
        <f>IFERROR(__xludf.DUMMYFUNCTION("""COMPUTED_VALUE"""),"")</f>
        <v/>
      </c>
      <c r="J989" s="18" t="str">
        <f>IFERROR(__xludf.DUMMYFUNCTION("""COMPUTED_VALUE"""),"")</f>
        <v/>
      </c>
      <c r="K989" s="19"/>
      <c r="L989" s="19"/>
      <c r="M989" s="19"/>
      <c r="N989" s="19"/>
      <c r="O989" s="19"/>
    </row>
    <row r="990">
      <c r="A990" s="18"/>
      <c r="B990" s="29"/>
      <c r="C990" s="19"/>
      <c r="D990" s="19"/>
      <c r="E990" s="18"/>
      <c r="F990" s="18" t="str">
        <f>IFERROR(__xludf.DUMMYFUNCTION("""COMPUTED_VALUE"""),"")</f>
        <v/>
      </c>
      <c r="G990" s="18" t="str">
        <f>IFERROR(__xludf.DUMMYFUNCTION("""COMPUTED_VALUE"""),"")</f>
        <v/>
      </c>
      <c r="H990" s="18" t="str">
        <f>IFERROR(__xludf.DUMMYFUNCTION("""COMPUTED_VALUE"""),"")</f>
        <v/>
      </c>
      <c r="I990" s="18" t="str">
        <f>IFERROR(__xludf.DUMMYFUNCTION("""COMPUTED_VALUE"""),"")</f>
        <v/>
      </c>
      <c r="J990" s="18" t="str">
        <f>IFERROR(__xludf.DUMMYFUNCTION("""COMPUTED_VALUE"""),"")</f>
        <v/>
      </c>
      <c r="K990" s="19"/>
      <c r="L990" s="19"/>
      <c r="M990" s="19"/>
      <c r="N990" s="19"/>
      <c r="O990" s="19"/>
    </row>
    <row r="991">
      <c r="A991" s="18"/>
      <c r="B991" s="29"/>
      <c r="C991" s="19"/>
      <c r="D991" s="19"/>
      <c r="E991" s="18"/>
      <c r="F991" s="18" t="str">
        <f>IFERROR(__xludf.DUMMYFUNCTION("""COMPUTED_VALUE"""),"")</f>
        <v/>
      </c>
      <c r="G991" s="18" t="str">
        <f>IFERROR(__xludf.DUMMYFUNCTION("""COMPUTED_VALUE"""),"")</f>
        <v/>
      </c>
      <c r="H991" s="18" t="str">
        <f>IFERROR(__xludf.DUMMYFUNCTION("""COMPUTED_VALUE"""),"")</f>
        <v/>
      </c>
      <c r="I991" s="18" t="str">
        <f>IFERROR(__xludf.DUMMYFUNCTION("""COMPUTED_VALUE"""),"")</f>
        <v/>
      </c>
      <c r="J991" s="18" t="str">
        <f>IFERROR(__xludf.DUMMYFUNCTION("""COMPUTED_VALUE"""),"")</f>
        <v/>
      </c>
      <c r="K991" s="19"/>
      <c r="L991" s="19"/>
      <c r="M991" s="19"/>
      <c r="N991" s="19"/>
      <c r="O991" s="19"/>
    </row>
    <row r="992">
      <c r="A992" s="18"/>
      <c r="B992" s="29"/>
      <c r="C992" s="19"/>
      <c r="D992" s="19"/>
      <c r="E992" s="18"/>
      <c r="F992" s="18" t="str">
        <f>IFERROR(__xludf.DUMMYFUNCTION("""COMPUTED_VALUE"""),"")</f>
        <v/>
      </c>
      <c r="G992" s="18" t="str">
        <f>IFERROR(__xludf.DUMMYFUNCTION("""COMPUTED_VALUE"""),"")</f>
        <v/>
      </c>
      <c r="H992" s="18" t="str">
        <f>IFERROR(__xludf.DUMMYFUNCTION("""COMPUTED_VALUE"""),"")</f>
        <v/>
      </c>
      <c r="I992" s="18" t="str">
        <f>IFERROR(__xludf.DUMMYFUNCTION("""COMPUTED_VALUE"""),"")</f>
        <v/>
      </c>
      <c r="J992" s="18" t="str">
        <f>IFERROR(__xludf.DUMMYFUNCTION("""COMPUTED_VALUE"""),"")</f>
        <v/>
      </c>
      <c r="K992" s="19"/>
      <c r="L992" s="19"/>
      <c r="M992" s="19"/>
      <c r="N992" s="19"/>
      <c r="O992" s="19"/>
    </row>
    <row r="993">
      <c r="A993" s="18"/>
      <c r="B993" s="29"/>
      <c r="C993" s="19"/>
      <c r="D993" s="19"/>
      <c r="E993" s="18"/>
      <c r="F993" s="18" t="str">
        <f>IFERROR(__xludf.DUMMYFUNCTION("""COMPUTED_VALUE"""),"")</f>
        <v/>
      </c>
      <c r="G993" s="18" t="str">
        <f>IFERROR(__xludf.DUMMYFUNCTION("""COMPUTED_VALUE"""),"")</f>
        <v/>
      </c>
      <c r="H993" s="18" t="str">
        <f>IFERROR(__xludf.DUMMYFUNCTION("""COMPUTED_VALUE"""),"")</f>
        <v/>
      </c>
      <c r="I993" s="18" t="str">
        <f>IFERROR(__xludf.DUMMYFUNCTION("""COMPUTED_VALUE"""),"")</f>
        <v/>
      </c>
      <c r="J993" s="18" t="str">
        <f>IFERROR(__xludf.DUMMYFUNCTION("""COMPUTED_VALUE"""),"")</f>
        <v/>
      </c>
      <c r="K993" s="19"/>
      <c r="L993" s="19"/>
      <c r="M993" s="19"/>
      <c r="N993" s="19"/>
      <c r="O993" s="19"/>
    </row>
    <row r="994">
      <c r="A994" s="18"/>
      <c r="B994" s="29"/>
      <c r="C994" s="19"/>
      <c r="D994" s="19"/>
      <c r="E994" s="18"/>
      <c r="F994" s="18" t="str">
        <f>IFERROR(__xludf.DUMMYFUNCTION("""COMPUTED_VALUE"""),"")</f>
        <v/>
      </c>
      <c r="G994" s="18" t="str">
        <f>IFERROR(__xludf.DUMMYFUNCTION("""COMPUTED_VALUE"""),"")</f>
        <v/>
      </c>
      <c r="H994" s="18" t="str">
        <f>IFERROR(__xludf.DUMMYFUNCTION("""COMPUTED_VALUE"""),"")</f>
        <v/>
      </c>
      <c r="I994" s="18" t="str">
        <f>IFERROR(__xludf.DUMMYFUNCTION("""COMPUTED_VALUE"""),"")</f>
        <v/>
      </c>
      <c r="J994" s="18" t="str">
        <f>IFERROR(__xludf.DUMMYFUNCTION("""COMPUTED_VALUE"""),"")</f>
        <v/>
      </c>
      <c r="K994" s="19"/>
      <c r="L994" s="19"/>
      <c r="M994" s="19"/>
      <c r="N994" s="19"/>
      <c r="O994" s="19"/>
    </row>
    <row r="995">
      <c r="A995" s="18"/>
      <c r="B995" s="29"/>
      <c r="C995" s="19"/>
      <c r="D995" s="19"/>
      <c r="E995" s="18"/>
      <c r="F995" s="18" t="str">
        <f>IFERROR(__xludf.DUMMYFUNCTION("""COMPUTED_VALUE"""),"")</f>
        <v/>
      </c>
      <c r="G995" s="18" t="str">
        <f>IFERROR(__xludf.DUMMYFUNCTION("""COMPUTED_VALUE"""),"")</f>
        <v/>
      </c>
      <c r="H995" s="18" t="str">
        <f>IFERROR(__xludf.DUMMYFUNCTION("""COMPUTED_VALUE"""),"")</f>
        <v/>
      </c>
      <c r="I995" s="18" t="str">
        <f>IFERROR(__xludf.DUMMYFUNCTION("""COMPUTED_VALUE"""),"")</f>
        <v/>
      </c>
      <c r="J995" s="18" t="str">
        <f>IFERROR(__xludf.DUMMYFUNCTION("""COMPUTED_VALUE"""),"")</f>
        <v/>
      </c>
      <c r="K995" s="19"/>
      <c r="L995" s="19"/>
      <c r="M995" s="19"/>
      <c r="N995" s="19"/>
      <c r="O995" s="19"/>
    </row>
    <row r="996">
      <c r="A996" s="18"/>
      <c r="B996" s="29"/>
      <c r="C996" s="19"/>
      <c r="D996" s="19"/>
      <c r="E996" s="18"/>
      <c r="F996" s="18" t="str">
        <f>IFERROR(__xludf.DUMMYFUNCTION("""COMPUTED_VALUE"""),"")</f>
        <v/>
      </c>
      <c r="G996" s="18" t="str">
        <f>IFERROR(__xludf.DUMMYFUNCTION("""COMPUTED_VALUE"""),"")</f>
        <v/>
      </c>
      <c r="H996" s="18" t="str">
        <f>IFERROR(__xludf.DUMMYFUNCTION("""COMPUTED_VALUE"""),"")</f>
        <v/>
      </c>
      <c r="I996" s="18" t="str">
        <f>IFERROR(__xludf.DUMMYFUNCTION("""COMPUTED_VALUE"""),"")</f>
        <v/>
      </c>
      <c r="J996" s="18" t="str">
        <f>IFERROR(__xludf.DUMMYFUNCTION("""COMPUTED_VALUE"""),"")</f>
        <v/>
      </c>
      <c r="K996" s="19"/>
      <c r="L996" s="19"/>
      <c r="M996" s="19"/>
      <c r="N996" s="19"/>
      <c r="O996" s="19"/>
    </row>
    <row r="997">
      <c r="A997" s="18"/>
      <c r="B997" s="29"/>
      <c r="C997" s="19"/>
      <c r="D997" s="19"/>
      <c r="E997" s="18"/>
      <c r="F997" s="18" t="str">
        <f>IFERROR(__xludf.DUMMYFUNCTION("""COMPUTED_VALUE"""),"")</f>
        <v/>
      </c>
      <c r="G997" s="18" t="str">
        <f>IFERROR(__xludf.DUMMYFUNCTION("""COMPUTED_VALUE"""),"")</f>
        <v/>
      </c>
      <c r="H997" s="18" t="str">
        <f>IFERROR(__xludf.DUMMYFUNCTION("""COMPUTED_VALUE"""),"")</f>
        <v/>
      </c>
      <c r="I997" s="18" t="str">
        <f>IFERROR(__xludf.DUMMYFUNCTION("""COMPUTED_VALUE"""),"")</f>
        <v/>
      </c>
      <c r="J997" s="18" t="str">
        <f>IFERROR(__xludf.DUMMYFUNCTION("""COMPUTED_VALUE"""),"")</f>
        <v/>
      </c>
      <c r="K997" s="19"/>
      <c r="L997" s="19"/>
      <c r="M997" s="19"/>
      <c r="N997" s="19"/>
      <c r="O997" s="19"/>
    </row>
    <row r="998">
      <c r="A998" s="18"/>
      <c r="B998" s="29"/>
      <c r="C998" s="19"/>
      <c r="D998" s="19"/>
      <c r="E998" s="18"/>
      <c r="F998" s="18" t="str">
        <f>IFERROR(__xludf.DUMMYFUNCTION("""COMPUTED_VALUE"""),"")</f>
        <v/>
      </c>
      <c r="G998" s="18" t="str">
        <f>IFERROR(__xludf.DUMMYFUNCTION("""COMPUTED_VALUE"""),"")</f>
        <v/>
      </c>
      <c r="H998" s="18" t="str">
        <f>IFERROR(__xludf.DUMMYFUNCTION("""COMPUTED_VALUE"""),"")</f>
        <v/>
      </c>
      <c r="I998" s="18" t="str">
        <f>IFERROR(__xludf.DUMMYFUNCTION("""COMPUTED_VALUE"""),"")</f>
        <v/>
      </c>
      <c r="J998" s="18" t="str">
        <f>IFERROR(__xludf.DUMMYFUNCTION("""COMPUTED_VALUE"""),"")</f>
        <v/>
      </c>
      <c r="K998" s="19"/>
      <c r="L998" s="19"/>
      <c r="M998" s="19"/>
      <c r="N998" s="19"/>
      <c r="O998" s="19"/>
    </row>
    <row r="999">
      <c r="A999" s="18"/>
      <c r="B999" s="29"/>
      <c r="C999" s="19"/>
      <c r="D999" s="19"/>
      <c r="E999" s="18"/>
      <c r="F999" s="18" t="str">
        <f>IFERROR(__xludf.DUMMYFUNCTION("""COMPUTED_VALUE"""),"")</f>
        <v/>
      </c>
      <c r="G999" s="18" t="str">
        <f>IFERROR(__xludf.DUMMYFUNCTION("""COMPUTED_VALUE"""),"")</f>
        <v/>
      </c>
      <c r="H999" s="18" t="str">
        <f>IFERROR(__xludf.DUMMYFUNCTION("""COMPUTED_VALUE"""),"")</f>
        <v/>
      </c>
      <c r="I999" s="18" t="str">
        <f>IFERROR(__xludf.DUMMYFUNCTION("""COMPUTED_VALUE"""),"")</f>
        <v/>
      </c>
      <c r="J999" s="18" t="str">
        <f>IFERROR(__xludf.DUMMYFUNCTION("""COMPUTED_VALUE"""),"")</f>
        <v/>
      </c>
      <c r="K999" s="19"/>
      <c r="L999" s="19"/>
      <c r="M999" s="19"/>
      <c r="N999" s="19"/>
      <c r="O999" s="19"/>
    </row>
    <row r="1000">
      <c r="A1000" s="18"/>
      <c r="B1000" s="29"/>
      <c r="C1000" s="19"/>
      <c r="D1000" s="19"/>
      <c r="E1000" s="18"/>
      <c r="F1000" s="18" t="str">
        <f>IFERROR(__xludf.DUMMYFUNCTION("""COMPUTED_VALUE"""),"")</f>
        <v/>
      </c>
      <c r="G1000" s="18" t="str">
        <f>IFERROR(__xludf.DUMMYFUNCTION("""COMPUTED_VALUE"""),"")</f>
        <v/>
      </c>
      <c r="H1000" s="18" t="str">
        <f>IFERROR(__xludf.DUMMYFUNCTION("""COMPUTED_VALUE"""),"")</f>
        <v/>
      </c>
      <c r="I1000" s="18" t="str">
        <f>IFERROR(__xludf.DUMMYFUNCTION("""COMPUTED_VALUE"""),"")</f>
        <v/>
      </c>
      <c r="J1000" s="18" t="str">
        <f>IFERROR(__xludf.DUMMYFUNCTION("""COMPUTED_VALUE"""),"")</f>
        <v/>
      </c>
      <c r="K1000" s="19"/>
      <c r="L1000" s="19"/>
      <c r="M1000" s="19"/>
      <c r="N1000" s="19"/>
      <c r="O1000" s="19"/>
    </row>
    <row r="1001">
      <c r="A1001" s="18"/>
      <c r="B1001" s="29"/>
      <c r="C1001" s="19"/>
      <c r="D1001" s="19"/>
      <c r="E1001" s="18"/>
      <c r="F1001" s="18" t="str">
        <f>IFERROR(__xludf.DUMMYFUNCTION("""COMPUTED_VALUE"""),"")</f>
        <v/>
      </c>
      <c r="G1001" s="18" t="str">
        <f>IFERROR(__xludf.DUMMYFUNCTION("""COMPUTED_VALUE"""),"")</f>
        <v/>
      </c>
      <c r="H1001" s="18" t="str">
        <f>IFERROR(__xludf.DUMMYFUNCTION("""COMPUTED_VALUE"""),"")</f>
        <v/>
      </c>
      <c r="I1001" s="18" t="str">
        <f>IFERROR(__xludf.DUMMYFUNCTION("""COMPUTED_VALUE"""),"")</f>
        <v/>
      </c>
      <c r="J1001" s="18" t="str">
        <f>IFERROR(__xludf.DUMMYFUNCTION("""COMPUTED_VALUE"""),"")</f>
        <v/>
      </c>
      <c r="K1001" s="19"/>
      <c r="L1001" s="19"/>
      <c r="M1001" s="19"/>
      <c r="N1001" s="19"/>
      <c r="O1001" s="19"/>
    </row>
    <row r="1002">
      <c r="A1002" s="18"/>
      <c r="B1002" s="29"/>
      <c r="C1002" s="19"/>
      <c r="D1002" s="19"/>
      <c r="E1002" s="18"/>
      <c r="F1002" s="18" t="str">
        <f>IFERROR(__xludf.DUMMYFUNCTION("""COMPUTED_VALUE"""),"")</f>
        <v/>
      </c>
      <c r="G1002" s="18" t="str">
        <f>IFERROR(__xludf.DUMMYFUNCTION("""COMPUTED_VALUE"""),"")</f>
        <v/>
      </c>
      <c r="H1002" s="18" t="str">
        <f>IFERROR(__xludf.DUMMYFUNCTION("""COMPUTED_VALUE"""),"")</f>
        <v/>
      </c>
      <c r="I1002" s="18" t="str">
        <f>IFERROR(__xludf.DUMMYFUNCTION("""COMPUTED_VALUE"""),"")</f>
        <v/>
      </c>
      <c r="J1002" s="18" t="str">
        <f>IFERROR(__xludf.DUMMYFUNCTION("""COMPUTED_VALUE"""),"")</f>
        <v/>
      </c>
      <c r="K1002" s="19"/>
      <c r="L1002" s="19"/>
      <c r="M1002" s="19"/>
      <c r="N1002" s="19"/>
      <c r="O1002" s="19"/>
    </row>
    <row r="1003">
      <c r="A1003" s="18"/>
      <c r="B1003" s="29"/>
      <c r="C1003" s="19"/>
      <c r="D1003" s="19"/>
      <c r="E1003" s="18"/>
      <c r="F1003" s="18" t="str">
        <f>IFERROR(__xludf.DUMMYFUNCTION("""COMPUTED_VALUE"""),"")</f>
        <v/>
      </c>
      <c r="G1003" s="18" t="str">
        <f>IFERROR(__xludf.DUMMYFUNCTION("""COMPUTED_VALUE"""),"")</f>
        <v/>
      </c>
      <c r="H1003" s="18" t="str">
        <f>IFERROR(__xludf.DUMMYFUNCTION("""COMPUTED_VALUE"""),"")</f>
        <v/>
      </c>
      <c r="I1003" s="18" t="str">
        <f>IFERROR(__xludf.DUMMYFUNCTION("""COMPUTED_VALUE"""),"")</f>
        <v/>
      </c>
      <c r="J1003" s="18" t="str">
        <f>IFERROR(__xludf.DUMMYFUNCTION("""COMPUTED_VALUE"""),"")</f>
        <v/>
      </c>
      <c r="K1003" s="19"/>
      <c r="L1003" s="19"/>
      <c r="M1003" s="19"/>
      <c r="N1003" s="19"/>
      <c r="O1003" s="19"/>
    </row>
    <row r="1004">
      <c r="A1004" s="18"/>
      <c r="B1004" s="29"/>
      <c r="C1004" s="19"/>
      <c r="D1004" s="19"/>
      <c r="E1004" s="18"/>
      <c r="F1004" s="18" t="str">
        <f>IFERROR(__xludf.DUMMYFUNCTION("""COMPUTED_VALUE"""),"")</f>
        <v/>
      </c>
      <c r="G1004" s="18" t="str">
        <f>IFERROR(__xludf.DUMMYFUNCTION("""COMPUTED_VALUE"""),"")</f>
        <v/>
      </c>
      <c r="H1004" s="18" t="str">
        <f>IFERROR(__xludf.DUMMYFUNCTION("""COMPUTED_VALUE"""),"")</f>
        <v/>
      </c>
      <c r="I1004" s="18" t="str">
        <f>IFERROR(__xludf.DUMMYFUNCTION("""COMPUTED_VALUE"""),"")</f>
        <v/>
      </c>
      <c r="J1004" s="18" t="str">
        <f>IFERROR(__xludf.DUMMYFUNCTION("""COMPUTED_VALUE"""),"")</f>
        <v/>
      </c>
      <c r="K1004" s="19"/>
      <c r="L1004" s="19"/>
      <c r="M1004" s="19"/>
      <c r="N1004" s="19"/>
      <c r="O1004" s="19"/>
    </row>
    <row r="1005">
      <c r="A1005" s="18"/>
      <c r="B1005" s="29"/>
      <c r="C1005" s="19"/>
      <c r="D1005" s="19"/>
      <c r="E1005" s="18"/>
      <c r="F1005" s="18" t="str">
        <f>IFERROR(__xludf.DUMMYFUNCTION("""COMPUTED_VALUE"""),"")</f>
        <v/>
      </c>
      <c r="G1005" s="18" t="str">
        <f>IFERROR(__xludf.DUMMYFUNCTION("""COMPUTED_VALUE"""),"")</f>
        <v/>
      </c>
      <c r="H1005" s="18" t="str">
        <f>IFERROR(__xludf.DUMMYFUNCTION("""COMPUTED_VALUE"""),"")</f>
        <v/>
      </c>
      <c r="I1005" s="18" t="str">
        <f>IFERROR(__xludf.DUMMYFUNCTION("""COMPUTED_VALUE"""),"")</f>
        <v/>
      </c>
      <c r="J1005" s="18" t="str">
        <f>IFERROR(__xludf.DUMMYFUNCTION("""COMPUTED_VALUE"""),"")</f>
        <v/>
      </c>
      <c r="K1005" s="19"/>
      <c r="L1005" s="19"/>
      <c r="M1005" s="19"/>
      <c r="N1005" s="19"/>
      <c r="O1005" s="19"/>
    </row>
    <row r="1006">
      <c r="A1006" s="18"/>
      <c r="B1006" s="29"/>
      <c r="C1006" s="19"/>
      <c r="D1006" s="19"/>
      <c r="E1006" s="18"/>
      <c r="F1006" s="18" t="str">
        <f>IFERROR(__xludf.DUMMYFUNCTION("""COMPUTED_VALUE"""),"")</f>
        <v/>
      </c>
      <c r="G1006" s="18" t="str">
        <f>IFERROR(__xludf.DUMMYFUNCTION("""COMPUTED_VALUE"""),"")</f>
        <v/>
      </c>
      <c r="H1006" s="18" t="str">
        <f>IFERROR(__xludf.DUMMYFUNCTION("""COMPUTED_VALUE"""),"")</f>
        <v/>
      </c>
      <c r="I1006" s="18" t="str">
        <f>IFERROR(__xludf.DUMMYFUNCTION("""COMPUTED_VALUE"""),"")</f>
        <v/>
      </c>
      <c r="J1006" s="18" t="str">
        <f>IFERROR(__xludf.DUMMYFUNCTION("""COMPUTED_VALUE"""),"")</f>
        <v/>
      </c>
      <c r="K1006" s="19"/>
      <c r="L1006" s="19"/>
      <c r="M1006" s="19"/>
      <c r="N1006" s="19"/>
      <c r="O1006" s="19"/>
    </row>
    <row r="1007">
      <c r="A1007" s="18"/>
      <c r="B1007" s="29"/>
      <c r="C1007" s="19"/>
      <c r="D1007" s="19"/>
      <c r="E1007" s="18"/>
      <c r="F1007" s="18" t="str">
        <f>IFERROR(__xludf.DUMMYFUNCTION("""COMPUTED_VALUE"""),"")</f>
        <v/>
      </c>
      <c r="G1007" s="18" t="str">
        <f>IFERROR(__xludf.DUMMYFUNCTION("""COMPUTED_VALUE"""),"")</f>
        <v/>
      </c>
      <c r="H1007" s="18" t="str">
        <f>IFERROR(__xludf.DUMMYFUNCTION("""COMPUTED_VALUE"""),"")</f>
        <v/>
      </c>
      <c r="I1007" s="18" t="str">
        <f>IFERROR(__xludf.DUMMYFUNCTION("""COMPUTED_VALUE"""),"")</f>
        <v/>
      </c>
      <c r="J1007" s="18" t="str">
        <f>IFERROR(__xludf.DUMMYFUNCTION("""COMPUTED_VALUE"""),"")</f>
        <v/>
      </c>
      <c r="K1007" s="19"/>
      <c r="L1007" s="19"/>
      <c r="M1007" s="19"/>
      <c r="N1007" s="19"/>
      <c r="O1007" s="19"/>
    </row>
    <row r="1008">
      <c r="A1008" s="18"/>
      <c r="B1008" s="29"/>
      <c r="C1008" s="19"/>
      <c r="D1008" s="19"/>
      <c r="E1008" s="18"/>
      <c r="F1008" s="18" t="str">
        <f>IFERROR(__xludf.DUMMYFUNCTION("""COMPUTED_VALUE"""),"")</f>
        <v/>
      </c>
      <c r="G1008" s="18" t="str">
        <f>IFERROR(__xludf.DUMMYFUNCTION("""COMPUTED_VALUE"""),"")</f>
        <v/>
      </c>
      <c r="H1008" s="18" t="str">
        <f>IFERROR(__xludf.DUMMYFUNCTION("""COMPUTED_VALUE"""),"")</f>
        <v/>
      </c>
      <c r="I1008" s="18" t="str">
        <f>IFERROR(__xludf.DUMMYFUNCTION("""COMPUTED_VALUE"""),"")</f>
        <v/>
      </c>
      <c r="J1008" s="18" t="str">
        <f>IFERROR(__xludf.DUMMYFUNCTION("""COMPUTED_VALUE"""),"")</f>
        <v/>
      </c>
      <c r="K1008" s="19"/>
      <c r="L1008" s="19"/>
      <c r="M1008" s="19"/>
      <c r="N1008" s="19"/>
      <c r="O1008" s="19"/>
    </row>
    <row r="1009">
      <c r="A1009" s="18"/>
      <c r="B1009" s="29"/>
      <c r="C1009" s="19"/>
      <c r="D1009" s="19"/>
      <c r="E1009" s="18"/>
      <c r="F1009" s="18" t="str">
        <f>IFERROR(__xludf.DUMMYFUNCTION("""COMPUTED_VALUE"""),"")</f>
        <v/>
      </c>
      <c r="G1009" s="18" t="str">
        <f>IFERROR(__xludf.DUMMYFUNCTION("""COMPUTED_VALUE"""),"")</f>
        <v/>
      </c>
      <c r="H1009" s="18" t="str">
        <f>IFERROR(__xludf.DUMMYFUNCTION("""COMPUTED_VALUE"""),"")</f>
        <v/>
      </c>
      <c r="I1009" s="18" t="str">
        <f>IFERROR(__xludf.DUMMYFUNCTION("""COMPUTED_VALUE"""),"")</f>
        <v/>
      </c>
      <c r="J1009" s="18" t="str">
        <f>IFERROR(__xludf.DUMMYFUNCTION("""COMPUTED_VALUE"""),"")</f>
        <v/>
      </c>
      <c r="K1009" s="19"/>
      <c r="L1009" s="19"/>
      <c r="M1009" s="19"/>
      <c r="N1009" s="19"/>
      <c r="O1009" s="19"/>
    </row>
    <row r="1010">
      <c r="A1010" s="18"/>
      <c r="B1010" s="29"/>
      <c r="C1010" s="19"/>
      <c r="D1010" s="19"/>
      <c r="E1010" s="18"/>
      <c r="F1010" s="18" t="str">
        <f>IFERROR(__xludf.DUMMYFUNCTION("""COMPUTED_VALUE"""),"")</f>
        <v/>
      </c>
      <c r="G1010" s="18" t="str">
        <f>IFERROR(__xludf.DUMMYFUNCTION("""COMPUTED_VALUE"""),"")</f>
        <v/>
      </c>
      <c r="H1010" s="18" t="str">
        <f>IFERROR(__xludf.DUMMYFUNCTION("""COMPUTED_VALUE"""),"")</f>
        <v/>
      </c>
      <c r="I1010" s="18" t="str">
        <f>IFERROR(__xludf.DUMMYFUNCTION("""COMPUTED_VALUE"""),"")</f>
        <v/>
      </c>
      <c r="J1010" s="18" t="str">
        <f>IFERROR(__xludf.DUMMYFUNCTION("""COMPUTED_VALUE"""),"")</f>
        <v/>
      </c>
      <c r="K1010" s="19"/>
      <c r="L1010" s="19"/>
      <c r="M1010" s="19"/>
      <c r="N1010" s="19"/>
      <c r="O1010" s="19"/>
    </row>
    <row r="1011">
      <c r="A1011" s="18"/>
      <c r="B1011" s="29"/>
      <c r="C1011" s="19"/>
      <c r="D1011" s="19"/>
      <c r="E1011" s="18"/>
      <c r="F1011" s="18" t="str">
        <f>IFERROR(__xludf.DUMMYFUNCTION("""COMPUTED_VALUE"""),"")</f>
        <v/>
      </c>
      <c r="G1011" s="18" t="str">
        <f>IFERROR(__xludf.DUMMYFUNCTION("""COMPUTED_VALUE"""),"")</f>
        <v/>
      </c>
      <c r="H1011" s="18" t="str">
        <f>IFERROR(__xludf.DUMMYFUNCTION("""COMPUTED_VALUE"""),"")</f>
        <v/>
      </c>
      <c r="I1011" s="18" t="str">
        <f>IFERROR(__xludf.DUMMYFUNCTION("""COMPUTED_VALUE"""),"")</f>
        <v/>
      </c>
      <c r="J1011" s="18" t="str">
        <f>IFERROR(__xludf.DUMMYFUNCTION("""COMPUTED_VALUE"""),"")</f>
        <v/>
      </c>
      <c r="K1011" s="19"/>
      <c r="L1011" s="19"/>
      <c r="M1011" s="19"/>
      <c r="N1011" s="19"/>
      <c r="O1011" s="19"/>
    </row>
    <row r="1012">
      <c r="A1012" s="18"/>
      <c r="B1012" s="29"/>
      <c r="C1012" s="19"/>
      <c r="D1012" s="19"/>
      <c r="E1012" s="18"/>
      <c r="F1012" s="18" t="str">
        <f>IFERROR(__xludf.DUMMYFUNCTION("""COMPUTED_VALUE"""),"")</f>
        <v/>
      </c>
      <c r="G1012" s="18" t="str">
        <f>IFERROR(__xludf.DUMMYFUNCTION("""COMPUTED_VALUE"""),"")</f>
        <v/>
      </c>
      <c r="H1012" s="18" t="str">
        <f>IFERROR(__xludf.DUMMYFUNCTION("""COMPUTED_VALUE"""),"")</f>
        <v/>
      </c>
      <c r="I1012" s="18" t="str">
        <f>IFERROR(__xludf.DUMMYFUNCTION("""COMPUTED_VALUE"""),"")</f>
        <v/>
      </c>
      <c r="J1012" s="18" t="str">
        <f>IFERROR(__xludf.DUMMYFUNCTION("""COMPUTED_VALUE"""),"")</f>
        <v/>
      </c>
      <c r="K1012" s="19"/>
      <c r="L1012" s="19"/>
      <c r="M1012" s="19"/>
      <c r="N1012" s="19"/>
      <c r="O1012" s="19"/>
    </row>
    <row r="1013">
      <c r="A1013" s="18"/>
      <c r="B1013" s="29"/>
      <c r="C1013" s="19"/>
      <c r="D1013" s="19"/>
      <c r="E1013" s="18"/>
      <c r="F1013" s="18" t="str">
        <f>IFERROR(__xludf.DUMMYFUNCTION("""COMPUTED_VALUE"""),"")</f>
        <v/>
      </c>
      <c r="G1013" s="18" t="str">
        <f>IFERROR(__xludf.DUMMYFUNCTION("""COMPUTED_VALUE"""),"")</f>
        <v/>
      </c>
      <c r="H1013" s="18" t="str">
        <f>IFERROR(__xludf.DUMMYFUNCTION("""COMPUTED_VALUE"""),"")</f>
        <v/>
      </c>
      <c r="I1013" s="18" t="str">
        <f>IFERROR(__xludf.DUMMYFUNCTION("""COMPUTED_VALUE"""),"")</f>
        <v/>
      </c>
      <c r="J1013" s="18" t="str">
        <f>IFERROR(__xludf.DUMMYFUNCTION("""COMPUTED_VALUE"""),"")</f>
        <v/>
      </c>
      <c r="K1013" s="19"/>
      <c r="L1013" s="19"/>
      <c r="M1013" s="19"/>
      <c r="N1013" s="19"/>
      <c r="O1013" s="19"/>
    </row>
    <row r="1014">
      <c r="A1014" s="18"/>
      <c r="B1014" s="29"/>
      <c r="C1014" s="19"/>
      <c r="D1014" s="19"/>
      <c r="E1014" s="18"/>
      <c r="F1014" s="18" t="str">
        <f>IFERROR(__xludf.DUMMYFUNCTION("""COMPUTED_VALUE"""),"")</f>
        <v/>
      </c>
      <c r="G1014" s="18" t="str">
        <f>IFERROR(__xludf.DUMMYFUNCTION("""COMPUTED_VALUE"""),"")</f>
        <v/>
      </c>
      <c r="H1014" s="18" t="str">
        <f>IFERROR(__xludf.DUMMYFUNCTION("""COMPUTED_VALUE"""),"")</f>
        <v/>
      </c>
      <c r="I1014" s="18" t="str">
        <f>IFERROR(__xludf.DUMMYFUNCTION("""COMPUTED_VALUE"""),"")</f>
        <v/>
      </c>
      <c r="J1014" s="18" t="str">
        <f>IFERROR(__xludf.DUMMYFUNCTION("""COMPUTED_VALUE"""),"")</f>
        <v/>
      </c>
      <c r="K1014" s="19"/>
      <c r="L1014" s="19"/>
      <c r="M1014" s="19"/>
      <c r="N1014" s="19"/>
      <c r="O1014" s="19"/>
    </row>
    <row r="1015">
      <c r="A1015" s="18"/>
      <c r="B1015" s="29"/>
      <c r="C1015" s="19"/>
      <c r="D1015" s="19"/>
      <c r="E1015" s="18"/>
      <c r="F1015" s="18" t="str">
        <f>IFERROR(__xludf.DUMMYFUNCTION("""COMPUTED_VALUE"""),"")</f>
        <v/>
      </c>
      <c r="G1015" s="18" t="str">
        <f>IFERROR(__xludf.DUMMYFUNCTION("""COMPUTED_VALUE"""),"")</f>
        <v/>
      </c>
      <c r="H1015" s="18" t="str">
        <f>IFERROR(__xludf.DUMMYFUNCTION("""COMPUTED_VALUE"""),"")</f>
        <v/>
      </c>
      <c r="I1015" s="18" t="str">
        <f>IFERROR(__xludf.DUMMYFUNCTION("""COMPUTED_VALUE"""),"")</f>
        <v/>
      </c>
      <c r="J1015" s="18" t="str">
        <f>IFERROR(__xludf.DUMMYFUNCTION("""COMPUTED_VALUE"""),"")</f>
        <v/>
      </c>
      <c r="K1015" s="19"/>
      <c r="L1015" s="19"/>
      <c r="M1015" s="19"/>
      <c r="N1015" s="19"/>
      <c r="O1015" s="19"/>
    </row>
    <row r="1016">
      <c r="A1016" s="18"/>
      <c r="B1016" s="29"/>
      <c r="C1016" s="19"/>
      <c r="D1016" s="19"/>
      <c r="E1016" s="18"/>
      <c r="F1016" s="18" t="str">
        <f>IFERROR(__xludf.DUMMYFUNCTION("""COMPUTED_VALUE"""),"")</f>
        <v/>
      </c>
      <c r="G1016" s="18" t="str">
        <f>IFERROR(__xludf.DUMMYFUNCTION("""COMPUTED_VALUE"""),"")</f>
        <v/>
      </c>
      <c r="H1016" s="18" t="str">
        <f>IFERROR(__xludf.DUMMYFUNCTION("""COMPUTED_VALUE"""),"")</f>
        <v/>
      </c>
      <c r="I1016" s="18" t="str">
        <f>IFERROR(__xludf.DUMMYFUNCTION("""COMPUTED_VALUE"""),"")</f>
        <v/>
      </c>
      <c r="J1016" s="18" t="str">
        <f>IFERROR(__xludf.DUMMYFUNCTION("""COMPUTED_VALUE"""),"")</f>
        <v/>
      </c>
      <c r="K1016" s="19"/>
      <c r="L1016" s="19"/>
      <c r="M1016" s="19"/>
      <c r="N1016" s="19"/>
      <c r="O1016" s="19"/>
    </row>
    <row r="1017">
      <c r="A1017" s="18"/>
      <c r="B1017" s="29"/>
      <c r="C1017" s="19"/>
      <c r="D1017" s="19"/>
      <c r="E1017" s="18"/>
      <c r="F1017" s="18" t="str">
        <f>IFERROR(__xludf.DUMMYFUNCTION("""COMPUTED_VALUE"""),"")</f>
        <v/>
      </c>
      <c r="G1017" s="18" t="str">
        <f>IFERROR(__xludf.DUMMYFUNCTION("""COMPUTED_VALUE"""),"")</f>
        <v/>
      </c>
      <c r="H1017" s="18" t="str">
        <f>IFERROR(__xludf.DUMMYFUNCTION("""COMPUTED_VALUE"""),"")</f>
        <v/>
      </c>
      <c r="I1017" s="18" t="str">
        <f>IFERROR(__xludf.DUMMYFUNCTION("""COMPUTED_VALUE"""),"")</f>
        <v/>
      </c>
      <c r="J1017" s="18" t="str">
        <f>IFERROR(__xludf.DUMMYFUNCTION("""COMPUTED_VALUE"""),"")</f>
        <v/>
      </c>
      <c r="K1017" s="19"/>
      <c r="L1017" s="19"/>
      <c r="M1017" s="19"/>
      <c r="N1017" s="19"/>
      <c r="O1017" s="19"/>
    </row>
    <row r="1018">
      <c r="A1018" s="18"/>
      <c r="B1018" s="29"/>
      <c r="C1018" s="19"/>
      <c r="D1018" s="19"/>
      <c r="E1018" s="18"/>
      <c r="F1018" s="18" t="str">
        <f>IFERROR(__xludf.DUMMYFUNCTION("""COMPUTED_VALUE"""),"")</f>
        <v/>
      </c>
      <c r="G1018" s="18" t="str">
        <f>IFERROR(__xludf.DUMMYFUNCTION("""COMPUTED_VALUE"""),"")</f>
        <v/>
      </c>
      <c r="H1018" s="18" t="str">
        <f>IFERROR(__xludf.DUMMYFUNCTION("""COMPUTED_VALUE"""),"")</f>
        <v/>
      </c>
      <c r="I1018" s="18" t="str">
        <f>IFERROR(__xludf.DUMMYFUNCTION("""COMPUTED_VALUE"""),"")</f>
        <v/>
      </c>
      <c r="J1018" s="18" t="str">
        <f>IFERROR(__xludf.DUMMYFUNCTION("""COMPUTED_VALUE"""),"")</f>
        <v/>
      </c>
      <c r="K1018" s="19"/>
      <c r="L1018" s="19"/>
      <c r="M1018" s="19"/>
      <c r="N1018" s="19"/>
      <c r="O1018" s="19"/>
    </row>
    <row r="1019">
      <c r="A1019" s="18"/>
      <c r="B1019" s="29"/>
      <c r="C1019" s="19"/>
      <c r="D1019" s="19"/>
      <c r="E1019" s="18"/>
      <c r="F1019" s="18" t="str">
        <f>IFERROR(__xludf.DUMMYFUNCTION("""COMPUTED_VALUE"""),"")</f>
        <v/>
      </c>
      <c r="G1019" s="18" t="str">
        <f>IFERROR(__xludf.DUMMYFUNCTION("""COMPUTED_VALUE"""),"")</f>
        <v/>
      </c>
      <c r="H1019" s="18" t="str">
        <f>IFERROR(__xludf.DUMMYFUNCTION("""COMPUTED_VALUE"""),"")</f>
        <v/>
      </c>
      <c r="I1019" s="18" t="str">
        <f>IFERROR(__xludf.DUMMYFUNCTION("""COMPUTED_VALUE"""),"")</f>
        <v/>
      </c>
      <c r="J1019" s="18" t="str">
        <f>IFERROR(__xludf.DUMMYFUNCTION("""COMPUTED_VALUE"""),"")</f>
        <v/>
      </c>
      <c r="K1019" s="19"/>
      <c r="L1019" s="19"/>
      <c r="M1019" s="19"/>
      <c r="N1019" s="19"/>
      <c r="O1019" s="19"/>
    </row>
    <row r="1020">
      <c r="A1020" s="18"/>
      <c r="B1020" s="29"/>
      <c r="C1020" s="19"/>
      <c r="D1020" s="19"/>
      <c r="E1020" s="18"/>
      <c r="F1020" s="18" t="str">
        <f>IFERROR(__xludf.DUMMYFUNCTION("""COMPUTED_VALUE"""),"")</f>
        <v/>
      </c>
      <c r="G1020" s="18" t="str">
        <f>IFERROR(__xludf.DUMMYFUNCTION("""COMPUTED_VALUE"""),"")</f>
        <v/>
      </c>
      <c r="H1020" s="18" t="str">
        <f>IFERROR(__xludf.DUMMYFUNCTION("""COMPUTED_VALUE"""),"")</f>
        <v/>
      </c>
      <c r="I1020" s="18" t="str">
        <f>IFERROR(__xludf.DUMMYFUNCTION("""COMPUTED_VALUE"""),"")</f>
        <v/>
      </c>
      <c r="J1020" s="18" t="str">
        <f>IFERROR(__xludf.DUMMYFUNCTION("""COMPUTED_VALUE"""),"")</f>
        <v/>
      </c>
      <c r="K1020" s="19"/>
      <c r="L1020" s="19"/>
      <c r="M1020" s="19"/>
      <c r="N1020" s="19"/>
      <c r="O1020" s="19"/>
    </row>
    <row r="1021">
      <c r="A1021" s="18"/>
      <c r="B1021" s="29"/>
      <c r="C1021" s="19"/>
      <c r="D1021" s="19"/>
      <c r="E1021" s="18"/>
      <c r="F1021" s="18" t="str">
        <f>IFERROR(__xludf.DUMMYFUNCTION("""COMPUTED_VALUE"""),"")</f>
        <v/>
      </c>
      <c r="G1021" s="18" t="str">
        <f>IFERROR(__xludf.DUMMYFUNCTION("""COMPUTED_VALUE"""),"")</f>
        <v/>
      </c>
      <c r="H1021" s="18" t="str">
        <f>IFERROR(__xludf.DUMMYFUNCTION("""COMPUTED_VALUE"""),"")</f>
        <v/>
      </c>
      <c r="I1021" s="18" t="str">
        <f>IFERROR(__xludf.DUMMYFUNCTION("""COMPUTED_VALUE"""),"")</f>
        <v/>
      </c>
      <c r="J1021" s="18" t="str">
        <f>IFERROR(__xludf.DUMMYFUNCTION("""COMPUTED_VALUE"""),"")</f>
        <v/>
      </c>
      <c r="K1021" s="19"/>
      <c r="L1021" s="19"/>
      <c r="M1021" s="19"/>
      <c r="N1021" s="19"/>
      <c r="O1021" s="19"/>
    </row>
    <row r="1022">
      <c r="A1022" s="18"/>
      <c r="B1022" s="29"/>
      <c r="C1022" s="19"/>
      <c r="D1022" s="19"/>
      <c r="E1022" s="18"/>
      <c r="F1022" s="18" t="str">
        <f>IFERROR(__xludf.DUMMYFUNCTION("""COMPUTED_VALUE"""),"")</f>
        <v/>
      </c>
      <c r="G1022" s="18" t="str">
        <f>IFERROR(__xludf.DUMMYFUNCTION("""COMPUTED_VALUE"""),"")</f>
        <v/>
      </c>
      <c r="H1022" s="18" t="str">
        <f>IFERROR(__xludf.DUMMYFUNCTION("""COMPUTED_VALUE"""),"")</f>
        <v/>
      </c>
      <c r="I1022" s="18" t="str">
        <f>IFERROR(__xludf.DUMMYFUNCTION("""COMPUTED_VALUE"""),"")</f>
        <v/>
      </c>
      <c r="J1022" s="18" t="str">
        <f>IFERROR(__xludf.DUMMYFUNCTION("""COMPUTED_VALUE"""),"")</f>
        <v/>
      </c>
      <c r="K1022" s="19"/>
      <c r="L1022" s="19"/>
      <c r="M1022" s="19"/>
      <c r="N1022" s="19"/>
      <c r="O1022" s="19"/>
    </row>
    <row r="1023">
      <c r="A1023" s="18"/>
      <c r="B1023" s="29"/>
      <c r="C1023" s="19"/>
      <c r="D1023" s="19"/>
      <c r="E1023" s="18"/>
      <c r="F1023" s="18" t="str">
        <f>IFERROR(__xludf.DUMMYFUNCTION("""COMPUTED_VALUE"""),"")</f>
        <v/>
      </c>
      <c r="G1023" s="18" t="str">
        <f>IFERROR(__xludf.DUMMYFUNCTION("""COMPUTED_VALUE"""),"")</f>
        <v/>
      </c>
      <c r="H1023" s="18" t="str">
        <f>IFERROR(__xludf.DUMMYFUNCTION("""COMPUTED_VALUE"""),"")</f>
        <v/>
      </c>
      <c r="I1023" s="18" t="str">
        <f>IFERROR(__xludf.DUMMYFUNCTION("""COMPUTED_VALUE"""),"")</f>
        <v/>
      </c>
      <c r="J1023" s="18" t="str">
        <f>IFERROR(__xludf.DUMMYFUNCTION("""COMPUTED_VALUE"""),"")</f>
        <v/>
      </c>
      <c r="K1023" s="19"/>
      <c r="L1023" s="19"/>
      <c r="M1023" s="19"/>
      <c r="N1023" s="19"/>
      <c r="O1023" s="19"/>
    </row>
    <row r="1024">
      <c r="A1024" s="18"/>
      <c r="B1024" s="29"/>
      <c r="C1024" s="19"/>
      <c r="D1024" s="19"/>
      <c r="E1024" s="18"/>
      <c r="F1024" s="18" t="str">
        <f>IFERROR(__xludf.DUMMYFUNCTION("""COMPUTED_VALUE"""),"")</f>
        <v/>
      </c>
      <c r="G1024" s="18" t="str">
        <f>IFERROR(__xludf.DUMMYFUNCTION("""COMPUTED_VALUE"""),"")</f>
        <v/>
      </c>
      <c r="H1024" s="18" t="str">
        <f>IFERROR(__xludf.DUMMYFUNCTION("""COMPUTED_VALUE"""),"")</f>
        <v/>
      </c>
      <c r="I1024" s="18" t="str">
        <f>IFERROR(__xludf.DUMMYFUNCTION("""COMPUTED_VALUE"""),"")</f>
        <v/>
      </c>
      <c r="J1024" s="18" t="str">
        <f>IFERROR(__xludf.DUMMYFUNCTION("""COMPUTED_VALUE"""),"")</f>
        <v/>
      </c>
      <c r="K1024" s="19"/>
      <c r="L1024" s="19"/>
      <c r="M1024" s="19"/>
      <c r="N1024" s="19"/>
      <c r="O1024" s="19"/>
    </row>
    <row r="1025">
      <c r="A1025" s="18"/>
      <c r="B1025" s="29"/>
      <c r="C1025" s="19"/>
      <c r="D1025" s="19"/>
      <c r="E1025" s="18"/>
      <c r="F1025" s="18" t="str">
        <f>IFERROR(__xludf.DUMMYFUNCTION("""COMPUTED_VALUE"""),"")</f>
        <v/>
      </c>
      <c r="G1025" s="18" t="str">
        <f>IFERROR(__xludf.DUMMYFUNCTION("""COMPUTED_VALUE"""),"")</f>
        <v/>
      </c>
      <c r="H1025" s="18" t="str">
        <f>IFERROR(__xludf.DUMMYFUNCTION("""COMPUTED_VALUE"""),"")</f>
        <v/>
      </c>
      <c r="I1025" s="18" t="str">
        <f>IFERROR(__xludf.DUMMYFUNCTION("""COMPUTED_VALUE"""),"")</f>
        <v/>
      </c>
      <c r="J1025" s="18" t="str">
        <f>IFERROR(__xludf.DUMMYFUNCTION("""COMPUTED_VALUE"""),"")</f>
        <v/>
      </c>
      <c r="K1025" s="19"/>
      <c r="L1025" s="19"/>
      <c r="M1025" s="19"/>
      <c r="N1025" s="19"/>
      <c r="O1025" s="19"/>
    </row>
    <row r="1026">
      <c r="A1026" s="18"/>
      <c r="B1026" s="29"/>
      <c r="C1026" s="19"/>
      <c r="D1026" s="19"/>
      <c r="E1026" s="18"/>
      <c r="F1026" s="18" t="str">
        <f>IFERROR(__xludf.DUMMYFUNCTION("""COMPUTED_VALUE"""),"")</f>
        <v/>
      </c>
      <c r="G1026" s="18" t="str">
        <f>IFERROR(__xludf.DUMMYFUNCTION("""COMPUTED_VALUE"""),"")</f>
        <v/>
      </c>
      <c r="H1026" s="18" t="str">
        <f>IFERROR(__xludf.DUMMYFUNCTION("""COMPUTED_VALUE"""),"")</f>
        <v/>
      </c>
      <c r="I1026" s="18" t="str">
        <f>IFERROR(__xludf.DUMMYFUNCTION("""COMPUTED_VALUE"""),"")</f>
        <v/>
      </c>
      <c r="J1026" s="18" t="str">
        <f>IFERROR(__xludf.DUMMYFUNCTION("""COMPUTED_VALUE"""),"")</f>
        <v/>
      </c>
      <c r="K1026" s="19"/>
      <c r="L1026" s="19"/>
      <c r="M1026" s="19"/>
      <c r="N1026" s="19"/>
      <c r="O1026" s="19"/>
    </row>
    <row r="1027">
      <c r="A1027" s="18"/>
      <c r="B1027" s="29"/>
      <c r="C1027" s="19"/>
      <c r="D1027" s="19"/>
      <c r="E1027" s="18"/>
      <c r="F1027" s="18" t="str">
        <f>IFERROR(__xludf.DUMMYFUNCTION("""COMPUTED_VALUE"""),"")</f>
        <v/>
      </c>
      <c r="G1027" s="18" t="str">
        <f>IFERROR(__xludf.DUMMYFUNCTION("""COMPUTED_VALUE"""),"")</f>
        <v/>
      </c>
      <c r="H1027" s="18" t="str">
        <f>IFERROR(__xludf.DUMMYFUNCTION("""COMPUTED_VALUE"""),"")</f>
        <v/>
      </c>
      <c r="I1027" s="18" t="str">
        <f>IFERROR(__xludf.DUMMYFUNCTION("""COMPUTED_VALUE"""),"")</f>
        <v/>
      </c>
      <c r="J1027" s="18" t="str">
        <f>IFERROR(__xludf.DUMMYFUNCTION("""COMPUTED_VALUE"""),"")</f>
        <v/>
      </c>
      <c r="K1027" s="19"/>
      <c r="L1027" s="19"/>
      <c r="M1027" s="19"/>
      <c r="N1027" s="19"/>
      <c r="O1027" s="19"/>
    </row>
    <row r="1028">
      <c r="A1028" s="18"/>
      <c r="B1028" s="29"/>
      <c r="C1028" s="19"/>
      <c r="D1028" s="19"/>
      <c r="E1028" s="18"/>
      <c r="F1028" s="18" t="str">
        <f>IFERROR(__xludf.DUMMYFUNCTION("""COMPUTED_VALUE"""),"")</f>
        <v/>
      </c>
      <c r="G1028" s="18" t="str">
        <f>IFERROR(__xludf.DUMMYFUNCTION("""COMPUTED_VALUE"""),"")</f>
        <v/>
      </c>
      <c r="H1028" s="18" t="str">
        <f>IFERROR(__xludf.DUMMYFUNCTION("""COMPUTED_VALUE"""),"")</f>
        <v/>
      </c>
      <c r="I1028" s="18" t="str">
        <f>IFERROR(__xludf.DUMMYFUNCTION("""COMPUTED_VALUE"""),"")</f>
        <v/>
      </c>
      <c r="J1028" s="18" t="str">
        <f>IFERROR(__xludf.DUMMYFUNCTION("""COMPUTED_VALUE"""),"")</f>
        <v/>
      </c>
      <c r="K1028" s="19"/>
      <c r="L1028" s="19"/>
      <c r="M1028" s="19"/>
      <c r="N1028" s="19"/>
      <c r="O1028" s="19"/>
    </row>
    <row r="1029">
      <c r="A1029" s="18"/>
      <c r="B1029" s="29"/>
      <c r="C1029" s="19"/>
      <c r="D1029" s="19"/>
      <c r="E1029" s="18"/>
      <c r="F1029" s="18" t="str">
        <f>IFERROR(__xludf.DUMMYFUNCTION("""COMPUTED_VALUE"""),"")</f>
        <v/>
      </c>
      <c r="G1029" s="18" t="str">
        <f>IFERROR(__xludf.DUMMYFUNCTION("""COMPUTED_VALUE"""),"")</f>
        <v/>
      </c>
      <c r="H1029" s="18" t="str">
        <f>IFERROR(__xludf.DUMMYFUNCTION("""COMPUTED_VALUE"""),"")</f>
        <v/>
      </c>
      <c r="I1029" s="18" t="str">
        <f>IFERROR(__xludf.DUMMYFUNCTION("""COMPUTED_VALUE"""),"")</f>
        <v/>
      </c>
      <c r="J1029" s="18" t="str">
        <f>IFERROR(__xludf.DUMMYFUNCTION("""COMPUTED_VALUE"""),"")</f>
        <v/>
      </c>
      <c r="K1029" s="19"/>
      <c r="L1029" s="19"/>
      <c r="M1029" s="19"/>
      <c r="N1029" s="19"/>
      <c r="O1029" s="19"/>
    </row>
    <row r="1030">
      <c r="A1030" s="18"/>
      <c r="B1030" s="29"/>
      <c r="C1030" s="19"/>
      <c r="D1030" s="19"/>
      <c r="E1030" s="18"/>
      <c r="F1030" s="18" t="str">
        <f>IFERROR(__xludf.DUMMYFUNCTION("""COMPUTED_VALUE"""),"")</f>
        <v/>
      </c>
      <c r="G1030" s="18" t="str">
        <f>IFERROR(__xludf.DUMMYFUNCTION("""COMPUTED_VALUE"""),"")</f>
        <v/>
      </c>
      <c r="H1030" s="18" t="str">
        <f>IFERROR(__xludf.DUMMYFUNCTION("""COMPUTED_VALUE"""),"")</f>
        <v/>
      </c>
      <c r="I1030" s="18" t="str">
        <f>IFERROR(__xludf.DUMMYFUNCTION("""COMPUTED_VALUE"""),"")</f>
        <v/>
      </c>
      <c r="J1030" s="18" t="str">
        <f>IFERROR(__xludf.DUMMYFUNCTION("""COMPUTED_VALUE"""),"")</f>
        <v/>
      </c>
      <c r="K1030" s="19"/>
      <c r="L1030" s="19"/>
      <c r="M1030" s="19"/>
      <c r="N1030" s="19"/>
      <c r="O1030" s="19"/>
    </row>
    <row r="1031">
      <c r="A1031" s="18"/>
      <c r="B1031" s="29"/>
      <c r="C1031" s="19"/>
      <c r="D1031" s="19"/>
      <c r="E1031" s="18"/>
      <c r="F1031" s="18" t="str">
        <f>IFERROR(__xludf.DUMMYFUNCTION("""COMPUTED_VALUE"""),"")</f>
        <v/>
      </c>
      <c r="G1031" s="18" t="str">
        <f>IFERROR(__xludf.DUMMYFUNCTION("""COMPUTED_VALUE"""),"")</f>
        <v/>
      </c>
      <c r="H1031" s="18" t="str">
        <f>IFERROR(__xludf.DUMMYFUNCTION("""COMPUTED_VALUE"""),"")</f>
        <v/>
      </c>
      <c r="I1031" s="18" t="str">
        <f>IFERROR(__xludf.DUMMYFUNCTION("""COMPUTED_VALUE"""),"")</f>
        <v/>
      </c>
      <c r="J1031" s="18" t="str">
        <f>IFERROR(__xludf.DUMMYFUNCTION("""COMPUTED_VALUE"""),"")</f>
        <v/>
      </c>
      <c r="K1031" s="19"/>
      <c r="L1031" s="19"/>
      <c r="M1031" s="19"/>
      <c r="N1031" s="19"/>
      <c r="O1031" s="19"/>
    </row>
    <row r="1032">
      <c r="A1032" s="18"/>
      <c r="B1032" s="29"/>
      <c r="C1032" s="19"/>
      <c r="D1032" s="19"/>
      <c r="E1032" s="18"/>
      <c r="F1032" s="18" t="str">
        <f>IFERROR(__xludf.DUMMYFUNCTION("""COMPUTED_VALUE"""),"")</f>
        <v/>
      </c>
      <c r="G1032" s="18" t="str">
        <f>IFERROR(__xludf.DUMMYFUNCTION("""COMPUTED_VALUE"""),"")</f>
        <v/>
      </c>
      <c r="H1032" s="18" t="str">
        <f>IFERROR(__xludf.DUMMYFUNCTION("""COMPUTED_VALUE"""),"")</f>
        <v/>
      </c>
      <c r="I1032" s="18" t="str">
        <f>IFERROR(__xludf.DUMMYFUNCTION("""COMPUTED_VALUE"""),"")</f>
        <v/>
      </c>
      <c r="J1032" s="18" t="str">
        <f>IFERROR(__xludf.DUMMYFUNCTION("""COMPUTED_VALUE"""),"")</f>
        <v/>
      </c>
      <c r="K1032" s="19"/>
      <c r="L1032" s="19"/>
      <c r="M1032" s="19"/>
      <c r="N1032" s="19"/>
      <c r="O1032" s="19"/>
    </row>
    <row r="1033">
      <c r="A1033" s="18"/>
      <c r="B1033" s="29"/>
      <c r="C1033" s="19"/>
      <c r="D1033" s="19"/>
      <c r="E1033" s="18"/>
      <c r="F1033" s="18" t="str">
        <f>IFERROR(__xludf.DUMMYFUNCTION("""COMPUTED_VALUE"""),"")</f>
        <v/>
      </c>
      <c r="G1033" s="18" t="str">
        <f>IFERROR(__xludf.DUMMYFUNCTION("""COMPUTED_VALUE"""),"")</f>
        <v/>
      </c>
      <c r="H1033" s="18" t="str">
        <f>IFERROR(__xludf.DUMMYFUNCTION("""COMPUTED_VALUE"""),"")</f>
        <v/>
      </c>
      <c r="I1033" s="18" t="str">
        <f>IFERROR(__xludf.DUMMYFUNCTION("""COMPUTED_VALUE"""),"")</f>
        <v/>
      </c>
      <c r="J1033" s="18" t="str">
        <f>IFERROR(__xludf.DUMMYFUNCTION("""COMPUTED_VALUE"""),"")</f>
        <v/>
      </c>
      <c r="K1033" s="19"/>
      <c r="L1033" s="19"/>
      <c r="M1033" s="19"/>
      <c r="N1033" s="19"/>
      <c r="O1033" s="19"/>
    </row>
    <row r="1034">
      <c r="A1034" s="18"/>
      <c r="B1034" s="29"/>
      <c r="C1034" s="19"/>
      <c r="D1034" s="19"/>
      <c r="E1034" s="18"/>
      <c r="F1034" s="18" t="str">
        <f>IFERROR(__xludf.DUMMYFUNCTION("""COMPUTED_VALUE"""),"")</f>
        <v/>
      </c>
      <c r="G1034" s="18" t="str">
        <f>IFERROR(__xludf.DUMMYFUNCTION("""COMPUTED_VALUE"""),"")</f>
        <v/>
      </c>
      <c r="H1034" s="18" t="str">
        <f>IFERROR(__xludf.DUMMYFUNCTION("""COMPUTED_VALUE"""),"")</f>
        <v/>
      </c>
      <c r="I1034" s="18" t="str">
        <f>IFERROR(__xludf.DUMMYFUNCTION("""COMPUTED_VALUE"""),"")</f>
        <v/>
      </c>
      <c r="J1034" s="18" t="str">
        <f>IFERROR(__xludf.DUMMYFUNCTION("""COMPUTED_VALUE"""),"")</f>
        <v/>
      </c>
      <c r="K1034" s="19"/>
      <c r="L1034" s="19"/>
      <c r="M1034" s="19"/>
      <c r="N1034" s="19"/>
      <c r="O1034" s="19"/>
    </row>
    <row r="1035">
      <c r="A1035" s="18"/>
      <c r="B1035" s="29"/>
      <c r="C1035" s="19"/>
      <c r="D1035" s="19"/>
      <c r="E1035" s="18"/>
      <c r="F1035" s="18" t="str">
        <f>IFERROR(__xludf.DUMMYFUNCTION("""COMPUTED_VALUE"""),"")</f>
        <v/>
      </c>
      <c r="G1035" s="18" t="str">
        <f>IFERROR(__xludf.DUMMYFUNCTION("""COMPUTED_VALUE"""),"")</f>
        <v/>
      </c>
      <c r="H1035" s="18" t="str">
        <f>IFERROR(__xludf.DUMMYFUNCTION("""COMPUTED_VALUE"""),"")</f>
        <v/>
      </c>
      <c r="I1035" s="18" t="str">
        <f>IFERROR(__xludf.DUMMYFUNCTION("""COMPUTED_VALUE"""),"")</f>
        <v/>
      </c>
      <c r="J1035" s="18" t="str">
        <f>IFERROR(__xludf.DUMMYFUNCTION("""COMPUTED_VALUE"""),"")</f>
        <v/>
      </c>
      <c r="K1035" s="19"/>
      <c r="L1035" s="19"/>
      <c r="M1035" s="19"/>
      <c r="N1035" s="19"/>
      <c r="O1035" s="19"/>
    </row>
    <row r="1036">
      <c r="A1036" s="18"/>
      <c r="B1036" s="29"/>
      <c r="C1036" s="19"/>
      <c r="D1036" s="19"/>
      <c r="E1036" s="18"/>
      <c r="F1036" s="18" t="str">
        <f>IFERROR(__xludf.DUMMYFUNCTION("""COMPUTED_VALUE"""),"")</f>
        <v/>
      </c>
      <c r="G1036" s="18" t="str">
        <f>IFERROR(__xludf.DUMMYFUNCTION("""COMPUTED_VALUE"""),"")</f>
        <v/>
      </c>
      <c r="H1036" s="18" t="str">
        <f>IFERROR(__xludf.DUMMYFUNCTION("""COMPUTED_VALUE"""),"")</f>
        <v/>
      </c>
      <c r="I1036" s="18" t="str">
        <f>IFERROR(__xludf.DUMMYFUNCTION("""COMPUTED_VALUE"""),"")</f>
        <v/>
      </c>
      <c r="J1036" s="18" t="str">
        <f>IFERROR(__xludf.DUMMYFUNCTION("""COMPUTED_VALUE"""),"")</f>
        <v/>
      </c>
      <c r="K1036" s="19"/>
      <c r="L1036" s="19"/>
      <c r="M1036" s="19"/>
      <c r="N1036" s="19"/>
      <c r="O1036" s="19"/>
    </row>
    <row r="1037">
      <c r="A1037" s="18"/>
      <c r="B1037" s="29"/>
      <c r="C1037" s="19"/>
      <c r="D1037" s="19"/>
      <c r="E1037" s="18"/>
      <c r="F1037" s="18" t="str">
        <f>IFERROR(__xludf.DUMMYFUNCTION("""COMPUTED_VALUE"""),"")</f>
        <v/>
      </c>
      <c r="G1037" s="18" t="str">
        <f>IFERROR(__xludf.DUMMYFUNCTION("""COMPUTED_VALUE"""),"")</f>
        <v/>
      </c>
      <c r="H1037" s="18" t="str">
        <f>IFERROR(__xludf.DUMMYFUNCTION("""COMPUTED_VALUE"""),"")</f>
        <v/>
      </c>
      <c r="I1037" s="18" t="str">
        <f>IFERROR(__xludf.DUMMYFUNCTION("""COMPUTED_VALUE"""),"")</f>
        <v/>
      </c>
      <c r="J1037" s="18" t="str">
        <f>IFERROR(__xludf.DUMMYFUNCTION("""COMPUTED_VALUE"""),"")</f>
        <v/>
      </c>
      <c r="K1037" s="19"/>
      <c r="L1037" s="19"/>
      <c r="M1037" s="19"/>
      <c r="N1037" s="19"/>
      <c r="O1037" s="19"/>
    </row>
    <row r="1038">
      <c r="A1038" s="18"/>
      <c r="B1038" s="29"/>
      <c r="C1038" s="19"/>
      <c r="D1038" s="19"/>
      <c r="E1038" s="18"/>
      <c r="F1038" s="18" t="str">
        <f>IFERROR(__xludf.DUMMYFUNCTION("""COMPUTED_VALUE"""),"")</f>
        <v/>
      </c>
      <c r="G1038" s="18" t="str">
        <f>IFERROR(__xludf.DUMMYFUNCTION("""COMPUTED_VALUE"""),"")</f>
        <v/>
      </c>
      <c r="H1038" s="18" t="str">
        <f>IFERROR(__xludf.DUMMYFUNCTION("""COMPUTED_VALUE"""),"")</f>
        <v/>
      </c>
      <c r="I1038" s="18" t="str">
        <f>IFERROR(__xludf.DUMMYFUNCTION("""COMPUTED_VALUE"""),"")</f>
        <v/>
      </c>
      <c r="J1038" s="18" t="str">
        <f>IFERROR(__xludf.DUMMYFUNCTION("""COMPUTED_VALUE"""),"")</f>
        <v/>
      </c>
      <c r="K1038" s="19"/>
      <c r="L1038" s="19"/>
      <c r="M1038" s="19"/>
      <c r="N1038" s="19"/>
      <c r="O1038" s="19"/>
    </row>
    <row r="1039">
      <c r="A1039" s="18"/>
      <c r="B1039" s="29"/>
      <c r="C1039" s="19"/>
      <c r="D1039" s="19"/>
      <c r="E1039" s="18"/>
      <c r="F1039" s="18" t="str">
        <f>IFERROR(__xludf.DUMMYFUNCTION("""COMPUTED_VALUE"""),"")</f>
        <v/>
      </c>
      <c r="G1039" s="18" t="str">
        <f>IFERROR(__xludf.DUMMYFUNCTION("""COMPUTED_VALUE"""),"")</f>
        <v/>
      </c>
      <c r="H1039" s="18" t="str">
        <f>IFERROR(__xludf.DUMMYFUNCTION("""COMPUTED_VALUE"""),"")</f>
        <v/>
      </c>
      <c r="I1039" s="18" t="str">
        <f>IFERROR(__xludf.DUMMYFUNCTION("""COMPUTED_VALUE"""),"")</f>
        <v/>
      </c>
      <c r="J1039" s="18" t="str">
        <f>IFERROR(__xludf.DUMMYFUNCTION("""COMPUTED_VALUE"""),"")</f>
        <v/>
      </c>
      <c r="K1039" s="19"/>
      <c r="L1039" s="19"/>
      <c r="M1039" s="19"/>
      <c r="N1039" s="19"/>
      <c r="O1039" s="19"/>
    </row>
    <row r="1040">
      <c r="A1040" s="18"/>
      <c r="B1040" s="29"/>
      <c r="C1040" s="19"/>
      <c r="D1040" s="19"/>
      <c r="E1040" s="18"/>
      <c r="F1040" s="18" t="str">
        <f>IFERROR(__xludf.DUMMYFUNCTION("""COMPUTED_VALUE"""),"")</f>
        <v/>
      </c>
      <c r="G1040" s="18" t="str">
        <f>IFERROR(__xludf.DUMMYFUNCTION("""COMPUTED_VALUE"""),"")</f>
        <v/>
      </c>
      <c r="H1040" s="18" t="str">
        <f>IFERROR(__xludf.DUMMYFUNCTION("""COMPUTED_VALUE"""),"")</f>
        <v/>
      </c>
      <c r="I1040" s="18" t="str">
        <f>IFERROR(__xludf.DUMMYFUNCTION("""COMPUTED_VALUE"""),"")</f>
        <v/>
      </c>
      <c r="J1040" s="18" t="str">
        <f>IFERROR(__xludf.DUMMYFUNCTION("""COMPUTED_VALUE"""),"")</f>
        <v/>
      </c>
      <c r="K1040" s="19"/>
      <c r="L1040" s="19"/>
      <c r="M1040" s="19"/>
      <c r="N1040" s="19"/>
      <c r="O1040" s="19"/>
    </row>
    <row r="1041">
      <c r="A1041" s="18"/>
      <c r="B1041" s="29"/>
      <c r="C1041" s="19"/>
      <c r="D1041" s="19"/>
      <c r="E1041" s="18"/>
      <c r="F1041" s="18" t="str">
        <f>IFERROR(__xludf.DUMMYFUNCTION("""COMPUTED_VALUE"""),"")</f>
        <v/>
      </c>
      <c r="G1041" s="18" t="str">
        <f>IFERROR(__xludf.DUMMYFUNCTION("""COMPUTED_VALUE"""),"")</f>
        <v/>
      </c>
      <c r="H1041" s="18" t="str">
        <f>IFERROR(__xludf.DUMMYFUNCTION("""COMPUTED_VALUE"""),"")</f>
        <v/>
      </c>
      <c r="I1041" s="18" t="str">
        <f>IFERROR(__xludf.DUMMYFUNCTION("""COMPUTED_VALUE"""),"")</f>
        <v/>
      </c>
      <c r="J1041" s="18" t="str">
        <f>IFERROR(__xludf.DUMMYFUNCTION("""COMPUTED_VALUE"""),"")</f>
        <v/>
      </c>
      <c r="K1041" s="19"/>
      <c r="L1041" s="19"/>
      <c r="M1041" s="19"/>
      <c r="N1041" s="19"/>
      <c r="O1041" s="19"/>
    </row>
    <row r="1042">
      <c r="A1042" s="18"/>
      <c r="B1042" s="29"/>
      <c r="C1042" s="19"/>
      <c r="D1042" s="19"/>
      <c r="E1042" s="18"/>
      <c r="F1042" s="18" t="str">
        <f>IFERROR(__xludf.DUMMYFUNCTION("""COMPUTED_VALUE"""),"")</f>
        <v/>
      </c>
      <c r="G1042" s="18" t="str">
        <f>IFERROR(__xludf.DUMMYFUNCTION("""COMPUTED_VALUE"""),"")</f>
        <v/>
      </c>
      <c r="H1042" s="18" t="str">
        <f>IFERROR(__xludf.DUMMYFUNCTION("""COMPUTED_VALUE"""),"")</f>
        <v/>
      </c>
      <c r="I1042" s="18" t="str">
        <f>IFERROR(__xludf.DUMMYFUNCTION("""COMPUTED_VALUE"""),"")</f>
        <v/>
      </c>
      <c r="J1042" s="18" t="str">
        <f>IFERROR(__xludf.DUMMYFUNCTION("""COMPUTED_VALUE"""),"")</f>
        <v/>
      </c>
      <c r="K1042" s="19"/>
      <c r="L1042" s="19"/>
      <c r="M1042" s="19"/>
      <c r="N1042" s="19"/>
      <c r="O1042" s="19"/>
    </row>
    <row r="1043">
      <c r="A1043" s="18"/>
      <c r="B1043" s="29"/>
      <c r="C1043" s="19"/>
      <c r="D1043" s="19"/>
      <c r="E1043" s="18"/>
      <c r="F1043" s="18" t="str">
        <f>IFERROR(__xludf.DUMMYFUNCTION("""COMPUTED_VALUE"""),"")</f>
        <v/>
      </c>
      <c r="G1043" s="18" t="str">
        <f>IFERROR(__xludf.DUMMYFUNCTION("""COMPUTED_VALUE"""),"")</f>
        <v/>
      </c>
      <c r="H1043" s="18" t="str">
        <f>IFERROR(__xludf.DUMMYFUNCTION("""COMPUTED_VALUE"""),"")</f>
        <v/>
      </c>
      <c r="I1043" s="18" t="str">
        <f>IFERROR(__xludf.DUMMYFUNCTION("""COMPUTED_VALUE"""),"")</f>
        <v/>
      </c>
      <c r="J1043" s="18" t="str">
        <f>IFERROR(__xludf.DUMMYFUNCTION("""COMPUTED_VALUE"""),"")</f>
        <v/>
      </c>
      <c r="K1043" s="19"/>
      <c r="L1043" s="19"/>
      <c r="M1043" s="19"/>
      <c r="N1043" s="19"/>
      <c r="O1043" s="19"/>
    </row>
    <row r="1044">
      <c r="A1044" s="18"/>
      <c r="B1044" s="29"/>
      <c r="C1044" s="19"/>
      <c r="D1044" s="19"/>
      <c r="E1044" s="18"/>
      <c r="F1044" s="18" t="str">
        <f>IFERROR(__xludf.DUMMYFUNCTION("""COMPUTED_VALUE"""),"")</f>
        <v/>
      </c>
      <c r="G1044" s="18" t="str">
        <f>IFERROR(__xludf.DUMMYFUNCTION("""COMPUTED_VALUE"""),"")</f>
        <v/>
      </c>
      <c r="H1044" s="18" t="str">
        <f>IFERROR(__xludf.DUMMYFUNCTION("""COMPUTED_VALUE"""),"")</f>
        <v/>
      </c>
      <c r="I1044" s="18" t="str">
        <f>IFERROR(__xludf.DUMMYFUNCTION("""COMPUTED_VALUE"""),"")</f>
        <v/>
      </c>
      <c r="J1044" s="18" t="str">
        <f>IFERROR(__xludf.DUMMYFUNCTION("""COMPUTED_VALUE"""),"")</f>
        <v/>
      </c>
      <c r="K1044" s="19"/>
      <c r="L1044" s="19"/>
      <c r="M1044" s="19"/>
      <c r="N1044" s="19"/>
      <c r="O1044" s="19"/>
    </row>
    <row r="1045">
      <c r="A1045" s="18"/>
      <c r="B1045" s="29"/>
      <c r="C1045" s="19"/>
      <c r="D1045" s="19"/>
      <c r="E1045" s="18"/>
      <c r="F1045" s="18" t="str">
        <f>IFERROR(__xludf.DUMMYFUNCTION("""COMPUTED_VALUE"""),"")</f>
        <v/>
      </c>
      <c r="G1045" s="18" t="str">
        <f>IFERROR(__xludf.DUMMYFUNCTION("""COMPUTED_VALUE"""),"")</f>
        <v/>
      </c>
      <c r="H1045" s="18" t="str">
        <f>IFERROR(__xludf.DUMMYFUNCTION("""COMPUTED_VALUE"""),"")</f>
        <v/>
      </c>
      <c r="I1045" s="18" t="str">
        <f>IFERROR(__xludf.DUMMYFUNCTION("""COMPUTED_VALUE"""),"")</f>
        <v/>
      </c>
      <c r="J1045" s="18" t="str">
        <f>IFERROR(__xludf.DUMMYFUNCTION("""COMPUTED_VALUE"""),"")</f>
        <v/>
      </c>
      <c r="K1045" s="19"/>
      <c r="L1045" s="19"/>
      <c r="M1045" s="19"/>
      <c r="N1045" s="19"/>
      <c r="O1045" s="19"/>
    </row>
    <row r="1046">
      <c r="A1046" s="18"/>
      <c r="B1046" s="29"/>
      <c r="C1046" s="19"/>
      <c r="D1046" s="19"/>
      <c r="E1046" s="18"/>
      <c r="F1046" s="18" t="str">
        <f>IFERROR(__xludf.DUMMYFUNCTION("""COMPUTED_VALUE"""),"")</f>
        <v/>
      </c>
      <c r="G1046" s="18" t="str">
        <f>IFERROR(__xludf.DUMMYFUNCTION("""COMPUTED_VALUE"""),"")</f>
        <v/>
      </c>
      <c r="H1046" s="18" t="str">
        <f>IFERROR(__xludf.DUMMYFUNCTION("""COMPUTED_VALUE"""),"")</f>
        <v/>
      </c>
      <c r="I1046" s="18" t="str">
        <f>IFERROR(__xludf.DUMMYFUNCTION("""COMPUTED_VALUE"""),"")</f>
        <v/>
      </c>
      <c r="J1046" s="18" t="str">
        <f>IFERROR(__xludf.DUMMYFUNCTION("""COMPUTED_VALUE"""),"")</f>
        <v/>
      </c>
      <c r="K1046" s="19"/>
      <c r="L1046" s="19"/>
      <c r="M1046" s="19"/>
      <c r="N1046" s="19"/>
      <c r="O1046" s="19"/>
    </row>
    <row r="1047">
      <c r="A1047" s="18"/>
      <c r="B1047" s="29"/>
      <c r="C1047" s="19"/>
      <c r="D1047" s="19"/>
      <c r="E1047" s="18"/>
      <c r="F1047" s="18" t="str">
        <f>IFERROR(__xludf.DUMMYFUNCTION("""COMPUTED_VALUE"""),"")</f>
        <v/>
      </c>
      <c r="G1047" s="18" t="str">
        <f>IFERROR(__xludf.DUMMYFUNCTION("""COMPUTED_VALUE"""),"")</f>
        <v/>
      </c>
      <c r="H1047" s="18" t="str">
        <f>IFERROR(__xludf.DUMMYFUNCTION("""COMPUTED_VALUE"""),"")</f>
        <v/>
      </c>
      <c r="I1047" s="18" t="str">
        <f>IFERROR(__xludf.DUMMYFUNCTION("""COMPUTED_VALUE"""),"")</f>
        <v/>
      </c>
      <c r="J1047" s="18" t="str">
        <f>IFERROR(__xludf.DUMMYFUNCTION("""COMPUTED_VALUE"""),"")</f>
        <v/>
      </c>
      <c r="K1047" s="19"/>
      <c r="L1047" s="19"/>
      <c r="M1047" s="19"/>
      <c r="N1047" s="19"/>
      <c r="O1047" s="19"/>
    </row>
    <row r="1048">
      <c r="A1048" s="18"/>
      <c r="B1048" s="29"/>
      <c r="C1048" s="19"/>
      <c r="D1048" s="19"/>
      <c r="E1048" s="18"/>
      <c r="F1048" s="18" t="str">
        <f>IFERROR(__xludf.DUMMYFUNCTION("""COMPUTED_VALUE"""),"")</f>
        <v/>
      </c>
      <c r="G1048" s="18" t="str">
        <f>IFERROR(__xludf.DUMMYFUNCTION("""COMPUTED_VALUE"""),"")</f>
        <v/>
      </c>
      <c r="H1048" s="18" t="str">
        <f>IFERROR(__xludf.DUMMYFUNCTION("""COMPUTED_VALUE"""),"")</f>
        <v/>
      </c>
      <c r="I1048" s="18" t="str">
        <f>IFERROR(__xludf.DUMMYFUNCTION("""COMPUTED_VALUE"""),"")</f>
        <v/>
      </c>
      <c r="J1048" s="18" t="str">
        <f>IFERROR(__xludf.DUMMYFUNCTION("""COMPUTED_VALUE"""),"")</f>
        <v/>
      </c>
      <c r="K1048" s="19"/>
      <c r="L1048" s="19"/>
      <c r="M1048" s="19"/>
      <c r="N1048" s="19"/>
      <c r="O1048" s="19"/>
    </row>
    <row r="1049">
      <c r="A1049" s="18"/>
      <c r="B1049" s="29"/>
      <c r="C1049" s="19"/>
      <c r="D1049" s="19"/>
      <c r="E1049" s="18"/>
      <c r="F1049" s="18" t="str">
        <f>IFERROR(__xludf.DUMMYFUNCTION("""COMPUTED_VALUE"""),"")</f>
        <v/>
      </c>
      <c r="G1049" s="18" t="str">
        <f>IFERROR(__xludf.DUMMYFUNCTION("""COMPUTED_VALUE"""),"")</f>
        <v/>
      </c>
      <c r="H1049" s="18" t="str">
        <f>IFERROR(__xludf.DUMMYFUNCTION("""COMPUTED_VALUE"""),"")</f>
        <v/>
      </c>
      <c r="I1049" s="18" t="str">
        <f>IFERROR(__xludf.DUMMYFUNCTION("""COMPUTED_VALUE"""),"")</f>
        <v/>
      </c>
      <c r="J1049" s="18" t="str">
        <f>IFERROR(__xludf.DUMMYFUNCTION("""COMPUTED_VALUE"""),"")</f>
        <v/>
      </c>
      <c r="K1049" s="19"/>
      <c r="L1049" s="19"/>
      <c r="M1049" s="19"/>
      <c r="N1049" s="19"/>
      <c r="O1049" s="19"/>
    </row>
    <row r="1050">
      <c r="A1050" s="18"/>
      <c r="B1050" s="29"/>
      <c r="C1050" s="19"/>
      <c r="D1050" s="19"/>
      <c r="E1050" s="18"/>
      <c r="F1050" s="18" t="str">
        <f>IFERROR(__xludf.DUMMYFUNCTION("""COMPUTED_VALUE"""),"")</f>
        <v/>
      </c>
      <c r="G1050" s="18" t="str">
        <f>IFERROR(__xludf.DUMMYFUNCTION("""COMPUTED_VALUE"""),"")</f>
        <v/>
      </c>
      <c r="H1050" s="18" t="str">
        <f>IFERROR(__xludf.DUMMYFUNCTION("""COMPUTED_VALUE"""),"")</f>
        <v/>
      </c>
      <c r="I1050" s="18" t="str">
        <f>IFERROR(__xludf.DUMMYFUNCTION("""COMPUTED_VALUE"""),"")</f>
        <v/>
      </c>
      <c r="J1050" s="18" t="str">
        <f>IFERROR(__xludf.DUMMYFUNCTION("""COMPUTED_VALUE"""),"")</f>
        <v/>
      </c>
      <c r="K1050" s="19"/>
      <c r="L1050" s="19"/>
      <c r="M1050" s="19"/>
      <c r="N1050" s="19"/>
      <c r="O1050" s="19"/>
    </row>
    <row r="1051">
      <c r="A1051" s="18"/>
      <c r="B1051" s="29"/>
      <c r="C1051" s="19"/>
      <c r="D1051" s="19"/>
      <c r="E1051" s="18"/>
      <c r="F1051" s="18" t="str">
        <f>IFERROR(__xludf.DUMMYFUNCTION("""COMPUTED_VALUE"""),"")</f>
        <v/>
      </c>
      <c r="G1051" s="18" t="str">
        <f>IFERROR(__xludf.DUMMYFUNCTION("""COMPUTED_VALUE"""),"")</f>
        <v/>
      </c>
      <c r="H1051" s="18" t="str">
        <f>IFERROR(__xludf.DUMMYFUNCTION("""COMPUTED_VALUE"""),"")</f>
        <v/>
      </c>
      <c r="I1051" s="18" t="str">
        <f>IFERROR(__xludf.DUMMYFUNCTION("""COMPUTED_VALUE"""),"")</f>
        <v/>
      </c>
      <c r="J1051" s="18" t="str">
        <f>IFERROR(__xludf.DUMMYFUNCTION("""COMPUTED_VALUE"""),"")</f>
        <v/>
      </c>
      <c r="K1051" s="19"/>
      <c r="L1051" s="19"/>
      <c r="M1051" s="19"/>
      <c r="N1051" s="19"/>
      <c r="O1051" s="19"/>
    </row>
    <row r="1052">
      <c r="A1052" s="18"/>
      <c r="B1052" s="29"/>
      <c r="C1052" s="19"/>
      <c r="D1052" s="19"/>
      <c r="E1052" s="18"/>
      <c r="F1052" s="18" t="str">
        <f>IFERROR(__xludf.DUMMYFUNCTION("""COMPUTED_VALUE"""),"")</f>
        <v/>
      </c>
      <c r="G1052" s="18" t="str">
        <f>IFERROR(__xludf.DUMMYFUNCTION("""COMPUTED_VALUE"""),"")</f>
        <v/>
      </c>
      <c r="H1052" s="18" t="str">
        <f>IFERROR(__xludf.DUMMYFUNCTION("""COMPUTED_VALUE"""),"")</f>
        <v/>
      </c>
      <c r="I1052" s="18" t="str">
        <f>IFERROR(__xludf.DUMMYFUNCTION("""COMPUTED_VALUE"""),"")</f>
        <v/>
      </c>
      <c r="J1052" s="18" t="str">
        <f>IFERROR(__xludf.DUMMYFUNCTION("""COMPUTED_VALUE"""),"")</f>
        <v/>
      </c>
      <c r="K1052" s="19"/>
      <c r="L1052" s="19"/>
      <c r="M1052" s="19"/>
      <c r="N1052" s="19"/>
      <c r="O1052" s="19"/>
    </row>
    <row r="1053">
      <c r="A1053" s="18"/>
      <c r="B1053" s="29"/>
      <c r="C1053" s="19"/>
      <c r="D1053" s="19"/>
      <c r="E1053" s="18"/>
      <c r="F1053" s="18" t="str">
        <f>IFERROR(__xludf.DUMMYFUNCTION("""COMPUTED_VALUE"""),"")</f>
        <v/>
      </c>
      <c r="G1053" s="18" t="str">
        <f>IFERROR(__xludf.DUMMYFUNCTION("""COMPUTED_VALUE"""),"")</f>
        <v/>
      </c>
      <c r="H1053" s="18" t="str">
        <f>IFERROR(__xludf.DUMMYFUNCTION("""COMPUTED_VALUE"""),"")</f>
        <v/>
      </c>
      <c r="I1053" s="18" t="str">
        <f>IFERROR(__xludf.DUMMYFUNCTION("""COMPUTED_VALUE"""),"")</f>
        <v/>
      </c>
      <c r="J1053" s="18" t="str">
        <f>IFERROR(__xludf.DUMMYFUNCTION("""COMPUTED_VALUE"""),"")</f>
        <v/>
      </c>
      <c r="K1053" s="19"/>
      <c r="L1053" s="19"/>
      <c r="M1053" s="19"/>
      <c r="N1053" s="19"/>
      <c r="O1053" s="19"/>
    </row>
    <row r="1054">
      <c r="A1054" s="18"/>
      <c r="B1054" s="29"/>
      <c r="C1054" s="19"/>
      <c r="D1054" s="19"/>
      <c r="E1054" s="18"/>
      <c r="F1054" s="18" t="str">
        <f>IFERROR(__xludf.DUMMYFUNCTION("""COMPUTED_VALUE"""),"")</f>
        <v/>
      </c>
      <c r="G1054" s="18" t="str">
        <f>IFERROR(__xludf.DUMMYFUNCTION("""COMPUTED_VALUE"""),"")</f>
        <v/>
      </c>
      <c r="H1054" s="18" t="str">
        <f>IFERROR(__xludf.DUMMYFUNCTION("""COMPUTED_VALUE"""),"")</f>
        <v/>
      </c>
      <c r="I1054" s="18" t="str">
        <f>IFERROR(__xludf.DUMMYFUNCTION("""COMPUTED_VALUE"""),"")</f>
        <v/>
      </c>
      <c r="J1054" s="18" t="str">
        <f>IFERROR(__xludf.DUMMYFUNCTION("""COMPUTED_VALUE"""),"")</f>
        <v/>
      </c>
      <c r="K1054" s="19"/>
      <c r="L1054" s="19"/>
      <c r="M1054" s="19"/>
      <c r="N1054" s="19"/>
      <c r="O1054" s="19"/>
    </row>
    <row r="1055">
      <c r="A1055" s="18"/>
      <c r="B1055" s="29"/>
      <c r="C1055" s="19"/>
      <c r="D1055" s="19"/>
      <c r="E1055" s="18"/>
      <c r="F1055" s="18" t="str">
        <f>IFERROR(__xludf.DUMMYFUNCTION("""COMPUTED_VALUE"""),"")</f>
        <v/>
      </c>
      <c r="G1055" s="18" t="str">
        <f>IFERROR(__xludf.DUMMYFUNCTION("""COMPUTED_VALUE"""),"")</f>
        <v/>
      </c>
      <c r="H1055" s="18" t="str">
        <f>IFERROR(__xludf.DUMMYFUNCTION("""COMPUTED_VALUE"""),"")</f>
        <v/>
      </c>
      <c r="I1055" s="18" t="str">
        <f>IFERROR(__xludf.DUMMYFUNCTION("""COMPUTED_VALUE"""),"")</f>
        <v/>
      </c>
      <c r="J1055" s="18" t="str">
        <f>IFERROR(__xludf.DUMMYFUNCTION("""COMPUTED_VALUE"""),"")</f>
        <v/>
      </c>
      <c r="K1055" s="19"/>
      <c r="L1055" s="19"/>
      <c r="M1055" s="19"/>
      <c r="N1055" s="19"/>
      <c r="O1055" s="19"/>
    </row>
    <row r="1056">
      <c r="A1056" s="18"/>
      <c r="B1056" s="29"/>
      <c r="C1056" s="19"/>
      <c r="D1056" s="19"/>
      <c r="E1056" s="18"/>
      <c r="F1056" s="18" t="str">
        <f>IFERROR(__xludf.DUMMYFUNCTION("""COMPUTED_VALUE"""),"")</f>
        <v/>
      </c>
      <c r="G1056" s="18" t="str">
        <f>IFERROR(__xludf.DUMMYFUNCTION("""COMPUTED_VALUE"""),"")</f>
        <v/>
      </c>
      <c r="H1056" s="18" t="str">
        <f>IFERROR(__xludf.DUMMYFUNCTION("""COMPUTED_VALUE"""),"")</f>
        <v/>
      </c>
      <c r="I1056" s="18" t="str">
        <f>IFERROR(__xludf.DUMMYFUNCTION("""COMPUTED_VALUE"""),"")</f>
        <v/>
      </c>
      <c r="J1056" s="18" t="str">
        <f>IFERROR(__xludf.DUMMYFUNCTION("""COMPUTED_VALUE"""),"")</f>
        <v/>
      </c>
      <c r="K1056" s="19"/>
      <c r="L1056" s="19"/>
      <c r="M1056" s="19"/>
      <c r="N1056" s="19"/>
      <c r="O1056" s="19"/>
    </row>
    <row r="1057">
      <c r="A1057" s="18"/>
      <c r="B1057" s="29"/>
      <c r="C1057" s="19"/>
      <c r="D1057" s="19"/>
      <c r="E1057" s="18"/>
      <c r="F1057" s="18" t="str">
        <f>IFERROR(__xludf.DUMMYFUNCTION("""COMPUTED_VALUE"""),"")</f>
        <v/>
      </c>
      <c r="G1057" s="18" t="str">
        <f>IFERROR(__xludf.DUMMYFUNCTION("""COMPUTED_VALUE"""),"")</f>
        <v/>
      </c>
      <c r="H1057" s="18" t="str">
        <f>IFERROR(__xludf.DUMMYFUNCTION("""COMPUTED_VALUE"""),"")</f>
        <v/>
      </c>
      <c r="I1057" s="18" t="str">
        <f>IFERROR(__xludf.DUMMYFUNCTION("""COMPUTED_VALUE"""),"")</f>
        <v/>
      </c>
      <c r="J1057" s="18" t="str">
        <f>IFERROR(__xludf.DUMMYFUNCTION("""COMPUTED_VALUE"""),"")</f>
        <v/>
      </c>
      <c r="K1057" s="19"/>
      <c r="L1057" s="19"/>
      <c r="M1057" s="19"/>
      <c r="N1057" s="19"/>
      <c r="O1057" s="19"/>
    </row>
    <row r="1058">
      <c r="A1058" s="18"/>
      <c r="B1058" s="29"/>
      <c r="C1058" s="19"/>
      <c r="D1058" s="19"/>
      <c r="E1058" s="18"/>
      <c r="F1058" s="18" t="str">
        <f>IFERROR(__xludf.DUMMYFUNCTION("""COMPUTED_VALUE"""),"")</f>
        <v/>
      </c>
      <c r="G1058" s="18" t="str">
        <f>IFERROR(__xludf.DUMMYFUNCTION("""COMPUTED_VALUE"""),"")</f>
        <v/>
      </c>
      <c r="H1058" s="18" t="str">
        <f>IFERROR(__xludf.DUMMYFUNCTION("""COMPUTED_VALUE"""),"")</f>
        <v/>
      </c>
      <c r="I1058" s="18" t="str">
        <f>IFERROR(__xludf.DUMMYFUNCTION("""COMPUTED_VALUE"""),"")</f>
        <v/>
      </c>
      <c r="J1058" s="18" t="str">
        <f>IFERROR(__xludf.DUMMYFUNCTION("""COMPUTED_VALUE"""),"")</f>
        <v/>
      </c>
      <c r="K1058" s="19"/>
      <c r="L1058" s="19"/>
      <c r="M1058" s="19"/>
      <c r="N1058" s="19"/>
      <c r="O1058" s="19"/>
    </row>
    <row r="1059">
      <c r="A1059" s="18"/>
      <c r="B1059" s="29"/>
      <c r="C1059" s="19"/>
      <c r="D1059" s="19"/>
      <c r="E1059" s="18"/>
      <c r="F1059" s="18" t="str">
        <f>IFERROR(__xludf.DUMMYFUNCTION("""COMPUTED_VALUE"""),"")</f>
        <v/>
      </c>
      <c r="G1059" s="18" t="str">
        <f>IFERROR(__xludf.DUMMYFUNCTION("""COMPUTED_VALUE"""),"")</f>
        <v/>
      </c>
      <c r="H1059" s="18" t="str">
        <f>IFERROR(__xludf.DUMMYFUNCTION("""COMPUTED_VALUE"""),"")</f>
        <v/>
      </c>
      <c r="I1059" s="18" t="str">
        <f>IFERROR(__xludf.DUMMYFUNCTION("""COMPUTED_VALUE"""),"")</f>
        <v/>
      </c>
      <c r="J1059" s="18" t="str">
        <f>IFERROR(__xludf.DUMMYFUNCTION("""COMPUTED_VALUE"""),"")</f>
        <v/>
      </c>
      <c r="K1059" s="19"/>
      <c r="L1059" s="19"/>
      <c r="M1059" s="19"/>
      <c r="N1059" s="19"/>
      <c r="O1059" s="19"/>
    </row>
    <row r="1060">
      <c r="A1060" s="18"/>
      <c r="B1060" s="29"/>
      <c r="C1060" s="19"/>
      <c r="D1060" s="19"/>
      <c r="E1060" s="18"/>
      <c r="F1060" s="18" t="str">
        <f>IFERROR(__xludf.DUMMYFUNCTION("""COMPUTED_VALUE"""),"")</f>
        <v/>
      </c>
      <c r="G1060" s="18" t="str">
        <f>IFERROR(__xludf.DUMMYFUNCTION("""COMPUTED_VALUE"""),"")</f>
        <v/>
      </c>
      <c r="H1060" s="18" t="str">
        <f>IFERROR(__xludf.DUMMYFUNCTION("""COMPUTED_VALUE"""),"")</f>
        <v/>
      </c>
      <c r="I1060" s="18" t="str">
        <f>IFERROR(__xludf.DUMMYFUNCTION("""COMPUTED_VALUE"""),"")</f>
        <v/>
      </c>
      <c r="J1060" s="18" t="str">
        <f>IFERROR(__xludf.DUMMYFUNCTION("""COMPUTED_VALUE"""),"")</f>
        <v/>
      </c>
      <c r="K1060" s="19"/>
      <c r="L1060" s="19"/>
      <c r="M1060" s="19"/>
      <c r="N1060" s="19"/>
      <c r="O1060" s="19"/>
    </row>
    <row r="1061">
      <c r="A1061" s="18"/>
      <c r="B1061" s="29"/>
      <c r="C1061" s="19"/>
      <c r="D1061" s="19"/>
      <c r="E1061" s="18"/>
      <c r="F1061" s="18" t="str">
        <f>IFERROR(__xludf.DUMMYFUNCTION("""COMPUTED_VALUE"""),"")</f>
        <v/>
      </c>
      <c r="G1061" s="18" t="str">
        <f>IFERROR(__xludf.DUMMYFUNCTION("""COMPUTED_VALUE"""),"")</f>
        <v/>
      </c>
      <c r="H1061" s="18" t="str">
        <f>IFERROR(__xludf.DUMMYFUNCTION("""COMPUTED_VALUE"""),"")</f>
        <v/>
      </c>
      <c r="I1061" s="18" t="str">
        <f>IFERROR(__xludf.DUMMYFUNCTION("""COMPUTED_VALUE"""),"")</f>
        <v/>
      </c>
      <c r="J1061" s="18" t="str">
        <f>IFERROR(__xludf.DUMMYFUNCTION("""COMPUTED_VALUE"""),"")</f>
        <v/>
      </c>
      <c r="K1061" s="19"/>
      <c r="L1061" s="19"/>
      <c r="M1061" s="19"/>
      <c r="N1061" s="19"/>
      <c r="O1061" s="19"/>
    </row>
    <row r="1062">
      <c r="A1062" s="18"/>
      <c r="B1062" s="29"/>
      <c r="C1062" s="19"/>
      <c r="D1062" s="19"/>
      <c r="E1062" s="18"/>
      <c r="F1062" s="18" t="str">
        <f>IFERROR(__xludf.DUMMYFUNCTION("""COMPUTED_VALUE"""),"")</f>
        <v/>
      </c>
      <c r="G1062" s="18" t="str">
        <f>IFERROR(__xludf.DUMMYFUNCTION("""COMPUTED_VALUE"""),"")</f>
        <v/>
      </c>
      <c r="H1062" s="18" t="str">
        <f>IFERROR(__xludf.DUMMYFUNCTION("""COMPUTED_VALUE"""),"")</f>
        <v/>
      </c>
      <c r="I1062" s="18" t="str">
        <f>IFERROR(__xludf.DUMMYFUNCTION("""COMPUTED_VALUE"""),"")</f>
        <v/>
      </c>
      <c r="J1062" s="18" t="str">
        <f>IFERROR(__xludf.DUMMYFUNCTION("""COMPUTED_VALUE"""),"")</f>
        <v/>
      </c>
      <c r="K1062" s="19"/>
      <c r="L1062" s="19"/>
      <c r="M1062" s="19"/>
      <c r="N1062" s="19"/>
      <c r="O1062" s="19"/>
    </row>
    <row r="1063">
      <c r="A1063" s="18"/>
      <c r="B1063" s="29"/>
      <c r="C1063" s="19"/>
      <c r="D1063" s="19"/>
      <c r="E1063" s="18"/>
      <c r="F1063" s="18" t="str">
        <f>IFERROR(__xludf.DUMMYFUNCTION("""COMPUTED_VALUE"""),"")</f>
        <v/>
      </c>
      <c r="G1063" s="18" t="str">
        <f>IFERROR(__xludf.DUMMYFUNCTION("""COMPUTED_VALUE"""),"")</f>
        <v/>
      </c>
      <c r="H1063" s="18" t="str">
        <f>IFERROR(__xludf.DUMMYFUNCTION("""COMPUTED_VALUE"""),"")</f>
        <v/>
      </c>
      <c r="I1063" s="18" t="str">
        <f>IFERROR(__xludf.DUMMYFUNCTION("""COMPUTED_VALUE"""),"")</f>
        <v/>
      </c>
      <c r="J1063" s="18" t="str">
        <f>IFERROR(__xludf.DUMMYFUNCTION("""COMPUTED_VALUE"""),"")</f>
        <v/>
      </c>
      <c r="K1063" s="19"/>
      <c r="L1063" s="19"/>
      <c r="M1063" s="19"/>
      <c r="N1063" s="19"/>
      <c r="O1063" s="19"/>
    </row>
    <row r="1064">
      <c r="A1064" s="18"/>
      <c r="B1064" s="29"/>
      <c r="C1064" s="19"/>
      <c r="D1064" s="19"/>
      <c r="E1064" s="18"/>
      <c r="F1064" s="18" t="str">
        <f>IFERROR(__xludf.DUMMYFUNCTION("""COMPUTED_VALUE"""),"")</f>
        <v/>
      </c>
      <c r="G1064" s="18" t="str">
        <f>IFERROR(__xludf.DUMMYFUNCTION("""COMPUTED_VALUE"""),"")</f>
        <v/>
      </c>
      <c r="H1064" s="18" t="str">
        <f>IFERROR(__xludf.DUMMYFUNCTION("""COMPUTED_VALUE"""),"")</f>
        <v/>
      </c>
      <c r="I1064" s="18" t="str">
        <f>IFERROR(__xludf.DUMMYFUNCTION("""COMPUTED_VALUE"""),"")</f>
        <v/>
      </c>
      <c r="J1064" s="18" t="str">
        <f>IFERROR(__xludf.DUMMYFUNCTION("""COMPUTED_VALUE"""),"")</f>
        <v/>
      </c>
      <c r="K1064" s="19"/>
      <c r="L1064" s="19"/>
      <c r="M1064" s="19"/>
      <c r="N1064" s="19"/>
      <c r="O1064" s="19"/>
    </row>
    <row r="1065">
      <c r="A1065" s="18"/>
      <c r="B1065" s="29"/>
      <c r="C1065" s="19"/>
      <c r="D1065" s="19"/>
      <c r="E1065" s="18"/>
      <c r="F1065" s="18" t="str">
        <f>IFERROR(__xludf.DUMMYFUNCTION("""COMPUTED_VALUE"""),"")</f>
        <v/>
      </c>
      <c r="G1065" s="18" t="str">
        <f>IFERROR(__xludf.DUMMYFUNCTION("""COMPUTED_VALUE"""),"")</f>
        <v/>
      </c>
      <c r="H1065" s="18" t="str">
        <f>IFERROR(__xludf.DUMMYFUNCTION("""COMPUTED_VALUE"""),"")</f>
        <v/>
      </c>
      <c r="I1065" s="18" t="str">
        <f>IFERROR(__xludf.DUMMYFUNCTION("""COMPUTED_VALUE"""),"")</f>
        <v/>
      </c>
      <c r="J1065" s="18" t="str">
        <f>IFERROR(__xludf.DUMMYFUNCTION("""COMPUTED_VALUE"""),"")</f>
        <v/>
      </c>
      <c r="K1065" s="19"/>
      <c r="L1065" s="19"/>
      <c r="M1065" s="19"/>
      <c r="N1065" s="19"/>
      <c r="O1065" s="19"/>
    </row>
    <row r="1066">
      <c r="A1066" s="18"/>
      <c r="B1066" s="29"/>
      <c r="C1066" s="19"/>
      <c r="D1066" s="19"/>
      <c r="E1066" s="18"/>
      <c r="F1066" s="18" t="str">
        <f>IFERROR(__xludf.DUMMYFUNCTION("""COMPUTED_VALUE"""),"")</f>
        <v/>
      </c>
      <c r="G1066" s="18" t="str">
        <f>IFERROR(__xludf.DUMMYFUNCTION("""COMPUTED_VALUE"""),"")</f>
        <v/>
      </c>
      <c r="H1066" s="18" t="str">
        <f>IFERROR(__xludf.DUMMYFUNCTION("""COMPUTED_VALUE"""),"")</f>
        <v/>
      </c>
      <c r="I1066" s="18" t="str">
        <f>IFERROR(__xludf.DUMMYFUNCTION("""COMPUTED_VALUE"""),"")</f>
        <v/>
      </c>
      <c r="J1066" s="18" t="str">
        <f>IFERROR(__xludf.DUMMYFUNCTION("""COMPUTED_VALUE"""),"")</f>
        <v/>
      </c>
      <c r="K1066" s="19"/>
      <c r="L1066" s="19"/>
      <c r="M1066" s="19"/>
      <c r="N1066" s="19"/>
      <c r="O1066" s="19"/>
    </row>
    <row r="1067">
      <c r="A1067" s="18"/>
      <c r="B1067" s="29"/>
      <c r="C1067" s="19"/>
      <c r="D1067" s="19"/>
      <c r="E1067" s="18"/>
      <c r="F1067" s="18" t="str">
        <f>IFERROR(__xludf.DUMMYFUNCTION("""COMPUTED_VALUE"""),"")</f>
        <v/>
      </c>
      <c r="G1067" s="18" t="str">
        <f>IFERROR(__xludf.DUMMYFUNCTION("""COMPUTED_VALUE"""),"")</f>
        <v/>
      </c>
      <c r="H1067" s="18" t="str">
        <f>IFERROR(__xludf.DUMMYFUNCTION("""COMPUTED_VALUE"""),"")</f>
        <v/>
      </c>
      <c r="I1067" s="18" t="str">
        <f>IFERROR(__xludf.DUMMYFUNCTION("""COMPUTED_VALUE"""),"")</f>
        <v/>
      </c>
      <c r="J1067" s="18" t="str">
        <f>IFERROR(__xludf.DUMMYFUNCTION("""COMPUTED_VALUE"""),"")</f>
        <v/>
      </c>
      <c r="K1067" s="19"/>
      <c r="L1067" s="19"/>
      <c r="M1067" s="19"/>
      <c r="N1067" s="19"/>
      <c r="O1067" s="19"/>
    </row>
    <row r="1068">
      <c r="A1068" s="18"/>
      <c r="B1068" s="29"/>
      <c r="C1068" s="19"/>
      <c r="D1068" s="19"/>
      <c r="E1068" s="18"/>
      <c r="F1068" s="18" t="str">
        <f>IFERROR(__xludf.DUMMYFUNCTION("""COMPUTED_VALUE"""),"")</f>
        <v/>
      </c>
      <c r="G1068" s="18" t="str">
        <f>IFERROR(__xludf.DUMMYFUNCTION("""COMPUTED_VALUE"""),"")</f>
        <v/>
      </c>
      <c r="H1068" s="18" t="str">
        <f>IFERROR(__xludf.DUMMYFUNCTION("""COMPUTED_VALUE"""),"")</f>
        <v/>
      </c>
      <c r="I1068" s="18" t="str">
        <f>IFERROR(__xludf.DUMMYFUNCTION("""COMPUTED_VALUE"""),"")</f>
        <v/>
      </c>
      <c r="J1068" s="18" t="str">
        <f>IFERROR(__xludf.DUMMYFUNCTION("""COMPUTED_VALUE"""),"")</f>
        <v/>
      </c>
      <c r="K1068" s="19"/>
      <c r="L1068" s="19"/>
      <c r="M1068" s="19"/>
      <c r="N1068" s="19"/>
      <c r="O1068" s="19"/>
    </row>
    <row r="1069">
      <c r="A1069" s="18"/>
      <c r="B1069" s="29"/>
      <c r="C1069" s="19"/>
      <c r="D1069" s="19"/>
      <c r="E1069" s="18"/>
      <c r="F1069" s="18" t="str">
        <f>IFERROR(__xludf.DUMMYFUNCTION("""COMPUTED_VALUE"""),"")</f>
        <v/>
      </c>
      <c r="G1069" s="18" t="str">
        <f>IFERROR(__xludf.DUMMYFUNCTION("""COMPUTED_VALUE"""),"")</f>
        <v/>
      </c>
      <c r="H1069" s="18" t="str">
        <f>IFERROR(__xludf.DUMMYFUNCTION("""COMPUTED_VALUE"""),"")</f>
        <v/>
      </c>
      <c r="I1069" s="18" t="str">
        <f>IFERROR(__xludf.DUMMYFUNCTION("""COMPUTED_VALUE"""),"")</f>
        <v/>
      </c>
      <c r="J1069" s="18" t="str">
        <f>IFERROR(__xludf.DUMMYFUNCTION("""COMPUTED_VALUE"""),"")</f>
        <v/>
      </c>
      <c r="K1069" s="19"/>
      <c r="L1069" s="19"/>
      <c r="M1069" s="19"/>
      <c r="N1069" s="19"/>
      <c r="O1069" s="19"/>
    </row>
    <row r="1070">
      <c r="A1070" s="18"/>
      <c r="B1070" s="29"/>
      <c r="C1070" s="19"/>
      <c r="D1070" s="19"/>
      <c r="E1070" s="18"/>
      <c r="F1070" s="18" t="str">
        <f>IFERROR(__xludf.DUMMYFUNCTION("""COMPUTED_VALUE"""),"")</f>
        <v/>
      </c>
      <c r="G1070" s="18" t="str">
        <f>IFERROR(__xludf.DUMMYFUNCTION("""COMPUTED_VALUE"""),"")</f>
        <v/>
      </c>
      <c r="H1070" s="18" t="str">
        <f>IFERROR(__xludf.DUMMYFUNCTION("""COMPUTED_VALUE"""),"")</f>
        <v/>
      </c>
      <c r="I1070" s="18" t="str">
        <f>IFERROR(__xludf.DUMMYFUNCTION("""COMPUTED_VALUE"""),"")</f>
        <v/>
      </c>
      <c r="J1070" s="18" t="str">
        <f>IFERROR(__xludf.DUMMYFUNCTION("""COMPUTED_VALUE"""),"")</f>
        <v/>
      </c>
      <c r="K1070" s="19"/>
      <c r="L1070" s="19"/>
      <c r="M1070" s="19"/>
      <c r="N1070" s="19"/>
      <c r="O1070" s="19"/>
    </row>
    <row r="1071">
      <c r="A1071" s="18"/>
      <c r="B1071" s="29"/>
      <c r="C1071" s="19"/>
      <c r="D1071" s="19"/>
      <c r="E1071" s="18"/>
      <c r="F1071" s="18" t="str">
        <f>IFERROR(__xludf.DUMMYFUNCTION("""COMPUTED_VALUE"""),"")</f>
        <v/>
      </c>
      <c r="G1071" s="18" t="str">
        <f>IFERROR(__xludf.DUMMYFUNCTION("""COMPUTED_VALUE"""),"")</f>
        <v/>
      </c>
      <c r="H1071" s="18" t="str">
        <f>IFERROR(__xludf.DUMMYFUNCTION("""COMPUTED_VALUE"""),"")</f>
        <v/>
      </c>
      <c r="I1071" s="18" t="str">
        <f>IFERROR(__xludf.DUMMYFUNCTION("""COMPUTED_VALUE"""),"")</f>
        <v/>
      </c>
      <c r="J1071" s="18" t="str">
        <f>IFERROR(__xludf.DUMMYFUNCTION("""COMPUTED_VALUE"""),"")</f>
        <v/>
      </c>
      <c r="K1071" s="19"/>
      <c r="L1071" s="19"/>
      <c r="M1071" s="19"/>
      <c r="N1071" s="19"/>
      <c r="O1071" s="19"/>
    </row>
    <row r="1072">
      <c r="A1072" s="18"/>
      <c r="B1072" s="29"/>
      <c r="C1072" s="19"/>
      <c r="D1072" s="19"/>
      <c r="E1072" s="18"/>
      <c r="F1072" s="18" t="str">
        <f>IFERROR(__xludf.DUMMYFUNCTION("""COMPUTED_VALUE"""),"")</f>
        <v/>
      </c>
      <c r="G1072" s="18" t="str">
        <f>IFERROR(__xludf.DUMMYFUNCTION("""COMPUTED_VALUE"""),"")</f>
        <v/>
      </c>
      <c r="H1072" s="18" t="str">
        <f>IFERROR(__xludf.DUMMYFUNCTION("""COMPUTED_VALUE"""),"")</f>
        <v/>
      </c>
      <c r="I1072" s="18" t="str">
        <f>IFERROR(__xludf.DUMMYFUNCTION("""COMPUTED_VALUE"""),"")</f>
        <v/>
      </c>
      <c r="J1072" s="18" t="str">
        <f>IFERROR(__xludf.DUMMYFUNCTION("""COMPUTED_VALUE"""),"")</f>
        <v/>
      </c>
      <c r="K1072" s="19"/>
      <c r="L1072" s="19"/>
      <c r="M1072" s="19"/>
      <c r="N1072" s="19"/>
      <c r="O1072" s="19"/>
    </row>
    <row r="1073">
      <c r="A1073" s="18"/>
      <c r="B1073" s="29"/>
      <c r="C1073" s="19"/>
      <c r="D1073" s="19"/>
      <c r="E1073" s="18"/>
      <c r="F1073" s="18" t="str">
        <f>IFERROR(__xludf.DUMMYFUNCTION("""COMPUTED_VALUE"""),"")</f>
        <v/>
      </c>
      <c r="G1073" s="18" t="str">
        <f>IFERROR(__xludf.DUMMYFUNCTION("""COMPUTED_VALUE"""),"")</f>
        <v/>
      </c>
      <c r="H1073" s="18" t="str">
        <f>IFERROR(__xludf.DUMMYFUNCTION("""COMPUTED_VALUE"""),"")</f>
        <v/>
      </c>
      <c r="I1073" s="18" t="str">
        <f>IFERROR(__xludf.DUMMYFUNCTION("""COMPUTED_VALUE"""),"")</f>
        <v/>
      </c>
      <c r="J1073" s="18" t="str">
        <f>IFERROR(__xludf.DUMMYFUNCTION("""COMPUTED_VALUE"""),"")</f>
        <v/>
      </c>
      <c r="K1073" s="19"/>
      <c r="L1073" s="19"/>
      <c r="M1073" s="19"/>
      <c r="N1073" s="19"/>
      <c r="O1073" s="19"/>
    </row>
    <row r="1074">
      <c r="A1074" s="18"/>
      <c r="B1074" s="29"/>
      <c r="C1074" s="19"/>
      <c r="D1074" s="19"/>
      <c r="E1074" s="18"/>
      <c r="F1074" s="18" t="str">
        <f>IFERROR(__xludf.DUMMYFUNCTION("""COMPUTED_VALUE"""),"")</f>
        <v/>
      </c>
      <c r="G1074" s="18" t="str">
        <f>IFERROR(__xludf.DUMMYFUNCTION("""COMPUTED_VALUE"""),"")</f>
        <v/>
      </c>
      <c r="H1074" s="18" t="str">
        <f>IFERROR(__xludf.DUMMYFUNCTION("""COMPUTED_VALUE"""),"")</f>
        <v/>
      </c>
      <c r="I1074" s="18" t="str">
        <f>IFERROR(__xludf.DUMMYFUNCTION("""COMPUTED_VALUE"""),"")</f>
        <v/>
      </c>
      <c r="J1074" s="18" t="str">
        <f>IFERROR(__xludf.DUMMYFUNCTION("""COMPUTED_VALUE"""),"")</f>
        <v/>
      </c>
      <c r="K1074" s="19"/>
      <c r="L1074" s="19"/>
      <c r="M1074" s="19"/>
      <c r="N1074" s="19"/>
      <c r="O1074" s="19"/>
    </row>
    <row r="1075">
      <c r="A1075" s="18"/>
      <c r="B1075" s="29"/>
      <c r="C1075" s="19"/>
      <c r="D1075" s="19"/>
      <c r="E1075" s="18"/>
      <c r="F1075" s="18" t="str">
        <f>IFERROR(__xludf.DUMMYFUNCTION("""COMPUTED_VALUE"""),"")</f>
        <v/>
      </c>
      <c r="G1075" s="18" t="str">
        <f>IFERROR(__xludf.DUMMYFUNCTION("""COMPUTED_VALUE"""),"")</f>
        <v/>
      </c>
      <c r="H1075" s="18" t="str">
        <f>IFERROR(__xludf.DUMMYFUNCTION("""COMPUTED_VALUE"""),"")</f>
        <v/>
      </c>
      <c r="I1075" s="18" t="str">
        <f>IFERROR(__xludf.DUMMYFUNCTION("""COMPUTED_VALUE"""),"")</f>
        <v/>
      </c>
      <c r="J1075" s="18" t="str">
        <f>IFERROR(__xludf.DUMMYFUNCTION("""COMPUTED_VALUE"""),"")</f>
        <v/>
      </c>
      <c r="K1075" s="19"/>
      <c r="L1075" s="19"/>
      <c r="M1075" s="19"/>
      <c r="N1075" s="19"/>
      <c r="O1075" s="19"/>
    </row>
    <row r="1076">
      <c r="A1076" s="18"/>
      <c r="B1076" s="29"/>
      <c r="C1076" s="19"/>
      <c r="D1076" s="19"/>
      <c r="E1076" s="18"/>
      <c r="F1076" s="18" t="str">
        <f>IFERROR(__xludf.DUMMYFUNCTION("""COMPUTED_VALUE"""),"")</f>
        <v/>
      </c>
      <c r="G1076" s="18" t="str">
        <f>IFERROR(__xludf.DUMMYFUNCTION("""COMPUTED_VALUE"""),"")</f>
        <v/>
      </c>
      <c r="H1076" s="18" t="str">
        <f>IFERROR(__xludf.DUMMYFUNCTION("""COMPUTED_VALUE"""),"")</f>
        <v/>
      </c>
      <c r="I1076" s="18" t="str">
        <f>IFERROR(__xludf.DUMMYFUNCTION("""COMPUTED_VALUE"""),"")</f>
        <v/>
      </c>
      <c r="J1076" s="18" t="str">
        <f>IFERROR(__xludf.DUMMYFUNCTION("""COMPUTED_VALUE"""),"")</f>
        <v/>
      </c>
      <c r="K1076" s="19"/>
      <c r="L1076" s="19"/>
      <c r="M1076" s="19"/>
      <c r="N1076" s="19"/>
      <c r="O1076" s="19"/>
    </row>
    <row r="1077">
      <c r="A1077" s="18"/>
      <c r="B1077" s="29"/>
      <c r="C1077" s="19"/>
      <c r="D1077" s="19"/>
      <c r="E1077" s="18"/>
      <c r="F1077" s="18" t="str">
        <f>IFERROR(__xludf.DUMMYFUNCTION("""COMPUTED_VALUE"""),"")</f>
        <v/>
      </c>
      <c r="G1077" s="18" t="str">
        <f>IFERROR(__xludf.DUMMYFUNCTION("""COMPUTED_VALUE"""),"")</f>
        <v/>
      </c>
      <c r="H1077" s="18" t="str">
        <f>IFERROR(__xludf.DUMMYFUNCTION("""COMPUTED_VALUE"""),"")</f>
        <v/>
      </c>
      <c r="I1077" s="18" t="str">
        <f>IFERROR(__xludf.DUMMYFUNCTION("""COMPUTED_VALUE"""),"")</f>
        <v/>
      </c>
      <c r="J1077" s="18" t="str">
        <f>IFERROR(__xludf.DUMMYFUNCTION("""COMPUTED_VALUE"""),"")</f>
        <v/>
      </c>
      <c r="K1077" s="19"/>
      <c r="L1077" s="19"/>
      <c r="M1077" s="19"/>
      <c r="N1077" s="19"/>
      <c r="O1077" s="19"/>
    </row>
    <row r="1078">
      <c r="A1078" s="18"/>
      <c r="B1078" s="29"/>
      <c r="C1078" s="19"/>
      <c r="D1078" s="19"/>
      <c r="E1078" s="18"/>
      <c r="F1078" s="18" t="str">
        <f>IFERROR(__xludf.DUMMYFUNCTION("""COMPUTED_VALUE"""),"")</f>
        <v/>
      </c>
      <c r="G1078" s="18" t="str">
        <f>IFERROR(__xludf.DUMMYFUNCTION("""COMPUTED_VALUE"""),"")</f>
        <v/>
      </c>
      <c r="H1078" s="18" t="str">
        <f>IFERROR(__xludf.DUMMYFUNCTION("""COMPUTED_VALUE"""),"")</f>
        <v/>
      </c>
      <c r="I1078" s="18" t="str">
        <f>IFERROR(__xludf.DUMMYFUNCTION("""COMPUTED_VALUE"""),"")</f>
        <v/>
      </c>
      <c r="J1078" s="18" t="str">
        <f>IFERROR(__xludf.DUMMYFUNCTION("""COMPUTED_VALUE"""),"")</f>
        <v/>
      </c>
      <c r="K1078" s="19"/>
      <c r="L1078" s="19"/>
      <c r="M1078" s="19"/>
      <c r="N1078" s="19"/>
      <c r="O1078" s="19"/>
    </row>
    <row r="1079">
      <c r="A1079" s="18"/>
      <c r="B1079" s="29"/>
      <c r="C1079" s="19"/>
      <c r="D1079" s="19"/>
      <c r="E1079" s="18"/>
      <c r="F1079" s="18" t="str">
        <f>IFERROR(__xludf.DUMMYFUNCTION("""COMPUTED_VALUE"""),"")</f>
        <v/>
      </c>
      <c r="G1079" s="18" t="str">
        <f>IFERROR(__xludf.DUMMYFUNCTION("""COMPUTED_VALUE"""),"")</f>
        <v/>
      </c>
      <c r="H1079" s="18" t="str">
        <f>IFERROR(__xludf.DUMMYFUNCTION("""COMPUTED_VALUE"""),"")</f>
        <v/>
      </c>
      <c r="I1079" s="18" t="str">
        <f>IFERROR(__xludf.DUMMYFUNCTION("""COMPUTED_VALUE"""),"")</f>
        <v/>
      </c>
      <c r="J1079" s="18" t="str">
        <f>IFERROR(__xludf.DUMMYFUNCTION("""COMPUTED_VALUE"""),"")</f>
        <v/>
      </c>
      <c r="K1079" s="19"/>
      <c r="L1079" s="19"/>
      <c r="M1079" s="19"/>
      <c r="N1079" s="19"/>
      <c r="O1079" s="19"/>
    </row>
    <row r="1080">
      <c r="A1080" s="18"/>
      <c r="B1080" s="29"/>
      <c r="C1080" s="19"/>
      <c r="D1080" s="19"/>
      <c r="E1080" s="18"/>
      <c r="F1080" s="18" t="str">
        <f>IFERROR(__xludf.DUMMYFUNCTION("""COMPUTED_VALUE"""),"")</f>
        <v/>
      </c>
      <c r="G1080" s="18" t="str">
        <f>IFERROR(__xludf.DUMMYFUNCTION("""COMPUTED_VALUE"""),"")</f>
        <v/>
      </c>
      <c r="H1080" s="18" t="str">
        <f>IFERROR(__xludf.DUMMYFUNCTION("""COMPUTED_VALUE"""),"")</f>
        <v/>
      </c>
      <c r="I1080" s="18" t="str">
        <f>IFERROR(__xludf.DUMMYFUNCTION("""COMPUTED_VALUE"""),"")</f>
        <v/>
      </c>
      <c r="J1080" s="18" t="str">
        <f>IFERROR(__xludf.DUMMYFUNCTION("""COMPUTED_VALUE"""),"")</f>
        <v/>
      </c>
      <c r="K1080" s="19"/>
      <c r="L1080" s="19"/>
      <c r="M1080" s="19"/>
      <c r="N1080" s="19"/>
      <c r="O1080" s="19"/>
    </row>
    <row r="1081">
      <c r="A1081" s="18"/>
      <c r="B1081" s="29"/>
      <c r="C1081" s="19"/>
      <c r="D1081" s="19"/>
      <c r="E1081" s="18"/>
      <c r="F1081" s="18" t="str">
        <f>IFERROR(__xludf.DUMMYFUNCTION("""COMPUTED_VALUE"""),"")</f>
        <v/>
      </c>
      <c r="G1081" s="18" t="str">
        <f>IFERROR(__xludf.DUMMYFUNCTION("""COMPUTED_VALUE"""),"")</f>
        <v/>
      </c>
      <c r="H1081" s="18" t="str">
        <f>IFERROR(__xludf.DUMMYFUNCTION("""COMPUTED_VALUE"""),"")</f>
        <v/>
      </c>
      <c r="I1081" s="18" t="str">
        <f>IFERROR(__xludf.DUMMYFUNCTION("""COMPUTED_VALUE"""),"")</f>
        <v/>
      </c>
      <c r="J1081" s="18" t="str">
        <f>IFERROR(__xludf.DUMMYFUNCTION("""COMPUTED_VALUE"""),"")</f>
        <v/>
      </c>
      <c r="K1081" s="19"/>
      <c r="L1081" s="19"/>
      <c r="M1081" s="19"/>
      <c r="N1081" s="19"/>
      <c r="O1081" s="19"/>
    </row>
    <row r="1082">
      <c r="A1082" s="18"/>
      <c r="B1082" s="29"/>
      <c r="C1082" s="19"/>
      <c r="D1082" s="19"/>
      <c r="E1082" s="18"/>
      <c r="F1082" s="18" t="str">
        <f>IFERROR(__xludf.DUMMYFUNCTION("""COMPUTED_VALUE"""),"")</f>
        <v/>
      </c>
      <c r="G1082" s="18" t="str">
        <f>IFERROR(__xludf.DUMMYFUNCTION("""COMPUTED_VALUE"""),"")</f>
        <v/>
      </c>
      <c r="H1082" s="18" t="str">
        <f>IFERROR(__xludf.DUMMYFUNCTION("""COMPUTED_VALUE"""),"")</f>
        <v/>
      </c>
      <c r="I1082" s="18" t="str">
        <f>IFERROR(__xludf.DUMMYFUNCTION("""COMPUTED_VALUE"""),"")</f>
        <v/>
      </c>
      <c r="J1082" s="18" t="str">
        <f>IFERROR(__xludf.DUMMYFUNCTION("""COMPUTED_VALUE"""),"")</f>
        <v/>
      </c>
      <c r="K1082" s="19"/>
      <c r="L1082" s="19"/>
      <c r="M1082" s="19"/>
      <c r="N1082" s="19"/>
      <c r="O1082" s="19"/>
    </row>
    <row r="1083">
      <c r="A1083" s="18"/>
      <c r="B1083" s="29"/>
      <c r="C1083" s="19"/>
      <c r="D1083" s="19"/>
      <c r="E1083" s="18"/>
      <c r="F1083" s="18" t="str">
        <f>IFERROR(__xludf.DUMMYFUNCTION("""COMPUTED_VALUE"""),"")</f>
        <v/>
      </c>
      <c r="G1083" s="18" t="str">
        <f>IFERROR(__xludf.DUMMYFUNCTION("""COMPUTED_VALUE"""),"")</f>
        <v/>
      </c>
      <c r="H1083" s="18" t="str">
        <f>IFERROR(__xludf.DUMMYFUNCTION("""COMPUTED_VALUE"""),"")</f>
        <v/>
      </c>
      <c r="I1083" s="18" t="str">
        <f>IFERROR(__xludf.DUMMYFUNCTION("""COMPUTED_VALUE"""),"")</f>
        <v/>
      </c>
      <c r="J1083" s="18" t="str">
        <f>IFERROR(__xludf.DUMMYFUNCTION("""COMPUTED_VALUE"""),"")</f>
        <v/>
      </c>
      <c r="K1083" s="19"/>
      <c r="L1083" s="19"/>
      <c r="M1083" s="19"/>
      <c r="N1083" s="19"/>
      <c r="O1083" s="19"/>
    </row>
    <row r="1084">
      <c r="A1084" s="18"/>
      <c r="B1084" s="29"/>
      <c r="C1084" s="19"/>
      <c r="D1084" s="19"/>
      <c r="E1084" s="18"/>
      <c r="F1084" s="18" t="str">
        <f>IFERROR(__xludf.DUMMYFUNCTION("""COMPUTED_VALUE"""),"")</f>
        <v/>
      </c>
      <c r="G1084" s="18" t="str">
        <f>IFERROR(__xludf.DUMMYFUNCTION("""COMPUTED_VALUE"""),"")</f>
        <v/>
      </c>
      <c r="H1084" s="18" t="str">
        <f>IFERROR(__xludf.DUMMYFUNCTION("""COMPUTED_VALUE"""),"")</f>
        <v/>
      </c>
      <c r="I1084" s="18" t="str">
        <f>IFERROR(__xludf.DUMMYFUNCTION("""COMPUTED_VALUE"""),"")</f>
        <v/>
      </c>
      <c r="J1084" s="18" t="str">
        <f>IFERROR(__xludf.DUMMYFUNCTION("""COMPUTED_VALUE"""),"")</f>
        <v/>
      </c>
      <c r="K1084" s="19"/>
      <c r="L1084" s="19"/>
      <c r="M1084" s="19"/>
      <c r="N1084" s="19"/>
      <c r="O1084" s="19"/>
    </row>
    <row r="1085">
      <c r="A1085" s="18"/>
      <c r="B1085" s="29"/>
      <c r="C1085" s="19"/>
      <c r="D1085" s="19"/>
      <c r="E1085" s="18"/>
      <c r="F1085" s="18" t="str">
        <f>IFERROR(__xludf.DUMMYFUNCTION("""COMPUTED_VALUE"""),"")</f>
        <v/>
      </c>
      <c r="G1085" s="18" t="str">
        <f>IFERROR(__xludf.DUMMYFUNCTION("""COMPUTED_VALUE"""),"")</f>
        <v/>
      </c>
      <c r="H1085" s="18" t="str">
        <f>IFERROR(__xludf.DUMMYFUNCTION("""COMPUTED_VALUE"""),"")</f>
        <v/>
      </c>
      <c r="I1085" s="18" t="str">
        <f>IFERROR(__xludf.DUMMYFUNCTION("""COMPUTED_VALUE"""),"")</f>
        <v/>
      </c>
      <c r="J1085" s="18" t="str">
        <f>IFERROR(__xludf.DUMMYFUNCTION("""COMPUTED_VALUE"""),"")</f>
        <v/>
      </c>
      <c r="K1085" s="19"/>
      <c r="L1085" s="19"/>
      <c r="M1085" s="19"/>
      <c r="N1085" s="19"/>
      <c r="O1085" s="19"/>
    </row>
    <row r="1086">
      <c r="A1086" s="18"/>
      <c r="B1086" s="29"/>
      <c r="C1086" s="19"/>
      <c r="D1086" s="19"/>
      <c r="E1086" s="18"/>
      <c r="F1086" s="18" t="str">
        <f>IFERROR(__xludf.DUMMYFUNCTION("""COMPUTED_VALUE"""),"")</f>
        <v/>
      </c>
      <c r="G1086" s="18" t="str">
        <f>IFERROR(__xludf.DUMMYFUNCTION("""COMPUTED_VALUE"""),"")</f>
        <v/>
      </c>
      <c r="H1086" s="18" t="str">
        <f>IFERROR(__xludf.DUMMYFUNCTION("""COMPUTED_VALUE"""),"")</f>
        <v/>
      </c>
      <c r="I1086" s="18" t="str">
        <f>IFERROR(__xludf.DUMMYFUNCTION("""COMPUTED_VALUE"""),"")</f>
        <v/>
      </c>
      <c r="J1086" s="18" t="str">
        <f>IFERROR(__xludf.DUMMYFUNCTION("""COMPUTED_VALUE"""),"")</f>
        <v/>
      </c>
      <c r="K1086" s="19"/>
      <c r="L1086" s="19"/>
      <c r="M1086" s="19"/>
      <c r="N1086" s="19"/>
      <c r="O1086" s="19"/>
    </row>
    <row r="1087">
      <c r="A1087" s="18"/>
      <c r="B1087" s="29"/>
      <c r="C1087" s="19"/>
      <c r="D1087" s="19"/>
      <c r="E1087" s="18"/>
      <c r="F1087" s="18" t="str">
        <f>IFERROR(__xludf.DUMMYFUNCTION("""COMPUTED_VALUE"""),"")</f>
        <v/>
      </c>
      <c r="G1087" s="18" t="str">
        <f>IFERROR(__xludf.DUMMYFUNCTION("""COMPUTED_VALUE"""),"")</f>
        <v/>
      </c>
      <c r="H1087" s="18" t="str">
        <f>IFERROR(__xludf.DUMMYFUNCTION("""COMPUTED_VALUE"""),"")</f>
        <v/>
      </c>
      <c r="I1087" s="18" t="str">
        <f>IFERROR(__xludf.DUMMYFUNCTION("""COMPUTED_VALUE"""),"")</f>
        <v/>
      </c>
      <c r="J1087" s="18" t="str">
        <f>IFERROR(__xludf.DUMMYFUNCTION("""COMPUTED_VALUE"""),"")</f>
        <v/>
      </c>
      <c r="K1087" s="19"/>
      <c r="L1087" s="19"/>
      <c r="M1087" s="19"/>
      <c r="N1087" s="19"/>
      <c r="O1087" s="19"/>
    </row>
    <row r="1088">
      <c r="A1088" s="18"/>
      <c r="B1088" s="29"/>
      <c r="C1088" s="19"/>
      <c r="D1088" s="19"/>
      <c r="E1088" s="18"/>
      <c r="F1088" s="18" t="str">
        <f>IFERROR(__xludf.DUMMYFUNCTION("""COMPUTED_VALUE"""),"")</f>
        <v/>
      </c>
      <c r="G1088" s="18" t="str">
        <f>IFERROR(__xludf.DUMMYFUNCTION("""COMPUTED_VALUE"""),"")</f>
        <v/>
      </c>
      <c r="H1088" s="18" t="str">
        <f>IFERROR(__xludf.DUMMYFUNCTION("""COMPUTED_VALUE"""),"")</f>
        <v/>
      </c>
      <c r="I1088" s="18" t="str">
        <f>IFERROR(__xludf.DUMMYFUNCTION("""COMPUTED_VALUE"""),"")</f>
        <v/>
      </c>
      <c r="J1088" s="18" t="str">
        <f>IFERROR(__xludf.DUMMYFUNCTION("""COMPUTED_VALUE"""),"")</f>
        <v/>
      </c>
      <c r="K1088" s="19"/>
      <c r="L1088" s="19"/>
      <c r="M1088" s="19"/>
      <c r="N1088" s="19"/>
      <c r="O1088" s="19"/>
    </row>
    <row r="1089">
      <c r="A1089" s="18"/>
      <c r="B1089" s="29"/>
      <c r="C1089" s="19"/>
      <c r="D1089" s="19"/>
      <c r="E1089" s="18"/>
      <c r="F1089" s="18" t="str">
        <f>IFERROR(__xludf.DUMMYFUNCTION("""COMPUTED_VALUE"""),"")</f>
        <v/>
      </c>
      <c r="G1089" s="18" t="str">
        <f>IFERROR(__xludf.DUMMYFUNCTION("""COMPUTED_VALUE"""),"")</f>
        <v/>
      </c>
      <c r="H1089" s="18" t="str">
        <f>IFERROR(__xludf.DUMMYFUNCTION("""COMPUTED_VALUE"""),"")</f>
        <v/>
      </c>
      <c r="I1089" s="18" t="str">
        <f>IFERROR(__xludf.DUMMYFUNCTION("""COMPUTED_VALUE"""),"")</f>
        <v/>
      </c>
      <c r="J1089" s="18" t="str">
        <f>IFERROR(__xludf.DUMMYFUNCTION("""COMPUTED_VALUE"""),"")</f>
        <v/>
      </c>
      <c r="K1089" s="19"/>
      <c r="L1089" s="19"/>
      <c r="M1089" s="19"/>
      <c r="N1089" s="19"/>
      <c r="O1089" s="19"/>
    </row>
    <row r="1090">
      <c r="A1090" s="18"/>
      <c r="B1090" s="29"/>
      <c r="C1090" s="19"/>
      <c r="D1090" s="19"/>
      <c r="E1090" s="18"/>
      <c r="F1090" s="18" t="str">
        <f>IFERROR(__xludf.DUMMYFUNCTION("""COMPUTED_VALUE"""),"")</f>
        <v/>
      </c>
      <c r="G1090" s="18" t="str">
        <f>IFERROR(__xludf.DUMMYFUNCTION("""COMPUTED_VALUE"""),"")</f>
        <v/>
      </c>
      <c r="H1090" s="18" t="str">
        <f>IFERROR(__xludf.DUMMYFUNCTION("""COMPUTED_VALUE"""),"")</f>
        <v/>
      </c>
      <c r="I1090" s="18" t="str">
        <f>IFERROR(__xludf.DUMMYFUNCTION("""COMPUTED_VALUE"""),"")</f>
        <v/>
      </c>
      <c r="J1090" s="18" t="str">
        <f>IFERROR(__xludf.DUMMYFUNCTION("""COMPUTED_VALUE"""),"")</f>
        <v/>
      </c>
      <c r="K1090" s="19"/>
      <c r="L1090" s="19"/>
      <c r="M1090" s="19"/>
      <c r="N1090" s="19"/>
      <c r="O1090" s="19"/>
    </row>
    <row r="1091">
      <c r="A1091" s="18"/>
      <c r="B1091" s="29"/>
      <c r="C1091" s="19"/>
      <c r="D1091" s="19"/>
      <c r="E1091" s="18"/>
      <c r="F1091" s="18" t="str">
        <f>IFERROR(__xludf.DUMMYFUNCTION("""COMPUTED_VALUE"""),"")</f>
        <v/>
      </c>
      <c r="G1091" s="18" t="str">
        <f>IFERROR(__xludf.DUMMYFUNCTION("""COMPUTED_VALUE"""),"")</f>
        <v/>
      </c>
      <c r="H1091" s="18" t="str">
        <f>IFERROR(__xludf.DUMMYFUNCTION("""COMPUTED_VALUE"""),"")</f>
        <v/>
      </c>
      <c r="I1091" s="18" t="str">
        <f>IFERROR(__xludf.DUMMYFUNCTION("""COMPUTED_VALUE"""),"")</f>
        <v/>
      </c>
      <c r="J1091" s="18" t="str">
        <f>IFERROR(__xludf.DUMMYFUNCTION("""COMPUTED_VALUE"""),"")</f>
        <v/>
      </c>
      <c r="K1091" s="19"/>
      <c r="L1091" s="19"/>
      <c r="M1091" s="19"/>
      <c r="N1091" s="19"/>
      <c r="O1091" s="19"/>
    </row>
    <row r="1092">
      <c r="A1092" s="18"/>
      <c r="B1092" s="29"/>
      <c r="C1092" s="19"/>
      <c r="D1092" s="19"/>
      <c r="E1092" s="18"/>
      <c r="F1092" s="18" t="str">
        <f>IFERROR(__xludf.DUMMYFUNCTION("""COMPUTED_VALUE"""),"")</f>
        <v/>
      </c>
      <c r="G1092" s="18" t="str">
        <f>IFERROR(__xludf.DUMMYFUNCTION("""COMPUTED_VALUE"""),"")</f>
        <v/>
      </c>
      <c r="H1092" s="18" t="str">
        <f>IFERROR(__xludf.DUMMYFUNCTION("""COMPUTED_VALUE"""),"")</f>
        <v/>
      </c>
      <c r="I1092" s="18" t="str">
        <f>IFERROR(__xludf.DUMMYFUNCTION("""COMPUTED_VALUE"""),"")</f>
        <v/>
      </c>
      <c r="J1092" s="18" t="str">
        <f>IFERROR(__xludf.DUMMYFUNCTION("""COMPUTED_VALUE"""),"")</f>
        <v/>
      </c>
      <c r="K1092" s="19"/>
      <c r="L1092" s="19"/>
      <c r="M1092" s="19"/>
      <c r="N1092" s="19"/>
      <c r="O1092" s="19"/>
    </row>
    <row r="1093">
      <c r="A1093" s="18"/>
      <c r="B1093" s="29"/>
      <c r="C1093" s="19"/>
      <c r="D1093" s="19"/>
      <c r="E1093" s="18"/>
      <c r="F1093" s="18" t="str">
        <f>IFERROR(__xludf.DUMMYFUNCTION("""COMPUTED_VALUE"""),"")</f>
        <v/>
      </c>
      <c r="G1093" s="18" t="str">
        <f>IFERROR(__xludf.DUMMYFUNCTION("""COMPUTED_VALUE"""),"")</f>
        <v/>
      </c>
      <c r="H1093" s="18" t="str">
        <f>IFERROR(__xludf.DUMMYFUNCTION("""COMPUTED_VALUE"""),"")</f>
        <v/>
      </c>
      <c r="I1093" s="18" t="str">
        <f>IFERROR(__xludf.DUMMYFUNCTION("""COMPUTED_VALUE"""),"")</f>
        <v/>
      </c>
      <c r="J1093" s="18" t="str">
        <f>IFERROR(__xludf.DUMMYFUNCTION("""COMPUTED_VALUE"""),"")</f>
        <v/>
      </c>
      <c r="K1093" s="19"/>
      <c r="L1093" s="19"/>
      <c r="M1093" s="19"/>
      <c r="N1093" s="19"/>
      <c r="O1093" s="19"/>
    </row>
    <row r="1094">
      <c r="A1094" s="18"/>
      <c r="B1094" s="29"/>
      <c r="C1094" s="19"/>
      <c r="D1094" s="19"/>
      <c r="E1094" s="18"/>
      <c r="F1094" s="18" t="str">
        <f>IFERROR(__xludf.DUMMYFUNCTION("""COMPUTED_VALUE"""),"")</f>
        <v/>
      </c>
      <c r="G1094" s="18" t="str">
        <f>IFERROR(__xludf.DUMMYFUNCTION("""COMPUTED_VALUE"""),"")</f>
        <v/>
      </c>
      <c r="H1094" s="18" t="str">
        <f>IFERROR(__xludf.DUMMYFUNCTION("""COMPUTED_VALUE"""),"")</f>
        <v/>
      </c>
      <c r="I1094" s="18" t="str">
        <f>IFERROR(__xludf.DUMMYFUNCTION("""COMPUTED_VALUE"""),"")</f>
        <v/>
      </c>
      <c r="J1094" s="18" t="str">
        <f>IFERROR(__xludf.DUMMYFUNCTION("""COMPUTED_VALUE"""),"")</f>
        <v/>
      </c>
      <c r="K1094" s="19"/>
      <c r="L1094" s="19"/>
      <c r="M1094" s="19"/>
      <c r="N1094" s="19"/>
      <c r="O1094" s="19"/>
    </row>
    <row r="1095">
      <c r="A1095" s="18"/>
      <c r="B1095" s="29"/>
      <c r="C1095" s="19"/>
      <c r="D1095" s="19"/>
      <c r="E1095" s="18"/>
      <c r="F1095" s="18" t="str">
        <f>IFERROR(__xludf.DUMMYFUNCTION("""COMPUTED_VALUE"""),"")</f>
        <v/>
      </c>
      <c r="G1095" s="18" t="str">
        <f>IFERROR(__xludf.DUMMYFUNCTION("""COMPUTED_VALUE"""),"")</f>
        <v/>
      </c>
      <c r="H1095" s="18" t="str">
        <f>IFERROR(__xludf.DUMMYFUNCTION("""COMPUTED_VALUE"""),"")</f>
        <v/>
      </c>
      <c r="I1095" s="18" t="str">
        <f>IFERROR(__xludf.DUMMYFUNCTION("""COMPUTED_VALUE"""),"")</f>
        <v/>
      </c>
      <c r="J1095" s="18" t="str">
        <f>IFERROR(__xludf.DUMMYFUNCTION("""COMPUTED_VALUE"""),"")</f>
        <v/>
      </c>
      <c r="K1095" s="19"/>
      <c r="L1095" s="19"/>
      <c r="M1095" s="19"/>
      <c r="N1095" s="19"/>
      <c r="O1095" s="19"/>
    </row>
    <row r="1096">
      <c r="A1096" s="18"/>
      <c r="B1096" s="29"/>
      <c r="C1096" s="19"/>
      <c r="D1096" s="19"/>
      <c r="E1096" s="18"/>
      <c r="F1096" s="18" t="str">
        <f>IFERROR(__xludf.DUMMYFUNCTION("""COMPUTED_VALUE"""),"")</f>
        <v/>
      </c>
      <c r="G1096" s="18" t="str">
        <f>IFERROR(__xludf.DUMMYFUNCTION("""COMPUTED_VALUE"""),"")</f>
        <v/>
      </c>
      <c r="H1096" s="18" t="str">
        <f>IFERROR(__xludf.DUMMYFUNCTION("""COMPUTED_VALUE"""),"")</f>
        <v/>
      </c>
      <c r="I1096" s="18" t="str">
        <f>IFERROR(__xludf.DUMMYFUNCTION("""COMPUTED_VALUE"""),"")</f>
        <v/>
      </c>
      <c r="J1096" s="18" t="str">
        <f>IFERROR(__xludf.DUMMYFUNCTION("""COMPUTED_VALUE"""),"")</f>
        <v/>
      </c>
      <c r="K1096" s="19"/>
      <c r="L1096" s="19"/>
      <c r="M1096" s="19"/>
      <c r="N1096" s="19"/>
      <c r="O1096" s="19"/>
    </row>
    <row r="1097">
      <c r="A1097" s="18"/>
      <c r="B1097" s="29"/>
      <c r="C1097" s="19"/>
      <c r="D1097" s="19"/>
      <c r="E1097" s="18"/>
      <c r="F1097" s="18" t="str">
        <f>IFERROR(__xludf.DUMMYFUNCTION("""COMPUTED_VALUE"""),"")</f>
        <v/>
      </c>
      <c r="G1097" s="18" t="str">
        <f>IFERROR(__xludf.DUMMYFUNCTION("""COMPUTED_VALUE"""),"")</f>
        <v/>
      </c>
      <c r="H1097" s="18" t="str">
        <f>IFERROR(__xludf.DUMMYFUNCTION("""COMPUTED_VALUE"""),"")</f>
        <v/>
      </c>
      <c r="I1097" s="18" t="str">
        <f>IFERROR(__xludf.DUMMYFUNCTION("""COMPUTED_VALUE"""),"")</f>
        <v/>
      </c>
      <c r="J1097" s="18" t="str">
        <f>IFERROR(__xludf.DUMMYFUNCTION("""COMPUTED_VALUE"""),"")</f>
        <v/>
      </c>
      <c r="K1097" s="19"/>
      <c r="L1097" s="19"/>
      <c r="M1097" s="19"/>
      <c r="N1097" s="19"/>
      <c r="O1097" s="19"/>
    </row>
    <row r="1098">
      <c r="A1098" s="18"/>
      <c r="B1098" s="29"/>
      <c r="C1098" s="19"/>
      <c r="D1098" s="19"/>
      <c r="E1098" s="18"/>
      <c r="F1098" s="18" t="str">
        <f>IFERROR(__xludf.DUMMYFUNCTION("""COMPUTED_VALUE"""),"")</f>
        <v/>
      </c>
      <c r="G1098" s="18" t="str">
        <f>IFERROR(__xludf.DUMMYFUNCTION("""COMPUTED_VALUE"""),"")</f>
        <v/>
      </c>
      <c r="H1098" s="18" t="str">
        <f>IFERROR(__xludf.DUMMYFUNCTION("""COMPUTED_VALUE"""),"")</f>
        <v/>
      </c>
      <c r="I1098" s="18" t="str">
        <f>IFERROR(__xludf.DUMMYFUNCTION("""COMPUTED_VALUE"""),"")</f>
        <v/>
      </c>
      <c r="J1098" s="18" t="str">
        <f>IFERROR(__xludf.DUMMYFUNCTION("""COMPUTED_VALUE"""),"")</f>
        <v/>
      </c>
      <c r="K1098" s="19"/>
      <c r="L1098" s="19"/>
      <c r="M1098" s="19"/>
      <c r="N1098" s="19"/>
      <c r="O1098" s="19"/>
    </row>
    <row r="1099">
      <c r="A1099" s="18"/>
      <c r="B1099" s="29"/>
      <c r="C1099" s="19"/>
      <c r="D1099" s="19"/>
      <c r="E1099" s="18"/>
      <c r="F1099" s="18" t="str">
        <f>IFERROR(__xludf.DUMMYFUNCTION("""COMPUTED_VALUE"""),"")</f>
        <v/>
      </c>
      <c r="G1099" s="18" t="str">
        <f>IFERROR(__xludf.DUMMYFUNCTION("""COMPUTED_VALUE"""),"")</f>
        <v/>
      </c>
      <c r="H1099" s="18" t="str">
        <f>IFERROR(__xludf.DUMMYFUNCTION("""COMPUTED_VALUE"""),"")</f>
        <v/>
      </c>
      <c r="I1099" s="18" t="str">
        <f>IFERROR(__xludf.DUMMYFUNCTION("""COMPUTED_VALUE"""),"")</f>
        <v/>
      </c>
      <c r="J1099" s="18" t="str">
        <f>IFERROR(__xludf.DUMMYFUNCTION("""COMPUTED_VALUE"""),"")</f>
        <v/>
      </c>
      <c r="K1099" s="19"/>
      <c r="L1099" s="19"/>
      <c r="M1099" s="19"/>
      <c r="N1099" s="19"/>
      <c r="O1099" s="19"/>
    </row>
    <row r="1100">
      <c r="A1100" s="18"/>
      <c r="B1100" s="29"/>
      <c r="C1100" s="19"/>
      <c r="D1100" s="19"/>
      <c r="E1100" s="18"/>
      <c r="F1100" s="18" t="str">
        <f>IFERROR(__xludf.DUMMYFUNCTION("""COMPUTED_VALUE"""),"")</f>
        <v/>
      </c>
      <c r="G1100" s="18" t="str">
        <f>IFERROR(__xludf.DUMMYFUNCTION("""COMPUTED_VALUE"""),"")</f>
        <v/>
      </c>
      <c r="H1100" s="18" t="str">
        <f>IFERROR(__xludf.DUMMYFUNCTION("""COMPUTED_VALUE"""),"")</f>
        <v/>
      </c>
      <c r="I1100" s="18" t="str">
        <f>IFERROR(__xludf.DUMMYFUNCTION("""COMPUTED_VALUE"""),"")</f>
        <v/>
      </c>
      <c r="J1100" s="18" t="str">
        <f>IFERROR(__xludf.DUMMYFUNCTION("""COMPUTED_VALUE"""),"")</f>
        <v/>
      </c>
      <c r="K1100" s="19"/>
      <c r="L1100" s="19"/>
      <c r="M1100" s="19"/>
      <c r="N1100" s="19"/>
      <c r="O1100" s="19"/>
    </row>
    <row r="1101">
      <c r="A1101" s="18"/>
      <c r="B1101" s="29"/>
      <c r="C1101" s="19"/>
      <c r="D1101" s="19"/>
      <c r="E1101" s="18"/>
      <c r="F1101" s="18" t="str">
        <f>IFERROR(__xludf.DUMMYFUNCTION("""COMPUTED_VALUE"""),"")</f>
        <v/>
      </c>
      <c r="G1101" s="18" t="str">
        <f>IFERROR(__xludf.DUMMYFUNCTION("""COMPUTED_VALUE"""),"")</f>
        <v/>
      </c>
      <c r="H1101" s="18" t="str">
        <f>IFERROR(__xludf.DUMMYFUNCTION("""COMPUTED_VALUE"""),"")</f>
        <v/>
      </c>
      <c r="I1101" s="18" t="str">
        <f>IFERROR(__xludf.DUMMYFUNCTION("""COMPUTED_VALUE"""),"")</f>
        <v/>
      </c>
      <c r="J1101" s="18" t="str">
        <f>IFERROR(__xludf.DUMMYFUNCTION("""COMPUTED_VALUE"""),"")</f>
        <v/>
      </c>
      <c r="K1101" s="19"/>
      <c r="L1101" s="19"/>
      <c r="M1101" s="19"/>
      <c r="N1101" s="19"/>
      <c r="O1101" s="19"/>
    </row>
    <row r="1102">
      <c r="A1102" s="18"/>
      <c r="B1102" s="29"/>
      <c r="C1102" s="19"/>
      <c r="D1102" s="19"/>
      <c r="E1102" s="18"/>
      <c r="F1102" s="18" t="str">
        <f>IFERROR(__xludf.DUMMYFUNCTION("""COMPUTED_VALUE"""),"")</f>
        <v/>
      </c>
      <c r="G1102" s="18" t="str">
        <f>IFERROR(__xludf.DUMMYFUNCTION("""COMPUTED_VALUE"""),"")</f>
        <v/>
      </c>
      <c r="H1102" s="18" t="str">
        <f>IFERROR(__xludf.DUMMYFUNCTION("""COMPUTED_VALUE"""),"")</f>
        <v/>
      </c>
      <c r="I1102" s="18" t="str">
        <f>IFERROR(__xludf.DUMMYFUNCTION("""COMPUTED_VALUE"""),"")</f>
        <v/>
      </c>
      <c r="J1102" s="18" t="str">
        <f>IFERROR(__xludf.DUMMYFUNCTION("""COMPUTED_VALUE"""),"")</f>
        <v/>
      </c>
      <c r="K1102" s="19"/>
      <c r="L1102" s="19"/>
      <c r="M1102" s="19"/>
      <c r="N1102" s="19"/>
      <c r="O1102" s="19"/>
    </row>
    <row r="1103">
      <c r="A1103" s="18"/>
      <c r="B1103" s="29"/>
      <c r="C1103" s="19"/>
      <c r="D1103" s="19"/>
      <c r="E1103" s="18"/>
      <c r="F1103" s="18" t="str">
        <f>IFERROR(__xludf.DUMMYFUNCTION("""COMPUTED_VALUE"""),"")</f>
        <v/>
      </c>
      <c r="G1103" s="18" t="str">
        <f>IFERROR(__xludf.DUMMYFUNCTION("""COMPUTED_VALUE"""),"")</f>
        <v/>
      </c>
      <c r="H1103" s="18" t="str">
        <f>IFERROR(__xludf.DUMMYFUNCTION("""COMPUTED_VALUE"""),"")</f>
        <v/>
      </c>
      <c r="I1103" s="18" t="str">
        <f>IFERROR(__xludf.DUMMYFUNCTION("""COMPUTED_VALUE"""),"")</f>
        <v/>
      </c>
      <c r="J1103" s="18" t="str">
        <f>IFERROR(__xludf.DUMMYFUNCTION("""COMPUTED_VALUE"""),"")</f>
        <v/>
      </c>
      <c r="K1103" s="19"/>
      <c r="L1103" s="19"/>
      <c r="M1103" s="19"/>
      <c r="N1103" s="19"/>
      <c r="O1103" s="19"/>
    </row>
    <row r="1104">
      <c r="A1104" s="18"/>
      <c r="B1104" s="29"/>
      <c r="C1104" s="19"/>
      <c r="D1104" s="19"/>
      <c r="E1104" s="18"/>
      <c r="F1104" s="18" t="str">
        <f>IFERROR(__xludf.DUMMYFUNCTION("""COMPUTED_VALUE"""),"")</f>
        <v/>
      </c>
      <c r="G1104" s="18" t="str">
        <f>IFERROR(__xludf.DUMMYFUNCTION("""COMPUTED_VALUE"""),"")</f>
        <v/>
      </c>
      <c r="H1104" s="18" t="str">
        <f>IFERROR(__xludf.DUMMYFUNCTION("""COMPUTED_VALUE"""),"")</f>
        <v/>
      </c>
      <c r="I1104" s="18" t="str">
        <f>IFERROR(__xludf.DUMMYFUNCTION("""COMPUTED_VALUE"""),"")</f>
        <v/>
      </c>
      <c r="J1104" s="18" t="str">
        <f>IFERROR(__xludf.DUMMYFUNCTION("""COMPUTED_VALUE"""),"")</f>
        <v/>
      </c>
      <c r="K1104" s="19"/>
      <c r="L1104" s="19"/>
      <c r="M1104" s="19"/>
      <c r="N1104" s="19"/>
      <c r="O1104" s="19"/>
    </row>
    <row r="1105">
      <c r="A1105" s="18"/>
      <c r="B1105" s="29"/>
      <c r="C1105" s="19"/>
      <c r="D1105" s="19"/>
      <c r="E1105" s="18"/>
      <c r="F1105" s="18" t="str">
        <f>IFERROR(__xludf.DUMMYFUNCTION("""COMPUTED_VALUE"""),"")</f>
        <v/>
      </c>
      <c r="G1105" s="18" t="str">
        <f>IFERROR(__xludf.DUMMYFUNCTION("""COMPUTED_VALUE"""),"")</f>
        <v/>
      </c>
      <c r="H1105" s="18" t="str">
        <f>IFERROR(__xludf.DUMMYFUNCTION("""COMPUTED_VALUE"""),"")</f>
        <v/>
      </c>
      <c r="I1105" s="18" t="str">
        <f>IFERROR(__xludf.DUMMYFUNCTION("""COMPUTED_VALUE"""),"")</f>
        <v/>
      </c>
      <c r="J1105" s="18" t="str">
        <f>IFERROR(__xludf.DUMMYFUNCTION("""COMPUTED_VALUE"""),"")</f>
        <v/>
      </c>
      <c r="K1105" s="19"/>
      <c r="L1105" s="19"/>
      <c r="M1105" s="19"/>
      <c r="N1105" s="19"/>
      <c r="O1105" s="19"/>
    </row>
    <row r="1106">
      <c r="A1106" s="18"/>
      <c r="B1106" s="29"/>
      <c r="C1106" s="19"/>
      <c r="D1106" s="19"/>
      <c r="E1106" s="18"/>
      <c r="F1106" s="18" t="str">
        <f>IFERROR(__xludf.DUMMYFUNCTION("""COMPUTED_VALUE"""),"")</f>
        <v/>
      </c>
      <c r="G1106" s="18" t="str">
        <f>IFERROR(__xludf.DUMMYFUNCTION("""COMPUTED_VALUE"""),"")</f>
        <v/>
      </c>
      <c r="H1106" s="18" t="str">
        <f>IFERROR(__xludf.DUMMYFUNCTION("""COMPUTED_VALUE"""),"")</f>
        <v/>
      </c>
      <c r="I1106" s="18" t="str">
        <f>IFERROR(__xludf.DUMMYFUNCTION("""COMPUTED_VALUE"""),"")</f>
        <v/>
      </c>
      <c r="J1106" s="18" t="str">
        <f>IFERROR(__xludf.DUMMYFUNCTION("""COMPUTED_VALUE"""),"")</f>
        <v/>
      </c>
      <c r="K1106" s="19"/>
      <c r="L1106" s="19"/>
      <c r="M1106" s="19"/>
      <c r="N1106" s="19"/>
      <c r="O1106" s="19"/>
    </row>
    <row r="1107">
      <c r="A1107" s="18"/>
      <c r="B1107" s="29"/>
      <c r="C1107" s="19"/>
      <c r="D1107" s="19"/>
      <c r="E1107" s="18"/>
      <c r="F1107" s="18" t="str">
        <f>IFERROR(__xludf.DUMMYFUNCTION("""COMPUTED_VALUE"""),"")</f>
        <v/>
      </c>
      <c r="G1107" s="18" t="str">
        <f>IFERROR(__xludf.DUMMYFUNCTION("""COMPUTED_VALUE"""),"")</f>
        <v/>
      </c>
      <c r="H1107" s="18" t="str">
        <f>IFERROR(__xludf.DUMMYFUNCTION("""COMPUTED_VALUE"""),"")</f>
        <v/>
      </c>
      <c r="I1107" s="18" t="str">
        <f>IFERROR(__xludf.DUMMYFUNCTION("""COMPUTED_VALUE"""),"")</f>
        <v/>
      </c>
      <c r="J1107" s="18" t="str">
        <f>IFERROR(__xludf.DUMMYFUNCTION("""COMPUTED_VALUE"""),"")</f>
        <v/>
      </c>
      <c r="K1107" s="19"/>
      <c r="L1107" s="19"/>
      <c r="M1107" s="19"/>
      <c r="N1107" s="19"/>
      <c r="O1107" s="19"/>
    </row>
    <row r="1108">
      <c r="A1108" s="18"/>
      <c r="B1108" s="29"/>
      <c r="C1108" s="19"/>
      <c r="D1108" s="19"/>
      <c r="E1108" s="18"/>
      <c r="F1108" s="18" t="str">
        <f>IFERROR(__xludf.DUMMYFUNCTION("""COMPUTED_VALUE"""),"")</f>
        <v/>
      </c>
      <c r="G1108" s="18" t="str">
        <f>IFERROR(__xludf.DUMMYFUNCTION("""COMPUTED_VALUE"""),"")</f>
        <v/>
      </c>
      <c r="H1108" s="18" t="str">
        <f>IFERROR(__xludf.DUMMYFUNCTION("""COMPUTED_VALUE"""),"")</f>
        <v/>
      </c>
      <c r="I1108" s="18" t="str">
        <f>IFERROR(__xludf.DUMMYFUNCTION("""COMPUTED_VALUE"""),"")</f>
        <v/>
      </c>
      <c r="J1108" s="18" t="str">
        <f>IFERROR(__xludf.DUMMYFUNCTION("""COMPUTED_VALUE"""),"")</f>
        <v/>
      </c>
      <c r="K1108" s="19"/>
      <c r="L1108" s="19"/>
      <c r="M1108" s="19"/>
      <c r="N1108" s="19"/>
      <c r="O1108" s="19"/>
    </row>
    <row r="1109">
      <c r="A1109" s="18"/>
      <c r="B1109" s="29"/>
      <c r="C1109" s="19"/>
      <c r="D1109" s="19"/>
      <c r="E1109" s="18"/>
      <c r="F1109" s="18" t="str">
        <f>IFERROR(__xludf.DUMMYFUNCTION("""COMPUTED_VALUE"""),"")</f>
        <v/>
      </c>
      <c r="G1109" s="18" t="str">
        <f>IFERROR(__xludf.DUMMYFUNCTION("""COMPUTED_VALUE"""),"")</f>
        <v/>
      </c>
      <c r="H1109" s="18" t="str">
        <f>IFERROR(__xludf.DUMMYFUNCTION("""COMPUTED_VALUE"""),"")</f>
        <v/>
      </c>
      <c r="I1109" s="18" t="str">
        <f>IFERROR(__xludf.DUMMYFUNCTION("""COMPUTED_VALUE"""),"")</f>
        <v/>
      </c>
      <c r="J1109" s="18" t="str">
        <f>IFERROR(__xludf.DUMMYFUNCTION("""COMPUTED_VALUE"""),"")</f>
        <v/>
      </c>
      <c r="K1109" s="19"/>
      <c r="L1109" s="19"/>
      <c r="M1109" s="19"/>
      <c r="N1109" s="19"/>
      <c r="O1109" s="19"/>
    </row>
    <row r="1110">
      <c r="A1110" s="18"/>
      <c r="B1110" s="29"/>
      <c r="C1110" s="19"/>
      <c r="D1110" s="19"/>
      <c r="E1110" s="18"/>
      <c r="F1110" s="18" t="str">
        <f>IFERROR(__xludf.DUMMYFUNCTION("""COMPUTED_VALUE"""),"")</f>
        <v/>
      </c>
      <c r="G1110" s="18" t="str">
        <f>IFERROR(__xludf.DUMMYFUNCTION("""COMPUTED_VALUE"""),"")</f>
        <v/>
      </c>
      <c r="H1110" s="18" t="str">
        <f>IFERROR(__xludf.DUMMYFUNCTION("""COMPUTED_VALUE"""),"")</f>
        <v/>
      </c>
      <c r="I1110" s="18" t="str">
        <f>IFERROR(__xludf.DUMMYFUNCTION("""COMPUTED_VALUE"""),"")</f>
        <v/>
      </c>
      <c r="J1110" s="18" t="str">
        <f>IFERROR(__xludf.DUMMYFUNCTION("""COMPUTED_VALUE"""),"")</f>
        <v/>
      </c>
      <c r="K1110" s="19"/>
      <c r="L1110" s="19"/>
      <c r="M1110" s="19"/>
      <c r="N1110" s="19"/>
      <c r="O1110" s="19"/>
    </row>
    <row r="1111">
      <c r="A1111" s="18"/>
      <c r="B1111" s="29"/>
      <c r="C1111" s="19"/>
      <c r="D1111" s="19"/>
      <c r="E1111" s="18"/>
      <c r="F1111" s="18" t="str">
        <f>IFERROR(__xludf.DUMMYFUNCTION("""COMPUTED_VALUE"""),"")</f>
        <v/>
      </c>
      <c r="G1111" s="18" t="str">
        <f>IFERROR(__xludf.DUMMYFUNCTION("""COMPUTED_VALUE"""),"")</f>
        <v/>
      </c>
      <c r="H1111" s="18" t="str">
        <f>IFERROR(__xludf.DUMMYFUNCTION("""COMPUTED_VALUE"""),"")</f>
        <v/>
      </c>
      <c r="I1111" s="18" t="str">
        <f>IFERROR(__xludf.DUMMYFUNCTION("""COMPUTED_VALUE"""),"")</f>
        <v/>
      </c>
      <c r="J1111" s="18" t="str">
        <f>IFERROR(__xludf.DUMMYFUNCTION("""COMPUTED_VALUE"""),"")</f>
        <v/>
      </c>
      <c r="K1111" s="19"/>
      <c r="L1111" s="19"/>
      <c r="M1111" s="19"/>
      <c r="N1111" s="19"/>
      <c r="O1111" s="19"/>
    </row>
    <row r="1112">
      <c r="A1112" s="18"/>
      <c r="B1112" s="29"/>
      <c r="C1112" s="19"/>
      <c r="D1112" s="19"/>
      <c r="E1112" s="18"/>
      <c r="F1112" s="18" t="str">
        <f>IFERROR(__xludf.DUMMYFUNCTION("""COMPUTED_VALUE"""),"")</f>
        <v/>
      </c>
      <c r="G1112" s="18" t="str">
        <f>IFERROR(__xludf.DUMMYFUNCTION("""COMPUTED_VALUE"""),"")</f>
        <v/>
      </c>
      <c r="H1112" s="18" t="str">
        <f>IFERROR(__xludf.DUMMYFUNCTION("""COMPUTED_VALUE"""),"")</f>
        <v/>
      </c>
      <c r="I1112" s="18" t="str">
        <f>IFERROR(__xludf.DUMMYFUNCTION("""COMPUTED_VALUE"""),"")</f>
        <v/>
      </c>
      <c r="J1112" s="18" t="str">
        <f>IFERROR(__xludf.DUMMYFUNCTION("""COMPUTED_VALUE"""),"")</f>
        <v/>
      </c>
      <c r="K1112" s="19"/>
      <c r="L1112" s="19"/>
      <c r="M1112" s="19"/>
      <c r="N1112" s="19"/>
      <c r="O1112" s="19"/>
    </row>
    <row r="1113">
      <c r="A1113" s="18"/>
      <c r="B1113" s="29"/>
      <c r="C1113" s="19"/>
      <c r="D1113" s="19"/>
      <c r="E1113" s="18"/>
      <c r="F1113" s="18" t="str">
        <f>IFERROR(__xludf.DUMMYFUNCTION("""COMPUTED_VALUE"""),"")</f>
        <v/>
      </c>
      <c r="G1113" s="18" t="str">
        <f>IFERROR(__xludf.DUMMYFUNCTION("""COMPUTED_VALUE"""),"")</f>
        <v/>
      </c>
      <c r="H1113" s="18" t="str">
        <f>IFERROR(__xludf.DUMMYFUNCTION("""COMPUTED_VALUE"""),"")</f>
        <v/>
      </c>
      <c r="I1113" s="18" t="str">
        <f>IFERROR(__xludf.DUMMYFUNCTION("""COMPUTED_VALUE"""),"")</f>
        <v/>
      </c>
      <c r="J1113" s="18" t="str">
        <f>IFERROR(__xludf.DUMMYFUNCTION("""COMPUTED_VALUE"""),"")</f>
        <v/>
      </c>
      <c r="K1113" s="19"/>
      <c r="L1113" s="19"/>
      <c r="M1113" s="19"/>
      <c r="N1113" s="19"/>
      <c r="O1113" s="19"/>
    </row>
    <row r="1114">
      <c r="A1114" s="18"/>
      <c r="B1114" s="29"/>
      <c r="C1114" s="19"/>
      <c r="D1114" s="19"/>
      <c r="E1114" s="18"/>
      <c r="F1114" s="18" t="str">
        <f>IFERROR(__xludf.DUMMYFUNCTION("""COMPUTED_VALUE"""),"")</f>
        <v/>
      </c>
      <c r="G1114" s="18" t="str">
        <f>IFERROR(__xludf.DUMMYFUNCTION("""COMPUTED_VALUE"""),"")</f>
        <v/>
      </c>
      <c r="H1114" s="18" t="str">
        <f>IFERROR(__xludf.DUMMYFUNCTION("""COMPUTED_VALUE"""),"")</f>
        <v/>
      </c>
      <c r="I1114" s="18" t="str">
        <f>IFERROR(__xludf.DUMMYFUNCTION("""COMPUTED_VALUE"""),"")</f>
        <v/>
      </c>
      <c r="J1114" s="18" t="str">
        <f>IFERROR(__xludf.DUMMYFUNCTION("""COMPUTED_VALUE"""),"")</f>
        <v/>
      </c>
      <c r="K1114" s="19"/>
      <c r="L1114" s="19"/>
      <c r="M1114" s="19"/>
      <c r="N1114" s="19"/>
      <c r="O1114" s="19"/>
    </row>
    <row r="1115">
      <c r="A1115" s="18"/>
      <c r="B1115" s="29"/>
      <c r="C1115" s="19"/>
      <c r="D1115" s="19"/>
      <c r="E1115" s="18"/>
      <c r="F1115" s="18" t="str">
        <f>IFERROR(__xludf.DUMMYFUNCTION("""COMPUTED_VALUE"""),"")</f>
        <v/>
      </c>
      <c r="G1115" s="18" t="str">
        <f>IFERROR(__xludf.DUMMYFUNCTION("""COMPUTED_VALUE"""),"")</f>
        <v/>
      </c>
      <c r="H1115" s="18" t="str">
        <f>IFERROR(__xludf.DUMMYFUNCTION("""COMPUTED_VALUE"""),"")</f>
        <v/>
      </c>
      <c r="I1115" s="18" t="str">
        <f>IFERROR(__xludf.DUMMYFUNCTION("""COMPUTED_VALUE"""),"")</f>
        <v/>
      </c>
      <c r="J1115" s="18" t="str">
        <f>IFERROR(__xludf.DUMMYFUNCTION("""COMPUTED_VALUE"""),"")</f>
        <v/>
      </c>
      <c r="K1115" s="19"/>
      <c r="L1115" s="19"/>
      <c r="M1115" s="19"/>
      <c r="N1115" s="19"/>
      <c r="O1115" s="19"/>
    </row>
    <row r="1116">
      <c r="A1116" s="18"/>
      <c r="B1116" s="29"/>
      <c r="C1116" s="19"/>
      <c r="D1116" s="19"/>
      <c r="E1116" s="18"/>
      <c r="F1116" s="18" t="str">
        <f>IFERROR(__xludf.DUMMYFUNCTION("""COMPUTED_VALUE"""),"")</f>
        <v/>
      </c>
      <c r="G1116" s="18" t="str">
        <f>IFERROR(__xludf.DUMMYFUNCTION("""COMPUTED_VALUE"""),"")</f>
        <v/>
      </c>
      <c r="H1116" s="18" t="str">
        <f>IFERROR(__xludf.DUMMYFUNCTION("""COMPUTED_VALUE"""),"")</f>
        <v/>
      </c>
      <c r="I1116" s="18" t="str">
        <f>IFERROR(__xludf.DUMMYFUNCTION("""COMPUTED_VALUE"""),"")</f>
        <v/>
      </c>
      <c r="J1116" s="18" t="str">
        <f>IFERROR(__xludf.DUMMYFUNCTION("""COMPUTED_VALUE"""),"")</f>
        <v/>
      </c>
      <c r="K1116" s="19"/>
      <c r="L1116" s="19"/>
      <c r="M1116" s="19"/>
      <c r="N1116" s="19"/>
      <c r="O1116" s="19"/>
    </row>
    <row r="1117">
      <c r="A1117" s="18"/>
      <c r="B1117" s="29"/>
      <c r="C1117" s="19"/>
      <c r="D1117" s="19"/>
      <c r="E1117" s="18"/>
      <c r="F1117" s="18" t="str">
        <f>IFERROR(__xludf.DUMMYFUNCTION("""COMPUTED_VALUE"""),"")</f>
        <v/>
      </c>
      <c r="G1117" s="18" t="str">
        <f>IFERROR(__xludf.DUMMYFUNCTION("""COMPUTED_VALUE"""),"")</f>
        <v/>
      </c>
      <c r="H1117" s="18" t="str">
        <f>IFERROR(__xludf.DUMMYFUNCTION("""COMPUTED_VALUE"""),"")</f>
        <v/>
      </c>
      <c r="I1117" s="18" t="str">
        <f>IFERROR(__xludf.DUMMYFUNCTION("""COMPUTED_VALUE"""),"")</f>
        <v/>
      </c>
      <c r="J1117" s="18" t="str">
        <f>IFERROR(__xludf.DUMMYFUNCTION("""COMPUTED_VALUE"""),"")</f>
        <v/>
      </c>
      <c r="K1117" s="19"/>
      <c r="L1117" s="19"/>
      <c r="M1117" s="19"/>
      <c r="N1117" s="19"/>
      <c r="O1117" s="19"/>
    </row>
    <row r="1118">
      <c r="A1118" s="18"/>
      <c r="B1118" s="29"/>
      <c r="C1118" s="19"/>
      <c r="D1118" s="19"/>
      <c r="E1118" s="18"/>
      <c r="F1118" s="18" t="str">
        <f>IFERROR(__xludf.DUMMYFUNCTION("""COMPUTED_VALUE"""),"")</f>
        <v/>
      </c>
      <c r="G1118" s="18" t="str">
        <f>IFERROR(__xludf.DUMMYFUNCTION("""COMPUTED_VALUE"""),"")</f>
        <v/>
      </c>
      <c r="H1118" s="18" t="str">
        <f>IFERROR(__xludf.DUMMYFUNCTION("""COMPUTED_VALUE"""),"")</f>
        <v/>
      </c>
      <c r="I1118" s="18" t="str">
        <f>IFERROR(__xludf.DUMMYFUNCTION("""COMPUTED_VALUE"""),"")</f>
        <v/>
      </c>
      <c r="J1118" s="18" t="str">
        <f>IFERROR(__xludf.DUMMYFUNCTION("""COMPUTED_VALUE"""),"")</f>
        <v/>
      </c>
      <c r="K1118" s="19"/>
      <c r="L1118" s="19"/>
      <c r="M1118" s="19"/>
      <c r="N1118" s="19"/>
      <c r="O1118" s="19"/>
    </row>
    <row r="1119">
      <c r="A1119" s="18"/>
      <c r="B1119" s="29"/>
      <c r="C1119" s="19"/>
      <c r="D1119" s="19"/>
      <c r="E1119" s="18"/>
      <c r="F1119" s="18" t="str">
        <f>IFERROR(__xludf.DUMMYFUNCTION("""COMPUTED_VALUE"""),"")</f>
        <v/>
      </c>
      <c r="G1119" s="18" t="str">
        <f>IFERROR(__xludf.DUMMYFUNCTION("""COMPUTED_VALUE"""),"")</f>
        <v/>
      </c>
      <c r="H1119" s="18" t="str">
        <f>IFERROR(__xludf.DUMMYFUNCTION("""COMPUTED_VALUE"""),"")</f>
        <v/>
      </c>
      <c r="I1119" s="18" t="str">
        <f>IFERROR(__xludf.DUMMYFUNCTION("""COMPUTED_VALUE"""),"")</f>
        <v/>
      </c>
      <c r="J1119" s="18" t="str">
        <f>IFERROR(__xludf.DUMMYFUNCTION("""COMPUTED_VALUE"""),"")</f>
        <v/>
      </c>
      <c r="K1119" s="19"/>
      <c r="L1119" s="19"/>
      <c r="M1119" s="19"/>
      <c r="N1119" s="19"/>
      <c r="O1119" s="19"/>
    </row>
    <row r="1120">
      <c r="A1120" s="18"/>
      <c r="B1120" s="29"/>
      <c r="C1120" s="19"/>
      <c r="D1120" s="19"/>
      <c r="E1120" s="18"/>
      <c r="F1120" s="18" t="str">
        <f>IFERROR(__xludf.DUMMYFUNCTION("""COMPUTED_VALUE"""),"")</f>
        <v/>
      </c>
      <c r="G1120" s="18" t="str">
        <f>IFERROR(__xludf.DUMMYFUNCTION("""COMPUTED_VALUE"""),"")</f>
        <v/>
      </c>
      <c r="H1120" s="18" t="str">
        <f>IFERROR(__xludf.DUMMYFUNCTION("""COMPUTED_VALUE"""),"")</f>
        <v/>
      </c>
      <c r="I1120" s="18" t="str">
        <f>IFERROR(__xludf.DUMMYFUNCTION("""COMPUTED_VALUE"""),"")</f>
        <v/>
      </c>
      <c r="J1120" s="18" t="str">
        <f>IFERROR(__xludf.DUMMYFUNCTION("""COMPUTED_VALUE"""),"")</f>
        <v/>
      </c>
      <c r="K1120" s="19"/>
      <c r="L1120" s="19"/>
      <c r="M1120" s="19"/>
      <c r="N1120" s="19"/>
      <c r="O1120" s="19"/>
    </row>
    <row r="1121">
      <c r="A1121" s="18"/>
      <c r="B1121" s="29"/>
      <c r="C1121" s="19"/>
      <c r="D1121" s="19"/>
      <c r="E1121" s="18"/>
      <c r="F1121" s="18" t="str">
        <f>IFERROR(__xludf.DUMMYFUNCTION("""COMPUTED_VALUE"""),"")</f>
        <v/>
      </c>
      <c r="G1121" s="18" t="str">
        <f>IFERROR(__xludf.DUMMYFUNCTION("""COMPUTED_VALUE"""),"")</f>
        <v/>
      </c>
      <c r="H1121" s="18" t="str">
        <f>IFERROR(__xludf.DUMMYFUNCTION("""COMPUTED_VALUE"""),"")</f>
        <v/>
      </c>
      <c r="I1121" s="18" t="str">
        <f>IFERROR(__xludf.DUMMYFUNCTION("""COMPUTED_VALUE"""),"")</f>
        <v/>
      </c>
      <c r="J1121" s="18" t="str">
        <f>IFERROR(__xludf.DUMMYFUNCTION("""COMPUTED_VALUE"""),"")</f>
        <v/>
      </c>
      <c r="K1121" s="19"/>
      <c r="L1121" s="19"/>
      <c r="M1121" s="19"/>
      <c r="N1121" s="19"/>
      <c r="O1121" s="19"/>
    </row>
    <row r="1122">
      <c r="A1122" s="18"/>
      <c r="B1122" s="29"/>
      <c r="C1122" s="19"/>
      <c r="D1122" s="19"/>
      <c r="E1122" s="18"/>
      <c r="F1122" s="18" t="str">
        <f>IFERROR(__xludf.DUMMYFUNCTION("""COMPUTED_VALUE"""),"")</f>
        <v/>
      </c>
      <c r="G1122" s="18" t="str">
        <f>IFERROR(__xludf.DUMMYFUNCTION("""COMPUTED_VALUE"""),"")</f>
        <v/>
      </c>
      <c r="H1122" s="18" t="str">
        <f>IFERROR(__xludf.DUMMYFUNCTION("""COMPUTED_VALUE"""),"")</f>
        <v/>
      </c>
      <c r="I1122" s="18" t="str">
        <f>IFERROR(__xludf.DUMMYFUNCTION("""COMPUTED_VALUE"""),"")</f>
        <v/>
      </c>
      <c r="J1122" s="18" t="str">
        <f>IFERROR(__xludf.DUMMYFUNCTION("""COMPUTED_VALUE"""),"")</f>
        <v/>
      </c>
      <c r="K1122" s="19"/>
      <c r="L1122" s="19"/>
      <c r="M1122" s="19"/>
      <c r="N1122" s="19"/>
      <c r="O1122" s="19"/>
    </row>
    <row r="1123">
      <c r="A1123" s="18"/>
      <c r="B1123" s="29"/>
      <c r="C1123" s="19"/>
      <c r="D1123" s="19"/>
      <c r="E1123" s="18"/>
      <c r="F1123" s="18" t="str">
        <f>IFERROR(__xludf.DUMMYFUNCTION("""COMPUTED_VALUE"""),"")</f>
        <v/>
      </c>
      <c r="G1123" s="18" t="str">
        <f>IFERROR(__xludf.DUMMYFUNCTION("""COMPUTED_VALUE"""),"")</f>
        <v/>
      </c>
      <c r="H1123" s="18" t="str">
        <f>IFERROR(__xludf.DUMMYFUNCTION("""COMPUTED_VALUE"""),"")</f>
        <v/>
      </c>
      <c r="I1123" s="18" t="str">
        <f>IFERROR(__xludf.DUMMYFUNCTION("""COMPUTED_VALUE"""),"")</f>
        <v/>
      </c>
      <c r="J1123" s="18" t="str">
        <f>IFERROR(__xludf.DUMMYFUNCTION("""COMPUTED_VALUE"""),"")</f>
        <v/>
      </c>
      <c r="K1123" s="19"/>
      <c r="L1123" s="19"/>
      <c r="M1123" s="19"/>
      <c r="N1123" s="19"/>
      <c r="O1123" s="19"/>
    </row>
    <row r="1124">
      <c r="A1124" s="18"/>
      <c r="B1124" s="29"/>
      <c r="C1124" s="19"/>
      <c r="D1124" s="19"/>
      <c r="E1124" s="18"/>
      <c r="F1124" s="18" t="str">
        <f>IFERROR(__xludf.DUMMYFUNCTION("""COMPUTED_VALUE"""),"")</f>
        <v/>
      </c>
      <c r="G1124" s="18" t="str">
        <f>IFERROR(__xludf.DUMMYFUNCTION("""COMPUTED_VALUE"""),"")</f>
        <v/>
      </c>
      <c r="H1124" s="18" t="str">
        <f>IFERROR(__xludf.DUMMYFUNCTION("""COMPUTED_VALUE"""),"")</f>
        <v/>
      </c>
      <c r="I1124" s="18" t="str">
        <f>IFERROR(__xludf.DUMMYFUNCTION("""COMPUTED_VALUE"""),"")</f>
        <v/>
      </c>
      <c r="J1124" s="18" t="str">
        <f>IFERROR(__xludf.DUMMYFUNCTION("""COMPUTED_VALUE"""),"")</f>
        <v/>
      </c>
      <c r="K1124" s="19"/>
      <c r="L1124" s="19"/>
      <c r="M1124" s="19"/>
      <c r="N1124" s="19"/>
      <c r="O1124" s="19"/>
    </row>
    <row r="1125">
      <c r="A1125" s="18"/>
      <c r="B1125" s="29"/>
      <c r="C1125" s="19"/>
      <c r="D1125" s="19"/>
      <c r="E1125" s="18"/>
      <c r="F1125" s="18" t="str">
        <f>IFERROR(__xludf.DUMMYFUNCTION("""COMPUTED_VALUE"""),"")</f>
        <v/>
      </c>
      <c r="G1125" s="18" t="str">
        <f>IFERROR(__xludf.DUMMYFUNCTION("""COMPUTED_VALUE"""),"")</f>
        <v/>
      </c>
      <c r="H1125" s="18" t="str">
        <f>IFERROR(__xludf.DUMMYFUNCTION("""COMPUTED_VALUE"""),"")</f>
        <v/>
      </c>
      <c r="I1125" s="18" t="str">
        <f>IFERROR(__xludf.DUMMYFUNCTION("""COMPUTED_VALUE"""),"")</f>
        <v/>
      </c>
      <c r="J1125" s="18" t="str">
        <f>IFERROR(__xludf.DUMMYFUNCTION("""COMPUTED_VALUE"""),"")</f>
        <v/>
      </c>
      <c r="K1125" s="19"/>
      <c r="L1125" s="19"/>
      <c r="M1125" s="19"/>
      <c r="N1125" s="19"/>
      <c r="O1125" s="19"/>
    </row>
    <row r="1126">
      <c r="A1126" s="18"/>
      <c r="B1126" s="29"/>
      <c r="C1126" s="19"/>
      <c r="D1126" s="19"/>
      <c r="E1126" s="18"/>
      <c r="F1126" s="18" t="str">
        <f>IFERROR(__xludf.DUMMYFUNCTION("""COMPUTED_VALUE"""),"")</f>
        <v/>
      </c>
      <c r="G1126" s="18" t="str">
        <f>IFERROR(__xludf.DUMMYFUNCTION("""COMPUTED_VALUE"""),"")</f>
        <v/>
      </c>
      <c r="H1126" s="18" t="str">
        <f>IFERROR(__xludf.DUMMYFUNCTION("""COMPUTED_VALUE"""),"")</f>
        <v/>
      </c>
      <c r="I1126" s="18" t="str">
        <f>IFERROR(__xludf.DUMMYFUNCTION("""COMPUTED_VALUE"""),"")</f>
        <v/>
      </c>
      <c r="J1126" s="18" t="str">
        <f>IFERROR(__xludf.DUMMYFUNCTION("""COMPUTED_VALUE"""),"")</f>
        <v/>
      </c>
      <c r="K1126" s="19"/>
      <c r="L1126" s="19"/>
      <c r="M1126" s="19"/>
      <c r="N1126" s="19"/>
      <c r="O1126" s="19"/>
    </row>
    <row r="1127">
      <c r="A1127" s="18"/>
      <c r="B1127" s="29"/>
      <c r="C1127" s="19"/>
      <c r="D1127" s="19"/>
      <c r="E1127" s="18"/>
      <c r="F1127" s="18" t="str">
        <f>IFERROR(__xludf.DUMMYFUNCTION("""COMPUTED_VALUE"""),"")</f>
        <v/>
      </c>
      <c r="G1127" s="18" t="str">
        <f>IFERROR(__xludf.DUMMYFUNCTION("""COMPUTED_VALUE"""),"")</f>
        <v/>
      </c>
      <c r="H1127" s="18" t="str">
        <f>IFERROR(__xludf.DUMMYFUNCTION("""COMPUTED_VALUE"""),"")</f>
        <v/>
      </c>
      <c r="I1127" s="18" t="str">
        <f>IFERROR(__xludf.DUMMYFUNCTION("""COMPUTED_VALUE"""),"")</f>
        <v/>
      </c>
      <c r="J1127" s="18" t="str">
        <f>IFERROR(__xludf.DUMMYFUNCTION("""COMPUTED_VALUE"""),"")</f>
        <v/>
      </c>
      <c r="K1127" s="19"/>
      <c r="L1127" s="19"/>
      <c r="M1127" s="19"/>
      <c r="N1127" s="19"/>
      <c r="O1127" s="19"/>
    </row>
    <row r="1128">
      <c r="A1128" s="18"/>
      <c r="B1128" s="29"/>
      <c r="C1128" s="19"/>
      <c r="D1128" s="19"/>
      <c r="E1128" s="18"/>
      <c r="F1128" s="18" t="str">
        <f>IFERROR(__xludf.DUMMYFUNCTION("""COMPUTED_VALUE"""),"")</f>
        <v/>
      </c>
      <c r="G1128" s="18" t="str">
        <f>IFERROR(__xludf.DUMMYFUNCTION("""COMPUTED_VALUE"""),"")</f>
        <v/>
      </c>
      <c r="H1128" s="18" t="str">
        <f>IFERROR(__xludf.DUMMYFUNCTION("""COMPUTED_VALUE"""),"")</f>
        <v/>
      </c>
      <c r="I1128" s="18" t="str">
        <f>IFERROR(__xludf.DUMMYFUNCTION("""COMPUTED_VALUE"""),"")</f>
        <v/>
      </c>
      <c r="J1128" s="18" t="str">
        <f>IFERROR(__xludf.DUMMYFUNCTION("""COMPUTED_VALUE"""),"")</f>
        <v/>
      </c>
      <c r="K1128" s="19"/>
      <c r="L1128" s="19"/>
      <c r="M1128" s="19"/>
      <c r="N1128" s="19"/>
      <c r="O1128" s="19"/>
    </row>
    <row r="1129">
      <c r="A1129" s="18"/>
      <c r="B1129" s="29"/>
      <c r="C1129" s="19"/>
      <c r="D1129" s="19"/>
      <c r="E1129" s="18"/>
      <c r="F1129" s="18" t="str">
        <f>IFERROR(__xludf.DUMMYFUNCTION("""COMPUTED_VALUE"""),"")</f>
        <v/>
      </c>
      <c r="G1129" s="18" t="str">
        <f>IFERROR(__xludf.DUMMYFUNCTION("""COMPUTED_VALUE"""),"")</f>
        <v/>
      </c>
      <c r="H1129" s="18" t="str">
        <f>IFERROR(__xludf.DUMMYFUNCTION("""COMPUTED_VALUE"""),"")</f>
        <v/>
      </c>
      <c r="I1129" s="18" t="str">
        <f>IFERROR(__xludf.DUMMYFUNCTION("""COMPUTED_VALUE"""),"")</f>
        <v/>
      </c>
      <c r="J1129" s="18" t="str">
        <f>IFERROR(__xludf.DUMMYFUNCTION("""COMPUTED_VALUE"""),"")</f>
        <v/>
      </c>
      <c r="K1129" s="19"/>
      <c r="L1129" s="19"/>
      <c r="M1129" s="19"/>
      <c r="N1129" s="19"/>
      <c r="O1129" s="19"/>
    </row>
    <row r="1130">
      <c r="A1130" s="18"/>
      <c r="B1130" s="29"/>
      <c r="C1130" s="19"/>
      <c r="D1130" s="19"/>
      <c r="E1130" s="18"/>
      <c r="F1130" s="18" t="str">
        <f>IFERROR(__xludf.DUMMYFUNCTION("""COMPUTED_VALUE"""),"")</f>
        <v/>
      </c>
      <c r="G1130" s="18" t="str">
        <f>IFERROR(__xludf.DUMMYFUNCTION("""COMPUTED_VALUE"""),"")</f>
        <v/>
      </c>
      <c r="H1130" s="18" t="str">
        <f>IFERROR(__xludf.DUMMYFUNCTION("""COMPUTED_VALUE"""),"")</f>
        <v/>
      </c>
      <c r="I1130" s="18" t="str">
        <f>IFERROR(__xludf.DUMMYFUNCTION("""COMPUTED_VALUE"""),"")</f>
        <v/>
      </c>
      <c r="J1130" s="18" t="str">
        <f>IFERROR(__xludf.DUMMYFUNCTION("""COMPUTED_VALUE"""),"")</f>
        <v/>
      </c>
      <c r="K1130" s="19"/>
      <c r="L1130" s="19"/>
      <c r="M1130" s="19"/>
      <c r="N1130" s="19"/>
      <c r="O1130" s="19"/>
    </row>
    <row r="1131">
      <c r="A1131" s="18"/>
      <c r="B1131" s="29"/>
      <c r="C1131" s="19"/>
      <c r="D1131" s="19"/>
      <c r="E1131" s="18"/>
      <c r="F1131" s="18" t="str">
        <f>IFERROR(__xludf.DUMMYFUNCTION("""COMPUTED_VALUE"""),"")</f>
        <v/>
      </c>
      <c r="G1131" s="18" t="str">
        <f>IFERROR(__xludf.DUMMYFUNCTION("""COMPUTED_VALUE"""),"")</f>
        <v/>
      </c>
      <c r="H1131" s="18" t="str">
        <f>IFERROR(__xludf.DUMMYFUNCTION("""COMPUTED_VALUE"""),"")</f>
        <v/>
      </c>
      <c r="I1131" s="18" t="str">
        <f>IFERROR(__xludf.DUMMYFUNCTION("""COMPUTED_VALUE"""),"")</f>
        <v/>
      </c>
      <c r="J1131" s="18" t="str">
        <f>IFERROR(__xludf.DUMMYFUNCTION("""COMPUTED_VALUE"""),"")</f>
        <v/>
      </c>
      <c r="K1131" s="19"/>
      <c r="L1131" s="19"/>
      <c r="M1131" s="19"/>
      <c r="N1131" s="19"/>
      <c r="O1131" s="19"/>
    </row>
    <row r="1132">
      <c r="A1132" s="18"/>
      <c r="B1132" s="29"/>
      <c r="C1132" s="19"/>
      <c r="D1132" s="19"/>
      <c r="E1132" s="18"/>
      <c r="F1132" s="18" t="str">
        <f>IFERROR(__xludf.DUMMYFUNCTION("""COMPUTED_VALUE"""),"")</f>
        <v/>
      </c>
      <c r="G1132" s="18" t="str">
        <f>IFERROR(__xludf.DUMMYFUNCTION("""COMPUTED_VALUE"""),"")</f>
        <v/>
      </c>
      <c r="H1132" s="18" t="str">
        <f>IFERROR(__xludf.DUMMYFUNCTION("""COMPUTED_VALUE"""),"")</f>
        <v/>
      </c>
      <c r="I1132" s="18" t="str">
        <f>IFERROR(__xludf.DUMMYFUNCTION("""COMPUTED_VALUE"""),"")</f>
        <v/>
      </c>
      <c r="J1132" s="18" t="str">
        <f>IFERROR(__xludf.DUMMYFUNCTION("""COMPUTED_VALUE"""),"")</f>
        <v/>
      </c>
      <c r="K1132" s="19"/>
      <c r="L1132" s="19"/>
      <c r="M1132" s="19"/>
      <c r="N1132" s="19"/>
      <c r="O1132" s="19"/>
    </row>
    <row r="1133">
      <c r="A1133" s="18"/>
      <c r="B1133" s="29"/>
      <c r="C1133" s="19"/>
      <c r="D1133" s="19"/>
      <c r="E1133" s="18"/>
      <c r="F1133" s="18" t="str">
        <f>IFERROR(__xludf.DUMMYFUNCTION("""COMPUTED_VALUE"""),"")</f>
        <v/>
      </c>
      <c r="G1133" s="18" t="str">
        <f>IFERROR(__xludf.DUMMYFUNCTION("""COMPUTED_VALUE"""),"")</f>
        <v/>
      </c>
      <c r="H1133" s="18" t="str">
        <f>IFERROR(__xludf.DUMMYFUNCTION("""COMPUTED_VALUE"""),"")</f>
        <v/>
      </c>
      <c r="I1133" s="18" t="str">
        <f>IFERROR(__xludf.DUMMYFUNCTION("""COMPUTED_VALUE"""),"")</f>
        <v/>
      </c>
      <c r="J1133" s="18" t="str">
        <f>IFERROR(__xludf.DUMMYFUNCTION("""COMPUTED_VALUE"""),"")</f>
        <v/>
      </c>
      <c r="K1133" s="19"/>
      <c r="L1133" s="19"/>
      <c r="M1133" s="19"/>
      <c r="N1133" s="19"/>
      <c r="O1133" s="19"/>
    </row>
    <row r="1134">
      <c r="A1134" s="18"/>
      <c r="B1134" s="29"/>
      <c r="C1134" s="19"/>
      <c r="D1134" s="19"/>
      <c r="E1134" s="18"/>
      <c r="F1134" s="18" t="str">
        <f>IFERROR(__xludf.DUMMYFUNCTION("""COMPUTED_VALUE"""),"")</f>
        <v/>
      </c>
      <c r="G1134" s="18" t="str">
        <f>IFERROR(__xludf.DUMMYFUNCTION("""COMPUTED_VALUE"""),"")</f>
        <v/>
      </c>
      <c r="H1134" s="18" t="str">
        <f>IFERROR(__xludf.DUMMYFUNCTION("""COMPUTED_VALUE"""),"")</f>
        <v/>
      </c>
      <c r="I1134" s="18" t="str">
        <f>IFERROR(__xludf.DUMMYFUNCTION("""COMPUTED_VALUE"""),"")</f>
        <v/>
      </c>
      <c r="J1134" s="18" t="str">
        <f>IFERROR(__xludf.DUMMYFUNCTION("""COMPUTED_VALUE"""),"")</f>
        <v/>
      </c>
      <c r="K1134" s="19"/>
      <c r="L1134" s="19"/>
      <c r="M1134" s="19"/>
      <c r="N1134" s="19"/>
      <c r="O1134" s="19"/>
    </row>
    <row r="1135">
      <c r="A1135" s="18"/>
      <c r="B1135" s="29"/>
      <c r="C1135" s="19"/>
      <c r="D1135" s="19"/>
      <c r="E1135" s="18"/>
      <c r="F1135" s="18" t="str">
        <f>IFERROR(__xludf.DUMMYFUNCTION("""COMPUTED_VALUE"""),"")</f>
        <v/>
      </c>
      <c r="G1135" s="18" t="str">
        <f>IFERROR(__xludf.DUMMYFUNCTION("""COMPUTED_VALUE"""),"")</f>
        <v/>
      </c>
      <c r="H1135" s="18" t="str">
        <f>IFERROR(__xludf.DUMMYFUNCTION("""COMPUTED_VALUE"""),"")</f>
        <v/>
      </c>
      <c r="I1135" s="18" t="str">
        <f>IFERROR(__xludf.DUMMYFUNCTION("""COMPUTED_VALUE"""),"")</f>
        <v/>
      </c>
      <c r="J1135" s="18" t="str">
        <f>IFERROR(__xludf.DUMMYFUNCTION("""COMPUTED_VALUE"""),"")</f>
        <v/>
      </c>
      <c r="K1135" s="19"/>
      <c r="L1135" s="19"/>
      <c r="M1135" s="19"/>
      <c r="N1135" s="19"/>
      <c r="O1135" s="19"/>
    </row>
    <row r="1136">
      <c r="A1136" s="18"/>
      <c r="B1136" s="29"/>
      <c r="C1136" s="19"/>
      <c r="D1136" s="19"/>
      <c r="E1136" s="18"/>
      <c r="F1136" s="18" t="str">
        <f>IFERROR(__xludf.DUMMYFUNCTION("""COMPUTED_VALUE"""),"")</f>
        <v/>
      </c>
      <c r="G1136" s="18" t="str">
        <f>IFERROR(__xludf.DUMMYFUNCTION("""COMPUTED_VALUE"""),"")</f>
        <v/>
      </c>
      <c r="H1136" s="18" t="str">
        <f>IFERROR(__xludf.DUMMYFUNCTION("""COMPUTED_VALUE"""),"")</f>
        <v/>
      </c>
      <c r="I1136" s="18" t="str">
        <f>IFERROR(__xludf.DUMMYFUNCTION("""COMPUTED_VALUE"""),"")</f>
        <v/>
      </c>
      <c r="J1136" s="18" t="str">
        <f>IFERROR(__xludf.DUMMYFUNCTION("""COMPUTED_VALUE"""),"")</f>
        <v/>
      </c>
      <c r="K1136" s="19"/>
      <c r="L1136" s="19"/>
      <c r="M1136" s="19"/>
      <c r="N1136" s="19"/>
      <c r="O1136" s="19"/>
    </row>
    <row r="1137">
      <c r="A1137" s="18"/>
      <c r="B1137" s="29"/>
      <c r="C1137" s="19"/>
      <c r="D1137" s="19"/>
      <c r="E1137" s="18"/>
      <c r="F1137" s="18" t="str">
        <f>IFERROR(__xludf.DUMMYFUNCTION("""COMPUTED_VALUE"""),"")</f>
        <v/>
      </c>
      <c r="G1137" s="18" t="str">
        <f>IFERROR(__xludf.DUMMYFUNCTION("""COMPUTED_VALUE"""),"")</f>
        <v/>
      </c>
      <c r="H1137" s="18" t="str">
        <f>IFERROR(__xludf.DUMMYFUNCTION("""COMPUTED_VALUE"""),"")</f>
        <v/>
      </c>
      <c r="I1137" s="18" t="str">
        <f>IFERROR(__xludf.DUMMYFUNCTION("""COMPUTED_VALUE"""),"")</f>
        <v/>
      </c>
      <c r="J1137" s="18" t="str">
        <f>IFERROR(__xludf.DUMMYFUNCTION("""COMPUTED_VALUE"""),"")</f>
        <v/>
      </c>
      <c r="K1137" s="19"/>
      <c r="L1137" s="19"/>
      <c r="M1137" s="19"/>
      <c r="N1137" s="19"/>
      <c r="O1137" s="19"/>
    </row>
    <row r="1138">
      <c r="A1138" s="18"/>
      <c r="B1138" s="29"/>
      <c r="C1138" s="19"/>
      <c r="D1138" s="19"/>
      <c r="E1138" s="18"/>
      <c r="F1138" s="18" t="str">
        <f>IFERROR(__xludf.DUMMYFUNCTION("""COMPUTED_VALUE"""),"")</f>
        <v/>
      </c>
      <c r="G1138" s="18" t="str">
        <f>IFERROR(__xludf.DUMMYFUNCTION("""COMPUTED_VALUE"""),"")</f>
        <v/>
      </c>
      <c r="H1138" s="18" t="str">
        <f>IFERROR(__xludf.DUMMYFUNCTION("""COMPUTED_VALUE"""),"")</f>
        <v/>
      </c>
      <c r="I1138" s="18" t="str">
        <f>IFERROR(__xludf.DUMMYFUNCTION("""COMPUTED_VALUE"""),"")</f>
        <v/>
      </c>
      <c r="J1138" s="18" t="str">
        <f>IFERROR(__xludf.DUMMYFUNCTION("""COMPUTED_VALUE"""),"")</f>
        <v/>
      </c>
      <c r="K1138" s="19"/>
      <c r="L1138" s="19"/>
      <c r="M1138" s="19"/>
      <c r="N1138" s="19"/>
      <c r="O1138" s="19"/>
    </row>
    <row r="1139">
      <c r="A1139" s="18"/>
      <c r="B1139" s="29"/>
      <c r="C1139" s="19"/>
      <c r="D1139" s="19"/>
      <c r="E1139" s="18"/>
      <c r="F1139" s="18" t="str">
        <f>IFERROR(__xludf.DUMMYFUNCTION("""COMPUTED_VALUE"""),"")</f>
        <v/>
      </c>
      <c r="G1139" s="18" t="str">
        <f>IFERROR(__xludf.DUMMYFUNCTION("""COMPUTED_VALUE"""),"")</f>
        <v/>
      </c>
      <c r="H1139" s="18" t="str">
        <f>IFERROR(__xludf.DUMMYFUNCTION("""COMPUTED_VALUE"""),"")</f>
        <v/>
      </c>
      <c r="I1139" s="18" t="str">
        <f>IFERROR(__xludf.DUMMYFUNCTION("""COMPUTED_VALUE"""),"")</f>
        <v/>
      </c>
      <c r="J1139" s="18" t="str">
        <f>IFERROR(__xludf.DUMMYFUNCTION("""COMPUTED_VALUE"""),"")</f>
        <v/>
      </c>
      <c r="K1139" s="19"/>
      <c r="L1139" s="19"/>
      <c r="M1139" s="19"/>
      <c r="N1139" s="19"/>
      <c r="O1139" s="19"/>
    </row>
    <row r="1140">
      <c r="A1140" s="18"/>
      <c r="B1140" s="29"/>
      <c r="C1140" s="19"/>
      <c r="D1140" s="19"/>
      <c r="E1140" s="18"/>
      <c r="F1140" s="18" t="str">
        <f>IFERROR(__xludf.DUMMYFUNCTION("""COMPUTED_VALUE"""),"")</f>
        <v/>
      </c>
      <c r="G1140" s="18" t="str">
        <f>IFERROR(__xludf.DUMMYFUNCTION("""COMPUTED_VALUE"""),"")</f>
        <v/>
      </c>
      <c r="H1140" s="18" t="str">
        <f>IFERROR(__xludf.DUMMYFUNCTION("""COMPUTED_VALUE"""),"")</f>
        <v/>
      </c>
      <c r="I1140" s="18" t="str">
        <f>IFERROR(__xludf.DUMMYFUNCTION("""COMPUTED_VALUE"""),"")</f>
        <v/>
      </c>
      <c r="J1140" s="18" t="str">
        <f>IFERROR(__xludf.DUMMYFUNCTION("""COMPUTED_VALUE"""),"")</f>
        <v/>
      </c>
      <c r="K1140" s="19"/>
      <c r="L1140" s="19"/>
      <c r="M1140" s="19"/>
      <c r="N1140" s="19"/>
      <c r="O1140" s="19"/>
    </row>
    <row r="1141">
      <c r="A1141" s="18"/>
      <c r="B1141" s="29"/>
      <c r="C1141" s="19"/>
      <c r="D1141" s="19"/>
      <c r="E1141" s="18"/>
      <c r="F1141" s="18" t="str">
        <f>IFERROR(__xludf.DUMMYFUNCTION("""COMPUTED_VALUE"""),"")</f>
        <v/>
      </c>
      <c r="G1141" s="18" t="str">
        <f>IFERROR(__xludf.DUMMYFUNCTION("""COMPUTED_VALUE"""),"")</f>
        <v/>
      </c>
      <c r="H1141" s="18" t="str">
        <f>IFERROR(__xludf.DUMMYFUNCTION("""COMPUTED_VALUE"""),"")</f>
        <v/>
      </c>
      <c r="I1141" s="18" t="str">
        <f>IFERROR(__xludf.DUMMYFUNCTION("""COMPUTED_VALUE"""),"")</f>
        <v/>
      </c>
      <c r="J1141" s="18" t="str">
        <f>IFERROR(__xludf.DUMMYFUNCTION("""COMPUTED_VALUE"""),"")</f>
        <v/>
      </c>
      <c r="K1141" s="19"/>
      <c r="L1141" s="19"/>
      <c r="M1141" s="19"/>
      <c r="N1141" s="19"/>
      <c r="O1141" s="19"/>
    </row>
    <row r="1142">
      <c r="A1142" s="18"/>
      <c r="B1142" s="29"/>
      <c r="C1142" s="19"/>
      <c r="D1142" s="19"/>
      <c r="E1142" s="18"/>
      <c r="F1142" s="18" t="str">
        <f>IFERROR(__xludf.DUMMYFUNCTION("""COMPUTED_VALUE"""),"")</f>
        <v/>
      </c>
      <c r="G1142" s="18" t="str">
        <f>IFERROR(__xludf.DUMMYFUNCTION("""COMPUTED_VALUE"""),"")</f>
        <v/>
      </c>
      <c r="H1142" s="18" t="str">
        <f>IFERROR(__xludf.DUMMYFUNCTION("""COMPUTED_VALUE"""),"")</f>
        <v/>
      </c>
      <c r="I1142" s="18" t="str">
        <f>IFERROR(__xludf.DUMMYFUNCTION("""COMPUTED_VALUE"""),"")</f>
        <v/>
      </c>
      <c r="J1142" s="18" t="str">
        <f>IFERROR(__xludf.DUMMYFUNCTION("""COMPUTED_VALUE"""),"")</f>
        <v/>
      </c>
      <c r="K1142" s="19"/>
      <c r="L1142" s="19"/>
      <c r="M1142" s="19"/>
      <c r="N1142" s="19"/>
      <c r="O1142" s="19"/>
    </row>
    <row r="1143">
      <c r="A1143" s="18"/>
      <c r="B1143" s="29"/>
      <c r="C1143" s="19"/>
      <c r="D1143" s="19"/>
      <c r="E1143" s="18"/>
      <c r="F1143" s="18" t="str">
        <f>IFERROR(__xludf.DUMMYFUNCTION("""COMPUTED_VALUE"""),"")</f>
        <v/>
      </c>
      <c r="G1143" s="18" t="str">
        <f>IFERROR(__xludf.DUMMYFUNCTION("""COMPUTED_VALUE"""),"")</f>
        <v/>
      </c>
      <c r="H1143" s="18" t="str">
        <f>IFERROR(__xludf.DUMMYFUNCTION("""COMPUTED_VALUE"""),"")</f>
        <v/>
      </c>
      <c r="I1143" s="18" t="str">
        <f>IFERROR(__xludf.DUMMYFUNCTION("""COMPUTED_VALUE"""),"")</f>
        <v/>
      </c>
      <c r="J1143" s="18" t="str">
        <f>IFERROR(__xludf.DUMMYFUNCTION("""COMPUTED_VALUE"""),"")</f>
        <v/>
      </c>
      <c r="K1143" s="19"/>
      <c r="L1143" s="19"/>
      <c r="M1143" s="19"/>
      <c r="N1143" s="19"/>
      <c r="O1143" s="19"/>
    </row>
    <row r="1144">
      <c r="A1144" s="18"/>
      <c r="B1144" s="29"/>
      <c r="C1144" s="19"/>
      <c r="D1144" s="19"/>
      <c r="E1144" s="18"/>
      <c r="F1144" s="18" t="str">
        <f>IFERROR(__xludf.DUMMYFUNCTION("""COMPUTED_VALUE"""),"")</f>
        <v/>
      </c>
      <c r="G1144" s="18" t="str">
        <f>IFERROR(__xludf.DUMMYFUNCTION("""COMPUTED_VALUE"""),"")</f>
        <v/>
      </c>
      <c r="H1144" s="18" t="str">
        <f>IFERROR(__xludf.DUMMYFUNCTION("""COMPUTED_VALUE"""),"")</f>
        <v/>
      </c>
      <c r="I1144" s="18" t="str">
        <f>IFERROR(__xludf.DUMMYFUNCTION("""COMPUTED_VALUE"""),"")</f>
        <v/>
      </c>
      <c r="J1144" s="18" t="str">
        <f>IFERROR(__xludf.DUMMYFUNCTION("""COMPUTED_VALUE"""),"")</f>
        <v/>
      </c>
      <c r="K1144" s="19"/>
      <c r="L1144" s="19"/>
      <c r="M1144" s="19"/>
      <c r="N1144" s="19"/>
      <c r="O1144" s="19"/>
    </row>
    <row r="1145">
      <c r="A1145" s="18"/>
      <c r="B1145" s="29"/>
      <c r="C1145" s="19"/>
      <c r="D1145" s="19"/>
      <c r="E1145" s="18"/>
      <c r="F1145" s="18" t="str">
        <f>IFERROR(__xludf.DUMMYFUNCTION("""COMPUTED_VALUE"""),"")</f>
        <v/>
      </c>
      <c r="G1145" s="18" t="str">
        <f>IFERROR(__xludf.DUMMYFUNCTION("""COMPUTED_VALUE"""),"")</f>
        <v/>
      </c>
      <c r="H1145" s="18" t="str">
        <f>IFERROR(__xludf.DUMMYFUNCTION("""COMPUTED_VALUE"""),"")</f>
        <v/>
      </c>
      <c r="I1145" s="18" t="str">
        <f>IFERROR(__xludf.DUMMYFUNCTION("""COMPUTED_VALUE"""),"")</f>
        <v/>
      </c>
      <c r="J1145" s="18" t="str">
        <f>IFERROR(__xludf.DUMMYFUNCTION("""COMPUTED_VALUE"""),"")</f>
        <v/>
      </c>
      <c r="K1145" s="19"/>
      <c r="L1145" s="19"/>
      <c r="M1145" s="19"/>
      <c r="N1145" s="19"/>
      <c r="O1145" s="19"/>
    </row>
    <row r="1146">
      <c r="A1146" s="18"/>
      <c r="B1146" s="29"/>
      <c r="C1146" s="19"/>
      <c r="D1146" s="19"/>
      <c r="E1146" s="18"/>
      <c r="F1146" s="18" t="str">
        <f>IFERROR(__xludf.DUMMYFUNCTION("""COMPUTED_VALUE"""),"")</f>
        <v/>
      </c>
      <c r="G1146" s="18" t="str">
        <f>IFERROR(__xludf.DUMMYFUNCTION("""COMPUTED_VALUE"""),"")</f>
        <v/>
      </c>
      <c r="H1146" s="18" t="str">
        <f>IFERROR(__xludf.DUMMYFUNCTION("""COMPUTED_VALUE"""),"")</f>
        <v/>
      </c>
      <c r="I1146" s="18" t="str">
        <f>IFERROR(__xludf.DUMMYFUNCTION("""COMPUTED_VALUE"""),"")</f>
        <v/>
      </c>
      <c r="J1146" s="18" t="str">
        <f>IFERROR(__xludf.DUMMYFUNCTION("""COMPUTED_VALUE"""),"")</f>
        <v/>
      </c>
      <c r="K1146" s="19"/>
      <c r="L1146" s="19"/>
      <c r="M1146" s="19"/>
      <c r="N1146" s="19"/>
      <c r="O1146" s="19"/>
    </row>
    <row r="1147">
      <c r="A1147" s="18"/>
      <c r="B1147" s="29"/>
      <c r="C1147" s="19"/>
      <c r="D1147" s="19"/>
      <c r="E1147" s="18"/>
      <c r="F1147" s="18" t="str">
        <f>IFERROR(__xludf.DUMMYFUNCTION("""COMPUTED_VALUE"""),"")</f>
        <v/>
      </c>
      <c r="G1147" s="18" t="str">
        <f>IFERROR(__xludf.DUMMYFUNCTION("""COMPUTED_VALUE"""),"")</f>
        <v/>
      </c>
      <c r="H1147" s="18" t="str">
        <f>IFERROR(__xludf.DUMMYFUNCTION("""COMPUTED_VALUE"""),"")</f>
        <v/>
      </c>
      <c r="I1147" s="18" t="str">
        <f>IFERROR(__xludf.DUMMYFUNCTION("""COMPUTED_VALUE"""),"")</f>
        <v/>
      </c>
      <c r="J1147" s="18" t="str">
        <f>IFERROR(__xludf.DUMMYFUNCTION("""COMPUTED_VALUE"""),"")</f>
        <v/>
      </c>
      <c r="K1147" s="19"/>
      <c r="L1147" s="19"/>
      <c r="M1147" s="19"/>
      <c r="N1147" s="19"/>
      <c r="O1147" s="19"/>
    </row>
    <row r="1148">
      <c r="A1148" s="18"/>
      <c r="B1148" s="29"/>
      <c r="C1148" s="19"/>
      <c r="D1148" s="19"/>
      <c r="E1148" s="18"/>
      <c r="F1148" s="18" t="str">
        <f>IFERROR(__xludf.DUMMYFUNCTION("""COMPUTED_VALUE"""),"")</f>
        <v/>
      </c>
      <c r="G1148" s="18" t="str">
        <f>IFERROR(__xludf.DUMMYFUNCTION("""COMPUTED_VALUE"""),"")</f>
        <v/>
      </c>
      <c r="H1148" s="18" t="str">
        <f>IFERROR(__xludf.DUMMYFUNCTION("""COMPUTED_VALUE"""),"")</f>
        <v/>
      </c>
      <c r="I1148" s="18" t="str">
        <f>IFERROR(__xludf.DUMMYFUNCTION("""COMPUTED_VALUE"""),"")</f>
        <v/>
      </c>
      <c r="J1148" s="18" t="str">
        <f>IFERROR(__xludf.DUMMYFUNCTION("""COMPUTED_VALUE"""),"")</f>
        <v/>
      </c>
      <c r="K1148" s="19"/>
      <c r="L1148" s="19"/>
      <c r="M1148" s="19"/>
      <c r="N1148" s="19"/>
      <c r="O1148" s="19"/>
    </row>
    <row r="1149">
      <c r="A1149" s="18"/>
      <c r="B1149" s="29"/>
      <c r="C1149" s="19"/>
      <c r="D1149" s="19"/>
      <c r="E1149" s="18"/>
      <c r="F1149" s="18" t="str">
        <f>IFERROR(__xludf.DUMMYFUNCTION("""COMPUTED_VALUE"""),"")</f>
        <v/>
      </c>
      <c r="G1149" s="18" t="str">
        <f>IFERROR(__xludf.DUMMYFUNCTION("""COMPUTED_VALUE"""),"")</f>
        <v/>
      </c>
      <c r="H1149" s="18" t="str">
        <f>IFERROR(__xludf.DUMMYFUNCTION("""COMPUTED_VALUE"""),"")</f>
        <v/>
      </c>
      <c r="I1149" s="18" t="str">
        <f>IFERROR(__xludf.DUMMYFUNCTION("""COMPUTED_VALUE"""),"")</f>
        <v/>
      </c>
      <c r="J1149" s="18" t="str">
        <f>IFERROR(__xludf.DUMMYFUNCTION("""COMPUTED_VALUE"""),"")</f>
        <v/>
      </c>
      <c r="K1149" s="19"/>
      <c r="L1149" s="19"/>
      <c r="M1149" s="19"/>
      <c r="N1149" s="19"/>
      <c r="O1149" s="19"/>
    </row>
    <row r="1150">
      <c r="A1150" s="18"/>
      <c r="B1150" s="29"/>
      <c r="C1150" s="19"/>
      <c r="D1150" s="19"/>
      <c r="E1150" s="18"/>
      <c r="F1150" s="18" t="str">
        <f>IFERROR(__xludf.DUMMYFUNCTION("""COMPUTED_VALUE"""),"")</f>
        <v/>
      </c>
      <c r="G1150" s="18" t="str">
        <f>IFERROR(__xludf.DUMMYFUNCTION("""COMPUTED_VALUE"""),"")</f>
        <v/>
      </c>
      <c r="H1150" s="18" t="str">
        <f>IFERROR(__xludf.DUMMYFUNCTION("""COMPUTED_VALUE"""),"")</f>
        <v/>
      </c>
      <c r="I1150" s="18" t="str">
        <f>IFERROR(__xludf.DUMMYFUNCTION("""COMPUTED_VALUE"""),"")</f>
        <v/>
      </c>
      <c r="J1150" s="18" t="str">
        <f>IFERROR(__xludf.DUMMYFUNCTION("""COMPUTED_VALUE"""),"")</f>
        <v/>
      </c>
      <c r="K1150" s="19"/>
      <c r="L1150" s="19"/>
      <c r="M1150" s="19"/>
      <c r="N1150" s="19"/>
      <c r="O1150" s="19"/>
    </row>
    <row r="1151">
      <c r="A1151" s="18"/>
      <c r="B1151" s="29"/>
      <c r="C1151" s="19"/>
      <c r="D1151" s="19"/>
      <c r="E1151" s="18"/>
      <c r="F1151" s="18" t="str">
        <f>IFERROR(__xludf.DUMMYFUNCTION("""COMPUTED_VALUE"""),"")</f>
        <v/>
      </c>
      <c r="G1151" s="18" t="str">
        <f>IFERROR(__xludf.DUMMYFUNCTION("""COMPUTED_VALUE"""),"")</f>
        <v/>
      </c>
      <c r="H1151" s="18" t="str">
        <f>IFERROR(__xludf.DUMMYFUNCTION("""COMPUTED_VALUE"""),"")</f>
        <v/>
      </c>
      <c r="I1151" s="18" t="str">
        <f>IFERROR(__xludf.DUMMYFUNCTION("""COMPUTED_VALUE"""),"")</f>
        <v/>
      </c>
      <c r="J1151" s="18" t="str">
        <f>IFERROR(__xludf.DUMMYFUNCTION("""COMPUTED_VALUE"""),"")</f>
        <v/>
      </c>
      <c r="K1151" s="19"/>
      <c r="L1151" s="19"/>
      <c r="M1151" s="19"/>
      <c r="N1151" s="19"/>
      <c r="O1151" s="19"/>
    </row>
    <row r="1152">
      <c r="A1152" s="18"/>
      <c r="B1152" s="29"/>
      <c r="C1152" s="19"/>
      <c r="D1152" s="19"/>
      <c r="E1152" s="18"/>
      <c r="F1152" s="18" t="str">
        <f>IFERROR(__xludf.DUMMYFUNCTION("""COMPUTED_VALUE"""),"")</f>
        <v/>
      </c>
      <c r="G1152" s="18" t="str">
        <f>IFERROR(__xludf.DUMMYFUNCTION("""COMPUTED_VALUE"""),"")</f>
        <v/>
      </c>
      <c r="H1152" s="18" t="str">
        <f>IFERROR(__xludf.DUMMYFUNCTION("""COMPUTED_VALUE"""),"")</f>
        <v/>
      </c>
      <c r="I1152" s="18" t="str">
        <f>IFERROR(__xludf.DUMMYFUNCTION("""COMPUTED_VALUE"""),"")</f>
        <v/>
      </c>
      <c r="J1152" s="18" t="str">
        <f>IFERROR(__xludf.DUMMYFUNCTION("""COMPUTED_VALUE"""),"")</f>
        <v/>
      </c>
      <c r="K1152" s="19"/>
      <c r="L1152" s="19"/>
      <c r="M1152" s="19"/>
      <c r="N1152" s="19"/>
      <c r="O1152" s="19"/>
    </row>
    <row r="1153">
      <c r="A1153" s="18"/>
      <c r="B1153" s="29"/>
      <c r="C1153" s="19"/>
      <c r="D1153" s="19"/>
      <c r="E1153" s="18"/>
      <c r="F1153" s="18" t="str">
        <f>IFERROR(__xludf.DUMMYFUNCTION("""COMPUTED_VALUE"""),"")</f>
        <v/>
      </c>
      <c r="G1153" s="18" t="str">
        <f>IFERROR(__xludf.DUMMYFUNCTION("""COMPUTED_VALUE"""),"")</f>
        <v/>
      </c>
      <c r="H1153" s="18" t="str">
        <f>IFERROR(__xludf.DUMMYFUNCTION("""COMPUTED_VALUE"""),"")</f>
        <v/>
      </c>
      <c r="I1153" s="18" t="str">
        <f>IFERROR(__xludf.DUMMYFUNCTION("""COMPUTED_VALUE"""),"")</f>
        <v/>
      </c>
      <c r="J1153" s="18" t="str">
        <f>IFERROR(__xludf.DUMMYFUNCTION("""COMPUTED_VALUE"""),"")</f>
        <v/>
      </c>
      <c r="K1153" s="19"/>
      <c r="L1153" s="19"/>
      <c r="M1153" s="19"/>
      <c r="N1153" s="19"/>
      <c r="O1153" s="19"/>
    </row>
    <row r="1154">
      <c r="A1154" s="18"/>
      <c r="B1154" s="29"/>
      <c r="C1154" s="19"/>
      <c r="D1154" s="19"/>
      <c r="E1154" s="18"/>
      <c r="F1154" s="18" t="str">
        <f>IFERROR(__xludf.DUMMYFUNCTION("""COMPUTED_VALUE"""),"")</f>
        <v/>
      </c>
      <c r="G1154" s="18" t="str">
        <f>IFERROR(__xludf.DUMMYFUNCTION("""COMPUTED_VALUE"""),"")</f>
        <v/>
      </c>
      <c r="H1154" s="18" t="str">
        <f>IFERROR(__xludf.DUMMYFUNCTION("""COMPUTED_VALUE"""),"")</f>
        <v/>
      </c>
      <c r="I1154" s="18" t="str">
        <f>IFERROR(__xludf.DUMMYFUNCTION("""COMPUTED_VALUE"""),"")</f>
        <v/>
      </c>
      <c r="J1154" s="18" t="str">
        <f>IFERROR(__xludf.DUMMYFUNCTION("""COMPUTED_VALUE"""),"")</f>
        <v/>
      </c>
      <c r="K1154" s="19"/>
      <c r="L1154" s="19"/>
      <c r="M1154" s="19"/>
      <c r="N1154" s="19"/>
      <c r="O1154" s="19"/>
    </row>
    <row r="1155">
      <c r="A1155" s="18"/>
      <c r="B1155" s="29"/>
      <c r="C1155" s="19"/>
      <c r="D1155" s="19"/>
      <c r="E1155" s="18"/>
      <c r="F1155" s="18" t="str">
        <f>IFERROR(__xludf.DUMMYFUNCTION("""COMPUTED_VALUE"""),"")</f>
        <v/>
      </c>
      <c r="G1155" s="18" t="str">
        <f>IFERROR(__xludf.DUMMYFUNCTION("""COMPUTED_VALUE"""),"")</f>
        <v/>
      </c>
      <c r="H1155" s="18" t="str">
        <f>IFERROR(__xludf.DUMMYFUNCTION("""COMPUTED_VALUE"""),"")</f>
        <v/>
      </c>
      <c r="I1155" s="18" t="str">
        <f>IFERROR(__xludf.DUMMYFUNCTION("""COMPUTED_VALUE"""),"")</f>
        <v/>
      </c>
      <c r="J1155" s="18" t="str">
        <f>IFERROR(__xludf.DUMMYFUNCTION("""COMPUTED_VALUE"""),"")</f>
        <v/>
      </c>
      <c r="K1155" s="19"/>
      <c r="L1155" s="19"/>
      <c r="M1155" s="19"/>
      <c r="N1155" s="19"/>
      <c r="O1155" s="19"/>
    </row>
    <row r="1156">
      <c r="A1156" s="18"/>
      <c r="B1156" s="29"/>
      <c r="C1156" s="19"/>
      <c r="D1156" s="19"/>
      <c r="E1156" s="18"/>
      <c r="F1156" s="18" t="str">
        <f>IFERROR(__xludf.DUMMYFUNCTION("""COMPUTED_VALUE"""),"")</f>
        <v/>
      </c>
      <c r="G1156" s="18" t="str">
        <f>IFERROR(__xludf.DUMMYFUNCTION("""COMPUTED_VALUE"""),"")</f>
        <v/>
      </c>
      <c r="H1156" s="18" t="str">
        <f>IFERROR(__xludf.DUMMYFUNCTION("""COMPUTED_VALUE"""),"")</f>
        <v/>
      </c>
      <c r="I1156" s="18" t="str">
        <f>IFERROR(__xludf.DUMMYFUNCTION("""COMPUTED_VALUE"""),"")</f>
        <v/>
      </c>
      <c r="J1156" s="18" t="str">
        <f>IFERROR(__xludf.DUMMYFUNCTION("""COMPUTED_VALUE"""),"")</f>
        <v/>
      </c>
      <c r="K1156" s="19"/>
      <c r="L1156" s="19"/>
      <c r="M1156" s="19"/>
      <c r="N1156" s="19"/>
      <c r="O1156" s="19"/>
    </row>
    <row r="1157">
      <c r="A1157" s="18"/>
      <c r="B1157" s="29"/>
      <c r="C1157" s="19"/>
      <c r="D1157" s="19"/>
      <c r="E1157" s="18"/>
      <c r="F1157" s="18" t="str">
        <f>IFERROR(__xludf.DUMMYFUNCTION("""COMPUTED_VALUE"""),"")</f>
        <v/>
      </c>
      <c r="G1157" s="18" t="str">
        <f>IFERROR(__xludf.DUMMYFUNCTION("""COMPUTED_VALUE"""),"")</f>
        <v/>
      </c>
      <c r="H1157" s="18" t="str">
        <f>IFERROR(__xludf.DUMMYFUNCTION("""COMPUTED_VALUE"""),"")</f>
        <v/>
      </c>
      <c r="I1157" s="18" t="str">
        <f>IFERROR(__xludf.DUMMYFUNCTION("""COMPUTED_VALUE"""),"")</f>
        <v/>
      </c>
      <c r="J1157" s="18" t="str">
        <f>IFERROR(__xludf.DUMMYFUNCTION("""COMPUTED_VALUE"""),"")</f>
        <v/>
      </c>
      <c r="K1157" s="19"/>
      <c r="L1157" s="19"/>
      <c r="M1157" s="19"/>
      <c r="N1157" s="19"/>
      <c r="O1157" s="19"/>
    </row>
    <row r="1158">
      <c r="A1158" s="18"/>
      <c r="B1158" s="29"/>
      <c r="C1158" s="19"/>
      <c r="D1158" s="19"/>
      <c r="E1158" s="18"/>
      <c r="F1158" s="18" t="str">
        <f>IFERROR(__xludf.DUMMYFUNCTION("""COMPUTED_VALUE"""),"")</f>
        <v/>
      </c>
      <c r="G1158" s="18" t="str">
        <f>IFERROR(__xludf.DUMMYFUNCTION("""COMPUTED_VALUE"""),"")</f>
        <v/>
      </c>
      <c r="H1158" s="18" t="str">
        <f>IFERROR(__xludf.DUMMYFUNCTION("""COMPUTED_VALUE"""),"")</f>
        <v/>
      </c>
      <c r="I1158" s="18" t="str">
        <f>IFERROR(__xludf.DUMMYFUNCTION("""COMPUTED_VALUE"""),"")</f>
        <v/>
      </c>
      <c r="J1158" s="18" t="str">
        <f>IFERROR(__xludf.DUMMYFUNCTION("""COMPUTED_VALUE"""),"")</f>
        <v/>
      </c>
      <c r="K1158" s="19"/>
      <c r="L1158" s="19"/>
      <c r="M1158" s="19"/>
      <c r="N1158" s="19"/>
      <c r="O1158" s="19"/>
    </row>
    <row r="1159">
      <c r="A1159" s="18"/>
      <c r="B1159" s="29"/>
      <c r="C1159" s="19"/>
      <c r="D1159" s="19"/>
      <c r="E1159" s="18"/>
      <c r="F1159" s="18" t="str">
        <f>IFERROR(__xludf.DUMMYFUNCTION("""COMPUTED_VALUE"""),"")</f>
        <v/>
      </c>
      <c r="G1159" s="18" t="str">
        <f>IFERROR(__xludf.DUMMYFUNCTION("""COMPUTED_VALUE"""),"")</f>
        <v/>
      </c>
      <c r="H1159" s="18" t="str">
        <f>IFERROR(__xludf.DUMMYFUNCTION("""COMPUTED_VALUE"""),"")</f>
        <v/>
      </c>
      <c r="I1159" s="18" t="str">
        <f>IFERROR(__xludf.DUMMYFUNCTION("""COMPUTED_VALUE"""),"")</f>
        <v/>
      </c>
      <c r="J1159" s="18" t="str">
        <f>IFERROR(__xludf.DUMMYFUNCTION("""COMPUTED_VALUE"""),"")</f>
        <v/>
      </c>
      <c r="K1159" s="19"/>
      <c r="L1159" s="19"/>
      <c r="M1159" s="19"/>
      <c r="N1159" s="19"/>
      <c r="O1159" s="19"/>
    </row>
    <row r="1160">
      <c r="A1160" s="18"/>
      <c r="B1160" s="29"/>
      <c r="C1160" s="19"/>
      <c r="D1160" s="19"/>
      <c r="E1160" s="18"/>
      <c r="F1160" s="18" t="str">
        <f>IFERROR(__xludf.DUMMYFUNCTION("""COMPUTED_VALUE"""),"")</f>
        <v/>
      </c>
      <c r="G1160" s="18" t="str">
        <f>IFERROR(__xludf.DUMMYFUNCTION("""COMPUTED_VALUE"""),"")</f>
        <v/>
      </c>
      <c r="H1160" s="18" t="str">
        <f>IFERROR(__xludf.DUMMYFUNCTION("""COMPUTED_VALUE"""),"")</f>
        <v/>
      </c>
      <c r="I1160" s="18" t="str">
        <f>IFERROR(__xludf.DUMMYFUNCTION("""COMPUTED_VALUE"""),"")</f>
        <v/>
      </c>
      <c r="J1160" s="18" t="str">
        <f>IFERROR(__xludf.DUMMYFUNCTION("""COMPUTED_VALUE"""),"")</f>
        <v/>
      </c>
      <c r="K1160" s="19"/>
      <c r="L1160" s="19"/>
      <c r="M1160" s="19"/>
      <c r="N1160" s="19"/>
      <c r="O1160" s="19"/>
    </row>
    <row r="1161">
      <c r="A1161" s="18"/>
      <c r="B1161" s="29"/>
      <c r="C1161" s="19"/>
      <c r="D1161" s="19"/>
      <c r="E1161" s="18"/>
      <c r="F1161" s="18" t="str">
        <f>IFERROR(__xludf.DUMMYFUNCTION("""COMPUTED_VALUE"""),"")</f>
        <v/>
      </c>
      <c r="G1161" s="18" t="str">
        <f>IFERROR(__xludf.DUMMYFUNCTION("""COMPUTED_VALUE"""),"")</f>
        <v/>
      </c>
      <c r="H1161" s="18" t="str">
        <f>IFERROR(__xludf.DUMMYFUNCTION("""COMPUTED_VALUE"""),"")</f>
        <v/>
      </c>
      <c r="I1161" s="18" t="str">
        <f>IFERROR(__xludf.DUMMYFUNCTION("""COMPUTED_VALUE"""),"")</f>
        <v/>
      </c>
      <c r="J1161" s="18" t="str">
        <f>IFERROR(__xludf.DUMMYFUNCTION("""COMPUTED_VALUE"""),"")</f>
        <v/>
      </c>
      <c r="K1161" s="19"/>
      <c r="L1161" s="19"/>
      <c r="M1161" s="19"/>
      <c r="N1161" s="19"/>
      <c r="O1161" s="19"/>
    </row>
    <row r="1162">
      <c r="A1162" s="18"/>
      <c r="B1162" s="29"/>
      <c r="C1162" s="19"/>
      <c r="D1162" s="19"/>
      <c r="E1162" s="18"/>
      <c r="F1162" s="18" t="str">
        <f>IFERROR(__xludf.DUMMYFUNCTION("""COMPUTED_VALUE"""),"")</f>
        <v/>
      </c>
      <c r="G1162" s="18" t="str">
        <f>IFERROR(__xludf.DUMMYFUNCTION("""COMPUTED_VALUE"""),"")</f>
        <v/>
      </c>
      <c r="H1162" s="18" t="str">
        <f>IFERROR(__xludf.DUMMYFUNCTION("""COMPUTED_VALUE"""),"")</f>
        <v/>
      </c>
      <c r="I1162" s="18" t="str">
        <f>IFERROR(__xludf.DUMMYFUNCTION("""COMPUTED_VALUE"""),"")</f>
        <v/>
      </c>
      <c r="J1162" s="18" t="str">
        <f>IFERROR(__xludf.DUMMYFUNCTION("""COMPUTED_VALUE"""),"")</f>
        <v/>
      </c>
      <c r="K1162" s="19"/>
      <c r="L1162" s="19"/>
      <c r="M1162" s="19"/>
      <c r="N1162" s="19"/>
      <c r="O1162" s="19"/>
    </row>
    <row r="1163">
      <c r="A1163" s="18"/>
      <c r="B1163" s="29"/>
      <c r="C1163" s="19"/>
      <c r="D1163" s="19"/>
      <c r="E1163" s="18"/>
      <c r="F1163" s="18" t="str">
        <f>IFERROR(__xludf.DUMMYFUNCTION("""COMPUTED_VALUE"""),"")</f>
        <v/>
      </c>
      <c r="G1163" s="18" t="str">
        <f>IFERROR(__xludf.DUMMYFUNCTION("""COMPUTED_VALUE"""),"")</f>
        <v/>
      </c>
      <c r="H1163" s="18" t="str">
        <f>IFERROR(__xludf.DUMMYFUNCTION("""COMPUTED_VALUE"""),"")</f>
        <v/>
      </c>
      <c r="I1163" s="18" t="str">
        <f>IFERROR(__xludf.DUMMYFUNCTION("""COMPUTED_VALUE"""),"")</f>
        <v/>
      </c>
      <c r="J1163" s="18" t="str">
        <f>IFERROR(__xludf.DUMMYFUNCTION("""COMPUTED_VALUE"""),"")</f>
        <v/>
      </c>
      <c r="K1163" s="19"/>
      <c r="L1163" s="19"/>
      <c r="M1163" s="19"/>
      <c r="N1163" s="19"/>
      <c r="O1163" s="19"/>
    </row>
    <row r="1164">
      <c r="A1164" s="18"/>
      <c r="B1164" s="29"/>
      <c r="C1164" s="19"/>
      <c r="D1164" s="19"/>
      <c r="E1164" s="18"/>
      <c r="F1164" s="18" t="str">
        <f>IFERROR(__xludf.DUMMYFUNCTION("""COMPUTED_VALUE"""),"")</f>
        <v/>
      </c>
      <c r="G1164" s="18" t="str">
        <f>IFERROR(__xludf.DUMMYFUNCTION("""COMPUTED_VALUE"""),"")</f>
        <v/>
      </c>
      <c r="H1164" s="18" t="str">
        <f>IFERROR(__xludf.DUMMYFUNCTION("""COMPUTED_VALUE"""),"")</f>
        <v/>
      </c>
      <c r="I1164" s="18" t="str">
        <f>IFERROR(__xludf.DUMMYFUNCTION("""COMPUTED_VALUE"""),"")</f>
        <v/>
      </c>
      <c r="J1164" s="18" t="str">
        <f>IFERROR(__xludf.DUMMYFUNCTION("""COMPUTED_VALUE"""),"")</f>
        <v/>
      </c>
      <c r="K1164" s="19"/>
      <c r="L1164" s="19"/>
      <c r="M1164" s="19"/>
      <c r="N1164" s="19"/>
      <c r="O1164" s="19"/>
    </row>
    <row r="1165">
      <c r="A1165" s="18"/>
      <c r="B1165" s="29"/>
      <c r="C1165" s="19"/>
      <c r="D1165" s="19"/>
      <c r="E1165" s="18"/>
      <c r="F1165" s="18" t="str">
        <f>IFERROR(__xludf.DUMMYFUNCTION("""COMPUTED_VALUE"""),"")</f>
        <v/>
      </c>
      <c r="G1165" s="18" t="str">
        <f>IFERROR(__xludf.DUMMYFUNCTION("""COMPUTED_VALUE"""),"")</f>
        <v/>
      </c>
      <c r="H1165" s="18" t="str">
        <f>IFERROR(__xludf.DUMMYFUNCTION("""COMPUTED_VALUE"""),"")</f>
        <v/>
      </c>
      <c r="I1165" s="18" t="str">
        <f>IFERROR(__xludf.DUMMYFUNCTION("""COMPUTED_VALUE"""),"")</f>
        <v/>
      </c>
      <c r="J1165" s="18" t="str">
        <f>IFERROR(__xludf.DUMMYFUNCTION("""COMPUTED_VALUE"""),"")</f>
        <v/>
      </c>
      <c r="K1165" s="19"/>
      <c r="L1165" s="19"/>
      <c r="M1165" s="19"/>
      <c r="N1165" s="19"/>
      <c r="O1165" s="19"/>
    </row>
    <row r="1166">
      <c r="A1166" s="18"/>
      <c r="B1166" s="29"/>
      <c r="C1166" s="19"/>
      <c r="D1166" s="19"/>
      <c r="E1166" s="18"/>
      <c r="F1166" s="18" t="str">
        <f>IFERROR(__xludf.DUMMYFUNCTION("""COMPUTED_VALUE"""),"")</f>
        <v/>
      </c>
      <c r="G1166" s="18" t="str">
        <f>IFERROR(__xludf.DUMMYFUNCTION("""COMPUTED_VALUE"""),"")</f>
        <v/>
      </c>
      <c r="H1166" s="18" t="str">
        <f>IFERROR(__xludf.DUMMYFUNCTION("""COMPUTED_VALUE"""),"")</f>
        <v/>
      </c>
      <c r="I1166" s="18" t="str">
        <f>IFERROR(__xludf.DUMMYFUNCTION("""COMPUTED_VALUE"""),"")</f>
        <v/>
      </c>
      <c r="J1166" s="18" t="str">
        <f>IFERROR(__xludf.DUMMYFUNCTION("""COMPUTED_VALUE"""),"")</f>
        <v/>
      </c>
      <c r="K1166" s="19"/>
      <c r="L1166" s="19"/>
      <c r="M1166" s="19"/>
      <c r="N1166" s="19"/>
      <c r="O1166" s="19"/>
    </row>
    <row r="1167">
      <c r="A1167" s="18"/>
      <c r="B1167" s="29"/>
      <c r="C1167" s="19"/>
      <c r="D1167" s="19"/>
      <c r="E1167" s="18"/>
      <c r="F1167" s="18" t="str">
        <f>IFERROR(__xludf.DUMMYFUNCTION("""COMPUTED_VALUE"""),"")</f>
        <v/>
      </c>
      <c r="G1167" s="18" t="str">
        <f>IFERROR(__xludf.DUMMYFUNCTION("""COMPUTED_VALUE"""),"")</f>
        <v/>
      </c>
      <c r="H1167" s="18" t="str">
        <f>IFERROR(__xludf.DUMMYFUNCTION("""COMPUTED_VALUE"""),"")</f>
        <v/>
      </c>
      <c r="I1167" s="18" t="str">
        <f>IFERROR(__xludf.DUMMYFUNCTION("""COMPUTED_VALUE"""),"")</f>
        <v/>
      </c>
      <c r="J1167" s="18" t="str">
        <f>IFERROR(__xludf.DUMMYFUNCTION("""COMPUTED_VALUE"""),"")</f>
        <v/>
      </c>
      <c r="K1167" s="19"/>
      <c r="L1167" s="19"/>
      <c r="M1167" s="19"/>
      <c r="N1167" s="19"/>
      <c r="O1167" s="19"/>
    </row>
    <row r="1168">
      <c r="A1168" s="18"/>
      <c r="B1168" s="29"/>
      <c r="C1168" s="19"/>
      <c r="D1168" s="19"/>
      <c r="E1168" s="18"/>
      <c r="F1168" s="18" t="str">
        <f>IFERROR(__xludf.DUMMYFUNCTION("""COMPUTED_VALUE"""),"")</f>
        <v/>
      </c>
      <c r="G1168" s="18" t="str">
        <f>IFERROR(__xludf.DUMMYFUNCTION("""COMPUTED_VALUE"""),"")</f>
        <v/>
      </c>
      <c r="H1168" s="18" t="str">
        <f>IFERROR(__xludf.DUMMYFUNCTION("""COMPUTED_VALUE"""),"")</f>
        <v/>
      </c>
      <c r="I1168" s="18" t="str">
        <f>IFERROR(__xludf.DUMMYFUNCTION("""COMPUTED_VALUE"""),"")</f>
        <v/>
      </c>
      <c r="J1168" s="18" t="str">
        <f>IFERROR(__xludf.DUMMYFUNCTION("""COMPUTED_VALUE"""),"")</f>
        <v/>
      </c>
      <c r="K1168" s="19"/>
      <c r="L1168" s="19"/>
      <c r="M1168" s="19"/>
      <c r="N1168" s="19"/>
      <c r="O1168" s="19"/>
    </row>
    <row r="1169">
      <c r="A1169" s="18"/>
      <c r="B1169" s="29"/>
      <c r="C1169" s="19"/>
      <c r="D1169" s="19"/>
      <c r="E1169" s="18"/>
      <c r="F1169" s="18" t="str">
        <f>IFERROR(__xludf.DUMMYFUNCTION("""COMPUTED_VALUE"""),"")</f>
        <v/>
      </c>
      <c r="G1169" s="18" t="str">
        <f>IFERROR(__xludf.DUMMYFUNCTION("""COMPUTED_VALUE"""),"")</f>
        <v/>
      </c>
      <c r="H1169" s="18" t="str">
        <f>IFERROR(__xludf.DUMMYFUNCTION("""COMPUTED_VALUE"""),"")</f>
        <v/>
      </c>
      <c r="I1169" s="18" t="str">
        <f>IFERROR(__xludf.DUMMYFUNCTION("""COMPUTED_VALUE"""),"")</f>
        <v/>
      </c>
      <c r="J1169" s="18" t="str">
        <f>IFERROR(__xludf.DUMMYFUNCTION("""COMPUTED_VALUE"""),"")</f>
        <v/>
      </c>
      <c r="K1169" s="19"/>
      <c r="L1169" s="19"/>
      <c r="M1169" s="19"/>
      <c r="N1169" s="19"/>
      <c r="O1169" s="19"/>
    </row>
    <row r="1170">
      <c r="A1170" s="18"/>
      <c r="B1170" s="29"/>
      <c r="C1170" s="19"/>
      <c r="D1170" s="19"/>
      <c r="E1170" s="18"/>
      <c r="F1170" s="18" t="str">
        <f>IFERROR(__xludf.DUMMYFUNCTION("""COMPUTED_VALUE"""),"")</f>
        <v/>
      </c>
      <c r="G1170" s="18" t="str">
        <f>IFERROR(__xludf.DUMMYFUNCTION("""COMPUTED_VALUE"""),"")</f>
        <v/>
      </c>
      <c r="H1170" s="18" t="str">
        <f>IFERROR(__xludf.DUMMYFUNCTION("""COMPUTED_VALUE"""),"")</f>
        <v/>
      </c>
      <c r="I1170" s="18" t="str">
        <f>IFERROR(__xludf.DUMMYFUNCTION("""COMPUTED_VALUE"""),"")</f>
        <v/>
      </c>
      <c r="J1170" s="18" t="str">
        <f>IFERROR(__xludf.DUMMYFUNCTION("""COMPUTED_VALUE"""),"")</f>
        <v/>
      </c>
      <c r="K1170" s="19"/>
      <c r="L1170" s="19"/>
      <c r="M1170" s="19"/>
      <c r="N1170" s="19"/>
      <c r="O1170" s="19"/>
    </row>
    <row r="1171">
      <c r="A1171" s="18"/>
      <c r="B1171" s="29"/>
      <c r="C1171" s="19"/>
      <c r="D1171" s="19"/>
      <c r="E1171" s="18"/>
      <c r="F1171" s="18" t="str">
        <f>IFERROR(__xludf.DUMMYFUNCTION("""COMPUTED_VALUE"""),"")</f>
        <v/>
      </c>
      <c r="G1171" s="18" t="str">
        <f>IFERROR(__xludf.DUMMYFUNCTION("""COMPUTED_VALUE"""),"")</f>
        <v/>
      </c>
      <c r="H1171" s="18" t="str">
        <f>IFERROR(__xludf.DUMMYFUNCTION("""COMPUTED_VALUE"""),"")</f>
        <v/>
      </c>
      <c r="I1171" s="18" t="str">
        <f>IFERROR(__xludf.DUMMYFUNCTION("""COMPUTED_VALUE"""),"")</f>
        <v/>
      </c>
      <c r="J1171" s="18" t="str">
        <f>IFERROR(__xludf.DUMMYFUNCTION("""COMPUTED_VALUE"""),"")</f>
        <v/>
      </c>
      <c r="K1171" s="19"/>
      <c r="L1171" s="19"/>
      <c r="M1171" s="19"/>
      <c r="N1171" s="19"/>
      <c r="O1171" s="19"/>
    </row>
    <row r="1172">
      <c r="A1172" s="18"/>
      <c r="B1172" s="29"/>
      <c r="C1172" s="19"/>
      <c r="D1172" s="19"/>
      <c r="E1172" s="18"/>
      <c r="F1172" s="18" t="str">
        <f>IFERROR(__xludf.DUMMYFUNCTION("""COMPUTED_VALUE"""),"")</f>
        <v/>
      </c>
      <c r="G1172" s="18" t="str">
        <f>IFERROR(__xludf.DUMMYFUNCTION("""COMPUTED_VALUE"""),"")</f>
        <v/>
      </c>
      <c r="H1172" s="18" t="str">
        <f>IFERROR(__xludf.DUMMYFUNCTION("""COMPUTED_VALUE"""),"")</f>
        <v/>
      </c>
      <c r="I1172" s="18" t="str">
        <f>IFERROR(__xludf.DUMMYFUNCTION("""COMPUTED_VALUE"""),"")</f>
        <v/>
      </c>
      <c r="J1172" s="18" t="str">
        <f>IFERROR(__xludf.DUMMYFUNCTION("""COMPUTED_VALUE"""),"")</f>
        <v/>
      </c>
      <c r="K1172" s="19"/>
      <c r="L1172" s="19"/>
      <c r="M1172" s="19"/>
      <c r="N1172" s="19"/>
      <c r="O1172" s="19"/>
    </row>
    <row r="1173">
      <c r="A1173" s="18"/>
      <c r="B1173" s="29"/>
      <c r="C1173" s="19"/>
      <c r="D1173" s="19"/>
      <c r="E1173" s="18"/>
      <c r="F1173" s="18" t="str">
        <f>IFERROR(__xludf.DUMMYFUNCTION("""COMPUTED_VALUE"""),"")</f>
        <v/>
      </c>
      <c r="G1173" s="18" t="str">
        <f>IFERROR(__xludf.DUMMYFUNCTION("""COMPUTED_VALUE"""),"")</f>
        <v/>
      </c>
      <c r="H1173" s="18" t="str">
        <f>IFERROR(__xludf.DUMMYFUNCTION("""COMPUTED_VALUE"""),"")</f>
        <v/>
      </c>
      <c r="I1173" s="18" t="str">
        <f>IFERROR(__xludf.DUMMYFUNCTION("""COMPUTED_VALUE"""),"")</f>
        <v/>
      </c>
      <c r="J1173" s="18" t="str">
        <f>IFERROR(__xludf.DUMMYFUNCTION("""COMPUTED_VALUE"""),"")</f>
        <v/>
      </c>
      <c r="K1173" s="19"/>
      <c r="L1173" s="19"/>
      <c r="M1173" s="19"/>
      <c r="N1173" s="19"/>
      <c r="O1173" s="19"/>
    </row>
    <row r="1174">
      <c r="A1174" s="18"/>
      <c r="B1174" s="29"/>
      <c r="C1174" s="19"/>
      <c r="D1174" s="19"/>
      <c r="E1174" s="18"/>
      <c r="F1174" s="18" t="str">
        <f>IFERROR(__xludf.DUMMYFUNCTION("""COMPUTED_VALUE"""),"")</f>
        <v/>
      </c>
      <c r="G1174" s="18" t="str">
        <f>IFERROR(__xludf.DUMMYFUNCTION("""COMPUTED_VALUE"""),"")</f>
        <v/>
      </c>
      <c r="H1174" s="18" t="str">
        <f>IFERROR(__xludf.DUMMYFUNCTION("""COMPUTED_VALUE"""),"")</f>
        <v/>
      </c>
      <c r="I1174" s="18" t="str">
        <f>IFERROR(__xludf.DUMMYFUNCTION("""COMPUTED_VALUE"""),"")</f>
        <v/>
      </c>
      <c r="J1174" s="18" t="str">
        <f>IFERROR(__xludf.DUMMYFUNCTION("""COMPUTED_VALUE"""),"")</f>
        <v/>
      </c>
      <c r="K1174" s="19"/>
      <c r="L1174" s="19"/>
      <c r="M1174" s="19"/>
      <c r="N1174" s="19"/>
      <c r="O1174" s="19"/>
    </row>
    <row r="1175">
      <c r="A1175" s="18"/>
      <c r="B1175" s="29"/>
      <c r="C1175" s="19"/>
      <c r="D1175" s="19"/>
      <c r="E1175" s="18"/>
      <c r="F1175" s="18" t="str">
        <f>IFERROR(__xludf.DUMMYFUNCTION("""COMPUTED_VALUE"""),"")</f>
        <v/>
      </c>
      <c r="G1175" s="18" t="str">
        <f>IFERROR(__xludf.DUMMYFUNCTION("""COMPUTED_VALUE"""),"")</f>
        <v/>
      </c>
      <c r="H1175" s="18" t="str">
        <f>IFERROR(__xludf.DUMMYFUNCTION("""COMPUTED_VALUE"""),"")</f>
        <v/>
      </c>
      <c r="I1175" s="18" t="str">
        <f>IFERROR(__xludf.DUMMYFUNCTION("""COMPUTED_VALUE"""),"")</f>
        <v/>
      </c>
      <c r="J1175" s="18" t="str">
        <f>IFERROR(__xludf.DUMMYFUNCTION("""COMPUTED_VALUE"""),"")</f>
        <v/>
      </c>
      <c r="K1175" s="19"/>
      <c r="L1175" s="19"/>
      <c r="M1175" s="19"/>
      <c r="N1175" s="19"/>
      <c r="O1175" s="19"/>
    </row>
    <row r="1176">
      <c r="A1176" s="18"/>
      <c r="B1176" s="29"/>
      <c r="C1176" s="19"/>
      <c r="D1176" s="19"/>
      <c r="E1176" s="18"/>
      <c r="F1176" s="18" t="str">
        <f>IFERROR(__xludf.DUMMYFUNCTION("""COMPUTED_VALUE"""),"")</f>
        <v/>
      </c>
      <c r="G1176" s="18" t="str">
        <f>IFERROR(__xludf.DUMMYFUNCTION("""COMPUTED_VALUE"""),"")</f>
        <v/>
      </c>
      <c r="H1176" s="18" t="str">
        <f>IFERROR(__xludf.DUMMYFUNCTION("""COMPUTED_VALUE"""),"")</f>
        <v/>
      </c>
      <c r="I1176" s="18" t="str">
        <f>IFERROR(__xludf.DUMMYFUNCTION("""COMPUTED_VALUE"""),"")</f>
        <v/>
      </c>
      <c r="J1176" s="18" t="str">
        <f>IFERROR(__xludf.DUMMYFUNCTION("""COMPUTED_VALUE"""),"")</f>
        <v/>
      </c>
      <c r="K1176" s="19"/>
      <c r="L1176" s="19"/>
      <c r="M1176" s="19"/>
      <c r="N1176" s="19"/>
      <c r="O1176" s="19"/>
    </row>
    <row r="1177">
      <c r="A1177" s="18"/>
      <c r="B1177" s="29"/>
      <c r="C1177" s="19"/>
      <c r="D1177" s="19"/>
      <c r="E1177" s="18"/>
      <c r="F1177" s="18" t="str">
        <f>IFERROR(__xludf.DUMMYFUNCTION("""COMPUTED_VALUE"""),"")</f>
        <v/>
      </c>
      <c r="G1177" s="18" t="str">
        <f>IFERROR(__xludf.DUMMYFUNCTION("""COMPUTED_VALUE"""),"")</f>
        <v/>
      </c>
      <c r="H1177" s="18" t="str">
        <f>IFERROR(__xludf.DUMMYFUNCTION("""COMPUTED_VALUE"""),"")</f>
        <v/>
      </c>
      <c r="I1177" s="18" t="str">
        <f>IFERROR(__xludf.DUMMYFUNCTION("""COMPUTED_VALUE"""),"")</f>
        <v/>
      </c>
      <c r="J1177" s="18" t="str">
        <f>IFERROR(__xludf.DUMMYFUNCTION("""COMPUTED_VALUE"""),"")</f>
        <v/>
      </c>
      <c r="K1177" s="19"/>
      <c r="L1177" s="19"/>
      <c r="M1177" s="19"/>
      <c r="N1177" s="19"/>
      <c r="O1177" s="19"/>
    </row>
    <row r="1178">
      <c r="A1178" s="18"/>
      <c r="B1178" s="29"/>
      <c r="C1178" s="19"/>
      <c r="D1178" s="19"/>
      <c r="E1178" s="18"/>
      <c r="F1178" s="18" t="str">
        <f>IFERROR(__xludf.DUMMYFUNCTION("""COMPUTED_VALUE"""),"")</f>
        <v/>
      </c>
      <c r="G1178" s="18" t="str">
        <f>IFERROR(__xludf.DUMMYFUNCTION("""COMPUTED_VALUE"""),"")</f>
        <v/>
      </c>
      <c r="H1178" s="18" t="str">
        <f>IFERROR(__xludf.DUMMYFUNCTION("""COMPUTED_VALUE"""),"")</f>
        <v/>
      </c>
      <c r="I1178" s="18" t="str">
        <f>IFERROR(__xludf.DUMMYFUNCTION("""COMPUTED_VALUE"""),"")</f>
        <v/>
      </c>
      <c r="J1178" s="18" t="str">
        <f>IFERROR(__xludf.DUMMYFUNCTION("""COMPUTED_VALUE"""),"")</f>
        <v/>
      </c>
      <c r="K1178" s="19"/>
      <c r="L1178" s="19"/>
      <c r="M1178" s="19"/>
      <c r="N1178" s="19"/>
      <c r="O1178" s="19"/>
    </row>
    <row r="1179">
      <c r="A1179" s="18"/>
      <c r="B1179" s="29"/>
      <c r="C1179" s="19"/>
      <c r="D1179" s="19"/>
      <c r="E1179" s="18"/>
      <c r="F1179" s="18" t="str">
        <f>IFERROR(__xludf.DUMMYFUNCTION("""COMPUTED_VALUE"""),"")</f>
        <v/>
      </c>
      <c r="G1179" s="18" t="str">
        <f>IFERROR(__xludf.DUMMYFUNCTION("""COMPUTED_VALUE"""),"")</f>
        <v/>
      </c>
      <c r="H1179" s="18" t="str">
        <f>IFERROR(__xludf.DUMMYFUNCTION("""COMPUTED_VALUE"""),"")</f>
        <v/>
      </c>
      <c r="I1179" s="18" t="str">
        <f>IFERROR(__xludf.DUMMYFUNCTION("""COMPUTED_VALUE"""),"")</f>
        <v/>
      </c>
      <c r="J1179" s="18" t="str">
        <f>IFERROR(__xludf.DUMMYFUNCTION("""COMPUTED_VALUE"""),"")</f>
        <v/>
      </c>
      <c r="K1179" s="19"/>
      <c r="L1179" s="19"/>
      <c r="M1179" s="19"/>
      <c r="N1179" s="19"/>
      <c r="O1179" s="19"/>
    </row>
    <row r="1180">
      <c r="A1180" s="18"/>
      <c r="B1180" s="29"/>
      <c r="C1180" s="19"/>
      <c r="D1180" s="19"/>
      <c r="E1180" s="18"/>
      <c r="F1180" s="18" t="str">
        <f>IFERROR(__xludf.DUMMYFUNCTION("""COMPUTED_VALUE"""),"")</f>
        <v/>
      </c>
      <c r="G1180" s="18" t="str">
        <f>IFERROR(__xludf.DUMMYFUNCTION("""COMPUTED_VALUE"""),"")</f>
        <v/>
      </c>
      <c r="H1180" s="18" t="str">
        <f>IFERROR(__xludf.DUMMYFUNCTION("""COMPUTED_VALUE"""),"")</f>
        <v/>
      </c>
      <c r="I1180" s="18" t="str">
        <f>IFERROR(__xludf.DUMMYFUNCTION("""COMPUTED_VALUE"""),"")</f>
        <v/>
      </c>
      <c r="J1180" s="18" t="str">
        <f>IFERROR(__xludf.DUMMYFUNCTION("""COMPUTED_VALUE"""),"")</f>
        <v/>
      </c>
      <c r="K1180" s="19"/>
      <c r="L1180" s="19"/>
      <c r="M1180" s="19"/>
      <c r="N1180" s="19"/>
      <c r="O1180" s="19"/>
    </row>
    <row r="1181">
      <c r="A1181" s="18"/>
      <c r="B1181" s="29"/>
      <c r="C1181" s="19"/>
      <c r="D1181" s="19"/>
      <c r="E1181" s="18"/>
      <c r="F1181" s="18" t="str">
        <f>IFERROR(__xludf.DUMMYFUNCTION("""COMPUTED_VALUE"""),"")</f>
        <v/>
      </c>
      <c r="G1181" s="18" t="str">
        <f>IFERROR(__xludf.DUMMYFUNCTION("""COMPUTED_VALUE"""),"")</f>
        <v/>
      </c>
      <c r="H1181" s="18" t="str">
        <f>IFERROR(__xludf.DUMMYFUNCTION("""COMPUTED_VALUE"""),"")</f>
        <v/>
      </c>
      <c r="I1181" s="18" t="str">
        <f>IFERROR(__xludf.DUMMYFUNCTION("""COMPUTED_VALUE"""),"")</f>
        <v/>
      </c>
      <c r="J1181" s="18" t="str">
        <f>IFERROR(__xludf.DUMMYFUNCTION("""COMPUTED_VALUE"""),"")</f>
        <v/>
      </c>
      <c r="K1181" s="19"/>
      <c r="L1181" s="19"/>
      <c r="M1181" s="19"/>
      <c r="N1181" s="19"/>
      <c r="O1181" s="19"/>
    </row>
    <row r="1182">
      <c r="A1182" s="18"/>
      <c r="B1182" s="29"/>
      <c r="C1182" s="19"/>
      <c r="D1182" s="19"/>
      <c r="E1182" s="18"/>
      <c r="F1182" s="18" t="str">
        <f>IFERROR(__xludf.DUMMYFUNCTION("""COMPUTED_VALUE"""),"")</f>
        <v/>
      </c>
      <c r="G1182" s="18" t="str">
        <f>IFERROR(__xludf.DUMMYFUNCTION("""COMPUTED_VALUE"""),"")</f>
        <v/>
      </c>
      <c r="H1182" s="18" t="str">
        <f>IFERROR(__xludf.DUMMYFUNCTION("""COMPUTED_VALUE"""),"")</f>
        <v/>
      </c>
      <c r="I1182" s="18" t="str">
        <f>IFERROR(__xludf.DUMMYFUNCTION("""COMPUTED_VALUE"""),"")</f>
        <v/>
      </c>
      <c r="J1182" s="18" t="str">
        <f>IFERROR(__xludf.DUMMYFUNCTION("""COMPUTED_VALUE"""),"")</f>
        <v/>
      </c>
      <c r="K1182" s="19"/>
      <c r="L1182" s="19"/>
      <c r="M1182" s="19"/>
      <c r="N1182" s="19"/>
      <c r="O1182" s="19"/>
    </row>
    <row r="1183">
      <c r="A1183" s="18"/>
      <c r="B1183" s="29"/>
      <c r="C1183" s="19"/>
      <c r="D1183" s="19"/>
      <c r="E1183" s="18"/>
      <c r="F1183" s="18" t="str">
        <f>IFERROR(__xludf.DUMMYFUNCTION("""COMPUTED_VALUE"""),"")</f>
        <v/>
      </c>
      <c r="G1183" s="18" t="str">
        <f>IFERROR(__xludf.DUMMYFUNCTION("""COMPUTED_VALUE"""),"")</f>
        <v/>
      </c>
      <c r="H1183" s="18" t="str">
        <f>IFERROR(__xludf.DUMMYFUNCTION("""COMPUTED_VALUE"""),"")</f>
        <v/>
      </c>
      <c r="I1183" s="18" t="str">
        <f>IFERROR(__xludf.DUMMYFUNCTION("""COMPUTED_VALUE"""),"")</f>
        <v/>
      </c>
      <c r="J1183" s="18" t="str">
        <f>IFERROR(__xludf.DUMMYFUNCTION("""COMPUTED_VALUE"""),"")</f>
        <v/>
      </c>
      <c r="K1183" s="19"/>
      <c r="L1183" s="19"/>
      <c r="M1183" s="19"/>
      <c r="N1183" s="19"/>
      <c r="O1183" s="19"/>
    </row>
    <row r="1184">
      <c r="A1184" s="18"/>
      <c r="B1184" s="29"/>
      <c r="C1184" s="19"/>
      <c r="D1184" s="19"/>
      <c r="E1184" s="18"/>
      <c r="F1184" s="18" t="str">
        <f>IFERROR(__xludf.DUMMYFUNCTION("""COMPUTED_VALUE"""),"")</f>
        <v/>
      </c>
      <c r="G1184" s="18" t="str">
        <f>IFERROR(__xludf.DUMMYFUNCTION("""COMPUTED_VALUE"""),"")</f>
        <v/>
      </c>
      <c r="H1184" s="18" t="str">
        <f>IFERROR(__xludf.DUMMYFUNCTION("""COMPUTED_VALUE"""),"")</f>
        <v/>
      </c>
      <c r="I1184" s="18" t="str">
        <f>IFERROR(__xludf.DUMMYFUNCTION("""COMPUTED_VALUE"""),"")</f>
        <v/>
      </c>
      <c r="J1184" s="18" t="str">
        <f>IFERROR(__xludf.DUMMYFUNCTION("""COMPUTED_VALUE"""),"")</f>
        <v/>
      </c>
      <c r="K1184" s="19"/>
      <c r="L1184" s="19"/>
      <c r="M1184" s="19"/>
      <c r="N1184" s="19"/>
      <c r="O1184" s="19"/>
    </row>
    <row r="1185">
      <c r="A1185" s="18"/>
      <c r="B1185" s="29"/>
      <c r="C1185" s="19"/>
      <c r="D1185" s="19"/>
      <c r="E1185" s="18"/>
      <c r="F1185" s="18" t="str">
        <f>IFERROR(__xludf.DUMMYFUNCTION("""COMPUTED_VALUE"""),"")</f>
        <v/>
      </c>
      <c r="G1185" s="18" t="str">
        <f>IFERROR(__xludf.DUMMYFUNCTION("""COMPUTED_VALUE"""),"")</f>
        <v/>
      </c>
      <c r="H1185" s="18" t="str">
        <f>IFERROR(__xludf.DUMMYFUNCTION("""COMPUTED_VALUE"""),"")</f>
        <v/>
      </c>
      <c r="I1185" s="18" t="str">
        <f>IFERROR(__xludf.DUMMYFUNCTION("""COMPUTED_VALUE"""),"")</f>
        <v/>
      </c>
      <c r="J1185" s="18" t="str">
        <f>IFERROR(__xludf.DUMMYFUNCTION("""COMPUTED_VALUE"""),"")</f>
        <v/>
      </c>
      <c r="K1185" s="19"/>
      <c r="L1185" s="19"/>
      <c r="M1185" s="19"/>
      <c r="N1185" s="19"/>
      <c r="O1185" s="19"/>
    </row>
    <row r="1186">
      <c r="A1186" s="18"/>
      <c r="B1186" s="29"/>
      <c r="C1186" s="19"/>
      <c r="D1186" s="19"/>
      <c r="E1186" s="18"/>
      <c r="F1186" s="18" t="str">
        <f>IFERROR(__xludf.DUMMYFUNCTION("""COMPUTED_VALUE"""),"")</f>
        <v/>
      </c>
      <c r="G1186" s="18" t="str">
        <f>IFERROR(__xludf.DUMMYFUNCTION("""COMPUTED_VALUE"""),"")</f>
        <v/>
      </c>
      <c r="H1186" s="18" t="str">
        <f>IFERROR(__xludf.DUMMYFUNCTION("""COMPUTED_VALUE"""),"")</f>
        <v/>
      </c>
      <c r="I1186" s="18" t="str">
        <f>IFERROR(__xludf.DUMMYFUNCTION("""COMPUTED_VALUE"""),"")</f>
        <v/>
      </c>
      <c r="J1186" s="18" t="str">
        <f>IFERROR(__xludf.DUMMYFUNCTION("""COMPUTED_VALUE"""),"")</f>
        <v/>
      </c>
      <c r="K1186" s="19"/>
      <c r="L1186" s="19"/>
      <c r="M1186" s="19"/>
      <c r="N1186" s="19"/>
      <c r="O1186" s="19"/>
    </row>
    <row r="1187">
      <c r="A1187" s="18"/>
      <c r="B1187" s="29"/>
      <c r="C1187" s="19"/>
      <c r="D1187" s="19"/>
      <c r="E1187" s="18"/>
      <c r="F1187" s="18" t="str">
        <f>IFERROR(__xludf.DUMMYFUNCTION("""COMPUTED_VALUE"""),"")</f>
        <v/>
      </c>
      <c r="G1187" s="18" t="str">
        <f>IFERROR(__xludf.DUMMYFUNCTION("""COMPUTED_VALUE"""),"")</f>
        <v/>
      </c>
      <c r="H1187" s="18" t="str">
        <f>IFERROR(__xludf.DUMMYFUNCTION("""COMPUTED_VALUE"""),"")</f>
        <v/>
      </c>
      <c r="I1187" s="18" t="str">
        <f>IFERROR(__xludf.DUMMYFUNCTION("""COMPUTED_VALUE"""),"")</f>
        <v/>
      </c>
      <c r="J1187" s="18" t="str">
        <f>IFERROR(__xludf.DUMMYFUNCTION("""COMPUTED_VALUE"""),"")</f>
        <v/>
      </c>
      <c r="K1187" s="19"/>
      <c r="L1187" s="19"/>
      <c r="M1187" s="19"/>
      <c r="N1187" s="19"/>
      <c r="O1187" s="19"/>
    </row>
    <row r="1188">
      <c r="A1188" s="18"/>
      <c r="B1188" s="29"/>
      <c r="C1188" s="19"/>
      <c r="D1188" s="19"/>
      <c r="E1188" s="18"/>
      <c r="F1188" s="18" t="str">
        <f>IFERROR(__xludf.DUMMYFUNCTION("""COMPUTED_VALUE"""),"")</f>
        <v/>
      </c>
      <c r="G1188" s="18" t="str">
        <f>IFERROR(__xludf.DUMMYFUNCTION("""COMPUTED_VALUE"""),"")</f>
        <v/>
      </c>
      <c r="H1188" s="18" t="str">
        <f>IFERROR(__xludf.DUMMYFUNCTION("""COMPUTED_VALUE"""),"")</f>
        <v/>
      </c>
      <c r="I1188" s="18" t="str">
        <f>IFERROR(__xludf.DUMMYFUNCTION("""COMPUTED_VALUE"""),"")</f>
        <v/>
      </c>
      <c r="J1188" s="18" t="str">
        <f>IFERROR(__xludf.DUMMYFUNCTION("""COMPUTED_VALUE"""),"")</f>
        <v/>
      </c>
      <c r="K1188" s="19"/>
      <c r="L1188" s="19"/>
      <c r="M1188" s="19"/>
      <c r="N1188" s="19"/>
      <c r="O1188" s="19"/>
    </row>
    <row r="1189">
      <c r="A1189" s="18"/>
      <c r="B1189" s="29"/>
      <c r="C1189" s="19"/>
      <c r="D1189" s="19"/>
      <c r="E1189" s="18"/>
      <c r="F1189" s="18" t="str">
        <f>IFERROR(__xludf.DUMMYFUNCTION("""COMPUTED_VALUE"""),"")</f>
        <v/>
      </c>
      <c r="G1189" s="18" t="str">
        <f>IFERROR(__xludf.DUMMYFUNCTION("""COMPUTED_VALUE"""),"")</f>
        <v/>
      </c>
      <c r="H1189" s="18" t="str">
        <f>IFERROR(__xludf.DUMMYFUNCTION("""COMPUTED_VALUE"""),"")</f>
        <v/>
      </c>
      <c r="I1189" s="18" t="str">
        <f>IFERROR(__xludf.DUMMYFUNCTION("""COMPUTED_VALUE"""),"")</f>
        <v/>
      </c>
      <c r="J1189" s="18" t="str">
        <f>IFERROR(__xludf.DUMMYFUNCTION("""COMPUTED_VALUE"""),"")</f>
        <v/>
      </c>
      <c r="K1189" s="19"/>
      <c r="L1189" s="19"/>
      <c r="M1189" s="19"/>
      <c r="N1189" s="19"/>
      <c r="O1189" s="19"/>
    </row>
    <row r="1190">
      <c r="A1190" s="18"/>
      <c r="B1190" s="29"/>
      <c r="C1190" s="19"/>
      <c r="D1190" s="19"/>
      <c r="E1190" s="18"/>
      <c r="F1190" s="18" t="str">
        <f>IFERROR(__xludf.DUMMYFUNCTION("""COMPUTED_VALUE"""),"")</f>
        <v/>
      </c>
      <c r="G1190" s="18" t="str">
        <f>IFERROR(__xludf.DUMMYFUNCTION("""COMPUTED_VALUE"""),"")</f>
        <v/>
      </c>
      <c r="H1190" s="18" t="str">
        <f>IFERROR(__xludf.DUMMYFUNCTION("""COMPUTED_VALUE"""),"")</f>
        <v/>
      </c>
      <c r="I1190" s="18" t="str">
        <f>IFERROR(__xludf.DUMMYFUNCTION("""COMPUTED_VALUE"""),"")</f>
        <v/>
      </c>
      <c r="J1190" s="18" t="str">
        <f>IFERROR(__xludf.DUMMYFUNCTION("""COMPUTED_VALUE"""),"")</f>
        <v/>
      </c>
      <c r="K1190" s="19"/>
      <c r="L1190" s="19"/>
      <c r="M1190" s="19"/>
      <c r="N1190" s="19"/>
      <c r="O1190" s="19"/>
    </row>
    <row r="1191">
      <c r="A1191" s="18"/>
      <c r="B1191" s="29"/>
      <c r="C1191" s="19"/>
      <c r="D1191" s="19"/>
      <c r="E1191" s="18"/>
      <c r="F1191" s="18" t="str">
        <f>IFERROR(__xludf.DUMMYFUNCTION("""COMPUTED_VALUE"""),"")</f>
        <v/>
      </c>
      <c r="G1191" s="18" t="str">
        <f>IFERROR(__xludf.DUMMYFUNCTION("""COMPUTED_VALUE"""),"")</f>
        <v/>
      </c>
      <c r="H1191" s="18" t="str">
        <f>IFERROR(__xludf.DUMMYFUNCTION("""COMPUTED_VALUE"""),"")</f>
        <v/>
      </c>
      <c r="I1191" s="18" t="str">
        <f>IFERROR(__xludf.DUMMYFUNCTION("""COMPUTED_VALUE"""),"")</f>
        <v/>
      </c>
      <c r="J1191" s="18" t="str">
        <f>IFERROR(__xludf.DUMMYFUNCTION("""COMPUTED_VALUE"""),"")</f>
        <v/>
      </c>
      <c r="K1191" s="19"/>
      <c r="L1191" s="19"/>
      <c r="M1191" s="19"/>
      <c r="N1191" s="19"/>
      <c r="O1191" s="19"/>
    </row>
    <row r="1192">
      <c r="A1192" s="18"/>
      <c r="B1192" s="29"/>
      <c r="C1192" s="19"/>
      <c r="D1192" s="19"/>
      <c r="E1192" s="18"/>
      <c r="F1192" s="18" t="str">
        <f>IFERROR(__xludf.DUMMYFUNCTION("""COMPUTED_VALUE"""),"")</f>
        <v/>
      </c>
      <c r="G1192" s="18" t="str">
        <f>IFERROR(__xludf.DUMMYFUNCTION("""COMPUTED_VALUE"""),"")</f>
        <v/>
      </c>
      <c r="H1192" s="18" t="str">
        <f>IFERROR(__xludf.DUMMYFUNCTION("""COMPUTED_VALUE"""),"")</f>
        <v/>
      </c>
      <c r="I1192" s="18" t="str">
        <f>IFERROR(__xludf.DUMMYFUNCTION("""COMPUTED_VALUE"""),"")</f>
        <v/>
      </c>
      <c r="J1192" s="18" t="str">
        <f>IFERROR(__xludf.DUMMYFUNCTION("""COMPUTED_VALUE"""),"")</f>
        <v/>
      </c>
      <c r="K1192" s="19"/>
      <c r="L1192" s="19"/>
      <c r="M1192" s="19"/>
      <c r="N1192" s="19"/>
      <c r="O1192" s="19"/>
    </row>
    <row r="1193">
      <c r="A1193" s="18"/>
      <c r="B1193" s="29"/>
      <c r="C1193" s="19"/>
      <c r="D1193" s="19"/>
      <c r="E1193" s="18"/>
      <c r="F1193" s="18" t="str">
        <f>IFERROR(__xludf.DUMMYFUNCTION("""COMPUTED_VALUE"""),"")</f>
        <v/>
      </c>
      <c r="G1193" s="18" t="str">
        <f>IFERROR(__xludf.DUMMYFUNCTION("""COMPUTED_VALUE"""),"")</f>
        <v/>
      </c>
      <c r="H1193" s="18" t="str">
        <f>IFERROR(__xludf.DUMMYFUNCTION("""COMPUTED_VALUE"""),"")</f>
        <v/>
      </c>
      <c r="I1193" s="18" t="str">
        <f>IFERROR(__xludf.DUMMYFUNCTION("""COMPUTED_VALUE"""),"")</f>
        <v/>
      </c>
      <c r="J1193" s="18" t="str">
        <f>IFERROR(__xludf.DUMMYFUNCTION("""COMPUTED_VALUE"""),"")</f>
        <v/>
      </c>
      <c r="K1193" s="19"/>
      <c r="L1193" s="19"/>
      <c r="M1193" s="19"/>
      <c r="N1193" s="19"/>
      <c r="O1193" s="19"/>
    </row>
    <row r="1194">
      <c r="A1194" s="18"/>
      <c r="B1194" s="29"/>
      <c r="C1194" s="19"/>
      <c r="D1194" s="19"/>
      <c r="E1194" s="18"/>
      <c r="F1194" s="18" t="str">
        <f>IFERROR(__xludf.DUMMYFUNCTION("""COMPUTED_VALUE"""),"")</f>
        <v/>
      </c>
      <c r="G1194" s="18" t="str">
        <f>IFERROR(__xludf.DUMMYFUNCTION("""COMPUTED_VALUE"""),"")</f>
        <v/>
      </c>
      <c r="H1194" s="18" t="str">
        <f>IFERROR(__xludf.DUMMYFUNCTION("""COMPUTED_VALUE"""),"")</f>
        <v/>
      </c>
      <c r="I1194" s="18" t="str">
        <f>IFERROR(__xludf.DUMMYFUNCTION("""COMPUTED_VALUE"""),"")</f>
        <v/>
      </c>
      <c r="J1194" s="18" t="str">
        <f>IFERROR(__xludf.DUMMYFUNCTION("""COMPUTED_VALUE"""),"")</f>
        <v/>
      </c>
      <c r="K1194" s="19"/>
      <c r="L1194" s="19"/>
      <c r="M1194" s="19"/>
      <c r="N1194" s="19"/>
      <c r="O1194" s="19"/>
    </row>
    <row r="1195">
      <c r="A1195" s="18"/>
      <c r="B1195" s="29"/>
      <c r="C1195" s="19"/>
      <c r="D1195" s="19"/>
      <c r="E1195" s="18"/>
      <c r="F1195" s="18" t="str">
        <f>IFERROR(__xludf.DUMMYFUNCTION("""COMPUTED_VALUE"""),"")</f>
        <v/>
      </c>
      <c r="G1195" s="18" t="str">
        <f>IFERROR(__xludf.DUMMYFUNCTION("""COMPUTED_VALUE"""),"")</f>
        <v/>
      </c>
      <c r="H1195" s="18" t="str">
        <f>IFERROR(__xludf.DUMMYFUNCTION("""COMPUTED_VALUE"""),"")</f>
        <v/>
      </c>
      <c r="I1195" s="18" t="str">
        <f>IFERROR(__xludf.DUMMYFUNCTION("""COMPUTED_VALUE"""),"")</f>
        <v/>
      </c>
      <c r="J1195" s="18" t="str">
        <f>IFERROR(__xludf.DUMMYFUNCTION("""COMPUTED_VALUE"""),"")</f>
        <v/>
      </c>
      <c r="K1195" s="19"/>
      <c r="L1195" s="19"/>
      <c r="M1195" s="19"/>
      <c r="N1195" s="19"/>
      <c r="O1195" s="19"/>
    </row>
    <row r="1196">
      <c r="A1196" s="18"/>
      <c r="B1196" s="29"/>
      <c r="C1196" s="19"/>
      <c r="D1196" s="19"/>
      <c r="E1196" s="18"/>
      <c r="F1196" s="18" t="str">
        <f>IFERROR(__xludf.DUMMYFUNCTION("""COMPUTED_VALUE"""),"")</f>
        <v/>
      </c>
      <c r="G1196" s="18" t="str">
        <f>IFERROR(__xludf.DUMMYFUNCTION("""COMPUTED_VALUE"""),"")</f>
        <v/>
      </c>
      <c r="H1196" s="18" t="str">
        <f>IFERROR(__xludf.DUMMYFUNCTION("""COMPUTED_VALUE"""),"")</f>
        <v/>
      </c>
      <c r="I1196" s="18" t="str">
        <f>IFERROR(__xludf.DUMMYFUNCTION("""COMPUTED_VALUE"""),"")</f>
        <v/>
      </c>
      <c r="J1196" s="18" t="str">
        <f>IFERROR(__xludf.DUMMYFUNCTION("""COMPUTED_VALUE"""),"")</f>
        <v/>
      </c>
      <c r="K1196" s="19"/>
      <c r="L1196" s="19"/>
      <c r="M1196" s="19"/>
      <c r="N1196" s="19"/>
      <c r="O1196" s="19"/>
    </row>
    <row r="1197">
      <c r="A1197" s="18"/>
      <c r="B1197" s="29"/>
      <c r="C1197" s="19"/>
      <c r="D1197" s="19"/>
      <c r="E1197" s="18"/>
      <c r="F1197" s="18" t="str">
        <f>IFERROR(__xludf.DUMMYFUNCTION("""COMPUTED_VALUE"""),"")</f>
        <v/>
      </c>
      <c r="G1197" s="18" t="str">
        <f>IFERROR(__xludf.DUMMYFUNCTION("""COMPUTED_VALUE"""),"")</f>
        <v/>
      </c>
      <c r="H1197" s="18" t="str">
        <f>IFERROR(__xludf.DUMMYFUNCTION("""COMPUTED_VALUE"""),"")</f>
        <v/>
      </c>
      <c r="I1197" s="18" t="str">
        <f>IFERROR(__xludf.DUMMYFUNCTION("""COMPUTED_VALUE"""),"")</f>
        <v/>
      </c>
      <c r="J1197" s="18" t="str">
        <f>IFERROR(__xludf.DUMMYFUNCTION("""COMPUTED_VALUE"""),"")</f>
        <v/>
      </c>
      <c r="K1197" s="19"/>
      <c r="L1197" s="19"/>
      <c r="M1197" s="19"/>
      <c r="N1197" s="19"/>
      <c r="O1197" s="19"/>
    </row>
    <row r="1198">
      <c r="A1198" s="18"/>
      <c r="B1198" s="29"/>
      <c r="C1198" s="19"/>
      <c r="D1198" s="19"/>
      <c r="E1198" s="18"/>
      <c r="F1198" s="18" t="str">
        <f>IFERROR(__xludf.DUMMYFUNCTION("""COMPUTED_VALUE"""),"")</f>
        <v/>
      </c>
      <c r="G1198" s="18" t="str">
        <f>IFERROR(__xludf.DUMMYFUNCTION("""COMPUTED_VALUE"""),"")</f>
        <v/>
      </c>
      <c r="H1198" s="18" t="str">
        <f>IFERROR(__xludf.DUMMYFUNCTION("""COMPUTED_VALUE"""),"")</f>
        <v/>
      </c>
      <c r="I1198" s="18" t="str">
        <f>IFERROR(__xludf.DUMMYFUNCTION("""COMPUTED_VALUE"""),"")</f>
        <v/>
      </c>
      <c r="J1198" s="18" t="str">
        <f>IFERROR(__xludf.DUMMYFUNCTION("""COMPUTED_VALUE"""),"")</f>
        <v/>
      </c>
      <c r="K1198" s="19"/>
      <c r="L1198" s="19"/>
      <c r="M1198" s="19"/>
      <c r="N1198" s="19"/>
      <c r="O1198" s="19"/>
    </row>
    <row r="1199">
      <c r="A1199" s="18"/>
      <c r="B1199" s="29"/>
      <c r="C1199" s="19"/>
      <c r="D1199" s="19"/>
      <c r="E1199" s="18"/>
      <c r="F1199" s="18" t="str">
        <f>IFERROR(__xludf.DUMMYFUNCTION("""COMPUTED_VALUE"""),"")</f>
        <v/>
      </c>
      <c r="G1199" s="18" t="str">
        <f>IFERROR(__xludf.DUMMYFUNCTION("""COMPUTED_VALUE"""),"")</f>
        <v/>
      </c>
      <c r="H1199" s="18" t="str">
        <f>IFERROR(__xludf.DUMMYFUNCTION("""COMPUTED_VALUE"""),"")</f>
        <v/>
      </c>
      <c r="I1199" s="18" t="str">
        <f>IFERROR(__xludf.DUMMYFUNCTION("""COMPUTED_VALUE"""),"")</f>
        <v/>
      </c>
      <c r="J1199" s="18" t="str">
        <f>IFERROR(__xludf.DUMMYFUNCTION("""COMPUTED_VALUE"""),"")</f>
        <v/>
      </c>
      <c r="K1199" s="19"/>
      <c r="L1199" s="19"/>
      <c r="M1199" s="19"/>
      <c r="N1199" s="19"/>
      <c r="O1199" s="19"/>
    </row>
    <row r="1200">
      <c r="A1200" s="18"/>
      <c r="B1200" s="29"/>
      <c r="C1200" s="19"/>
      <c r="D1200" s="19"/>
      <c r="E1200" s="18"/>
      <c r="F1200" s="18" t="str">
        <f>IFERROR(__xludf.DUMMYFUNCTION("""COMPUTED_VALUE"""),"")</f>
        <v/>
      </c>
      <c r="G1200" s="18" t="str">
        <f>IFERROR(__xludf.DUMMYFUNCTION("""COMPUTED_VALUE"""),"")</f>
        <v/>
      </c>
      <c r="H1200" s="18" t="str">
        <f>IFERROR(__xludf.DUMMYFUNCTION("""COMPUTED_VALUE"""),"")</f>
        <v/>
      </c>
      <c r="I1200" s="18" t="str">
        <f>IFERROR(__xludf.DUMMYFUNCTION("""COMPUTED_VALUE"""),"")</f>
        <v/>
      </c>
      <c r="J1200" s="18" t="str">
        <f>IFERROR(__xludf.DUMMYFUNCTION("""COMPUTED_VALUE"""),"")</f>
        <v/>
      </c>
      <c r="K1200" s="19"/>
      <c r="L1200" s="19"/>
      <c r="M1200" s="19"/>
      <c r="N1200" s="19"/>
      <c r="O1200" s="19"/>
    </row>
    <row r="1201">
      <c r="A1201" s="18"/>
      <c r="B1201" s="29"/>
      <c r="C1201" s="19"/>
      <c r="D1201" s="19"/>
      <c r="E1201" s="18"/>
      <c r="F1201" s="18" t="str">
        <f>IFERROR(__xludf.DUMMYFUNCTION("""COMPUTED_VALUE"""),"")</f>
        <v/>
      </c>
      <c r="G1201" s="18" t="str">
        <f>IFERROR(__xludf.DUMMYFUNCTION("""COMPUTED_VALUE"""),"")</f>
        <v/>
      </c>
      <c r="H1201" s="18" t="str">
        <f>IFERROR(__xludf.DUMMYFUNCTION("""COMPUTED_VALUE"""),"")</f>
        <v/>
      </c>
      <c r="I1201" s="18" t="str">
        <f>IFERROR(__xludf.DUMMYFUNCTION("""COMPUTED_VALUE"""),"")</f>
        <v/>
      </c>
      <c r="J1201" s="18" t="str">
        <f>IFERROR(__xludf.DUMMYFUNCTION("""COMPUTED_VALUE"""),"")</f>
        <v/>
      </c>
      <c r="K1201" s="19"/>
      <c r="L1201" s="19"/>
      <c r="M1201" s="19"/>
      <c r="N1201" s="19"/>
      <c r="O1201" s="19"/>
    </row>
    <row r="1202">
      <c r="A1202" s="18"/>
      <c r="B1202" s="29"/>
      <c r="C1202" s="19"/>
      <c r="D1202" s="19"/>
      <c r="E1202" s="18"/>
      <c r="F1202" s="18" t="str">
        <f>IFERROR(__xludf.DUMMYFUNCTION("""COMPUTED_VALUE"""),"")</f>
        <v/>
      </c>
      <c r="G1202" s="18" t="str">
        <f>IFERROR(__xludf.DUMMYFUNCTION("""COMPUTED_VALUE"""),"")</f>
        <v/>
      </c>
      <c r="H1202" s="18" t="str">
        <f>IFERROR(__xludf.DUMMYFUNCTION("""COMPUTED_VALUE"""),"")</f>
        <v/>
      </c>
      <c r="I1202" s="18" t="str">
        <f>IFERROR(__xludf.DUMMYFUNCTION("""COMPUTED_VALUE"""),"")</f>
        <v/>
      </c>
      <c r="J1202" s="18" t="str">
        <f>IFERROR(__xludf.DUMMYFUNCTION("""COMPUTED_VALUE"""),"")</f>
        <v/>
      </c>
      <c r="K1202" s="19"/>
      <c r="L1202" s="19"/>
      <c r="M1202" s="19"/>
      <c r="N1202" s="19"/>
      <c r="O1202" s="19"/>
    </row>
    <row r="1203">
      <c r="A1203" s="18"/>
      <c r="B1203" s="29"/>
      <c r="C1203" s="19"/>
      <c r="D1203" s="19"/>
      <c r="E1203" s="18"/>
      <c r="F1203" s="18" t="str">
        <f>IFERROR(__xludf.DUMMYFUNCTION("""COMPUTED_VALUE"""),"")</f>
        <v/>
      </c>
      <c r="G1203" s="18" t="str">
        <f>IFERROR(__xludf.DUMMYFUNCTION("""COMPUTED_VALUE"""),"")</f>
        <v/>
      </c>
      <c r="H1203" s="18" t="str">
        <f>IFERROR(__xludf.DUMMYFUNCTION("""COMPUTED_VALUE"""),"")</f>
        <v/>
      </c>
      <c r="I1203" s="18" t="str">
        <f>IFERROR(__xludf.DUMMYFUNCTION("""COMPUTED_VALUE"""),"")</f>
        <v/>
      </c>
      <c r="J1203" s="18" t="str">
        <f>IFERROR(__xludf.DUMMYFUNCTION("""COMPUTED_VALUE"""),"")</f>
        <v/>
      </c>
      <c r="K1203" s="19"/>
      <c r="L1203" s="19"/>
      <c r="M1203" s="19"/>
      <c r="N1203" s="19"/>
      <c r="O1203" s="19"/>
    </row>
    <row r="1204">
      <c r="A1204" s="18"/>
      <c r="B1204" s="29"/>
      <c r="C1204" s="19"/>
      <c r="D1204" s="19"/>
      <c r="E1204" s="18"/>
      <c r="F1204" s="18" t="str">
        <f>IFERROR(__xludf.DUMMYFUNCTION("""COMPUTED_VALUE"""),"")</f>
        <v/>
      </c>
      <c r="G1204" s="18" t="str">
        <f>IFERROR(__xludf.DUMMYFUNCTION("""COMPUTED_VALUE"""),"")</f>
        <v/>
      </c>
      <c r="H1204" s="18" t="str">
        <f>IFERROR(__xludf.DUMMYFUNCTION("""COMPUTED_VALUE"""),"")</f>
        <v/>
      </c>
      <c r="I1204" s="18" t="str">
        <f>IFERROR(__xludf.DUMMYFUNCTION("""COMPUTED_VALUE"""),"")</f>
        <v/>
      </c>
      <c r="J1204" s="18" t="str">
        <f>IFERROR(__xludf.DUMMYFUNCTION("""COMPUTED_VALUE"""),"")</f>
        <v/>
      </c>
      <c r="K1204" s="19"/>
      <c r="L1204" s="19"/>
      <c r="M1204" s="19"/>
      <c r="N1204" s="19"/>
      <c r="O1204" s="19"/>
    </row>
    <row r="1205">
      <c r="A1205" s="18"/>
      <c r="B1205" s="29"/>
      <c r="C1205" s="19"/>
      <c r="D1205" s="19"/>
      <c r="E1205" s="18"/>
      <c r="F1205" s="18" t="str">
        <f>IFERROR(__xludf.DUMMYFUNCTION("""COMPUTED_VALUE"""),"")</f>
        <v/>
      </c>
      <c r="G1205" s="18" t="str">
        <f>IFERROR(__xludf.DUMMYFUNCTION("""COMPUTED_VALUE"""),"")</f>
        <v/>
      </c>
      <c r="H1205" s="18" t="str">
        <f>IFERROR(__xludf.DUMMYFUNCTION("""COMPUTED_VALUE"""),"")</f>
        <v/>
      </c>
      <c r="I1205" s="18" t="str">
        <f>IFERROR(__xludf.DUMMYFUNCTION("""COMPUTED_VALUE"""),"")</f>
        <v/>
      </c>
      <c r="J1205" s="18" t="str">
        <f>IFERROR(__xludf.DUMMYFUNCTION("""COMPUTED_VALUE"""),"")</f>
        <v/>
      </c>
      <c r="K1205" s="19"/>
      <c r="L1205" s="19"/>
      <c r="M1205" s="19"/>
      <c r="N1205" s="19"/>
      <c r="O1205" s="19"/>
    </row>
    <row r="1206">
      <c r="A1206" s="18"/>
      <c r="B1206" s="29"/>
      <c r="C1206" s="19"/>
      <c r="D1206" s="19"/>
      <c r="E1206" s="18"/>
      <c r="F1206" s="18" t="str">
        <f>IFERROR(__xludf.DUMMYFUNCTION("""COMPUTED_VALUE"""),"")</f>
        <v/>
      </c>
      <c r="G1206" s="18" t="str">
        <f>IFERROR(__xludf.DUMMYFUNCTION("""COMPUTED_VALUE"""),"")</f>
        <v/>
      </c>
      <c r="H1206" s="18" t="str">
        <f>IFERROR(__xludf.DUMMYFUNCTION("""COMPUTED_VALUE"""),"")</f>
        <v/>
      </c>
      <c r="I1206" s="18" t="str">
        <f>IFERROR(__xludf.DUMMYFUNCTION("""COMPUTED_VALUE"""),"")</f>
        <v/>
      </c>
      <c r="J1206" s="18" t="str">
        <f>IFERROR(__xludf.DUMMYFUNCTION("""COMPUTED_VALUE"""),"")</f>
        <v/>
      </c>
      <c r="K1206" s="19"/>
      <c r="L1206" s="19"/>
      <c r="M1206" s="19"/>
      <c r="N1206" s="19"/>
      <c r="O1206" s="19"/>
    </row>
    <row r="1207">
      <c r="A1207" s="18"/>
      <c r="B1207" s="29"/>
      <c r="C1207" s="19"/>
      <c r="D1207" s="19"/>
      <c r="E1207" s="18"/>
      <c r="F1207" s="18" t="str">
        <f>IFERROR(__xludf.DUMMYFUNCTION("""COMPUTED_VALUE"""),"")</f>
        <v/>
      </c>
      <c r="G1207" s="18" t="str">
        <f>IFERROR(__xludf.DUMMYFUNCTION("""COMPUTED_VALUE"""),"")</f>
        <v/>
      </c>
      <c r="H1207" s="18" t="str">
        <f>IFERROR(__xludf.DUMMYFUNCTION("""COMPUTED_VALUE"""),"")</f>
        <v/>
      </c>
      <c r="I1207" s="18" t="str">
        <f>IFERROR(__xludf.DUMMYFUNCTION("""COMPUTED_VALUE"""),"")</f>
        <v/>
      </c>
      <c r="J1207" s="18" t="str">
        <f>IFERROR(__xludf.DUMMYFUNCTION("""COMPUTED_VALUE"""),"")</f>
        <v/>
      </c>
      <c r="K1207" s="19"/>
      <c r="L1207" s="19"/>
      <c r="M1207" s="19"/>
      <c r="N1207" s="19"/>
      <c r="O1207" s="19"/>
    </row>
    <row r="1208">
      <c r="A1208" s="18"/>
      <c r="B1208" s="29"/>
      <c r="C1208" s="19"/>
      <c r="D1208" s="19"/>
      <c r="E1208" s="18"/>
      <c r="F1208" s="18" t="str">
        <f>IFERROR(__xludf.DUMMYFUNCTION("""COMPUTED_VALUE"""),"")</f>
        <v/>
      </c>
      <c r="G1208" s="18" t="str">
        <f>IFERROR(__xludf.DUMMYFUNCTION("""COMPUTED_VALUE"""),"")</f>
        <v/>
      </c>
      <c r="H1208" s="18" t="str">
        <f>IFERROR(__xludf.DUMMYFUNCTION("""COMPUTED_VALUE"""),"")</f>
        <v/>
      </c>
      <c r="I1208" s="18" t="str">
        <f>IFERROR(__xludf.DUMMYFUNCTION("""COMPUTED_VALUE"""),"")</f>
        <v/>
      </c>
      <c r="J1208" s="18" t="str">
        <f>IFERROR(__xludf.DUMMYFUNCTION("""COMPUTED_VALUE"""),"")</f>
        <v/>
      </c>
      <c r="K1208" s="19"/>
      <c r="L1208" s="19"/>
      <c r="M1208" s="19"/>
      <c r="N1208" s="19"/>
      <c r="O1208" s="19"/>
    </row>
    <row r="1209">
      <c r="A1209" s="18"/>
      <c r="B1209" s="29"/>
      <c r="C1209" s="19"/>
      <c r="D1209" s="19"/>
      <c r="E1209" s="18"/>
      <c r="F1209" s="18" t="str">
        <f>IFERROR(__xludf.DUMMYFUNCTION("""COMPUTED_VALUE"""),"")</f>
        <v/>
      </c>
      <c r="G1209" s="18" t="str">
        <f>IFERROR(__xludf.DUMMYFUNCTION("""COMPUTED_VALUE"""),"")</f>
        <v/>
      </c>
      <c r="H1209" s="18" t="str">
        <f>IFERROR(__xludf.DUMMYFUNCTION("""COMPUTED_VALUE"""),"")</f>
        <v/>
      </c>
      <c r="I1209" s="18" t="str">
        <f>IFERROR(__xludf.DUMMYFUNCTION("""COMPUTED_VALUE"""),"")</f>
        <v/>
      </c>
      <c r="J1209" s="18" t="str">
        <f>IFERROR(__xludf.DUMMYFUNCTION("""COMPUTED_VALUE"""),"")</f>
        <v/>
      </c>
      <c r="K1209" s="19"/>
      <c r="L1209" s="19"/>
      <c r="M1209" s="19"/>
      <c r="N1209" s="19"/>
      <c r="O1209" s="19"/>
    </row>
    <row r="1210">
      <c r="A1210" s="18"/>
      <c r="B1210" s="29"/>
      <c r="C1210" s="19"/>
      <c r="D1210" s="19"/>
      <c r="E1210" s="18"/>
      <c r="F1210" s="18" t="str">
        <f>IFERROR(__xludf.DUMMYFUNCTION("""COMPUTED_VALUE"""),"")</f>
        <v/>
      </c>
      <c r="G1210" s="18" t="str">
        <f>IFERROR(__xludf.DUMMYFUNCTION("""COMPUTED_VALUE"""),"")</f>
        <v/>
      </c>
      <c r="H1210" s="18" t="str">
        <f>IFERROR(__xludf.DUMMYFUNCTION("""COMPUTED_VALUE"""),"")</f>
        <v/>
      </c>
      <c r="I1210" s="18" t="str">
        <f>IFERROR(__xludf.DUMMYFUNCTION("""COMPUTED_VALUE"""),"")</f>
        <v/>
      </c>
      <c r="J1210" s="18" t="str">
        <f>IFERROR(__xludf.DUMMYFUNCTION("""COMPUTED_VALUE"""),"")</f>
        <v/>
      </c>
      <c r="K1210" s="19"/>
      <c r="L1210" s="19"/>
      <c r="M1210" s="19"/>
      <c r="N1210" s="19"/>
      <c r="O1210" s="19"/>
    </row>
    <row r="1211">
      <c r="A1211" s="18"/>
      <c r="B1211" s="29"/>
      <c r="C1211" s="19"/>
      <c r="D1211" s="19"/>
      <c r="E1211" s="18"/>
      <c r="F1211" s="18" t="str">
        <f>IFERROR(__xludf.DUMMYFUNCTION("""COMPUTED_VALUE"""),"")</f>
        <v/>
      </c>
      <c r="G1211" s="18" t="str">
        <f>IFERROR(__xludf.DUMMYFUNCTION("""COMPUTED_VALUE"""),"")</f>
        <v/>
      </c>
      <c r="H1211" s="18" t="str">
        <f>IFERROR(__xludf.DUMMYFUNCTION("""COMPUTED_VALUE"""),"")</f>
        <v/>
      </c>
      <c r="I1211" s="18" t="str">
        <f>IFERROR(__xludf.DUMMYFUNCTION("""COMPUTED_VALUE"""),"")</f>
        <v/>
      </c>
      <c r="J1211" s="18" t="str">
        <f>IFERROR(__xludf.DUMMYFUNCTION("""COMPUTED_VALUE"""),"")</f>
        <v/>
      </c>
      <c r="K1211" s="19"/>
      <c r="L1211" s="19"/>
      <c r="M1211" s="19"/>
      <c r="N1211" s="19"/>
      <c r="O1211" s="19"/>
    </row>
    <row r="1212">
      <c r="A1212" s="18"/>
      <c r="B1212" s="29"/>
      <c r="C1212" s="19"/>
      <c r="D1212" s="19"/>
      <c r="E1212" s="18"/>
      <c r="F1212" s="18" t="str">
        <f>IFERROR(__xludf.DUMMYFUNCTION("""COMPUTED_VALUE"""),"")</f>
        <v/>
      </c>
      <c r="G1212" s="18" t="str">
        <f>IFERROR(__xludf.DUMMYFUNCTION("""COMPUTED_VALUE"""),"")</f>
        <v/>
      </c>
      <c r="H1212" s="18" t="str">
        <f>IFERROR(__xludf.DUMMYFUNCTION("""COMPUTED_VALUE"""),"")</f>
        <v/>
      </c>
      <c r="I1212" s="18" t="str">
        <f>IFERROR(__xludf.DUMMYFUNCTION("""COMPUTED_VALUE"""),"")</f>
        <v/>
      </c>
      <c r="J1212" s="18" t="str">
        <f>IFERROR(__xludf.DUMMYFUNCTION("""COMPUTED_VALUE"""),"")</f>
        <v/>
      </c>
      <c r="K1212" s="19"/>
      <c r="L1212" s="19"/>
      <c r="M1212" s="19"/>
      <c r="N1212" s="19"/>
      <c r="O1212" s="19"/>
    </row>
    <row r="1213">
      <c r="A1213" s="18"/>
      <c r="B1213" s="29"/>
      <c r="C1213" s="19"/>
      <c r="D1213" s="19"/>
      <c r="E1213" s="18"/>
      <c r="F1213" s="18" t="str">
        <f>IFERROR(__xludf.DUMMYFUNCTION("""COMPUTED_VALUE"""),"")</f>
        <v/>
      </c>
      <c r="G1213" s="18" t="str">
        <f>IFERROR(__xludf.DUMMYFUNCTION("""COMPUTED_VALUE"""),"")</f>
        <v/>
      </c>
      <c r="H1213" s="18" t="str">
        <f>IFERROR(__xludf.DUMMYFUNCTION("""COMPUTED_VALUE"""),"")</f>
        <v/>
      </c>
      <c r="I1213" s="18" t="str">
        <f>IFERROR(__xludf.DUMMYFUNCTION("""COMPUTED_VALUE"""),"")</f>
        <v/>
      </c>
      <c r="J1213" s="18" t="str">
        <f>IFERROR(__xludf.DUMMYFUNCTION("""COMPUTED_VALUE"""),"")</f>
        <v/>
      </c>
      <c r="K1213" s="19"/>
      <c r="L1213" s="19"/>
      <c r="M1213" s="19"/>
      <c r="N1213" s="19"/>
      <c r="O1213" s="19"/>
    </row>
    <row r="1214">
      <c r="A1214" s="18"/>
      <c r="B1214" s="29"/>
      <c r="C1214" s="19"/>
      <c r="D1214" s="19"/>
      <c r="E1214" s="18"/>
      <c r="F1214" s="18" t="str">
        <f>IFERROR(__xludf.DUMMYFUNCTION("""COMPUTED_VALUE"""),"")</f>
        <v/>
      </c>
      <c r="G1214" s="18" t="str">
        <f>IFERROR(__xludf.DUMMYFUNCTION("""COMPUTED_VALUE"""),"")</f>
        <v/>
      </c>
      <c r="H1214" s="18" t="str">
        <f>IFERROR(__xludf.DUMMYFUNCTION("""COMPUTED_VALUE"""),"")</f>
        <v/>
      </c>
      <c r="I1214" s="18" t="str">
        <f>IFERROR(__xludf.DUMMYFUNCTION("""COMPUTED_VALUE"""),"")</f>
        <v/>
      </c>
      <c r="J1214" s="18" t="str">
        <f>IFERROR(__xludf.DUMMYFUNCTION("""COMPUTED_VALUE"""),"")</f>
        <v/>
      </c>
      <c r="K1214" s="19"/>
      <c r="L1214" s="19"/>
      <c r="M1214" s="19"/>
      <c r="N1214" s="19"/>
      <c r="O1214" s="19"/>
    </row>
    <row r="1215">
      <c r="A1215" s="18"/>
      <c r="B1215" s="29"/>
      <c r="C1215" s="19"/>
      <c r="D1215" s="19"/>
      <c r="E1215" s="18"/>
      <c r="F1215" s="18" t="str">
        <f>IFERROR(__xludf.DUMMYFUNCTION("""COMPUTED_VALUE"""),"")</f>
        <v/>
      </c>
      <c r="G1215" s="18" t="str">
        <f>IFERROR(__xludf.DUMMYFUNCTION("""COMPUTED_VALUE"""),"")</f>
        <v/>
      </c>
      <c r="H1215" s="18" t="str">
        <f>IFERROR(__xludf.DUMMYFUNCTION("""COMPUTED_VALUE"""),"")</f>
        <v/>
      </c>
      <c r="I1215" s="18" t="str">
        <f>IFERROR(__xludf.DUMMYFUNCTION("""COMPUTED_VALUE"""),"")</f>
        <v/>
      </c>
      <c r="J1215" s="18" t="str">
        <f>IFERROR(__xludf.DUMMYFUNCTION("""COMPUTED_VALUE"""),"")</f>
        <v/>
      </c>
      <c r="K1215" s="19"/>
      <c r="L1215" s="19"/>
      <c r="M1215" s="19"/>
      <c r="N1215" s="19"/>
      <c r="O1215" s="19"/>
    </row>
    <row r="1216">
      <c r="A1216" s="18"/>
      <c r="B1216" s="29"/>
      <c r="C1216" s="19"/>
      <c r="D1216" s="19"/>
      <c r="E1216" s="18"/>
      <c r="F1216" s="18" t="str">
        <f>IFERROR(__xludf.DUMMYFUNCTION("""COMPUTED_VALUE"""),"")</f>
        <v/>
      </c>
      <c r="G1216" s="18" t="str">
        <f>IFERROR(__xludf.DUMMYFUNCTION("""COMPUTED_VALUE"""),"")</f>
        <v/>
      </c>
      <c r="H1216" s="18" t="str">
        <f>IFERROR(__xludf.DUMMYFUNCTION("""COMPUTED_VALUE"""),"")</f>
        <v/>
      </c>
      <c r="I1216" s="18" t="str">
        <f>IFERROR(__xludf.DUMMYFUNCTION("""COMPUTED_VALUE"""),"")</f>
        <v/>
      </c>
      <c r="J1216" s="18" t="str">
        <f>IFERROR(__xludf.DUMMYFUNCTION("""COMPUTED_VALUE"""),"")</f>
        <v/>
      </c>
      <c r="K1216" s="19"/>
      <c r="L1216" s="19"/>
      <c r="M1216" s="19"/>
      <c r="N1216" s="19"/>
      <c r="O1216" s="19"/>
    </row>
    <row r="1217">
      <c r="A1217" s="18"/>
      <c r="B1217" s="29"/>
      <c r="C1217" s="19"/>
      <c r="D1217" s="19"/>
      <c r="E1217" s="18"/>
      <c r="F1217" s="18" t="str">
        <f>IFERROR(__xludf.DUMMYFUNCTION("""COMPUTED_VALUE"""),"")</f>
        <v/>
      </c>
      <c r="G1217" s="18" t="str">
        <f>IFERROR(__xludf.DUMMYFUNCTION("""COMPUTED_VALUE"""),"")</f>
        <v/>
      </c>
      <c r="H1217" s="18" t="str">
        <f>IFERROR(__xludf.DUMMYFUNCTION("""COMPUTED_VALUE"""),"")</f>
        <v/>
      </c>
      <c r="I1217" s="18" t="str">
        <f>IFERROR(__xludf.DUMMYFUNCTION("""COMPUTED_VALUE"""),"")</f>
        <v/>
      </c>
      <c r="J1217" s="18" t="str">
        <f>IFERROR(__xludf.DUMMYFUNCTION("""COMPUTED_VALUE"""),"")</f>
        <v/>
      </c>
      <c r="K1217" s="19"/>
      <c r="L1217" s="19"/>
      <c r="M1217" s="19"/>
      <c r="N1217" s="19"/>
      <c r="O1217" s="19"/>
    </row>
    <row r="1218">
      <c r="A1218" s="18"/>
      <c r="B1218" s="29"/>
      <c r="C1218" s="19"/>
      <c r="D1218" s="19"/>
      <c r="E1218" s="18"/>
      <c r="F1218" s="18" t="str">
        <f>IFERROR(__xludf.DUMMYFUNCTION("""COMPUTED_VALUE"""),"")</f>
        <v/>
      </c>
      <c r="G1218" s="18" t="str">
        <f>IFERROR(__xludf.DUMMYFUNCTION("""COMPUTED_VALUE"""),"")</f>
        <v/>
      </c>
      <c r="H1218" s="18" t="str">
        <f>IFERROR(__xludf.DUMMYFUNCTION("""COMPUTED_VALUE"""),"")</f>
        <v/>
      </c>
      <c r="I1218" s="18" t="str">
        <f>IFERROR(__xludf.DUMMYFUNCTION("""COMPUTED_VALUE"""),"")</f>
        <v/>
      </c>
      <c r="J1218" s="18" t="str">
        <f>IFERROR(__xludf.DUMMYFUNCTION("""COMPUTED_VALUE"""),"")</f>
        <v/>
      </c>
      <c r="K1218" s="19"/>
      <c r="L1218" s="19"/>
      <c r="M1218" s="19"/>
      <c r="N1218" s="19"/>
      <c r="O1218" s="19"/>
    </row>
    <row r="1219">
      <c r="A1219" s="18"/>
      <c r="B1219" s="29"/>
      <c r="C1219" s="19"/>
      <c r="D1219" s="19"/>
      <c r="E1219" s="18"/>
      <c r="F1219" s="18" t="str">
        <f>IFERROR(__xludf.DUMMYFUNCTION("""COMPUTED_VALUE"""),"")</f>
        <v/>
      </c>
      <c r="G1219" s="18" t="str">
        <f>IFERROR(__xludf.DUMMYFUNCTION("""COMPUTED_VALUE"""),"")</f>
        <v/>
      </c>
      <c r="H1219" s="18" t="str">
        <f>IFERROR(__xludf.DUMMYFUNCTION("""COMPUTED_VALUE"""),"")</f>
        <v/>
      </c>
      <c r="I1219" s="18" t="str">
        <f>IFERROR(__xludf.DUMMYFUNCTION("""COMPUTED_VALUE"""),"")</f>
        <v/>
      </c>
      <c r="J1219" s="18" t="str">
        <f>IFERROR(__xludf.DUMMYFUNCTION("""COMPUTED_VALUE"""),"")</f>
        <v/>
      </c>
      <c r="K1219" s="19"/>
      <c r="L1219" s="19"/>
      <c r="M1219" s="19"/>
      <c r="N1219" s="19"/>
      <c r="O1219" s="19"/>
    </row>
    <row r="1220">
      <c r="A1220" s="18"/>
      <c r="B1220" s="29"/>
      <c r="C1220" s="19"/>
      <c r="D1220" s="19"/>
      <c r="E1220" s="18"/>
      <c r="F1220" s="18" t="str">
        <f>IFERROR(__xludf.DUMMYFUNCTION("""COMPUTED_VALUE"""),"")</f>
        <v/>
      </c>
      <c r="G1220" s="18" t="str">
        <f>IFERROR(__xludf.DUMMYFUNCTION("""COMPUTED_VALUE"""),"")</f>
        <v/>
      </c>
      <c r="H1220" s="18" t="str">
        <f>IFERROR(__xludf.DUMMYFUNCTION("""COMPUTED_VALUE"""),"")</f>
        <v/>
      </c>
      <c r="I1220" s="18" t="str">
        <f>IFERROR(__xludf.DUMMYFUNCTION("""COMPUTED_VALUE"""),"")</f>
        <v/>
      </c>
      <c r="J1220" s="18" t="str">
        <f>IFERROR(__xludf.DUMMYFUNCTION("""COMPUTED_VALUE"""),"")</f>
        <v/>
      </c>
      <c r="K1220" s="19"/>
      <c r="L1220" s="19"/>
      <c r="M1220" s="19"/>
      <c r="N1220" s="19"/>
      <c r="O1220" s="19"/>
    </row>
    <row r="1221">
      <c r="A1221" s="18"/>
      <c r="B1221" s="29"/>
      <c r="C1221" s="19"/>
      <c r="D1221" s="19"/>
      <c r="E1221" s="18"/>
      <c r="F1221" s="18" t="str">
        <f>IFERROR(__xludf.DUMMYFUNCTION("""COMPUTED_VALUE"""),"")</f>
        <v/>
      </c>
      <c r="G1221" s="18" t="str">
        <f>IFERROR(__xludf.DUMMYFUNCTION("""COMPUTED_VALUE"""),"")</f>
        <v/>
      </c>
      <c r="H1221" s="18" t="str">
        <f>IFERROR(__xludf.DUMMYFUNCTION("""COMPUTED_VALUE"""),"")</f>
        <v/>
      </c>
      <c r="I1221" s="18" t="str">
        <f>IFERROR(__xludf.DUMMYFUNCTION("""COMPUTED_VALUE"""),"")</f>
        <v/>
      </c>
      <c r="J1221" s="18" t="str">
        <f>IFERROR(__xludf.DUMMYFUNCTION("""COMPUTED_VALUE"""),"")</f>
        <v/>
      </c>
      <c r="K1221" s="19"/>
      <c r="L1221" s="19"/>
      <c r="M1221" s="19"/>
      <c r="N1221" s="19"/>
      <c r="O1221" s="19"/>
    </row>
    <row r="1222">
      <c r="A1222" s="18"/>
      <c r="B1222" s="29"/>
      <c r="C1222" s="19"/>
      <c r="D1222" s="19"/>
      <c r="E1222" s="18"/>
      <c r="F1222" s="18" t="str">
        <f>IFERROR(__xludf.DUMMYFUNCTION("""COMPUTED_VALUE"""),"")</f>
        <v/>
      </c>
      <c r="G1222" s="18" t="str">
        <f>IFERROR(__xludf.DUMMYFUNCTION("""COMPUTED_VALUE"""),"")</f>
        <v/>
      </c>
      <c r="H1222" s="18" t="str">
        <f>IFERROR(__xludf.DUMMYFUNCTION("""COMPUTED_VALUE"""),"")</f>
        <v/>
      </c>
      <c r="I1222" s="18" t="str">
        <f>IFERROR(__xludf.DUMMYFUNCTION("""COMPUTED_VALUE"""),"")</f>
        <v/>
      </c>
      <c r="J1222" s="18" t="str">
        <f>IFERROR(__xludf.DUMMYFUNCTION("""COMPUTED_VALUE"""),"")</f>
        <v/>
      </c>
      <c r="K1222" s="19"/>
      <c r="L1222" s="19"/>
      <c r="M1222" s="19"/>
      <c r="N1222" s="19"/>
      <c r="O1222" s="19"/>
    </row>
    <row r="1223">
      <c r="A1223" s="18"/>
      <c r="B1223" s="29"/>
      <c r="C1223" s="19"/>
      <c r="D1223" s="19"/>
      <c r="E1223" s="18"/>
      <c r="F1223" s="18" t="str">
        <f>IFERROR(__xludf.DUMMYFUNCTION("""COMPUTED_VALUE"""),"")</f>
        <v/>
      </c>
      <c r="G1223" s="18" t="str">
        <f>IFERROR(__xludf.DUMMYFUNCTION("""COMPUTED_VALUE"""),"")</f>
        <v/>
      </c>
      <c r="H1223" s="18" t="str">
        <f>IFERROR(__xludf.DUMMYFUNCTION("""COMPUTED_VALUE"""),"")</f>
        <v/>
      </c>
      <c r="I1223" s="18" t="str">
        <f>IFERROR(__xludf.DUMMYFUNCTION("""COMPUTED_VALUE"""),"")</f>
        <v/>
      </c>
      <c r="J1223" s="18" t="str">
        <f>IFERROR(__xludf.DUMMYFUNCTION("""COMPUTED_VALUE"""),"")</f>
        <v/>
      </c>
      <c r="K1223" s="19"/>
      <c r="L1223" s="19"/>
      <c r="M1223" s="19"/>
      <c r="N1223" s="19"/>
      <c r="O1223" s="19"/>
    </row>
    <row r="1224">
      <c r="A1224" s="18"/>
      <c r="B1224" s="29"/>
      <c r="C1224" s="19"/>
      <c r="D1224" s="19"/>
      <c r="E1224" s="18"/>
      <c r="F1224" s="18" t="str">
        <f>IFERROR(__xludf.DUMMYFUNCTION("""COMPUTED_VALUE"""),"")</f>
        <v/>
      </c>
      <c r="G1224" s="18" t="str">
        <f>IFERROR(__xludf.DUMMYFUNCTION("""COMPUTED_VALUE"""),"")</f>
        <v/>
      </c>
      <c r="H1224" s="18" t="str">
        <f>IFERROR(__xludf.DUMMYFUNCTION("""COMPUTED_VALUE"""),"")</f>
        <v/>
      </c>
      <c r="I1224" s="18" t="str">
        <f>IFERROR(__xludf.DUMMYFUNCTION("""COMPUTED_VALUE"""),"")</f>
        <v/>
      </c>
      <c r="J1224" s="18" t="str">
        <f>IFERROR(__xludf.DUMMYFUNCTION("""COMPUTED_VALUE"""),"")</f>
        <v/>
      </c>
      <c r="K1224" s="19"/>
      <c r="L1224" s="19"/>
      <c r="M1224" s="19"/>
      <c r="N1224" s="19"/>
      <c r="O1224" s="19"/>
    </row>
    <row r="1225">
      <c r="A1225" s="18"/>
      <c r="B1225" s="29"/>
      <c r="C1225" s="19"/>
      <c r="D1225" s="19"/>
      <c r="E1225" s="18"/>
      <c r="F1225" s="18" t="str">
        <f>IFERROR(__xludf.DUMMYFUNCTION("""COMPUTED_VALUE"""),"")</f>
        <v/>
      </c>
      <c r="G1225" s="18" t="str">
        <f>IFERROR(__xludf.DUMMYFUNCTION("""COMPUTED_VALUE"""),"")</f>
        <v/>
      </c>
      <c r="H1225" s="18" t="str">
        <f>IFERROR(__xludf.DUMMYFUNCTION("""COMPUTED_VALUE"""),"")</f>
        <v/>
      </c>
      <c r="I1225" s="18" t="str">
        <f>IFERROR(__xludf.DUMMYFUNCTION("""COMPUTED_VALUE"""),"")</f>
        <v/>
      </c>
      <c r="J1225" s="18" t="str">
        <f>IFERROR(__xludf.DUMMYFUNCTION("""COMPUTED_VALUE"""),"")</f>
        <v/>
      </c>
      <c r="K1225" s="19"/>
      <c r="L1225" s="19"/>
      <c r="M1225" s="19"/>
      <c r="N1225" s="19"/>
      <c r="O1225" s="19"/>
    </row>
    <row r="1226">
      <c r="A1226" s="18"/>
      <c r="B1226" s="29"/>
      <c r="C1226" s="19"/>
      <c r="D1226" s="19"/>
      <c r="E1226" s="18"/>
      <c r="F1226" s="18" t="str">
        <f>IFERROR(__xludf.DUMMYFUNCTION("""COMPUTED_VALUE"""),"")</f>
        <v/>
      </c>
      <c r="G1226" s="18" t="str">
        <f>IFERROR(__xludf.DUMMYFUNCTION("""COMPUTED_VALUE"""),"")</f>
        <v/>
      </c>
      <c r="H1226" s="18" t="str">
        <f>IFERROR(__xludf.DUMMYFUNCTION("""COMPUTED_VALUE"""),"")</f>
        <v/>
      </c>
      <c r="I1226" s="18" t="str">
        <f>IFERROR(__xludf.DUMMYFUNCTION("""COMPUTED_VALUE"""),"")</f>
        <v/>
      </c>
      <c r="J1226" s="18" t="str">
        <f>IFERROR(__xludf.DUMMYFUNCTION("""COMPUTED_VALUE"""),"")</f>
        <v/>
      </c>
      <c r="K1226" s="19"/>
      <c r="L1226" s="19"/>
      <c r="M1226" s="19"/>
      <c r="N1226" s="19"/>
      <c r="O1226" s="19"/>
    </row>
    <row r="1227">
      <c r="A1227" s="18"/>
      <c r="B1227" s="29"/>
      <c r="C1227" s="19"/>
      <c r="D1227" s="19"/>
      <c r="E1227" s="18"/>
      <c r="F1227" s="18" t="str">
        <f>IFERROR(__xludf.DUMMYFUNCTION("""COMPUTED_VALUE"""),"")</f>
        <v/>
      </c>
      <c r="G1227" s="18" t="str">
        <f>IFERROR(__xludf.DUMMYFUNCTION("""COMPUTED_VALUE"""),"")</f>
        <v/>
      </c>
      <c r="H1227" s="18" t="str">
        <f>IFERROR(__xludf.DUMMYFUNCTION("""COMPUTED_VALUE"""),"")</f>
        <v/>
      </c>
      <c r="I1227" s="18" t="str">
        <f>IFERROR(__xludf.DUMMYFUNCTION("""COMPUTED_VALUE"""),"")</f>
        <v/>
      </c>
      <c r="J1227" s="18" t="str">
        <f>IFERROR(__xludf.DUMMYFUNCTION("""COMPUTED_VALUE"""),"")</f>
        <v/>
      </c>
      <c r="K1227" s="19"/>
      <c r="L1227" s="19"/>
      <c r="M1227" s="19"/>
      <c r="N1227" s="19"/>
      <c r="O1227" s="19"/>
    </row>
    <row r="1228">
      <c r="A1228" s="18"/>
      <c r="B1228" s="29"/>
      <c r="C1228" s="19"/>
      <c r="D1228" s="19"/>
      <c r="E1228" s="18"/>
      <c r="F1228" s="18" t="str">
        <f>IFERROR(__xludf.DUMMYFUNCTION("""COMPUTED_VALUE"""),"")</f>
        <v/>
      </c>
      <c r="G1228" s="18" t="str">
        <f>IFERROR(__xludf.DUMMYFUNCTION("""COMPUTED_VALUE"""),"")</f>
        <v/>
      </c>
      <c r="H1228" s="18" t="str">
        <f>IFERROR(__xludf.DUMMYFUNCTION("""COMPUTED_VALUE"""),"")</f>
        <v/>
      </c>
      <c r="I1228" s="18" t="str">
        <f>IFERROR(__xludf.DUMMYFUNCTION("""COMPUTED_VALUE"""),"")</f>
        <v/>
      </c>
      <c r="J1228" s="18" t="str">
        <f>IFERROR(__xludf.DUMMYFUNCTION("""COMPUTED_VALUE"""),"")</f>
        <v/>
      </c>
      <c r="K1228" s="19"/>
      <c r="L1228" s="19"/>
      <c r="M1228" s="19"/>
      <c r="N1228" s="19"/>
      <c r="O1228" s="19"/>
    </row>
    <row r="1229">
      <c r="A1229" s="18"/>
      <c r="B1229" s="29"/>
      <c r="C1229" s="19"/>
      <c r="D1229" s="19"/>
      <c r="E1229" s="18"/>
      <c r="F1229" s="18" t="str">
        <f>IFERROR(__xludf.DUMMYFUNCTION("""COMPUTED_VALUE"""),"")</f>
        <v/>
      </c>
      <c r="G1229" s="18" t="str">
        <f>IFERROR(__xludf.DUMMYFUNCTION("""COMPUTED_VALUE"""),"")</f>
        <v/>
      </c>
      <c r="H1229" s="18" t="str">
        <f>IFERROR(__xludf.DUMMYFUNCTION("""COMPUTED_VALUE"""),"")</f>
        <v/>
      </c>
      <c r="I1229" s="18" t="str">
        <f>IFERROR(__xludf.DUMMYFUNCTION("""COMPUTED_VALUE"""),"")</f>
        <v/>
      </c>
      <c r="J1229" s="18" t="str">
        <f>IFERROR(__xludf.DUMMYFUNCTION("""COMPUTED_VALUE"""),"")</f>
        <v/>
      </c>
      <c r="K1229" s="19"/>
      <c r="L1229" s="19"/>
      <c r="M1229" s="19"/>
      <c r="N1229" s="19"/>
      <c r="O1229" s="19"/>
    </row>
    <row r="1230">
      <c r="A1230" s="18"/>
      <c r="B1230" s="29"/>
      <c r="C1230" s="19"/>
      <c r="D1230" s="19"/>
      <c r="E1230" s="18"/>
      <c r="F1230" s="18" t="str">
        <f>IFERROR(__xludf.DUMMYFUNCTION("""COMPUTED_VALUE"""),"")</f>
        <v/>
      </c>
      <c r="G1230" s="18" t="str">
        <f>IFERROR(__xludf.DUMMYFUNCTION("""COMPUTED_VALUE"""),"")</f>
        <v/>
      </c>
      <c r="H1230" s="18" t="str">
        <f>IFERROR(__xludf.DUMMYFUNCTION("""COMPUTED_VALUE"""),"")</f>
        <v/>
      </c>
      <c r="I1230" s="18" t="str">
        <f>IFERROR(__xludf.DUMMYFUNCTION("""COMPUTED_VALUE"""),"")</f>
        <v/>
      </c>
      <c r="J1230" s="18" t="str">
        <f>IFERROR(__xludf.DUMMYFUNCTION("""COMPUTED_VALUE"""),"")</f>
        <v/>
      </c>
      <c r="K1230" s="19"/>
      <c r="L1230" s="19"/>
      <c r="M1230" s="19"/>
      <c r="N1230" s="19"/>
      <c r="O1230" s="19"/>
    </row>
    <row r="1231">
      <c r="A1231" s="18"/>
      <c r="B1231" s="29"/>
      <c r="C1231" s="19"/>
      <c r="D1231" s="19"/>
      <c r="E1231" s="18"/>
      <c r="F1231" s="18" t="str">
        <f>IFERROR(__xludf.DUMMYFUNCTION("""COMPUTED_VALUE"""),"")</f>
        <v/>
      </c>
      <c r="G1231" s="18" t="str">
        <f>IFERROR(__xludf.DUMMYFUNCTION("""COMPUTED_VALUE"""),"")</f>
        <v/>
      </c>
      <c r="H1231" s="18" t="str">
        <f>IFERROR(__xludf.DUMMYFUNCTION("""COMPUTED_VALUE"""),"")</f>
        <v/>
      </c>
      <c r="I1231" s="18" t="str">
        <f>IFERROR(__xludf.DUMMYFUNCTION("""COMPUTED_VALUE"""),"")</f>
        <v/>
      </c>
      <c r="J1231" s="18" t="str">
        <f>IFERROR(__xludf.DUMMYFUNCTION("""COMPUTED_VALUE"""),"")</f>
        <v/>
      </c>
      <c r="K1231" s="19"/>
      <c r="L1231" s="19"/>
      <c r="M1231" s="19"/>
      <c r="N1231" s="19"/>
      <c r="O1231" s="19"/>
    </row>
    <row r="1232">
      <c r="A1232" s="18"/>
      <c r="B1232" s="29"/>
      <c r="C1232" s="19"/>
      <c r="D1232" s="19"/>
      <c r="E1232" s="18"/>
      <c r="F1232" s="18" t="str">
        <f>IFERROR(__xludf.DUMMYFUNCTION("""COMPUTED_VALUE"""),"")</f>
        <v/>
      </c>
      <c r="G1232" s="18" t="str">
        <f>IFERROR(__xludf.DUMMYFUNCTION("""COMPUTED_VALUE"""),"")</f>
        <v/>
      </c>
      <c r="H1232" s="18" t="str">
        <f>IFERROR(__xludf.DUMMYFUNCTION("""COMPUTED_VALUE"""),"")</f>
        <v/>
      </c>
      <c r="I1232" s="18" t="str">
        <f>IFERROR(__xludf.DUMMYFUNCTION("""COMPUTED_VALUE"""),"")</f>
        <v/>
      </c>
      <c r="J1232" s="18" t="str">
        <f>IFERROR(__xludf.DUMMYFUNCTION("""COMPUTED_VALUE"""),"")</f>
        <v/>
      </c>
      <c r="K1232" s="19"/>
      <c r="L1232" s="19"/>
      <c r="M1232" s="19"/>
      <c r="N1232" s="19"/>
      <c r="O1232" s="19"/>
    </row>
    <row r="1233">
      <c r="A1233" s="18"/>
      <c r="B1233" s="29"/>
      <c r="C1233" s="19"/>
      <c r="D1233" s="19"/>
      <c r="E1233" s="18"/>
      <c r="F1233" s="18" t="str">
        <f>IFERROR(__xludf.DUMMYFUNCTION("""COMPUTED_VALUE"""),"")</f>
        <v/>
      </c>
      <c r="G1233" s="18" t="str">
        <f>IFERROR(__xludf.DUMMYFUNCTION("""COMPUTED_VALUE"""),"")</f>
        <v/>
      </c>
      <c r="H1233" s="18" t="str">
        <f>IFERROR(__xludf.DUMMYFUNCTION("""COMPUTED_VALUE"""),"")</f>
        <v/>
      </c>
      <c r="I1233" s="18" t="str">
        <f>IFERROR(__xludf.DUMMYFUNCTION("""COMPUTED_VALUE"""),"")</f>
        <v/>
      </c>
      <c r="J1233" s="18" t="str">
        <f>IFERROR(__xludf.DUMMYFUNCTION("""COMPUTED_VALUE"""),"")</f>
        <v/>
      </c>
      <c r="K1233" s="19"/>
      <c r="L1233" s="19"/>
      <c r="M1233" s="19"/>
      <c r="N1233" s="19"/>
      <c r="O1233" s="19"/>
    </row>
    <row r="1234">
      <c r="A1234" s="18"/>
      <c r="B1234" s="29"/>
      <c r="C1234" s="19"/>
      <c r="D1234" s="19"/>
      <c r="E1234" s="18"/>
      <c r="F1234" s="18" t="str">
        <f>IFERROR(__xludf.DUMMYFUNCTION("""COMPUTED_VALUE"""),"")</f>
        <v/>
      </c>
      <c r="G1234" s="18" t="str">
        <f>IFERROR(__xludf.DUMMYFUNCTION("""COMPUTED_VALUE"""),"")</f>
        <v/>
      </c>
      <c r="H1234" s="18" t="str">
        <f>IFERROR(__xludf.DUMMYFUNCTION("""COMPUTED_VALUE"""),"")</f>
        <v/>
      </c>
      <c r="I1234" s="18" t="str">
        <f>IFERROR(__xludf.DUMMYFUNCTION("""COMPUTED_VALUE"""),"")</f>
        <v/>
      </c>
      <c r="J1234" s="18" t="str">
        <f>IFERROR(__xludf.DUMMYFUNCTION("""COMPUTED_VALUE"""),"")</f>
        <v/>
      </c>
      <c r="K1234" s="19"/>
      <c r="L1234" s="19"/>
      <c r="M1234" s="19"/>
      <c r="N1234" s="19"/>
      <c r="O1234" s="19"/>
    </row>
    <row r="1235">
      <c r="A1235" s="18"/>
      <c r="B1235" s="29"/>
      <c r="C1235" s="19"/>
      <c r="D1235" s="19"/>
      <c r="E1235" s="18"/>
      <c r="F1235" s="18" t="str">
        <f>IFERROR(__xludf.DUMMYFUNCTION("""COMPUTED_VALUE"""),"")</f>
        <v/>
      </c>
      <c r="G1235" s="18" t="str">
        <f>IFERROR(__xludf.DUMMYFUNCTION("""COMPUTED_VALUE"""),"")</f>
        <v/>
      </c>
      <c r="H1235" s="18" t="str">
        <f>IFERROR(__xludf.DUMMYFUNCTION("""COMPUTED_VALUE"""),"")</f>
        <v/>
      </c>
      <c r="I1235" s="18" t="str">
        <f>IFERROR(__xludf.DUMMYFUNCTION("""COMPUTED_VALUE"""),"")</f>
        <v/>
      </c>
      <c r="J1235" s="18" t="str">
        <f>IFERROR(__xludf.DUMMYFUNCTION("""COMPUTED_VALUE"""),"")</f>
        <v/>
      </c>
      <c r="K1235" s="19"/>
      <c r="L1235" s="19"/>
      <c r="M1235" s="19"/>
      <c r="N1235" s="19"/>
      <c r="O1235" s="19"/>
    </row>
    <row r="1236">
      <c r="A1236" s="18"/>
      <c r="B1236" s="29"/>
      <c r="C1236" s="19"/>
      <c r="D1236" s="19"/>
      <c r="E1236" s="18"/>
      <c r="F1236" s="18" t="str">
        <f>IFERROR(__xludf.DUMMYFUNCTION("""COMPUTED_VALUE"""),"")</f>
        <v/>
      </c>
      <c r="G1236" s="18" t="str">
        <f>IFERROR(__xludf.DUMMYFUNCTION("""COMPUTED_VALUE"""),"")</f>
        <v/>
      </c>
      <c r="H1236" s="18" t="str">
        <f>IFERROR(__xludf.DUMMYFUNCTION("""COMPUTED_VALUE"""),"")</f>
        <v/>
      </c>
      <c r="I1236" s="18" t="str">
        <f>IFERROR(__xludf.DUMMYFUNCTION("""COMPUTED_VALUE"""),"")</f>
        <v/>
      </c>
      <c r="J1236" s="18" t="str">
        <f>IFERROR(__xludf.DUMMYFUNCTION("""COMPUTED_VALUE"""),"")</f>
        <v/>
      </c>
      <c r="K1236" s="19"/>
      <c r="L1236" s="19"/>
      <c r="M1236" s="19"/>
      <c r="N1236" s="19"/>
      <c r="O1236" s="19"/>
    </row>
    <row r="1237">
      <c r="A1237" s="18"/>
      <c r="B1237" s="29"/>
      <c r="C1237" s="19"/>
      <c r="D1237" s="19"/>
      <c r="E1237" s="18"/>
      <c r="F1237" s="18" t="str">
        <f>IFERROR(__xludf.DUMMYFUNCTION("""COMPUTED_VALUE"""),"")</f>
        <v/>
      </c>
      <c r="G1237" s="18" t="str">
        <f>IFERROR(__xludf.DUMMYFUNCTION("""COMPUTED_VALUE"""),"")</f>
        <v/>
      </c>
      <c r="H1237" s="18" t="str">
        <f>IFERROR(__xludf.DUMMYFUNCTION("""COMPUTED_VALUE"""),"")</f>
        <v/>
      </c>
      <c r="I1237" s="18" t="str">
        <f>IFERROR(__xludf.DUMMYFUNCTION("""COMPUTED_VALUE"""),"")</f>
        <v/>
      </c>
      <c r="J1237" s="18" t="str">
        <f>IFERROR(__xludf.DUMMYFUNCTION("""COMPUTED_VALUE"""),"")</f>
        <v/>
      </c>
      <c r="K1237" s="19"/>
      <c r="L1237" s="19"/>
      <c r="M1237" s="19"/>
      <c r="N1237" s="19"/>
      <c r="O1237" s="19"/>
    </row>
    <row r="1238">
      <c r="A1238" s="18"/>
      <c r="B1238" s="29"/>
      <c r="C1238" s="19"/>
      <c r="D1238" s="19"/>
      <c r="E1238" s="18"/>
      <c r="F1238" s="18" t="str">
        <f>IFERROR(__xludf.DUMMYFUNCTION("""COMPUTED_VALUE"""),"")</f>
        <v/>
      </c>
      <c r="G1238" s="18" t="str">
        <f>IFERROR(__xludf.DUMMYFUNCTION("""COMPUTED_VALUE"""),"")</f>
        <v/>
      </c>
      <c r="H1238" s="18" t="str">
        <f>IFERROR(__xludf.DUMMYFUNCTION("""COMPUTED_VALUE"""),"")</f>
        <v/>
      </c>
      <c r="I1238" s="18" t="str">
        <f>IFERROR(__xludf.DUMMYFUNCTION("""COMPUTED_VALUE"""),"")</f>
        <v/>
      </c>
      <c r="J1238" s="18" t="str">
        <f>IFERROR(__xludf.DUMMYFUNCTION("""COMPUTED_VALUE"""),"")</f>
        <v/>
      </c>
      <c r="K1238" s="19"/>
      <c r="L1238" s="19"/>
      <c r="M1238" s="19"/>
      <c r="N1238" s="19"/>
      <c r="O1238" s="19"/>
    </row>
    <row r="1239">
      <c r="A1239" s="18"/>
      <c r="B1239" s="29"/>
      <c r="C1239" s="19"/>
      <c r="D1239" s="19"/>
      <c r="E1239" s="18"/>
      <c r="F1239" s="18" t="str">
        <f>IFERROR(__xludf.DUMMYFUNCTION("""COMPUTED_VALUE"""),"")</f>
        <v/>
      </c>
      <c r="G1239" s="18" t="str">
        <f>IFERROR(__xludf.DUMMYFUNCTION("""COMPUTED_VALUE"""),"")</f>
        <v/>
      </c>
      <c r="H1239" s="18" t="str">
        <f>IFERROR(__xludf.DUMMYFUNCTION("""COMPUTED_VALUE"""),"")</f>
        <v/>
      </c>
      <c r="I1239" s="18" t="str">
        <f>IFERROR(__xludf.DUMMYFUNCTION("""COMPUTED_VALUE"""),"")</f>
        <v/>
      </c>
      <c r="J1239" s="18" t="str">
        <f>IFERROR(__xludf.DUMMYFUNCTION("""COMPUTED_VALUE"""),"")</f>
        <v/>
      </c>
      <c r="K1239" s="19"/>
      <c r="L1239" s="19"/>
      <c r="M1239" s="19"/>
      <c r="N1239" s="19"/>
      <c r="O1239" s="19"/>
    </row>
    <row r="1240">
      <c r="A1240" s="18"/>
      <c r="B1240" s="29"/>
      <c r="C1240" s="19"/>
      <c r="D1240" s="19"/>
      <c r="E1240" s="18"/>
      <c r="F1240" s="18" t="str">
        <f>IFERROR(__xludf.DUMMYFUNCTION("""COMPUTED_VALUE"""),"")</f>
        <v/>
      </c>
      <c r="G1240" s="18" t="str">
        <f>IFERROR(__xludf.DUMMYFUNCTION("""COMPUTED_VALUE"""),"")</f>
        <v/>
      </c>
      <c r="H1240" s="18" t="str">
        <f>IFERROR(__xludf.DUMMYFUNCTION("""COMPUTED_VALUE"""),"")</f>
        <v/>
      </c>
      <c r="I1240" s="18" t="str">
        <f>IFERROR(__xludf.DUMMYFUNCTION("""COMPUTED_VALUE"""),"")</f>
        <v/>
      </c>
      <c r="J1240" s="18" t="str">
        <f>IFERROR(__xludf.DUMMYFUNCTION("""COMPUTED_VALUE"""),"")</f>
        <v/>
      </c>
      <c r="K1240" s="19"/>
      <c r="L1240" s="19"/>
      <c r="M1240" s="19"/>
      <c r="N1240" s="19"/>
      <c r="O1240" s="19"/>
    </row>
    <row r="1241">
      <c r="A1241" s="18"/>
      <c r="B1241" s="29"/>
      <c r="C1241" s="19"/>
      <c r="D1241" s="19"/>
      <c r="E1241" s="18"/>
      <c r="F1241" s="18" t="str">
        <f>IFERROR(__xludf.DUMMYFUNCTION("""COMPUTED_VALUE"""),"")</f>
        <v/>
      </c>
      <c r="G1241" s="18" t="str">
        <f>IFERROR(__xludf.DUMMYFUNCTION("""COMPUTED_VALUE"""),"")</f>
        <v/>
      </c>
      <c r="H1241" s="18" t="str">
        <f>IFERROR(__xludf.DUMMYFUNCTION("""COMPUTED_VALUE"""),"")</f>
        <v/>
      </c>
      <c r="I1241" s="18" t="str">
        <f>IFERROR(__xludf.DUMMYFUNCTION("""COMPUTED_VALUE"""),"")</f>
        <v/>
      </c>
      <c r="J1241" s="18" t="str">
        <f>IFERROR(__xludf.DUMMYFUNCTION("""COMPUTED_VALUE"""),"")</f>
        <v/>
      </c>
      <c r="K1241" s="19"/>
      <c r="L1241" s="19"/>
      <c r="M1241" s="19"/>
      <c r="N1241" s="19"/>
      <c r="O1241" s="19"/>
    </row>
    <row r="1242">
      <c r="A1242" s="18"/>
      <c r="B1242" s="29"/>
      <c r="C1242" s="19"/>
      <c r="D1242" s="19"/>
      <c r="E1242" s="18"/>
      <c r="F1242" s="18" t="str">
        <f>IFERROR(__xludf.DUMMYFUNCTION("""COMPUTED_VALUE"""),"")</f>
        <v/>
      </c>
      <c r="G1242" s="18" t="str">
        <f>IFERROR(__xludf.DUMMYFUNCTION("""COMPUTED_VALUE"""),"")</f>
        <v/>
      </c>
      <c r="H1242" s="18" t="str">
        <f>IFERROR(__xludf.DUMMYFUNCTION("""COMPUTED_VALUE"""),"")</f>
        <v/>
      </c>
      <c r="I1242" s="18" t="str">
        <f>IFERROR(__xludf.DUMMYFUNCTION("""COMPUTED_VALUE"""),"")</f>
        <v/>
      </c>
      <c r="J1242" s="18" t="str">
        <f>IFERROR(__xludf.DUMMYFUNCTION("""COMPUTED_VALUE"""),"")</f>
        <v/>
      </c>
      <c r="K1242" s="19"/>
      <c r="L1242" s="19"/>
      <c r="M1242" s="19"/>
      <c r="N1242" s="19"/>
      <c r="O1242" s="19"/>
    </row>
    <row r="1243">
      <c r="A1243" s="18"/>
      <c r="B1243" s="29"/>
      <c r="C1243" s="19"/>
      <c r="D1243" s="19"/>
      <c r="E1243" s="18"/>
      <c r="F1243" s="18" t="str">
        <f>IFERROR(__xludf.DUMMYFUNCTION("""COMPUTED_VALUE"""),"")</f>
        <v/>
      </c>
      <c r="G1243" s="18" t="str">
        <f>IFERROR(__xludf.DUMMYFUNCTION("""COMPUTED_VALUE"""),"")</f>
        <v/>
      </c>
      <c r="H1243" s="18" t="str">
        <f>IFERROR(__xludf.DUMMYFUNCTION("""COMPUTED_VALUE"""),"")</f>
        <v/>
      </c>
      <c r="I1243" s="18" t="str">
        <f>IFERROR(__xludf.DUMMYFUNCTION("""COMPUTED_VALUE"""),"")</f>
        <v/>
      </c>
      <c r="J1243" s="18" t="str">
        <f>IFERROR(__xludf.DUMMYFUNCTION("""COMPUTED_VALUE"""),"")</f>
        <v/>
      </c>
      <c r="K1243" s="19"/>
      <c r="L1243" s="19"/>
      <c r="M1243" s="19"/>
      <c r="N1243" s="19"/>
      <c r="O1243" s="19"/>
    </row>
    <row r="1244">
      <c r="A1244" s="18"/>
      <c r="B1244" s="29"/>
      <c r="C1244" s="19"/>
      <c r="D1244" s="19"/>
      <c r="E1244" s="18"/>
      <c r="F1244" s="18" t="str">
        <f>IFERROR(__xludf.DUMMYFUNCTION("""COMPUTED_VALUE"""),"")</f>
        <v/>
      </c>
      <c r="G1244" s="18" t="str">
        <f>IFERROR(__xludf.DUMMYFUNCTION("""COMPUTED_VALUE"""),"")</f>
        <v/>
      </c>
      <c r="H1244" s="18" t="str">
        <f>IFERROR(__xludf.DUMMYFUNCTION("""COMPUTED_VALUE"""),"")</f>
        <v/>
      </c>
      <c r="I1244" s="18" t="str">
        <f>IFERROR(__xludf.DUMMYFUNCTION("""COMPUTED_VALUE"""),"")</f>
        <v/>
      </c>
      <c r="J1244" s="18" t="str">
        <f>IFERROR(__xludf.DUMMYFUNCTION("""COMPUTED_VALUE"""),"")</f>
        <v/>
      </c>
      <c r="K1244" s="19"/>
      <c r="L1244" s="19"/>
      <c r="M1244" s="19"/>
      <c r="N1244" s="19"/>
      <c r="O1244" s="19"/>
    </row>
    <row r="1245">
      <c r="A1245" s="18"/>
      <c r="B1245" s="29"/>
      <c r="C1245" s="19"/>
      <c r="D1245" s="19"/>
      <c r="E1245" s="18"/>
      <c r="F1245" s="18" t="str">
        <f>IFERROR(__xludf.DUMMYFUNCTION("""COMPUTED_VALUE"""),"")</f>
        <v/>
      </c>
      <c r="G1245" s="18" t="str">
        <f>IFERROR(__xludf.DUMMYFUNCTION("""COMPUTED_VALUE"""),"")</f>
        <v/>
      </c>
      <c r="H1245" s="18" t="str">
        <f>IFERROR(__xludf.DUMMYFUNCTION("""COMPUTED_VALUE"""),"")</f>
        <v/>
      </c>
      <c r="I1245" s="18" t="str">
        <f>IFERROR(__xludf.DUMMYFUNCTION("""COMPUTED_VALUE"""),"")</f>
        <v/>
      </c>
      <c r="J1245" s="18" t="str">
        <f>IFERROR(__xludf.DUMMYFUNCTION("""COMPUTED_VALUE"""),"")</f>
        <v/>
      </c>
      <c r="K1245" s="19"/>
      <c r="L1245" s="19"/>
      <c r="M1245" s="19"/>
      <c r="N1245" s="19"/>
      <c r="O1245" s="19"/>
    </row>
    <row r="1246">
      <c r="A1246" s="18"/>
      <c r="B1246" s="29"/>
      <c r="C1246" s="19"/>
      <c r="D1246" s="19"/>
      <c r="E1246" s="18"/>
      <c r="F1246" s="18" t="str">
        <f>IFERROR(__xludf.DUMMYFUNCTION("""COMPUTED_VALUE"""),"")</f>
        <v/>
      </c>
      <c r="G1246" s="18" t="str">
        <f>IFERROR(__xludf.DUMMYFUNCTION("""COMPUTED_VALUE"""),"")</f>
        <v/>
      </c>
      <c r="H1246" s="18" t="str">
        <f>IFERROR(__xludf.DUMMYFUNCTION("""COMPUTED_VALUE"""),"")</f>
        <v/>
      </c>
      <c r="I1246" s="18" t="str">
        <f>IFERROR(__xludf.DUMMYFUNCTION("""COMPUTED_VALUE"""),"")</f>
        <v/>
      </c>
      <c r="J1246" s="18" t="str">
        <f>IFERROR(__xludf.DUMMYFUNCTION("""COMPUTED_VALUE"""),"")</f>
        <v/>
      </c>
      <c r="K1246" s="19"/>
      <c r="L1246" s="19"/>
      <c r="M1246" s="19"/>
      <c r="N1246" s="19"/>
      <c r="O1246" s="19"/>
    </row>
    <row r="1247">
      <c r="A1247" s="18"/>
      <c r="B1247" s="29"/>
      <c r="C1247" s="19"/>
      <c r="D1247" s="19"/>
      <c r="E1247" s="18"/>
      <c r="F1247" s="18" t="str">
        <f>IFERROR(__xludf.DUMMYFUNCTION("""COMPUTED_VALUE"""),"")</f>
        <v/>
      </c>
      <c r="G1247" s="18" t="str">
        <f>IFERROR(__xludf.DUMMYFUNCTION("""COMPUTED_VALUE"""),"")</f>
        <v/>
      </c>
      <c r="H1247" s="18" t="str">
        <f>IFERROR(__xludf.DUMMYFUNCTION("""COMPUTED_VALUE"""),"")</f>
        <v/>
      </c>
      <c r="I1247" s="18" t="str">
        <f>IFERROR(__xludf.DUMMYFUNCTION("""COMPUTED_VALUE"""),"")</f>
        <v/>
      </c>
      <c r="J1247" s="18" t="str">
        <f>IFERROR(__xludf.DUMMYFUNCTION("""COMPUTED_VALUE"""),"")</f>
        <v/>
      </c>
      <c r="K1247" s="19"/>
      <c r="L1247" s="19"/>
      <c r="M1247" s="19"/>
      <c r="N1247" s="19"/>
      <c r="O1247" s="19"/>
    </row>
    <row r="1248">
      <c r="A1248" s="18"/>
      <c r="B1248" s="29"/>
      <c r="C1248" s="19"/>
      <c r="D1248" s="19"/>
      <c r="E1248" s="18"/>
      <c r="F1248" s="18" t="str">
        <f>IFERROR(__xludf.DUMMYFUNCTION("""COMPUTED_VALUE"""),"")</f>
        <v/>
      </c>
      <c r="G1248" s="18" t="str">
        <f>IFERROR(__xludf.DUMMYFUNCTION("""COMPUTED_VALUE"""),"")</f>
        <v/>
      </c>
      <c r="H1248" s="18" t="str">
        <f>IFERROR(__xludf.DUMMYFUNCTION("""COMPUTED_VALUE"""),"")</f>
        <v/>
      </c>
      <c r="I1248" s="18" t="str">
        <f>IFERROR(__xludf.DUMMYFUNCTION("""COMPUTED_VALUE"""),"")</f>
        <v/>
      </c>
      <c r="J1248" s="18" t="str">
        <f>IFERROR(__xludf.DUMMYFUNCTION("""COMPUTED_VALUE"""),"")</f>
        <v/>
      </c>
      <c r="K1248" s="19"/>
      <c r="L1248" s="19"/>
      <c r="M1248" s="19"/>
      <c r="N1248" s="19"/>
      <c r="O1248" s="19"/>
    </row>
    <row r="1249">
      <c r="A1249" s="18"/>
      <c r="B1249" s="29"/>
      <c r="C1249" s="19"/>
      <c r="D1249" s="19"/>
      <c r="E1249" s="18"/>
      <c r="F1249" s="18" t="str">
        <f>IFERROR(__xludf.DUMMYFUNCTION("""COMPUTED_VALUE"""),"")</f>
        <v/>
      </c>
      <c r="G1249" s="18" t="str">
        <f>IFERROR(__xludf.DUMMYFUNCTION("""COMPUTED_VALUE"""),"")</f>
        <v/>
      </c>
      <c r="H1249" s="18" t="str">
        <f>IFERROR(__xludf.DUMMYFUNCTION("""COMPUTED_VALUE"""),"")</f>
        <v/>
      </c>
      <c r="I1249" s="18" t="str">
        <f>IFERROR(__xludf.DUMMYFUNCTION("""COMPUTED_VALUE"""),"")</f>
        <v/>
      </c>
      <c r="J1249" s="18" t="str">
        <f>IFERROR(__xludf.DUMMYFUNCTION("""COMPUTED_VALUE"""),"")</f>
        <v/>
      </c>
      <c r="K1249" s="19"/>
      <c r="L1249" s="19"/>
      <c r="M1249" s="19"/>
      <c r="N1249" s="19"/>
      <c r="O1249" s="19"/>
    </row>
    <row r="1250">
      <c r="A1250" s="18"/>
      <c r="B1250" s="29"/>
      <c r="C1250" s="19"/>
      <c r="D1250" s="19"/>
      <c r="E1250" s="18"/>
      <c r="F1250" s="18" t="str">
        <f>IFERROR(__xludf.DUMMYFUNCTION("""COMPUTED_VALUE"""),"")</f>
        <v/>
      </c>
      <c r="G1250" s="18" t="str">
        <f>IFERROR(__xludf.DUMMYFUNCTION("""COMPUTED_VALUE"""),"")</f>
        <v/>
      </c>
      <c r="H1250" s="18" t="str">
        <f>IFERROR(__xludf.DUMMYFUNCTION("""COMPUTED_VALUE"""),"")</f>
        <v/>
      </c>
      <c r="I1250" s="18" t="str">
        <f>IFERROR(__xludf.DUMMYFUNCTION("""COMPUTED_VALUE"""),"")</f>
        <v/>
      </c>
      <c r="J1250" s="18" t="str">
        <f>IFERROR(__xludf.DUMMYFUNCTION("""COMPUTED_VALUE"""),"")</f>
        <v/>
      </c>
      <c r="K1250" s="19"/>
      <c r="L1250" s="19"/>
      <c r="M1250" s="19"/>
      <c r="N1250" s="19"/>
      <c r="O1250" s="19"/>
    </row>
    <row r="1251">
      <c r="A1251" s="18"/>
      <c r="B1251" s="29"/>
      <c r="C1251" s="19"/>
      <c r="D1251" s="19"/>
      <c r="E1251" s="18"/>
      <c r="F1251" s="18" t="str">
        <f>IFERROR(__xludf.DUMMYFUNCTION("""COMPUTED_VALUE"""),"")</f>
        <v/>
      </c>
      <c r="G1251" s="18" t="str">
        <f>IFERROR(__xludf.DUMMYFUNCTION("""COMPUTED_VALUE"""),"")</f>
        <v/>
      </c>
      <c r="H1251" s="18" t="str">
        <f>IFERROR(__xludf.DUMMYFUNCTION("""COMPUTED_VALUE"""),"")</f>
        <v/>
      </c>
      <c r="I1251" s="18" t="str">
        <f>IFERROR(__xludf.DUMMYFUNCTION("""COMPUTED_VALUE"""),"")</f>
        <v/>
      </c>
      <c r="J1251" s="18" t="str">
        <f>IFERROR(__xludf.DUMMYFUNCTION("""COMPUTED_VALUE"""),"")</f>
        <v/>
      </c>
      <c r="K1251" s="19"/>
      <c r="L1251" s="19"/>
      <c r="M1251" s="19"/>
      <c r="N1251" s="19"/>
      <c r="O1251" s="19"/>
    </row>
    <row r="1252">
      <c r="A1252" s="18"/>
      <c r="B1252" s="29"/>
      <c r="C1252" s="19"/>
      <c r="D1252" s="19"/>
      <c r="E1252" s="18"/>
      <c r="F1252" s="18" t="str">
        <f>IFERROR(__xludf.DUMMYFUNCTION("""COMPUTED_VALUE"""),"")</f>
        <v/>
      </c>
      <c r="G1252" s="18" t="str">
        <f>IFERROR(__xludf.DUMMYFUNCTION("""COMPUTED_VALUE"""),"")</f>
        <v/>
      </c>
      <c r="H1252" s="18" t="str">
        <f>IFERROR(__xludf.DUMMYFUNCTION("""COMPUTED_VALUE"""),"")</f>
        <v/>
      </c>
      <c r="I1252" s="18" t="str">
        <f>IFERROR(__xludf.DUMMYFUNCTION("""COMPUTED_VALUE"""),"")</f>
        <v/>
      </c>
      <c r="J1252" s="18" t="str">
        <f>IFERROR(__xludf.DUMMYFUNCTION("""COMPUTED_VALUE"""),"")</f>
        <v/>
      </c>
      <c r="K1252" s="19"/>
      <c r="L1252" s="19"/>
      <c r="M1252" s="19"/>
      <c r="N1252" s="19"/>
      <c r="O1252" s="19"/>
    </row>
    <row r="1253">
      <c r="A1253" s="18"/>
      <c r="B1253" s="29"/>
      <c r="C1253" s="19"/>
      <c r="D1253" s="19"/>
      <c r="E1253" s="18"/>
      <c r="F1253" s="18" t="str">
        <f>IFERROR(__xludf.DUMMYFUNCTION("""COMPUTED_VALUE"""),"")</f>
        <v/>
      </c>
      <c r="G1253" s="18" t="str">
        <f>IFERROR(__xludf.DUMMYFUNCTION("""COMPUTED_VALUE"""),"")</f>
        <v/>
      </c>
      <c r="H1253" s="18" t="str">
        <f>IFERROR(__xludf.DUMMYFUNCTION("""COMPUTED_VALUE"""),"")</f>
        <v/>
      </c>
      <c r="I1253" s="18" t="str">
        <f>IFERROR(__xludf.DUMMYFUNCTION("""COMPUTED_VALUE"""),"")</f>
        <v/>
      </c>
      <c r="J1253" s="18" t="str">
        <f>IFERROR(__xludf.DUMMYFUNCTION("""COMPUTED_VALUE"""),"")</f>
        <v/>
      </c>
      <c r="K1253" s="19"/>
      <c r="L1253" s="19"/>
      <c r="M1253" s="19"/>
      <c r="N1253" s="19"/>
      <c r="O1253" s="19"/>
    </row>
    <row r="1254">
      <c r="A1254" s="18"/>
      <c r="B1254" s="29"/>
      <c r="C1254" s="19"/>
      <c r="D1254" s="19"/>
      <c r="E1254" s="18"/>
      <c r="F1254" s="18" t="str">
        <f>IFERROR(__xludf.DUMMYFUNCTION("""COMPUTED_VALUE"""),"")</f>
        <v/>
      </c>
      <c r="G1254" s="18" t="str">
        <f>IFERROR(__xludf.DUMMYFUNCTION("""COMPUTED_VALUE"""),"")</f>
        <v/>
      </c>
      <c r="H1254" s="18" t="str">
        <f>IFERROR(__xludf.DUMMYFUNCTION("""COMPUTED_VALUE"""),"")</f>
        <v/>
      </c>
      <c r="I1254" s="18" t="str">
        <f>IFERROR(__xludf.DUMMYFUNCTION("""COMPUTED_VALUE"""),"")</f>
        <v/>
      </c>
      <c r="J1254" s="18" t="str">
        <f>IFERROR(__xludf.DUMMYFUNCTION("""COMPUTED_VALUE"""),"")</f>
        <v/>
      </c>
      <c r="K1254" s="19"/>
      <c r="L1254" s="19"/>
      <c r="M1254" s="19"/>
      <c r="N1254" s="19"/>
      <c r="O1254" s="19"/>
    </row>
    <row r="1255">
      <c r="A1255" s="18"/>
      <c r="B1255" s="29"/>
      <c r="C1255" s="19"/>
      <c r="D1255" s="19"/>
      <c r="E1255" s="18"/>
      <c r="F1255" s="18" t="str">
        <f>IFERROR(__xludf.DUMMYFUNCTION("""COMPUTED_VALUE"""),"")</f>
        <v/>
      </c>
      <c r="G1255" s="18" t="str">
        <f>IFERROR(__xludf.DUMMYFUNCTION("""COMPUTED_VALUE"""),"")</f>
        <v/>
      </c>
      <c r="H1255" s="18" t="str">
        <f>IFERROR(__xludf.DUMMYFUNCTION("""COMPUTED_VALUE"""),"")</f>
        <v/>
      </c>
      <c r="I1255" s="18" t="str">
        <f>IFERROR(__xludf.DUMMYFUNCTION("""COMPUTED_VALUE"""),"")</f>
        <v/>
      </c>
      <c r="J1255" s="18" t="str">
        <f>IFERROR(__xludf.DUMMYFUNCTION("""COMPUTED_VALUE"""),"")</f>
        <v/>
      </c>
      <c r="K1255" s="19"/>
      <c r="L1255" s="19"/>
      <c r="M1255" s="19"/>
      <c r="N1255" s="19"/>
      <c r="O1255" s="19"/>
    </row>
    <row r="1256">
      <c r="A1256" s="18"/>
      <c r="B1256" s="29"/>
      <c r="C1256" s="19"/>
      <c r="D1256" s="19"/>
      <c r="E1256" s="18"/>
      <c r="F1256" s="18" t="str">
        <f>IFERROR(__xludf.DUMMYFUNCTION("""COMPUTED_VALUE"""),"")</f>
        <v/>
      </c>
      <c r="G1256" s="18" t="str">
        <f>IFERROR(__xludf.DUMMYFUNCTION("""COMPUTED_VALUE"""),"")</f>
        <v/>
      </c>
      <c r="H1256" s="18" t="str">
        <f>IFERROR(__xludf.DUMMYFUNCTION("""COMPUTED_VALUE"""),"")</f>
        <v/>
      </c>
      <c r="I1256" s="18" t="str">
        <f>IFERROR(__xludf.DUMMYFUNCTION("""COMPUTED_VALUE"""),"")</f>
        <v/>
      </c>
      <c r="J1256" s="18" t="str">
        <f>IFERROR(__xludf.DUMMYFUNCTION("""COMPUTED_VALUE"""),"")</f>
        <v/>
      </c>
      <c r="K1256" s="19"/>
      <c r="L1256" s="19"/>
      <c r="M1256" s="19"/>
      <c r="N1256" s="19"/>
      <c r="O1256" s="19"/>
    </row>
    <row r="1257">
      <c r="A1257" s="18"/>
      <c r="B1257" s="29"/>
      <c r="C1257" s="19"/>
      <c r="D1257" s="19"/>
      <c r="E1257" s="18"/>
      <c r="F1257" s="18" t="str">
        <f>IFERROR(__xludf.DUMMYFUNCTION("""COMPUTED_VALUE"""),"")</f>
        <v/>
      </c>
      <c r="G1257" s="18" t="str">
        <f>IFERROR(__xludf.DUMMYFUNCTION("""COMPUTED_VALUE"""),"")</f>
        <v/>
      </c>
      <c r="H1257" s="18" t="str">
        <f>IFERROR(__xludf.DUMMYFUNCTION("""COMPUTED_VALUE"""),"")</f>
        <v/>
      </c>
      <c r="I1257" s="18" t="str">
        <f>IFERROR(__xludf.DUMMYFUNCTION("""COMPUTED_VALUE"""),"")</f>
        <v/>
      </c>
      <c r="J1257" s="18" t="str">
        <f>IFERROR(__xludf.DUMMYFUNCTION("""COMPUTED_VALUE"""),"")</f>
        <v/>
      </c>
      <c r="K1257" s="19"/>
      <c r="L1257" s="19"/>
      <c r="M1257" s="19"/>
      <c r="N1257" s="19"/>
      <c r="O1257" s="19"/>
    </row>
    <row r="1258">
      <c r="A1258" s="18"/>
      <c r="B1258" s="29"/>
      <c r="C1258" s="19"/>
      <c r="D1258" s="19"/>
      <c r="E1258" s="18"/>
      <c r="F1258" s="18" t="str">
        <f>IFERROR(__xludf.DUMMYFUNCTION("""COMPUTED_VALUE"""),"")</f>
        <v/>
      </c>
      <c r="G1258" s="18" t="str">
        <f>IFERROR(__xludf.DUMMYFUNCTION("""COMPUTED_VALUE"""),"")</f>
        <v/>
      </c>
      <c r="H1258" s="18" t="str">
        <f>IFERROR(__xludf.DUMMYFUNCTION("""COMPUTED_VALUE"""),"")</f>
        <v/>
      </c>
      <c r="I1258" s="18" t="str">
        <f>IFERROR(__xludf.DUMMYFUNCTION("""COMPUTED_VALUE"""),"")</f>
        <v/>
      </c>
      <c r="J1258" s="18" t="str">
        <f>IFERROR(__xludf.DUMMYFUNCTION("""COMPUTED_VALUE"""),"")</f>
        <v/>
      </c>
      <c r="K1258" s="19"/>
      <c r="L1258" s="19"/>
      <c r="M1258" s="19"/>
      <c r="N1258" s="19"/>
      <c r="O1258" s="19"/>
    </row>
    <row r="1259">
      <c r="A1259" s="18"/>
      <c r="B1259" s="29"/>
      <c r="C1259" s="19"/>
      <c r="D1259" s="19"/>
      <c r="E1259" s="18"/>
      <c r="F1259" s="18" t="str">
        <f>IFERROR(__xludf.DUMMYFUNCTION("""COMPUTED_VALUE"""),"")</f>
        <v/>
      </c>
      <c r="G1259" s="18" t="str">
        <f>IFERROR(__xludf.DUMMYFUNCTION("""COMPUTED_VALUE"""),"")</f>
        <v/>
      </c>
      <c r="H1259" s="18" t="str">
        <f>IFERROR(__xludf.DUMMYFUNCTION("""COMPUTED_VALUE"""),"")</f>
        <v/>
      </c>
      <c r="I1259" s="18" t="str">
        <f>IFERROR(__xludf.DUMMYFUNCTION("""COMPUTED_VALUE"""),"")</f>
        <v/>
      </c>
      <c r="J1259" s="18" t="str">
        <f>IFERROR(__xludf.DUMMYFUNCTION("""COMPUTED_VALUE"""),"")</f>
        <v/>
      </c>
      <c r="K1259" s="19"/>
      <c r="L1259" s="19"/>
      <c r="M1259" s="19"/>
      <c r="N1259" s="19"/>
      <c r="O1259" s="19"/>
    </row>
    <row r="1260">
      <c r="A1260" s="18"/>
      <c r="B1260" s="29"/>
      <c r="C1260" s="19"/>
      <c r="D1260" s="19"/>
      <c r="E1260" s="18"/>
      <c r="F1260" s="18" t="str">
        <f>IFERROR(__xludf.DUMMYFUNCTION("""COMPUTED_VALUE"""),"")</f>
        <v/>
      </c>
      <c r="G1260" s="18" t="str">
        <f>IFERROR(__xludf.DUMMYFUNCTION("""COMPUTED_VALUE"""),"")</f>
        <v/>
      </c>
      <c r="H1260" s="18" t="str">
        <f>IFERROR(__xludf.DUMMYFUNCTION("""COMPUTED_VALUE"""),"")</f>
        <v/>
      </c>
      <c r="I1260" s="18" t="str">
        <f>IFERROR(__xludf.DUMMYFUNCTION("""COMPUTED_VALUE"""),"")</f>
        <v/>
      </c>
      <c r="J1260" s="18" t="str">
        <f>IFERROR(__xludf.DUMMYFUNCTION("""COMPUTED_VALUE"""),"")</f>
        <v/>
      </c>
      <c r="K1260" s="19"/>
      <c r="L1260" s="19"/>
      <c r="M1260" s="19"/>
      <c r="N1260" s="19"/>
      <c r="O1260" s="19"/>
    </row>
    <row r="1261">
      <c r="A1261" s="18"/>
      <c r="B1261" s="29"/>
      <c r="C1261" s="19"/>
      <c r="D1261" s="19"/>
      <c r="E1261" s="18"/>
      <c r="F1261" s="18" t="str">
        <f>IFERROR(__xludf.DUMMYFUNCTION("""COMPUTED_VALUE"""),"")</f>
        <v/>
      </c>
      <c r="G1261" s="18" t="str">
        <f>IFERROR(__xludf.DUMMYFUNCTION("""COMPUTED_VALUE"""),"")</f>
        <v/>
      </c>
      <c r="H1261" s="18" t="str">
        <f>IFERROR(__xludf.DUMMYFUNCTION("""COMPUTED_VALUE"""),"")</f>
        <v/>
      </c>
      <c r="I1261" s="18" t="str">
        <f>IFERROR(__xludf.DUMMYFUNCTION("""COMPUTED_VALUE"""),"")</f>
        <v/>
      </c>
      <c r="J1261" s="18" t="str">
        <f>IFERROR(__xludf.DUMMYFUNCTION("""COMPUTED_VALUE"""),"")</f>
        <v/>
      </c>
      <c r="K1261" s="19"/>
      <c r="L1261" s="19"/>
      <c r="M1261" s="19"/>
      <c r="N1261" s="19"/>
      <c r="O1261" s="19"/>
    </row>
    <row r="1262">
      <c r="A1262" s="18"/>
      <c r="B1262" s="29"/>
      <c r="C1262" s="19"/>
      <c r="D1262" s="19"/>
      <c r="E1262" s="18"/>
      <c r="F1262" s="18" t="str">
        <f>IFERROR(__xludf.DUMMYFUNCTION("""COMPUTED_VALUE"""),"")</f>
        <v/>
      </c>
      <c r="G1262" s="18" t="str">
        <f>IFERROR(__xludf.DUMMYFUNCTION("""COMPUTED_VALUE"""),"")</f>
        <v/>
      </c>
      <c r="H1262" s="18" t="str">
        <f>IFERROR(__xludf.DUMMYFUNCTION("""COMPUTED_VALUE"""),"")</f>
        <v/>
      </c>
      <c r="I1262" s="18" t="str">
        <f>IFERROR(__xludf.DUMMYFUNCTION("""COMPUTED_VALUE"""),"")</f>
        <v/>
      </c>
      <c r="J1262" s="18" t="str">
        <f>IFERROR(__xludf.DUMMYFUNCTION("""COMPUTED_VALUE"""),"")</f>
        <v/>
      </c>
      <c r="K1262" s="19"/>
      <c r="L1262" s="19"/>
      <c r="M1262" s="19"/>
      <c r="N1262" s="19"/>
      <c r="O1262" s="19"/>
    </row>
    <row r="1263">
      <c r="A1263" s="18"/>
      <c r="B1263" s="29"/>
      <c r="C1263" s="19"/>
      <c r="D1263" s="19"/>
      <c r="E1263" s="18"/>
      <c r="F1263" s="18" t="str">
        <f>IFERROR(__xludf.DUMMYFUNCTION("""COMPUTED_VALUE"""),"")</f>
        <v/>
      </c>
      <c r="G1263" s="18" t="str">
        <f>IFERROR(__xludf.DUMMYFUNCTION("""COMPUTED_VALUE"""),"")</f>
        <v/>
      </c>
      <c r="H1263" s="18" t="str">
        <f>IFERROR(__xludf.DUMMYFUNCTION("""COMPUTED_VALUE"""),"")</f>
        <v/>
      </c>
      <c r="I1263" s="18" t="str">
        <f>IFERROR(__xludf.DUMMYFUNCTION("""COMPUTED_VALUE"""),"")</f>
        <v/>
      </c>
      <c r="J1263" s="18" t="str">
        <f>IFERROR(__xludf.DUMMYFUNCTION("""COMPUTED_VALUE"""),"")</f>
        <v/>
      </c>
      <c r="K1263" s="19"/>
      <c r="L1263" s="19"/>
      <c r="M1263" s="19"/>
      <c r="N1263" s="19"/>
      <c r="O1263" s="19"/>
    </row>
    <row r="1264">
      <c r="A1264" s="18"/>
      <c r="B1264" s="29"/>
      <c r="C1264" s="19"/>
      <c r="D1264" s="19"/>
      <c r="E1264" s="18"/>
      <c r="F1264" s="18" t="str">
        <f>IFERROR(__xludf.DUMMYFUNCTION("""COMPUTED_VALUE"""),"")</f>
        <v/>
      </c>
      <c r="G1264" s="18" t="str">
        <f>IFERROR(__xludf.DUMMYFUNCTION("""COMPUTED_VALUE"""),"")</f>
        <v/>
      </c>
      <c r="H1264" s="18" t="str">
        <f>IFERROR(__xludf.DUMMYFUNCTION("""COMPUTED_VALUE"""),"")</f>
        <v/>
      </c>
      <c r="I1264" s="18" t="str">
        <f>IFERROR(__xludf.DUMMYFUNCTION("""COMPUTED_VALUE"""),"")</f>
        <v/>
      </c>
      <c r="J1264" s="18" t="str">
        <f>IFERROR(__xludf.DUMMYFUNCTION("""COMPUTED_VALUE"""),"")</f>
        <v/>
      </c>
      <c r="K1264" s="19"/>
      <c r="L1264" s="19"/>
      <c r="M1264" s="19"/>
      <c r="N1264" s="19"/>
      <c r="O1264" s="19"/>
    </row>
    <row r="1265">
      <c r="A1265" s="18"/>
      <c r="B1265" s="29"/>
      <c r="C1265" s="19"/>
      <c r="D1265" s="19"/>
      <c r="E1265" s="18"/>
      <c r="F1265" s="18" t="str">
        <f>IFERROR(__xludf.DUMMYFUNCTION("""COMPUTED_VALUE"""),"")</f>
        <v/>
      </c>
      <c r="G1265" s="18" t="str">
        <f>IFERROR(__xludf.DUMMYFUNCTION("""COMPUTED_VALUE"""),"")</f>
        <v/>
      </c>
      <c r="H1265" s="18" t="str">
        <f>IFERROR(__xludf.DUMMYFUNCTION("""COMPUTED_VALUE"""),"")</f>
        <v/>
      </c>
      <c r="I1265" s="18" t="str">
        <f>IFERROR(__xludf.DUMMYFUNCTION("""COMPUTED_VALUE"""),"")</f>
        <v/>
      </c>
      <c r="J1265" s="18" t="str">
        <f>IFERROR(__xludf.DUMMYFUNCTION("""COMPUTED_VALUE"""),"")</f>
        <v/>
      </c>
      <c r="K1265" s="19"/>
      <c r="L1265" s="19"/>
      <c r="M1265" s="19"/>
      <c r="N1265" s="19"/>
      <c r="O1265" s="19"/>
    </row>
    <row r="1266">
      <c r="A1266" s="18"/>
      <c r="B1266" s="29"/>
      <c r="C1266" s="19"/>
      <c r="D1266" s="19"/>
      <c r="E1266" s="18"/>
      <c r="F1266" s="18" t="str">
        <f>IFERROR(__xludf.DUMMYFUNCTION("""COMPUTED_VALUE"""),"")</f>
        <v/>
      </c>
      <c r="G1266" s="18" t="str">
        <f>IFERROR(__xludf.DUMMYFUNCTION("""COMPUTED_VALUE"""),"")</f>
        <v/>
      </c>
      <c r="H1266" s="18" t="str">
        <f>IFERROR(__xludf.DUMMYFUNCTION("""COMPUTED_VALUE"""),"")</f>
        <v/>
      </c>
      <c r="I1266" s="18" t="str">
        <f>IFERROR(__xludf.DUMMYFUNCTION("""COMPUTED_VALUE"""),"")</f>
        <v/>
      </c>
      <c r="J1266" s="18" t="str">
        <f>IFERROR(__xludf.DUMMYFUNCTION("""COMPUTED_VALUE"""),"")</f>
        <v/>
      </c>
      <c r="K1266" s="19"/>
      <c r="L1266" s="19"/>
      <c r="M1266" s="19"/>
      <c r="N1266" s="19"/>
      <c r="O1266" s="19"/>
    </row>
    <row r="1267">
      <c r="A1267" s="18"/>
      <c r="B1267" s="29"/>
      <c r="C1267" s="19"/>
      <c r="D1267" s="19"/>
      <c r="E1267" s="18"/>
      <c r="F1267" s="18" t="str">
        <f>IFERROR(__xludf.DUMMYFUNCTION("""COMPUTED_VALUE"""),"")</f>
        <v/>
      </c>
      <c r="G1267" s="18" t="str">
        <f>IFERROR(__xludf.DUMMYFUNCTION("""COMPUTED_VALUE"""),"")</f>
        <v/>
      </c>
      <c r="H1267" s="18" t="str">
        <f>IFERROR(__xludf.DUMMYFUNCTION("""COMPUTED_VALUE"""),"")</f>
        <v/>
      </c>
      <c r="I1267" s="18" t="str">
        <f>IFERROR(__xludf.DUMMYFUNCTION("""COMPUTED_VALUE"""),"")</f>
        <v/>
      </c>
      <c r="J1267" s="18" t="str">
        <f>IFERROR(__xludf.DUMMYFUNCTION("""COMPUTED_VALUE"""),"")</f>
        <v/>
      </c>
      <c r="K1267" s="19"/>
      <c r="L1267" s="19"/>
      <c r="M1267" s="19"/>
      <c r="N1267" s="19"/>
      <c r="O1267" s="19"/>
    </row>
    <row r="1268">
      <c r="A1268" s="18"/>
      <c r="B1268" s="29"/>
      <c r="C1268" s="19"/>
      <c r="D1268" s="19"/>
      <c r="E1268" s="18"/>
      <c r="F1268" s="18" t="str">
        <f>IFERROR(__xludf.DUMMYFUNCTION("""COMPUTED_VALUE"""),"")</f>
        <v/>
      </c>
      <c r="G1268" s="18" t="str">
        <f>IFERROR(__xludf.DUMMYFUNCTION("""COMPUTED_VALUE"""),"")</f>
        <v/>
      </c>
      <c r="H1268" s="18" t="str">
        <f>IFERROR(__xludf.DUMMYFUNCTION("""COMPUTED_VALUE"""),"")</f>
        <v/>
      </c>
      <c r="I1268" s="18" t="str">
        <f>IFERROR(__xludf.DUMMYFUNCTION("""COMPUTED_VALUE"""),"")</f>
        <v/>
      </c>
      <c r="J1268" s="18" t="str">
        <f>IFERROR(__xludf.DUMMYFUNCTION("""COMPUTED_VALUE"""),"")</f>
        <v/>
      </c>
      <c r="K1268" s="19"/>
      <c r="L1268" s="19"/>
      <c r="M1268" s="19"/>
      <c r="N1268" s="19"/>
      <c r="O1268" s="19"/>
    </row>
    <row r="1269">
      <c r="A1269" s="18"/>
      <c r="B1269" s="29"/>
      <c r="C1269" s="19"/>
      <c r="D1269" s="19"/>
      <c r="E1269" s="18"/>
      <c r="F1269" s="18" t="str">
        <f>IFERROR(__xludf.DUMMYFUNCTION("""COMPUTED_VALUE"""),"")</f>
        <v/>
      </c>
      <c r="G1269" s="18" t="str">
        <f>IFERROR(__xludf.DUMMYFUNCTION("""COMPUTED_VALUE"""),"")</f>
        <v/>
      </c>
      <c r="H1269" s="18" t="str">
        <f>IFERROR(__xludf.DUMMYFUNCTION("""COMPUTED_VALUE"""),"")</f>
        <v/>
      </c>
      <c r="I1269" s="18" t="str">
        <f>IFERROR(__xludf.DUMMYFUNCTION("""COMPUTED_VALUE"""),"")</f>
        <v/>
      </c>
      <c r="J1269" s="18" t="str">
        <f>IFERROR(__xludf.DUMMYFUNCTION("""COMPUTED_VALUE"""),"")</f>
        <v/>
      </c>
      <c r="K1269" s="19"/>
      <c r="L1269" s="19"/>
      <c r="M1269" s="19"/>
      <c r="N1269" s="19"/>
      <c r="O1269" s="19"/>
    </row>
    <row r="1270">
      <c r="A1270" s="18"/>
      <c r="B1270" s="29"/>
      <c r="C1270" s="19"/>
      <c r="D1270" s="19"/>
      <c r="E1270" s="18"/>
      <c r="F1270" s="18" t="str">
        <f>IFERROR(__xludf.DUMMYFUNCTION("""COMPUTED_VALUE"""),"")</f>
        <v/>
      </c>
      <c r="G1270" s="18" t="str">
        <f>IFERROR(__xludf.DUMMYFUNCTION("""COMPUTED_VALUE"""),"")</f>
        <v/>
      </c>
      <c r="H1270" s="18" t="str">
        <f>IFERROR(__xludf.DUMMYFUNCTION("""COMPUTED_VALUE"""),"")</f>
        <v/>
      </c>
      <c r="I1270" s="18" t="str">
        <f>IFERROR(__xludf.DUMMYFUNCTION("""COMPUTED_VALUE"""),"")</f>
        <v/>
      </c>
      <c r="J1270" s="18" t="str">
        <f>IFERROR(__xludf.DUMMYFUNCTION("""COMPUTED_VALUE"""),"")</f>
        <v/>
      </c>
      <c r="K1270" s="19"/>
      <c r="L1270" s="19"/>
      <c r="M1270" s="19"/>
      <c r="N1270" s="19"/>
      <c r="O1270" s="19"/>
    </row>
    <row r="1271">
      <c r="A1271" s="18"/>
      <c r="B1271" s="29"/>
      <c r="C1271" s="19"/>
      <c r="D1271" s="19"/>
      <c r="E1271" s="18"/>
      <c r="F1271" s="18" t="str">
        <f>IFERROR(__xludf.DUMMYFUNCTION("""COMPUTED_VALUE"""),"")</f>
        <v/>
      </c>
      <c r="G1271" s="18" t="str">
        <f>IFERROR(__xludf.DUMMYFUNCTION("""COMPUTED_VALUE"""),"")</f>
        <v/>
      </c>
      <c r="H1271" s="18" t="str">
        <f>IFERROR(__xludf.DUMMYFUNCTION("""COMPUTED_VALUE"""),"")</f>
        <v/>
      </c>
      <c r="I1271" s="18" t="str">
        <f>IFERROR(__xludf.DUMMYFUNCTION("""COMPUTED_VALUE"""),"")</f>
        <v/>
      </c>
      <c r="J1271" s="18" t="str">
        <f>IFERROR(__xludf.DUMMYFUNCTION("""COMPUTED_VALUE"""),"")</f>
        <v/>
      </c>
      <c r="K1271" s="19"/>
      <c r="L1271" s="19"/>
      <c r="M1271" s="19"/>
      <c r="N1271" s="19"/>
      <c r="O1271" s="19"/>
    </row>
    <row r="1272">
      <c r="A1272" s="18"/>
      <c r="B1272" s="29"/>
      <c r="C1272" s="19"/>
      <c r="D1272" s="19"/>
      <c r="E1272" s="18"/>
      <c r="F1272" s="18" t="str">
        <f>IFERROR(__xludf.DUMMYFUNCTION("""COMPUTED_VALUE"""),"")</f>
        <v/>
      </c>
      <c r="G1272" s="18" t="str">
        <f>IFERROR(__xludf.DUMMYFUNCTION("""COMPUTED_VALUE"""),"")</f>
        <v/>
      </c>
      <c r="H1272" s="18" t="str">
        <f>IFERROR(__xludf.DUMMYFUNCTION("""COMPUTED_VALUE"""),"")</f>
        <v/>
      </c>
      <c r="I1272" s="18" t="str">
        <f>IFERROR(__xludf.DUMMYFUNCTION("""COMPUTED_VALUE"""),"")</f>
        <v/>
      </c>
      <c r="J1272" s="18" t="str">
        <f>IFERROR(__xludf.DUMMYFUNCTION("""COMPUTED_VALUE"""),"")</f>
        <v/>
      </c>
      <c r="K1272" s="19"/>
      <c r="L1272" s="19"/>
      <c r="M1272" s="19"/>
      <c r="N1272" s="19"/>
      <c r="O1272" s="19"/>
    </row>
    <row r="1273">
      <c r="A1273" s="18"/>
      <c r="B1273" s="29"/>
      <c r="C1273" s="19"/>
      <c r="D1273" s="19"/>
      <c r="E1273" s="18"/>
      <c r="F1273" s="18" t="str">
        <f>IFERROR(__xludf.DUMMYFUNCTION("""COMPUTED_VALUE"""),"")</f>
        <v/>
      </c>
      <c r="G1273" s="18" t="str">
        <f>IFERROR(__xludf.DUMMYFUNCTION("""COMPUTED_VALUE"""),"")</f>
        <v/>
      </c>
      <c r="H1273" s="18" t="str">
        <f>IFERROR(__xludf.DUMMYFUNCTION("""COMPUTED_VALUE"""),"")</f>
        <v/>
      </c>
      <c r="I1273" s="18" t="str">
        <f>IFERROR(__xludf.DUMMYFUNCTION("""COMPUTED_VALUE"""),"")</f>
        <v/>
      </c>
      <c r="J1273" s="18" t="str">
        <f>IFERROR(__xludf.DUMMYFUNCTION("""COMPUTED_VALUE"""),"")</f>
        <v/>
      </c>
      <c r="K1273" s="19"/>
      <c r="L1273" s="19"/>
      <c r="M1273" s="19"/>
      <c r="N1273" s="19"/>
      <c r="O1273" s="19"/>
    </row>
    <row r="1274">
      <c r="A1274" s="18"/>
      <c r="B1274" s="29"/>
      <c r="C1274" s="19"/>
      <c r="D1274" s="19"/>
      <c r="E1274" s="18"/>
      <c r="F1274" s="18" t="str">
        <f>IFERROR(__xludf.DUMMYFUNCTION("""COMPUTED_VALUE"""),"")</f>
        <v/>
      </c>
      <c r="G1274" s="18" t="str">
        <f>IFERROR(__xludf.DUMMYFUNCTION("""COMPUTED_VALUE"""),"")</f>
        <v/>
      </c>
      <c r="H1274" s="18" t="str">
        <f>IFERROR(__xludf.DUMMYFUNCTION("""COMPUTED_VALUE"""),"")</f>
        <v/>
      </c>
      <c r="I1274" s="18" t="str">
        <f>IFERROR(__xludf.DUMMYFUNCTION("""COMPUTED_VALUE"""),"")</f>
        <v/>
      </c>
      <c r="J1274" s="18" t="str">
        <f>IFERROR(__xludf.DUMMYFUNCTION("""COMPUTED_VALUE"""),"")</f>
        <v/>
      </c>
      <c r="K1274" s="19"/>
      <c r="L1274" s="19"/>
      <c r="M1274" s="19"/>
      <c r="N1274" s="19"/>
      <c r="O1274" s="19"/>
    </row>
    <row r="1275">
      <c r="A1275" s="18"/>
      <c r="B1275" s="29"/>
      <c r="C1275" s="19"/>
      <c r="D1275" s="19"/>
      <c r="E1275" s="18"/>
      <c r="F1275" s="18" t="str">
        <f>IFERROR(__xludf.DUMMYFUNCTION("""COMPUTED_VALUE"""),"")</f>
        <v/>
      </c>
      <c r="G1275" s="18" t="str">
        <f>IFERROR(__xludf.DUMMYFUNCTION("""COMPUTED_VALUE"""),"")</f>
        <v/>
      </c>
      <c r="H1275" s="18" t="str">
        <f>IFERROR(__xludf.DUMMYFUNCTION("""COMPUTED_VALUE"""),"")</f>
        <v/>
      </c>
      <c r="I1275" s="18" t="str">
        <f>IFERROR(__xludf.DUMMYFUNCTION("""COMPUTED_VALUE"""),"")</f>
        <v/>
      </c>
      <c r="J1275" s="18" t="str">
        <f>IFERROR(__xludf.DUMMYFUNCTION("""COMPUTED_VALUE"""),"")</f>
        <v/>
      </c>
      <c r="K1275" s="19"/>
      <c r="L1275" s="19"/>
      <c r="M1275" s="19"/>
      <c r="N1275" s="19"/>
      <c r="O1275" s="19"/>
    </row>
    <row r="1276">
      <c r="A1276" s="18"/>
      <c r="B1276" s="29"/>
      <c r="C1276" s="19"/>
      <c r="D1276" s="19"/>
      <c r="E1276" s="18"/>
      <c r="F1276" s="18" t="str">
        <f>IFERROR(__xludf.DUMMYFUNCTION("""COMPUTED_VALUE"""),"")</f>
        <v/>
      </c>
      <c r="G1276" s="18" t="str">
        <f>IFERROR(__xludf.DUMMYFUNCTION("""COMPUTED_VALUE"""),"")</f>
        <v/>
      </c>
      <c r="H1276" s="18" t="str">
        <f>IFERROR(__xludf.DUMMYFUNCTION("""COMPUTED_VALUE"""),"")</f>
        <v/>
      </c>
      <c r="I1276" s="18" t="str">
        <f>IFERROR(__xludf.DUMMYFUNCTION("""COMPUTED_VALUE"""),"")</f>
        <v/>
      </c>
      <c r="J1276" s="18" t="str">
        <f>IFERROR(__xludf.DUMMYFUNCTION("""COMPUTED_VALUE"""),"")</f>
        <v/>
      </c>
      <c r="K1276" s="19"/>
      <c r="L1276" s="19"/>
      <c r="M1276" s="19"/>
      <c r="N1276" s="19"/>
      <c r="O1276" s="19"/>
    </row>
    <row r="1277">
      <c r="A1277" s="18"/>
      <c r="B1277" s="29"/>
      <c r="C1277" s="19"/>
      <c r="D1277" s="19"/>
      <c r="E1277" s="18"/>
      <c r="F1277" s="18" t="str">
        <f>IFERROR(__xludf.DUMMYFUNCTION("""COMPUTED_VALUE"""),"")</f>
        <v/>
      </c>
      <c r="G1277" s="18" t="str">
        <f>IFERROR(__xludf.DUMMYFUNCTION("""COMPUTED_VALUE"""),"")</f>
        <v/>
      </c>
      <c r="H1277" s="18" t="str">
        <f>IFERROR(__xludf.DUMMYFUNCTION("""COMPUTED_VALUE"""),"")</f>
        <v/>
      </c>
      <c r="I1277" s="18" t="str">
        <f>IFERROR(__xludf.DUMMYFUNCTION("""COMPUTED_VALUE"""),"")</f>
        <v/>
      </c>
      <c r="J1277" s="18" t="str">
        <f>IFERROR(__xludf.DUMMYFUNCTION("""COMPUTED_VALUE"""),"")</f>
        <v/>
      </c>
      <c r="K1277" s="19"/>
      <c r="L1277" s="19"/>
      <c r="M1277" s="19"/>
      <c r="N1277" s="19"/>
      <c r="O1277" s="19"/>
    </row>
    <row r="1278">
      <c r="A1278" s="18"/>
      <c r="B1278" s="29"/>
      <c r="C1278" s="19"/>
      <c r="D1278" s="19"/>
      <c r="E1278" s="18"/>
      <c r="F1278" s="18" t="str">
        <f>IFERROR(__xludf.DUMMYFUNCTION("""COMPUTED_VALUE"""),"")</f>
        <v/>
      </c>
      <c r="G1278" s="18" t="str">
        <f>IFERROR(__xludf.DUMMYFUNCTION("""COMPUTED_VALUE"""),"")</f>
        <v/>
      </c>
      <c r="H1278" s="18" t="str">
        <f>IFERROR(__xludf.DUMMYFUNCTION("""COMPUTED_VALUE"""),"")</f>
        <v/>
      </c>
      <c r="I1278" s="18" t="str">
        <f>IFERROR(__xludf.DUMMYFUNCTION("""COMPUTED_VALUE"""),"")</f>
        <v/>
      </c>
      <c r="J1278" s="18" t="str">
        <f>IFERROR(__xludf.DUMMYFUNCTION("""COMPUTED_VALUE"""),"")</f>
        <v/>
      </c>
      <c r="K1278" s="19"/>
      <c r="L1278" s="19"/>
      <c r="M1278" s="19"/>
      <c r="N1278" s="19"/>
      <c r="O1278" s="19"/>
    </row>
    <row r="1279">
      <c r="A1279" s="18"/>
      <c r="B1279" s="29"/>
      <c r="C1279" s="19"/>
      <c r="D1279" s="19"/>
      <c r="E1279" s="18"/>
      <c r="F1279" s="18" t="str">
        <f>IFERROR(__xludf.DUMMYFUNCTION("""COMPUTED_VALUE"""),"")</f>
        <v/>
      </c>
      <c r="G1279" s="18" t="str">
        <f>IFERROR(__xludf.DUMMYFUNCTION("""COMPUTED_VALUE"""),"")</f>
        <v/>
      </c>
      <c r="H1279" s="18" t="str">
        <f>IFERROR(__xludf.DUMMYFUNCTION("""COMPUTED_VALUE"""),"")</f>
        <v/>
      </c>
      <c r="I1279" s="18" t="str">
        <f>IFERROR(__xludf.DUMMYFUNCTION("""COMPUTED_VALUE"""),"")</f>
        <v/>
      </c>
      <c r="J1279" s="18" t="str">
        <f>IFERROR(__xludf.DUMMYFUNCTION("""COMPUTED_VALUE"""),"")</f>
        <v/>
      </c>
      <c r="K1279" s="19"/>
      <c r="L1279" s="19"/>
      <c r="M1279" s="19"/>
      <c r="N1279" s="19"/>
      <c r="O1279" s="19"/>
    </row>
    <row r="1280">
      <c r="A1280" s="18"/>
      <c r="B1280" s="29"/>
      <c r="C1280" s="19"/>
      <c r="D1280" s="19"/>
      <c r="E1280" s="18"/>
      <c r="F1280" s="18" t="str">
        <f>IFERROR(__xludf.DUMMYFUNCTION("""COMPUTED_VALUE"""),"")</f>
        <v/>
      </c>
      <c r="G1280" s="18" t="str">
        <f>IFERROR(__xludf.DUMMYFUNCTION("""COMPUTED_VALUE"""),"")</f>
        <v/>
      </c>
      <c r="H1280" s="18" t="str">
        <f>IFERROR(__xludf.DUMMYFUNCTION("""COMPUTED_VALUE"""),"")</f>
        <v/>
      </c>
      <c r="I1280" s="18" t="str">
        <f>IFERROR(__xludf.DUMMYFUNCTION("""COMPUTED_VALUE"""),"")</f>
        <v/>
      </c>
      <c r="J1280" s="18" t="str">
        <f>IFERROR(__xludf.DUMMYFUNCTION("""COMPUTED_VALUE"""),"")</f>
        <v/>
      </c>
      <c r="K1280" s="19"/>
      <c r="L1280" s="19"/>
      <c r="M1280" s="19"/>
      <c r="N1280" s="19"/>
      <c r="O1280" s="19"/>
    </row>
    <row r="1281">
      <c r="A1281" s="18"/>
      <c r="B1281" s="29"/>
      <c r="C1281" s="19"/>
      <c r="D1281" s="19"/>
      <c r="E1281" s="18"/>
      <c r="F1281" s="18" t="str">
        <f>IFERROR(__xludf.DUMMYFUNCTION("""COMPUTED_VALUE"""),"")</f>
        <v/>
      </c>
      <c r="G1281" s="18" t="str">
        <f>IFERROR(__xludf.DUMMYFUNCTION("""COMPUTED_VALUE"""),"")</f>
        <v/>
      </c>
      <c r="H1281" s="18" t="str">
        <f>IFERROR(__xludf.DUMMYFUNCTION("""COMPUTED_VALUE"""),"")</f>
        <v/>
      </c>
      <c r="I1281" s="18" t="str">
        <f>IFERROR(__xludf.DUMMYFUNCTION("""COMPUTED_VALUE"""),"")</f>
        <v/>
      </c>
      <c r="J1281" s="18" t="str">
        <f>IFERROR(__xludf.DUMMYFUNCTION("""COMPUTED_VALUE"""),"")</f>
        <v/>
      </c>
      <c r="K1281" s="19"/>
      <c r="L1281" s="19"/>
      <c r="M1281" s="19"/>
      <c r="N1281" s="19"/>
      <c r="O1281" s="19"/>
    </row>
    <row r="1282">
      <c r="A1282" s="18"/>
      <c r="B1282" s="29"/>
      <c r="C1282" s="19"/>
      <c r="D1282" s="19"/>
      <c r="E1282" s="18"/>
      <c r="F1282" s="18" t="str">
        <f>IFERROR(__xludf.DUMMYFUNCTION("""COMPUTED_VALUE"""),"")</f>
        <v/>
      </c>
      <c r="G1282" s="18" t="str">
        <f>IFERROR(__xludf.DUMMYFUNCTION("""COMPUTED_VALUE"""),"")</f>
        <v/>
      </c>
      <c r="H1282" s="18" t="str">
        <f>IFERROR(__xludf.DUMMYFUNCTION("""COMPUTED_VALUE"""),"")</f>
        <v/>
      </c>
      <c r="I1282" s="18" t="str">
        <f>IFERROR(__xludf.DUMMYFUNCTION("""COMPUTED_VALUE"""),"")</f>
        <v/>
      </c>
      <c r="J1282" s="18" t="str">
        <f>IFERROR(__xludf.DUMMYFUNCTION("""COMPUTED_VALUE"""),"")</f>
        <v/>
      </c>
      <c r="K1282" s="19"/>
      <c r="L1282" s="19"/>
      <c r="M1282" s="19"/>
      <c r="N1282" s="19"/>
      <c r="O1282" s="19"/>
    </row>
    <row r="1283">
      <c r="A1283" s="18"/>
      <c r="B1283" s="29"/>
      <c r="C1283" s="19"/>
      <c r="D1283" s="19"/>
      <c r="E1283" s="18"/>
      <c r="F1283" s="18" t="str">
        <f>IFERROR(__xludf.DUMMYFUNCTION("""COMPUTED_VALUE"""),"")</f>
        <v/>
      </c>
      <c r="G1283" s="18" t="str">
        <f>IFERROR(__xludf.DUMMYFUNCTION("""COMPUTED_VALUE"""),"")</f>
        <v/>
      </c>
      <c r="H1283" s="18" t="str">
        <f>IFERROR(__xludf.DUMMYFUNCTION("""COMPUTED_VALUE"""),"")</f>
        <v/>
      </c>
      <c r="I1283" s="18" t="str">
        <f>IFERROR(__xludf.DUMMYFUNCTION("""COMPUTED_VALUE"""),"")</f>
        <v/>
      </c>
      <c r="J1283" s="18" t="str">
        <f>IFERROR(__xludf.DUMMYFUNCTION("""COMPUTED_VALUE"""),"")</f>
        <v/>
      </c>
      <c r="K1283" s="19"/>
      <c r="L1283" s="19"/>
      <c r="M1283" s="19"/>
      <c r="N1283" s="19"/>
      <c r="O1283" s="19"/>
    </row>
    <row r="1284">
      <c r="A1284" s="18"/>
      <c r="B1284" s="29"/>
      <c r="C1284" s="19"/>
      <c r="D1284" s="19"/>
      <c r="E1284" s="18"/>
      <c r="F1284" s="18" t="str">
        <f>IFERROR(__xludf.DUMMYFUNCTION("""COMPUTED_VALUE"""),"")</f>
        <v/>
      </c>
      <c r="G1284" s="18" t="str">
        <f>IFERROR(__xludf.DUMMYFUNCTION("""COMPUTED_VALUE"""),"")</f>
        <v/>
      </c>
      <c r="H1284" s="18" t="str">
        <f>IFERROR(__xludf.DUMMYFUNCTION("""COMPUTED_VALUE"""),"")</f>
        <v/>
      </c>
      <c r="I1284" s="18" t="str">
        <f>IFERROR(__xludf.DUMMYFUNCTION("""COMPUTED_VALUE"""),"")</f>
        <v/>
      </c>
      <c r="J1284" s="18" t="str">
        <f>IFERROR(__xludf.DUMMYFUNCTION("""COMPUTED_VALUE"""),"")</f>
        <v/>
      </c>
      <c r="K1284" s="19"/>
      <c r="L1284" s="19"/>
      <c r="M1284" s="19"/>
      <c r="N1284" s="19"/>
      <c r="O1284" s="19"/>
    </row>
    <row r="1285">
      <c r="A1285" s="18"/>
      <c r="B1285" s="29"/>
      <c r="C1285" s="19"/>
      <c r="D1285" s="19"/>
      <c r="E1285" s="18"/>
      <c r="F1285" s="18" t="str">
        <f>IFERROR(__xludf.DUMMYFUNCTION("""COMPUTED_VALUE"""),"")</f>
        <v/>
      </c>
      <c r="G1285" s="18" t="str">
        <f>IFERROR(__xludf.DUMMYFUNCTION("""COMPUTED_VALUE"""),"")</f>
        <v/>
      </c>
      <c r="H1285" s="18" t="str">
        <f>IFERROR(__xludf.DUMMYFUNCTION("""COMPUTED_VALUE"""),"")</f>
        <v/>
      </c>
      <c r="I1285" s="18" t="str">
        <f>IFERROR(__xludf.DUMMYFUNCTION("""COMPUTED_VALUE"""),"")</f>
        <v/>
      </c>
      <c r="J1285" s="18" t="str">
        <f>IFERROR(__xludf.DUMMYFUNCTION("""COMPUTED_VALUE"""),"")</f>
        <v/>
      </c>
      <c r="K1285" s="19"/>
      <c r="L1285" s="19"/>
      <c r="M1285" s="19"/>
      <c r="N1285" s="19"/>
      <c r="O1285" s="19"/>
    </row>
    <row r="1286">
      <c r="A1286" s="18"/>
      <c r="B1286" s="29"/>
      <c r="C1286" s="19"/>
      <c r="D1286" s="19"/>
      <c r="E1286" s="18"/>
      <c r="F1286" s="18" t="str">
        <f>IFERROR(__xludf.DUMMYFUNCTION("""COMPUTED_VALUE"""),"")</f>
        <v/>
      </c>
      <c r="G1286" s="18" t="str">
        <f>IFERROR(__xludf.DUMMYFUNCTION("""COMPUTED_VALUE"""),"")</f>
        <v/>
      </c>
      <c r="H1286" s="18" t="str">
        <f>IFERROR(__xludf.DUMMYFUNCTION("""COMPUTED_VALUE"""),"")</f>
        <v/>
      </c>
      <c r="I1286" s="18" t="str">
        <f>IFERROR(__xludf.DUMMYFUNCTION("""COMPUTED_VALUE"""),"")</f>
        <v/>
      </c>
      <c r="J1286" s="18" t="str">
        <f>IFERROR(__xludf.DUMMYFUNCTION("""COMPUTED_VALUE"""),"")</f>
        <v/>
      </c>
      <c r="K1286" s="19"/>
      <c r="L1286" s="19"/>
      <c r="M1286" s="19"/>
      <c r="N1286" s="19"/>
      <c r="O1286" s="19"/>
    </row>
    <row r="1287">
      <c r="A1287" s="18"/>
      <c r="B1287" s="29"/>
      <c r="C1287" s="19"/>
      <c r="D1287" s="19"/>
      <c r="E1287" s="18"/>
      <c r="F1287" s="18" t="str">
        <f>IFERROR(__xludf.DUMMYFUNCTION("""COMPUTED_VALUE"""),"")</f>
        <v/>
      </c>
      <c r="G1287" s="18" t="str">
        <f>IFERROR(__xludf.DUMMYFUNCTION("""COMPUTED_VALUE"""),"")</f>
        <v/>
      </c>
      <c r="H1287" s="18" t="str">
        <f>IFERROR(__xludf.DUMMYFUNCTION("""COMPUTED_VALUE"""),"")</f>
        <v/>
      </c>
      <c r="I1287" s="18" t="str">
        <f>IFERROR(__xludf.DUMMYFUNCTION("""COMPUTED_VALUE"""),"")</f>
        <v/>
      </c>
      <c r="J1287" s="18" t="str">
        <f>IFERROR(__xludf.DUMMYFUNCTION("""COMPUTED_VALUE"""),"")</f>
        <v/>
      </c>
      <c r="K1287" s="19"/>
      <c r="L1287" s="19"/>
      <c r="M1287" s="19"/>
      <c r="N1287" s="19"/>
      <c r="O1287" s="19"/>
    </row>
    <row r="1288">
      <c r="A1288" s="18"/>
      <c r="B1288" s="29"/>
      <c r="C1288" s="19"/>
      <c r="D1288" s="19"/>
      <c r="E1288" s="18"/>
      <c r="F1288" s="18" t="str">
        <f>IFERROR(__xludf.DUMMYFUNCTION("""COMPUTED_VALUE"""),"")</f>
        <v/>
      </c>
      <c r="G1288" s="18" t="str">
        <f>IFERROR(__xludf.DUMMYFUNCTION("""COMPUTED_VALUE"""),"")</f>
        <v/>
      </c>
      <c r="H1288" s="18" t="str">
        <f>IFERROR(__xludf.DUMMYFUNCTION("""COMPUTED_VALUE"""),"")</f>
        <v/>
      </c>
      <c r="I1288" s="18" t="str">
        <f>IFERROR(__xludf.DUMMYFUNCTION("""COMPUTED_VALUE"""),"")</f>
        <v/>
      </c>
      <c r="J1288" s="18" t="str">
        <f>IFERROR(__xludf.DUMMYFUNCTION("""COMPUTED_VALUE"""),"")</f>
        <v/>
      </c>
      <c r="K1288" s="19"/>
      <c r="L1288" s="19"/>
      <c r="M1288" s="19"/>
      <c r="N1288" s="19"/>
      <c r="O1288" s="19"/>
    </row>
    <row r="1289">
      <c r="A1289" s="18"/>
      <c r="B1289" s="29"/>
      <c r="C1289" s="19"/>
      <c r="D1289" s="19"/>
      <c r="E1289" s="18"/>
      <c r="F1289" s="18" t="str">
        <f>IFERROR(__xludf.DUMMYFUNCTION("""COMPUTED_VALUE"""),"")</f>
        <v/>
      </c>
      <c r="G1289" s="18" t="str">
        <f>IFERROR(__xludf.DUMMYFUNCTION("""COMPUTED_VALUE"""),"")</f>
        <v/>
      </c>
      <c r="H1289" s="18" t="str">
        <f>IFERROR(__xludf.DUMMYFUNCTION("""COMPUTED_VALUE"""),"")</f>
        <v/>
      </c>
      <c r="I1289" s="18" t="str">
        <f>IFERROR(__xludf.DUMMYFUNCTION("""COMPUTED_VALUE"""),"")</f>
        <v/>
      </c>
      <c r="J1289" s="18" t="str">
        <f>IFERROR(__xludf.DUMMYFUNCTION("""COMPUTED_VALUE"""),"")</f>
        <v/>
      </c>
      <c r="K1289" s="19"/>
      <c r="L1289" s="19"/>
      <c r="M1289" s="19"/>
      <c r="N1289" s="19"/>
      <c r="O1289" s="19"/>
    </row>
    <row r="1290">
      <c r="A1290" s="18"/>
      <c r="B1290" s="29"/>
      <c r="C1290" s="19"/>
      <c r="D1290" s="19"/>
      <c r="E1290" s="18"/>
      <c r="F1290" s="18" t="str">
        <f>IFERROR(__xludf.DUMMYFUNCTION("""COMPUTED_VALUE"""),"")</f>
        <v/>
      </c>
      <c r="G1290" s="18" t="str">
        <f>IFERROR(__xludf.DUMMYFUNCTION("""COMPUTED_VALUE"""),"")</f>
        <v/>
      </c>
      <c r="H1290" s="18" t="str">
        <f>IFERROR(__xludf.DUMMYFUNCTION("""COMPUTED_VALUE"""),"")</f>
        <v/>
      </c>
      <c r="I1290" s="18" t="str">
        <f>IFERROR(__xludf.DUMMYFUNCTION("""COMPUTED_VALUE"""),"")</f>
        <v/>
      </c>
      <c r="J1290" s="18" t="str">
        <f>IFERROR(__xludf.DUMMYFUNCTION("""COMPUTED_VALUE"""),"")</f>
        <v/>
      </c>
      <c r="K1290" s="19"/>
      <c r="L1290" s="19"/>
      <c r="M1290" s="19"/>
      <c r="N1290" s="19"/>
      <c r="O1290" s="19"/>
    </row>
    <row r="1291">
      <c r="A1291" s="18"/>
      <c r="B1291" s="29"/>
      <c r="C1291" s="19"/>
      <c r="D1291" s="19"/>
      <c r="E1291" s="18"/>
      <c r="F1291" s="18" t="str">
        <f>IFERROR(__xludf.DUMMYFUNCTION("""COMPUTED_VALUE"""),"")</f>
        <v/>
      </c>
      <c r="G1291" s="18" t="str">
        <f>IFERROR(__xludf.DUMMYFUNCTION("""COMPUTED_VALUE"""),"")</f>
        <v/>
      </c>
      <c r="H1291" s="18" t="str">
        <f>IFERROR(__xludf.DUMMYFUNCTION("""COMPUTED_VALUE"""),"")</f>
        <v/>
      </c>
      <c r="I1291" s="18" t="str">
        <f>IFERROR(__xludf.DUMMYFUNCTION("""COMPUTED_VALUE"""),"")</f>
        <v/>
      </c>
      <c r="J1291" s="18" t="str">
        <f>IFERROR(__xludf.DUMMYFUNCTION("""COMPUTED_VALUE"""),"")</f>
        <v/>
      </c>
      <c r="K1291" s="19"/>
      <c r="L1291" s="19"/>
      <c r="M1291" s="19"/>
      <c r="N1291" s="19"/>
      <c r="O1291" s="19"/>
    </row>
    <row r="1292">
      <c r="A1292" s="18"/>
      <c r="B1292" s="29"/>
      <c r="C1292" s="19"/>
      <c r="D1292" s="19"/>
      <c r="E1292" s="18"/>
      <c r="F1292" s="18" t="str">
        <f>IFERROR(__xludf.DUMMYFUNCTION("""COMPUTED_VALUE"""),"")</f>
        <v/>
      </c>
      <c r="G1292" s="18" t="str">
        <f>IFERROR(__xludf.DUMMYFUNCTION("""COMPUTED_VALUE"""),"")</f>
        <v/>
      </c>
      <c r="H1292" s="18" t="str">
        <f>IFERROR(__xludf.DUMMYFUNCTION("""COMPUTED_VALUE"""),"")</f>
        <v/>
      </c>
      <c r="I1292" s="18" t="str">
        <f>IFERROR(__xludf.DUMMYFUNCTION("""COMPUTED_VALUE"""),"")</f>
        <v/>
      </c>
      <c r="J1292" s="18" t="str">
        <f>IFERROR(__xludf.DUMMYFUNCTION("""COMPUTED_VALUE"""),"")</f>
        <v/>
      </c>
      <c r="K1292" s="19"/>
      <c r="L1292" s="19"/>
      <c r="M1292" s="19"/>
      <c r="N1292" s="19"/>
      <c r="O1292" s="19"/>
    </row>
    <row r="1293">
      <c r="A1293" s="18"/>
      <c r="B1293" s="29"/>
      <c r="C1293" s="19"/>
      <c r="D1293" s="19"/>
      <c r="E1293" s="18"/>
      <c r="F1293" s="18" t="str">
        <f>IFERROR(__xludf.DUMMYFUNCTION("""COMPUTED_VALUE"""),"")</f>
        <v/>
      </c>
      <c r="G1293" s="18" t="str">
        <f>IFERROR(__xludf.DUMMYFUNCTION("""COMPUTED_VALUE"""),"")</f>
        <v/>
      </c>
      <c r="H1293" s="18" t="str">
        <f>IFERROR(__xludf.DUMMYFUNCTION("""COMPUTED_VALUE"""),"")</f>
        <v/>
      </c>
      <c r="I1293" s="18" t="str">
        <f>IFERROR(__xludf.DUMMYFUNCTION("""COMPUTED_VALUE"""),"")</f>
        <v/>
      </c>
      <c r="J1293" s="18" t="str">
        <f>IFERROR(__xludf.DUMMYFUNCTION("""COMPUTED_VALUE"""),"")</f>
        <v/>
      </c>
      <c r="K1293" s="19"/>
      <c r="L1293" s="19"/>
      <c r="M1293" s="19"/>
      <c r="N1293" s="19"/>
      <c r="O1293" s="19"/>
    </row>
    <row r="1294">
      <c r="A1294" s="18"/>
      <c r="B1294" s="29"/>
      <c r="C1294" s="19"/>
      <c r="D1294" s="19"/>
      <c r="E1294" s="18"/>
      <c r="F1294" s="18" t="str">
        <f>IFERROR(__xludf.DUMMYFUNCTION("""COMPUTED_VALUE"""),"")</f>
        <v/>
      </c>
      <c r="G1294" s="18" t="str">
        <f>IFERROR(__xludf.DUMMYFUNCTION("""COMPUTED_VALUE"""),"")</f>
        <v/>
      </c>
      <c r="H1294" s="18" t="str">
        <f>IFERROR(__xludf.DUMMYFUNCTION("""COMPUTED_VALUE"""),"")</f>
        <v/>
      </c>
      <c r="I1294" s="18" t="str">
        <f>IFERROR(__xludf.DUMMYFUNCTION("""COMPUTED_VALUE"""),"")</f>
        <v/>
      </c>
      <c r="J1294" s="18" t="str">
        <f>IFERROR(__xludf.DUMMYFUNCTION("""COMPUTED_VALUE"""),"")</f>
        <v/>
      </c>
      <c r="K1294" s="19"/>
      <c r="L1294" s="19"/>
      <c r="M1294" s="19"/>
      <c r="N1294" s="19"/>
      <c r="O1294" s="19"/>
    </row>
    <row r="1295">
      <c r="A1295" s="18"/>
      <c r="B1295" s="29"/>
      <c r="C1295" s="19"/>
      <c r="D1295" s="19"/>
      <c r="E1295" s="18"/>
      <c r="F1295" s="18" t="str">
        <f>IFERROR(__xludf.DUMMYFUNCTION("""COMPUTED_VALUE"""),"")</f>
        <v/>
      </c>
      <c r="G1295" s="18" t="str">
        <f>IFERROR(__xludf.DUMMYFUNCTION("""COMPUTED_VALUE"""),"")</f>
        <v/>
      </c>
      <c r="H1295" s="18" t="str">
        <f>IFERROR(__xludf.DUMMYFUNCTION("""COMPUTED_VALUE"""),"")</f>
        <v/>
      </c>
      <c r="I1295" s="18" t="str">
        <f>IFERROR(__xludf.DUMMYFUNCTION("""COMPUTED_VALUE"""),"")</f>
        <v/>
      </c>
      <c r="J1295" s="18" t="str">
        <f>IFERROR(__xludf.DUMMYFUNCTION("""COMPUTED_VALUE"""),"")</f>
        <v/>
      </c>
      <c r="K1295" s="19"/>
      <c r="L1295" s="19"/>
      <c r="M1295" s="19"/>
      <c r="N1295" s="19"/>
      <c r="O1295" s="19"/>
    </row>
    <row r="1296">
      <c r="A1296" s="18"/>
      <c r="B1296" s="29"/>
      <c r="C1296" s="19"/>
      <c r="D1296" s="19"/>
      <c r="E1296" s="18"/>
      <c r="F1296" s="18" t="str">
        <f>IFERROR(__xludf.DUMMYFUNCTION("""COMPUTED_VALUE"""),"")</f>
        <v/>
      </c>
      <c r="G1296" s="18" t="str">
        <f>IFERROR(__xludf.DUMMYFUNCTION("""COMPUTED_VALUE"""),"")</f>
        <v/>
      </c>
      <c r="H1296" s="18" t="str">
        <f>IFERROR(__xludf.DUMMYFUNCTION("""COMPUTED_VALUE"""),"")</f>
        <v/>
      </c>
      <c r="I1296" s="18" t="str">
        <f>IFERROR(__xludf.DUMMYFUNCTION("""COMPUTED_VALUE"""),"")</f>
        <v/>
      </c>
      <c r="J1296" s="18" t="str">
        <f>IFERROR(__xludf.DUMMYFUNCTION("""COMPUTED_VALUE"""),"")</f>
        <v/>
      </c>
      <c r="K1296" s="19"/>
      <c r="L1296" s="19"/>
      <c r="M1296" s="19"/>
      <c r="N1296" s="19"/>
      <c r="O1296" s="19"/>
    </row>
    <row r="1297">
      <c r="A1297" s="18"/>
      <c r="B1297" s="29"/>
      <c r="C1297" s="19"/>
      <c r="D1297" s="19"/>
      <c r="E1297" s="18"/>
      <c r="F1297" s="18" t="str">
        <f>IFERROR(__xludf.DUMMYFUNCTION("""COMPUTED_VALUE"""),"")</f>
        <v/>
      </c>
      <c r="G1297" s="18" t="str">
        <f>IFERROR(__xludf.DUMMYFUNCTION("""COMPUTED_VALUE"""),"")</f>
        <v/>
      </c>
      <c r="H1297" s="18" t="str">
        <f>IFERROR(__xludf.DUMMYFUNCTION("""COMPUTED_VALUE"""),"")</f>
        <v/>
      </c>
      <c r="I1297" s="18" t="str">
        <f>IFERROR(__xludf.DUMMYFUNCTION("""COMPUTED_VALUE"""),"")</f>
        <v/>
      </c>
      <c r="J1297" s="18" t="str">
        <f>IFERROR(__xludf.DUMMYFUNCTION("""COMPUTED_VALUE"""),"")</f>
        <v/>
      </c>
      <c r="K1297" s="19"/>
      <c r="L1297" s="19"/>
      <c r="M1297" s="19"/>
      <c r="N1297" s="19"/>
      <c r="O1297" s="19"/>
    </row>
    <row r="1298">
      <c r="A1298" s="18"/>
      <c r="B1298" s="29"/>
      <c r="C1298" s="19"/>
      <c r="D1298" s="19"/>
      <c r="E1298" s="18"/>
      <c r="F1298" s="18" t="str">
        <f>IFERROR(__xludf.DUMMYFUNCTION("""COMPUTED_VALUE"""),"")</f>
        <v/>
      </c>
      <c r="G1298" s="18" t="str">
        <f>IFERROR(__xludf.DUMMYFUNCTION("""COMPUTED_VALUE"""),"")</f>
        <v/>
      </c>
      <c r="H1298" s="18" t="str">
        <f>IFERROR(__xludf.DUMMYFUNCTION("""COMPUTED_VALUE"""),"")</f>
        <v/>
      </c>
      <c r="I1298" s="18" t="str">
        <f>IFERROR(__xludf.DUMMYFUNCTION("""COMPUTED_VALUE"""),"")</f>
        <v/>
      </c>
      <c r="J1298" s="18" t="str">
        <f>IFERROR(__xludf.DUMMYFUNCTION("""COMPUTED_VALUE"""),"")</f>
        <v/>
      </c>
      <c r="K1298" s="19"/>
      <c r="L1298" s="19"/>
      <c r="M1298" s="19"/>
      <c r="N1298" s="19"/>
      <c r="O1298" s="19"/>
    </row>
    <row r="1299">
      <c r="A1299" s="18"/>
      <c r="B1299" s="29"/>
      <c r="C1299" s="19"/>
      <c r="D1299" s="19"/>
      <c r="E1299" s="18"/>
      <c r="F1299" s="18" t="str">
        <f>IFERROR(__xludf.DUMMYFUNCTION("""COMPUTED_VALUE"""),"")</f>
        <v/>
      </c>
      <c r="G1299" s="18" t="str">
        <f>IFERROR(__xludf.DUMMYFUNCTION("""COMPUTED_VALUE"""),"")</f>
        <v/>
      </c>
      <c r="H1299" s="18" t="str">
        <f>IFERROR(__xludf.DUMMYFUNCTION("""COMPUTED_VALUE"""),"")</f>
        <v/>
      </c>
      <c r="I1299" s="18" t="str">
        <f>IFERROR(__xludf.DUMMYFUNCTION("""COMPUTED_VALUE"""),"")</f>
        <v/>
      </c>
      <c r="J1299" s="18" t="str">
        <f>IFERROR(__xludf.DUMMYFUNCTION("""COMPUTED_VALUE"""),"")</f>
        <v/>
      </c>
      <c r="K1299" s="19"/>
      <c r="L1299" s="19"/>
      <c r="M1299" s="19"/>
      <c r="N1299" s="19"/>
      <c r="O1299" s="19"/>
    </row>
    <row r="1300">
      <c r="A1300" s="18"/>
      <c r="B1300" s="29"/>
      <c r="C1300" s="19"/>
      <c r="D1300" s="19"/>
      <c r="E1300" s="18"/>
      <c r="F1300" s="18" t="str">
        <f>IFERROR(__xludf.DUMMYFUNCTION("""COMPUTED_VALUE"""),"")</f>
        <v/>
      </c>
      <c r="G1300" s="18" t="str">
        <f>IFERROR(__xludf.DUMMYFUNCTION("""COMPUTED_VALUE"""),"")</f>
        <v/>
      </c>
      <c r="H1300" s="18" t="str">
        <f>IFERROR(__xludf.DUMMYFUNCTION("""COMPUTED_VALUE"""),"")</f>
        <v/>
      </c>
      <c r="I1300" s="18" t="str">
        <f>IFERROR(__xludf.DUMMYFUNCTION("""COMPUTED_VALUE"""),"")</f>
        <v/>
      </c>
      <c r="J1300" s="18" t="str">
        <f>IFERROR(__xludf.DUMMYFUNCTION("""COMPUTED_VALUE"""),"")</f>
        <v/>
      </c>
      <c r="K1300" s="19"/>
      <c r="L1300" s="19"/>
      <c r="M1300" s="19"/>
      <c r="N1300" s="19"/>
      <c r="O1300" s="19"/>
    </row>
    <row r="1301">
      <c r="A1301" s="18"/>
      <c r="B1301" s="29"/>
      <c r="C1301" s="19"/>
      <c r="D1301" s="19"/>
      <c r="E1301" s="18"/>
      <c r="F1301" s="18" t="str">
        <f>IFERROR(__xludf.DUMMYFUNCTION("""COMPUTED_VALUE"""),"")</f>
        <v/>
      </c>
      <c r="G1301" s="18" t="str">
        <f>IFERROR(__xludf.DUMMYFUNCTION("""COMPUTED_VALUE"""),"")</f>
        <v/>
      </c>
      <c r="H1301" s="18" t="str">
        <f>IFERROR(__xludf.DUMMYFUNCTION("""COMPUTED_VALUE"""),"")</f>
        <v/>
      </c>
      <c r="I1301" s="18" t="str">
        <f>IFERROR(__xludf.DUMMYFUNCTION("""COMPUTED_VALUE"""),"")</f>
        <v/>
      </c>
      <c r="J1301" s="18" t="str">
        <f>IFERROR(__xludf.DUMMYFUNCTION("""COMPUTED_VALUE"""),"")</f>
        <v/>
      </c>
      <c r="K1301" s="19"/>
      <c r="L1301" s="19"/>
      <c r="M1301" s="19"/>
      <c r="N1301" s="19"/>
      <c r="O1301" s="19"/>
    </row>
    <row r="1302">
      <c r="A1302" s="18"/>
      <c r="B1302" s="29"/>
      <c r="C1302" s="19"/>
      <c r="D1302" s="19"/>
      <c r="E1302" s="18"/>
      <c r="F1302" s="18" t="str">
        <f>IFERROR(__xludf.DUMMYFUNCTION("""COMPUTED_VALUE"""),"")</f>
        <v/>
      </c>
      <c r="G1302" s="18" t="str">
        <f>IFERROR(__xludf.DUMMYFUNCTION("""COMPUTED_VALUE"""),"")</f>
        <v/>
      </c>
      <c r="H1302" s="18" t="str">
        <f>IFERROR(__xludf.DUMMYFUNCTION("""COMPUTED_VALUE"""),"")</f>
        <v/>
      </c>
      <c r="I1302" s="18" t="str">
        <f>IFERROR(__xludf.DUMMYFUNCTION("""COMPUTED_VALUE"""),"")</f>
        <v/>
      </c>
      <c r="J1302" s="18" t="str">
        <f>IFERROR(__xludf.DUMMYFUNCTION("""COMPUTED_VALUE"""),"")</f>
        <v/>
      </c>
      <c r="K1302" s="19"/>
      <c r="L1302" s="19"/>
      <c r="M1302" s="19"/>
      <c r="N1302" s="19"/>
      <c r="O1302" s="19"/>
    </row>
    <row r="1303">
      <c r="A1303" s="18"/>
      <c r="B1303" s="29"/>
      <c r="C1303" s="19"/>
      <c r="D1303" s="19"/>
      <c r="E1303" s="18"/>
      <c r="F1303" s="18" t="str">
        <f>IFERROR(__xludf.DUMMYFUNCTION("""COMPUTED_VALUE"""),"")</f>
        <v/>
      </c>
      <c r="G1303" s="18" t="str">
        <f>IFERROR(__xludf.DUMMYFUNCTION("""COMPUTED_VALUE"""),"")</f>
        <v/>
      </c>
      <c r="H1303" s="18" t="str">
        <f>IFERROR(__xludf.DUMMYFUNCTION("""COMPUTED_VALUE"""),"")</f>
        <v/>
      </c>
      <c r="I1303" s="18" t="str">
        <f>IFERROR(__xludf.DUMMYFUNCTION("""COMPUTED_VALUE"""),"")</f>
        <v/>
      </c>
      <c r="J1303" s="18" t="str">
        <f>IFERROR(__xludf.DUMMYFUNCTION("""COMPUTED_VALUE"""),"")</f>
        <v/>
      </c>
      <c r="K1303" s="19"/>
      <c r="L1303" s="19"/>
      <c r="M1303" s="19"/>
      <c r="N1303" s="19"/>
      <c r="O1303" s="19"/>
    </row>
    <row r="1304">
      <c r="A1304" s="18"/>
      <c r="B1304" s="29"/>
      <c r="C1304" s="19"/>
      <c r="D1304" s="19"/>
      <c r="E1304" s="18"/>
      <c r="F1304" s="18" t="str">
        <f>IFERROR(__xludf.DUMMYFUNCTION("""COMPUTED_VALUE"""),"")</f>
        <v/>
      </c>
      <c r="G1304" s="18" t="str">
        <f>IFERROR(__xludf.DUMMYFUNCTION("""COMPUTED_VALUE"""),"")</f>
        <v/>
      </c>
      <c r="H1304" s="18" t="str">
        <f>IFERROR(__xludf.DUMMYFUNCTION("""COMPUTED_VALUE"""),"")</f>
        <v/>
      </c>
      <c r="I1304" s="18" t="str">
        <f>IFERROR(__xludf.DUMMYFUNCTION("""COMPUTED_VALUE"""),"")</f>
        <v/>
      </c>
      <c r="J1304" s="18" t="str">
        <f>IFERROR(__xludf.DUMMYFUNCTION("""COMPUTED_VALUE"""),"")</f>
        <v/>
      </c>
      <c r="K1304" s="19"/>
      <c r="L1304" s="19"/>
      <c r="M1304" s="19"/>
      <c r="N1304" s="19"/>
      <c r="O1304" s="19"/>
    </row>
    <row r="1305">
      <c r="A1305" s="18"/>
      <c r="B1305" s="29"/>
      <c r="C1305" s="19"/>
      <c r="D1305" s="19"/>
      <c r="E1305" s="18"/>
      <c r="F1305" s="18" t="str">
        <f>IFERROR(__xludf.DUMMYFUNCTION("""COMPUTED_VALUE"""),"")</f>
        <v/>
      </c>
      <c r="G1305" s="18" t="str">
        <f>IFERROR(__xludf.DUMMYFUNCTION("""COMPUTED_VALUE"""),"")</f>
        <v/>
      </c>
      <c r="H1305" s="18" t="str">
        <f>IFERROR(__xludf.DUMMYFUNCTION("""COMPUTED_VALUE"""),"")</f>
        <v/>
      </c>
      <c r="I1305" s="18" t="str">
        <f>IFERROR(__xludf.DUMMYFUNCTION("""COMPUTED_VALUE"""),"")</f>
        <v/>
      </c>
      <c r="J1305" s="18" t="str">
        <f>IFERROR(__xludf.DUMMYFUNCTION("""COMPUTED_VALUE"""),"")</f>
        <v/>
      </c>
      <c r="K1305" s="19"/>
      <c r="L1305" s="19"/>
      <c r="M1305" s="19"/>
      <c r="N1305" s="19"/>
      <c r="O1305" s="19"/>
    </row>
    <row r="1306">
      <c r="A1306" s="18"/>
      <c r="B1306" s="29"/>
      <c r="C1306" s="19"/>
      <c r="D1306" s="19"/>
      <c r="E1306" s="18"/>
      <c r="F1306" s="18" t="str">
        <f>IFERROR(__xludf.DUMMYFUNCTION("""COMPUTED_VALUE"""),"")</f>
        <v/>
      </c>
      <c r="G1306" s="18" t="str">
        <f>IFERROR(__xludf.DUMMYFUNCTION("""COMPUTED_VALUE"""),"")</f>
        <v/>
      </c>
      <c r="H1306" s="18" t="str">
        <f>IFERROR(__xludf.DUMMYFUNCTION("""COMPUTED_VALUE"""),"")</f>
        <v/>
      </c>
      <c r="I1306" s="18" t="str">
        <f>IFERROR(__xludf.DUMMYFUNCTION("""COMPUTED_VALUE"""),"")</f>
        <v/>
      </c>
      <c r="J1306" s="18" t="str">
        <f>IFERROR(__xludf.DUMMYFUNCTION("""COMPUTED_VALUE"""),"")</f>
        <v/>
      </c>
      <c r="K1306" s="19"/>
      <c r="L1306" s="19"/>
      <c r="M1306" s="19"/>
      <c r="N1306" s="19"/>
      <c r="O1306" s="19"/>
    </row>
    <row r="1307">
      <c r="A1307" s="18"/>
      <c r="B1307" s="29"/>
      <c r="C1307" s="19"/>
      <c r="D1307" s="19"/>
      <c r="E1307" s="18"/>
      <c r="F1307" s="18" t="str">
        <f>IFERROR(__xludf.DUMMYFUNCTION("""COMPUTED_VALUE"""),"")</f>
        <v/>
      </c>
      <c r="G1307" s="18" t="str">
        <f>IFERROR(__xludf.DUMMYFUNCTION("""COMPUTED_VALUE"""),"")</f>
        <v/>
      </c>
      <c r="H1307" s="18" t="str">
        <f>IFERROR(__xludf.DUMMYFUNCTION("""COMPUTED_VALUE"""),"")</f>
        <v/>
      </c>
      <c r="I1307" s="18" t="str">
        <f>IFERROR(__xludf.DUMMYFUNCTION("""COMPUTED_VALUE"""),"")</f>
        <v/>
      </c>
      <c r="J1307" s="18" t="str">
        <f>IFERROR(__xludf.DUMMYFUNCTION("""COMPUTED_VALUE"""),"")</f>
        <v/>
      </c>
      <c r="K1307" s="19"/>
      <c r="L1307" s="19"/>
      <c r="M1307" s="19"/>
      <c r="N1307" s="19"/>
      <c r="O1307" s="19"/>
    </row>
    <row r="1308">
      <c r="A1308" s="18"/>
      <c r="B1308" s="29"/>
      <c r="C1308" s="19"/>
      <c r="D1308" s="19"/>
      <c r="E1308" s="18"/>
      <c r="F1308" s="18" t="str">
        <f>IFERROR(__xludf.DUMMYFUNCTION("""COMPUTED_VALUE"""),"")</f>
        <v/>
      </c>
      <c r="G1308" s="18" t="str">
        <f>IFERROR(__xludf.DUMMYFUNCTION("""COMPUTED_VALUE"""),"")</f>
        <v/>
      </c>
      <c r="H1308" s="18" t="str">
        <f>IFERROR(__xludf.DUMMYFUNCTION("""COMPUTED_VALUE"""),"")</f>
        <v/>
      </c>
      <c r="I1308" s="18" t="str">
        <f>IFERROR(__xludf.DUMMYFUNCTION("""COMPUTED_VALUE"""),"")</f>
        <v/>
      </c>
      <c r="J1308" s="18" t="str">
        <f>IFERROR(__xludf.DUMMYFUNCTION("""COMPUTED_VALUE"""),"")</f>
        <v/>
      </c>
      <c r="K1308" s="19"/>
      <c r="L1308" s="19"/>
      <c r="M1308" s="19"/>
      <c r="N1308" s="19"/>
      <c r="O1308" s="19"/>
    </row>
    <row r="1309">
      <c r="A1309" s="18"/>
      <c r="B1309" s="29"/>
      <c r="C1309" s="19"/>
      <c r="D1309" s="19"/>
      <c r="E1309" s="18"/>
      <c r="F1309" s="18" t="str">
        <f>IFERROR(__xludf.DUMMYFUNCTION("""COMPUTED_VALUE"""),"")</f>
        <v/>
      </c>
      <c r="G1309" s="18" t="str">
        <f>IFERROR(__xludf.DUMMYFUNCTION("""COMPUTED_VALUE"""),"")</f>
        <v/>
      </c>
      <c r="H1309" s="18" t="str">
        <f>IFERROR(__xludf.DUMMYFUNCTION("""COMPUTED_VALUE"""),"")</f>
        <v/>
      </c>
      <c r="I1309" s="18" t="str">
        <f>IFERROR(__xludf.DUMMYFUNCTION("""COMPUTED_VALUE"""),"")</f>
        <v/>
      </c>
      <c r="J1309" s="18" t="str">
        <f>IFERROR(__xludf.DUMMYFUNCTION("""COMPUTED_VALUE"""),"")</f>
        <v/>
      </c>
      <c r="K1309" s="19"/>
      <c r="L1309" s="19"/>
      <c r="M1309" s="19"/>
      <c r="N1309" s="19"/>
      <c r="O1309" s="19"/>
    </row>
    <row r="1310">
      <c r="A1310" s="18"/>
      <c r="B1310" s="29"/>
      <c r="C1310" s="19"/>
      <c r="D1310" s="19"/>
      <c r="E1310" s="18"/>
      <c r="F1310" s="18" t="str">
        <f>IFERROR(__xludf.DUMMYFUNCTION("""COMPUTED_VALUE"""),"")</f>
        <v/>
      </c>
      <c r="G1310" s="18" t="str">
        <f>IFERROR(__xludf.DUMMYFUNCTION("""COMPUTED_VALUE"""),"")</f>
        <v/>
      </c>
      <c r="H1310" s="18" t="str">
        <f>IFERROR(__xludf.DUMMYFUNCTION("""COMPUTED_VALUE"""),"")</f>
        <v/>
      </c>
      <c r="I1310" s="18" t="str">
        <f>IFERROR(__xludf.DUMMYFUNCTION("""COMPUTED_VALUE"""),"")</f>
        <v/>
      </c>
      <c r="J1310" s="18" t="str">
        <f>IFERROR(__xludf.DUMMYFUNCTION("""COMPUTED_VALUE"""),"")</f>
        <v/>
      </c>
      <c r="K1310" s="19"/>
      <c r="L1310" s="19"/>
      <c r="M1310" s="19"/>
      <c r="N1310" s="19"/>
      <c r="O1310" s="19"/>
    </row>
    <row r="1311">
      <c r="A1311" s="18"/>
      <c r="B1311" s="29"/>
      <c r="C1311" s="19"/>
      <c r="D1311" s="19"/>
      <c r="E1311" s="18"/>
      <c r="F1311" s="18" t="str">
        <f>IFERROR(__xludf.DUMMYFUNCTION("""COMPUTED_VALUE"""),"")</f>
        <v/>
      </c>
      <c r="G1311" s="18" t="str">
        <f>IFERROR(__xludf.DUMMYFUNCTION("""COMPUTED_VALUE"""),"")</f>
        <v/>
      </c>
      <c r="H1311" s="18" t="str">
        <f>IFERROR(__xludf.DUMMYFUNCTION("""COMPUTED_VALUE"""),"")</f>
        <v/>
      </c>
      <c r="I1311" s="18" t="str">
        <f>IFERROR(__xludf.DUMMYFUNCTION("""COMPUTED_VALUE"""),"")</f>
        <v/>
      </c>
      <c r="J1311" s="18" t="str">
        <f>IFERROR(__xludf.DUMMYFUNCTION("""COMPUTED_VALUE"""),"")</f>
        <v/>
      </c>
      <c r="K1311" s="19"/>
      <c r="L1311" s="19"/>
      <c r="M1311" s="19"/>
      <c r="N1311" s="19"/>
      <c r="O1311" s="19"/>
    </row>
    <row r="1312">
      <c r="A1312" s="18"/>
      <c r="B1312" s="29"/>
      <c r="C1312" s="19"/>
      <c r="D1312" s="19"/>
      <c r="E1312" s="18"/>
      <c r="F1312" s="18" t="str">
        <f>IFERROR(__xludf.DUMMYFUNCTION("""COMPUTED_VALUE"""),"")</f>
        <v/>
      </c>
      <c r="G1312" s="18" t="str">
        <f>IFERROR(__xludf.DUMMYFUNCTION("""COMPUTED_VALUE"""),"")</f>
        <v/>
      </c>
      <c r="H1312" s="18" t="str">
        <f>IFERROR(__xludf.DUMMYFUNCTION("""COMPUTED_VALUE"""),"")</f>
        <v/>
      </c>
      <c r="I1312" s="18" t="str">
        <f>IFERROR(__xludf.DUMMYFUNCTION("""COMPUTED_VALUE"""),"")</f>
        <v/>
      </c>
      <c r="J1312" s="18" t="str">
        <f>IFERROR(__xludf.DUMMYFUNCTION("""COMPUTED_VALUE"""),"")</f>
        <v/>
      </c>
      <c r="K1312" s="19"/>
      <c r="L1312" s="19"/>
      <c r="M1312" s="19"/>
      <c r="N1312" s="19"/>
      <c r="O1312" s="19"/>
    </row>
    <row r="1313">
      <c r="A1313" s="18"/>
      <c r="B1313" s="29"/>
      <c r="C1313" s="19"/>
      <c r="D1313" s="19"/>
      <c r="E1313" s="18"/>
      <c r="F1313" s="18" t="str">
        <f>IFERROR(__xludf.DUMMYFUNCTION("""COMPUTED_VALUE"""),"")</f>
        <v/>
      </c>
      <c r="G1313" s="18" t="str">
        <f>IFERROR(__xludf.DUMMYFUNCTION("""COMPUTED_VALUE"""),"")</f>
        <v/>
      </c>
      <c r="H1313" s="18" t="str">
        <f>IFERROR(__xludf.DUMMYFUNCTION("""COMPUTED_VALUE"""),"")</f>
        <v/>
      </c>
      <c r="I1313" s="18" t="str">
        <f>IFERROR(__xludf.DUMMYFUNCTION("""COMPUTED_VALUE"""),"")</f>
        <v/>
      </c>
      <c r="J1313" s="18" t="str">
        <f>IFERROR(__xludf.DUMMYFUNCTION("""COMPUTED_VALUE"""),"")</f>
        <v/>
      </c>
      <c r="K1313" s="19"/>
      <c r="L1313" s="19"/>
      <c r="M1313" s="19"/>
      <c r="N1313" s="19"/>
      <c r="O1313" s="19"/>
    </row>
    <row r="1314">
      <c r="A1314" s="18"/>
      <c r="B1314" s="29"/>
      <c r="C1314" s="19"/>
      <c r="D1314" s="19"/>
      <c r="E1314" s="18"/>
      <c r="F1314" s="18" t="str">
        <f>IFERROR(__xludf.DUMMYFUNCTION("""COMPUTED_VALUE"""),"")</f>
        <v/>
      </c>
      <c r="G1314" s="18" t="str">
        <f>IFERROR(__xludf.DUMMYFUNCTION("""COMPUTED_VALUE"""),"")</f>
        <v/>
      </c>
      <c r="H1314" s="18" t="str">
        <f>IFERROR(__xludf.DUMMYFUNCTION("""COMPUTED_VALUE"""),"")</f>
        <v/>
      </c>
      <c r="I1314" s="18" t="str">
        <f>IFERROR(__xludf.DUMMYFUNCTION("""COMPUTED_VALUE"""),"")</f>
        <v/>
      </c>
      <c r="J1314" s="18" t="str">
        <f>IFERROR(__xludf.DUMMYFUNCTION("""COMPUTED_VALUE"""),"")</f>
        <v/>
      </c>
      <c r="K1314" s="19"/>
      <c r="L1314" s="19"/>
      <c r="M1314" s="19"/>
      <c r="N1314" s="19"/>
      <c r="O1314" s="19"/>
    </row>
    <row r="1315">
      <c r="A1315" s="18"/>
      <c r="B1315" s="29"/>
      <c r="C1315" s="19"/>
      <c r="D1315" s="19"/>
      <c r="E1315" s="18"/>
      <c r="F1315" s="18" t="str">
        <f>IFERROR(__xludf.DUMMYFUNCTION("""COMPUTED_VALUE"""),"")</f>
        <v/>
      </c>
      <c r="G1315" s="18" t="str">
        <f>IFERROR(__xludf.DUMMYFUNCTION("""COMPUTED_VALUE"""),"")</f>
        <v/>
      </c>
      <c r="H1315" s="18" t="str">
        <f>IFERROR(__xludf.DUMMYFUNCTION("""COMPUTED_VALUE"""),"")</f>
        <v/>
      </c>
      <c r="I1315" s="18" t="str">
        <f>IFERROR(__xludf.DUMMYFUNCTION("""COMPUTED_VALUE"""),"")</f>
        <v/>
      </c>
      <c r="J1315" s="18" t="str">
        <f>IFERROR(__xludf.DUMMYFUNCTION("""COMPUTED_VALUE"""),"")</f>
        <v/>
      </c>
      <c r="K1315" s="19"/>
      <c r="L1315" s="19"/>
      <c r="M1315" s="19"/>
      <c r="N1315" s="19"/>
      <c r="O1315" s="19"/>
    </row>
    <row r="1316">
      <c r="A1316" s="18"/>
      <c r="B1316" s="29"/>
      <c r="C1316" s="19"/>
      <c r="D1316" s="19"/>
      <c r="E1316" s="18"/>
      <c r="F1316" s="18" t="str">
        <f>IFERROR(__xludf.DUMMYFUNCTION("""COMPUTED_VALUE"""),"")</f>
        <v/>
      </c>
      <c r="G1316" s="18" t="str">
        <f>IFERROR(__xludf.DUMMYFUNCTION("""COMPUTED_VALUE"""),"")</f>
        <v/>
      </c>
      <c r="H1316" s="18" t="str">
        <f>IFERROR(__xludf.DUMMYFUNCTION("""COMPUTED_VALUE"""),"")</f>
        <v/>
      </c>
      <c r="I1316" s="18" t="str">
        <f>IFERROR(__xludf.DUMMYFUNCTION("""COMPUTED_VALUE"""),"")</f>
        <v/>
      </c>
      <c r="J1316" s="18" t="str">
        <f>IFERROR(__xludf.DUMMYFUNCTION("""COMPUTED_VALUE"""),"")</f>
        <v/>
      </c>
      <c r="K1316" s="19"/>
      <c r="L1316" s="19"/>
      <c r="M1316" s="19"/>
      <c r="N1316" s="19"/>
      <c r="O1316" s="19"/>
    </row>
    <row r="1317">
      <c r="A1317" s="18"/>
      <c r="B1317" s="29"/>
      <c r="C1317" s="19"/>
      <c r="D1317" s="19"/>
      <c r="E1317" s="18"/>
      <c r="F1317" s="18" t="str">
        <f>IFERROR(__xludf.DUMMYFUNCTION("""COMPUTED_VALUE"""),"")</f>
        <v/>
      </c>
      <c r="G1317" s="18" t="str">
        <f>IFERROR(__xludf.DUMMYFUNCTION("""COMPUTED_VALUE"""),"")</f>
        <v/>
      </c>
      <c r="H1317" s="18" t="str">
        <f>IFERROR(__xludf.DUMMYFUNCTION("""COMPUTED_VALUE"""),"")</f>
        <v/>
      </c>
      <c r="I1317" s="18" t="str">
        <f>IFERROR(__xludf.DUMMYFUNCTION("""COMPUTED_VALUE"""),"")</f>
        <v/>
      </c>
      <c r="J1317" s="18" t="str">
        <f>IFERROR(__xludf.DUMMYFUNCTION("""COMPUTED_VALUE"""),"")</f>
        <v/>
      </c>
      <c r="K1317" s="19"/>
      <c r="L1317" s="19"/>
      <c r="M1317" s="19"/>
      <c r="N1317" s="19"/>
      <c r="O1317" s="19"/>
    </row>
    <row r="1318">
      <c r="A1318" s="18"/>
      <c r="B1318" s="29"/>
      <c r="C1318" s="19"/>
      <c r="D1318" s="19"/>
      <c r="E1318" s="18"/>
      <c r="F1318" s="18" t="str">
        <f>IFERROR(__xludf.DUMMYFUNCTION("""COMPUTED_VALUE"""),"")</f>
        <v/>
      </c>
      <c r="G1318" s="18" t="str">
        <f>IFERROR(__xludf.DUMMYFUNCTION("""COMPUTED_VALUE"""),"")</f>
        <v/>
      </c>
      <c r="H1318" s="18" t="str">
        <f>IFERROR(__xludf.DUMMYFUNCTION("""COMPUTED_VALUE"""),"")</f>
        <v/>
      </c>
      <c r="I1318" s="18" t="str">
        <f>IFERROR(__xludf.DUMMYFUNCTION("""COMPUTED_VALUE"""),"")</f>
        <v/>
      </c>
      <c r="J1318" s="18" t="str">
        <f>IFERROR(__xludf.DUMMYFUNCTION("""COMPUTED_VALUE"""),"")</f>
        <v/>
      </c>
      <c r="K1318" s="19"/>
      <c r="L1318" s="19"/>
      <c r="M1318" s="19"/>
      <c r="N1318" s="19"/>
      <c r="O1318" s="19"/>
    </row>
    <row r="1319">
      <c r="A1319" s="18"/>
      <c r="B1319" s="29"/>
      <c r="C1319" s="19"/>
      <c r="D1319" s="19"/>
      <c r="E1319" s="18"/>
      <c r="F1319" s="18" t="str">
        <f>IFERROR(__xludf.DUMMYFUNCTION("""COMPUTED_VALUE"""),"")</f>
        <v/>
      </c>
      <c r="G1319" s="18" t="str">
        <f>IFERROR(__xludf.DUMMYFUNCTION("""COMPUTED_VALUE"""),"")</f>
        <v/>
      </c>
      <c r="H1319" s="18" t="str">
        <f>IFERROR(__xludf.DUMMYFUNCTION("""COMPUTED_VALUE"""),"")</f>
        <v/>
      </c>
      <c r="I1319" s="18" t="str">
        <f>IFERROR(__xludf.DUMMYFUNCTION("""COMPUTED_VALUE"""),"")</f>
        <v/>
      </c>
      <c r="J1319" s="18" t="str">
        <f>IFERROR(__xludf.DUMMYFUNCTION("""COMPUTED_VALUE"""),"")</f>
        <v/>
      </c>
      <c r="K1319" s="19"/>
      <c r="L1319" s="19"/>
      <c r="M1319" s="19"/>
      <c r="N1319" s="19"/>
      <c r="O1319" s="19"/>
    </row>
    <row r="1320">
      <c r="A1320" s="18"/>
      <c r="B1320" s="29"/>
      <c r="C1320" s="19"/>
      <c r="D1320" s="19"/>
      <c r="E1320" s="18"/>
      <c r="F1320" s="18" t="str">
        <f>IFERROR(__xludf.DUMMYFUNCTION("""COMPUTED_VALUE"""),"")</f>
        <v/>
      </c>
      <c r="G1320" s="18" t="str">
        <f>IFERROR(__xludf.DUMMYFUNCTION("""COMPUTED_VALUE"""),"")</f>
        <v/>
      </c>
      <c r="H1320" s="18" t="str">
        <f>IFERROR(__xludf.DUMMYFUNCTION("""COMPUTED_VALUE"""),"")</f>
        <v/>
      </c>
      <c r="I1320" s="18" t="str">
        <f>IFERROR(__xludf.DUMMYFUNCTION("""COMPUTED_VALUE"""),"")</f>
        <v/>
      </c>
      <c r="J1320" s="18" t="str">
        <f>IFERROR(__xludf.DUMMYFUNCTION("""COMPUTED_VALUE"""),"")</f>
        <v/>
      </c>
      <c r="K1320" s="19"/>
      <c r="L1320" s="19"/>
      <c r="M1320" s="19"/>
      <c r="N1320" s="19"/>
      <c r="O1320" s="19"/>
    </row>
    <row r="1321">
      <c r="A1321" s="18"/>
      <c r="B1321" s="29"/>
      <c r="C1321" s="19"/>
      <c r="D1321" s="19"/>
      <c r="E1321" s="18"/>
      <c r="F1321" s="18" t="str">
        <f>IFERROR(__xludf.DUMMYFUNCTION("""COMPUTED_VALUE"""),"")</f>
        <v/>
      </c>
      <c r="G1321" s="18" t="str">
        <f>IFERROR(__xludf.DUMMYFUNCTION("""COMPUTED_VALUE"""),"")</f>
        <v/>
      </c>
      <c r="H1321" s="18" t="str">
        <f>IFERROR(__xludf.DUMMYFUNCTION("""COMPUTED_VALUE"""),"")</f>
        <v/>
      </c>
      <c r="I1321" s="18" t="str">
        <f>IFERROR(__xludf.DUMMYFUNCTION("""COMPUTED_VALUE"""),"")</f>
        <v/>
      </c>
      <c r="J1321" s="18" t="str">
        <f>IFERROR(__xludf.DUMMYFUNCTION("""COMPUTED_VALUE"""),"")</f>
        <v/>
      </c>
      <c r="K1321" s="19"/>
      <c r="L1321" s="19"/>
      <c r="M1321" s="19"/>
      <c r="N1321" s="19"/>
      <c r="O1321" s="19"/>
    </row>
    <row r="1322">
      <c r="A1322" s="18"/>
      <c r="B1322" s="29"/>
      <c r="C1322" s="19"/>
      <c r="D1322" s="19"/>
      <c r="E1322" s="18"/>
      <c r="F1322" s="18" t="str">
        <f>IFERROR(__xludf.DUMMYFUNCTION("""COMPUTED_VALUE"""),"")</f>
        <v/>
      </c>
      <c r="G1322" s="18" t="str">
        <f>IFERROR(__xludf.DUMMYFUNCTION("""COMPUTED_VALUE"""),"")</f>
        <v/>
      </c>
      <c r="H1322" s="18" t="str">
        <f>IFERROR(__xludf.DUMMYFUNCTION("""COMPUTED_VALUE"""),"")</f>
        <v/>
      </c>
      <c r="I1322" s="18" t="str">
        <f>IFERROR(__xludf.DUMMYFUNCTION("""COMPUTED_VALUE"""),"")</f>
        <v/>
      </c>
      <c r="J1322" s="18" t="str">
        <f>IFERROR(__xludf.DUMMYFUNCTION("""COMPUTED_VALUE"""),"")</f>
        <v/>
      </c>
      <c r="K1322" s="19"/>
      <c r="L1322" s="19"/>
      <c r="M1322" s="19"/>
      <c r="N1322" s="19"/>
      <c r="O1322" s="19"/>
    </row>
    <row r="1323">
      <c r="A1323" s="18"/>
      <c r="B1323" s="29"/>
      <c r="C1323" s="19"/>
      <c r="D1323" s="19"/>
      <c r="E1323" s="18"/>
      <c r="F1323" s="18" t="str">
        <f>IFERROR(__xludf.DUMMYFUNCTION("""COMPUTED_VALUE"""),"")</f>
        <v/>
      </c>
      <c r="G1323" s="18" t="str">
        <f>IFERROR(__xludf.DUMMYFUNCTION("""COMPUTED_VALUE"""),"")</f>
        <v/>
      </c>
      <c r="H1323" s="18" t="str">
        <f>IFERROR(__xludf.DUMMYFUNCTION("""COMPUTED_VALUE"""),"")</f>
        <v/>
      </c>
      <c r="I1323" s="18" t="str">
        <f>IFERROR(__xludf.DUMMYFUNCTION("""COMPUTED_VALUE"""),"")</f>
        <v/>
      </c>
      <c r="J1323" s="18" t="str">
        <f>IFERROR(__xludf.DUMMYFUNCTION("""COMPUTED_VALUE"""),"")</f>
        <v/>
      </c>
      <c r="K1323" s="19"/>
      <c r="L1323" s="19"/>
      <c r="M1323" s="19"/>
      <c r="N1323" s="19"/>
      <c r="O1323" s="19"/>
    </row>
    <row r="1324">
      <c r="A1324" s="18"/>
      <c r="B1324" s="29"/>
      <c r="C1324" s="19"/>
      <c r="D1324" s="19"/>
      <c r="E1324" s="18"/>
      <c r="F1324" s="18" t="str">
        <f>IFERROR(__xludf.DUMMYFUNCTION("""COMPUTED_VALUE"""),"")</f>
        <v/>
      </c>
      <c r="G1324" s="18" t="str">
        <f>IFERROR(__xludf.DUMMYFUNCTION("""COMPUTED_VALUE"""),"")</f>
        <v/>
      </c>
      <c r="H1324" s="18" t="str">
        <f>IFERROR(__xludf.DUMMYFUNCTION("""COMPUTED_VALUE"""),"")</f>
        <v/>
      </c>
      <c r="I1324" s="18" t="str">
        <f>IFERROR(__xludf.DUMMYFUNCTION("""COMPUTED_VALUE"""),"")</f>
        <v/>
      </c>
      <c r="J1324" s="18" t="str">
        <f>IFERROR(__xludf.DUMMYFUNCTION("""COMPUTED_VALUE"""),"")</f>
        <v/>
      </c>
      <c r="K1324" s="19"/>
      <c r="L1324" s="19"/>
      <c r="M1324" s="19"/>
      <c r="N1324" s="19"/>
      <c r="O1324" s="19"/>
    </row>
    <row r="1325">
      <c r="A1325" s="18"/>
      <c r="B1325" s="29"/>
      <c r="C1325" s="19"/>
      <c r="D1325" s="19"/>
      <c r="E1325" s="18"/>
      <c r="F1325" s="18" t="str">
        <f>IFERROR(__xludf.DUMMYFUNCTION("""COMPUTED_VALUE"""),"")</f>
        <v/>
      </c>
      <c r="G1325" s="18" t="str">
        <f>IFERROR(__xludf.DUMMYFUNCTION("""COMPUTED_VALUE"""),"")</f>
        <v/>
      </c>
      <c r="H1325" s="18" t="str">
        <f>IFERROR(__xludf.DUMMYFUNCTION("""COMPUTED_VALUE"""),"")</f>
        <v/>
      </c>
      <c r="I1325" s="18" t="str">
        <f>IFERROR(__xludf.DUMMYFUNCTION("""COMPUTED_VALUE"""),"")</f>
        <v/>
      </c>
      <c r="J1325" s="18" t="str">
        <f>IFERROR(__xludf.DUMMYFUNCTION("""COMPUTED_VALUE"""),"")</f>
        <v/>
      </c>
      <c r="K1325" s="19"/>
      <c r="L1325" s="19"/>
      <c r="M1325" s="19"/>
      <c r="N1325" s="19"/>
      <c r="O1325" s="19"/>
    </row>
    <row r="1326">
      <c r="A1326" s="18"/>
      <c r="B1326" s="29"/>
      <c r="C1326" s="19"/>
      <c r="D1326" s="19"/>
      <c r="E1326" s="18"/>
      <c r="F1326" s="18" t="str">
        <f>IFERROR(__xludf.DUMMYFUNCTION("""COMPUTED_VALUE"""),"")</f>
        <v/>
      </c>
      <c r="G1326" s="18" t="str">
        <f>IFERROR(__xludf.DUMMYFUNCTION("""COMPUTED_VALUE"""),"")</f>
        <v/>
      </c>
      <c r="H1326" s="18" t="str">
        <f>IFERROR(__xludf.DUMMYFUNCTION("""COMPUTED_VALUE"""),"")</f>
        <v/>
      </c>
      <c r="I1326" s="18" t="str">
        <f>IFERROR(__xludf.DUMMYFUNCTION("""COMPUTED_VALUE"""),"")</f>
        <v/>
      </c>
      <c r="J1326" s="18" t="str">
        <f>IFERROR(__xludf.DUMMYFUNCTION("""COMPUTED_VALUE"""),"")</f>
        <v/>
      </c>
      <c r="K1326" s="19"/>
      <c r="L1326" s="19"/>
      <c r="M1326" s="19"/>
      <c r="N1326" s="19"/>
      <c r="O1326" s="19"/>
    </row>
    <row r="1327">
      <c r="A1327" s="18"/>
      <c r="B1327" s="29"/>
      <c r="C1327" s="19"/>
      <c r="D1327" s="19"/>
      <c r="E1327" s="18"/>
      <c r="F1327" s="18" t="str">
        <f>IFERROR(__xludf.DUMMYFUNCTION("""COMPUTED_VALUE"""),"")</f>
        <v/>
      </c>
      <c r="G1327" s="18" t="str">
        <f>IFERROR(__xludf.DUMMYFUNCTION("""COMPUTED_VALUE"""),"")</f>
        <v/>
      </c>
      <c r="H1327" s="18" t="str">
        <f>IFERROR(__xludf.DUMMYFUNCTION("""COMPUTED_VALUE"""),"")</f>
        <v/>
      </c>
      <c r="I1327" s="18" t="str">
        <f>IFERROR(__xludf.DUMMYFUNCTION("""COMPUTED_VALUE"""),"")</f>
        <v/>
      </c>
      <c r="J1327" s="18" t="str">
        <f>IFERROR(__xludf.DUMMYFUNCTION("""COMPUTED_VALUE"""),"")</f>
        <v/>
      </c>
      <c r="K1327" s="19"/>
      <c r="L1327" s="19"/>
      <c r="M1327" s="19"/>
      <c r="N1327" s="19"/>
      <c r="O1327" s="19"/>
    </row>
    <row r="1328">
      <c r="A1328" s="18"/>
      <c r="B1328" s="29"/>
      <c r="C1328" s="19"/>
      <c r="D1328" s="19"/>
      <c r="E1328" s="18"/>
      <c r="F1328" s="18" t="str">
        <f>IFERROR(__xludf.DUMMYFUNCTION("""COMPUTED_VALUE"""),"")</f>
        <v/>
      </c>
      <c r="G1328" s="18" t="str">
        <f>IFERROR(__xludf.DUMMYFUNCTION("""COMPUTED_VALUE"""),"")</f>
        <v/>
      </c>
      <c r="H1328" s="18" t="str">
        <f>IFERROR(__xludf.DUMMYFUNCTION("""COMPUTED_VALUE"""),"")</f>
        <v/>
      </c>
      <c r="I1328" s="18" t="str">
        <f>IFERROR(__xludf.DUMMYFUNCTION("""COMPUTED_VALUE"""),"")</f>
        <v/>
      </c>
      <c r="J1328" s="18" t="str">
        <f>IFERROR(__xludf.DUMMYFUNCTION("""COMPUTED_VALUE"""),"")</f>
        <v/>
      </c>
      <c r="K1328" s="19"/>
      <c r="L1328" s="19"/>
      <c r="M1328" s="19"/>
      <c r="N1328" s="19"/>
      <c r="O1328" s="19"/>
    </row>
    <row r="1329">
      <c r="A1329" s="18"/>
      <c r="B1329" s="29"/>
      <c r="C1329" s="19"/>
      <c r="D1329" s="19"/>
      <c r="E1329" s="18"/>
      <c r="F1329" s="18" t="str">
        <f>IFERROR(__xludf.DUMMYFUNCTION("""COMPUTED_VALUE"""),"")</f>
        <v/>
      </c>
      <c r="G1329" s="18" t="str">
        <f>IFERROR(__xludf.DUMMYFUNCTION("""COMPUTED_VALUE"""),"")</f>
        <v/>
      </c>
      <c r="H1329" s="18" t="str">
        <f>IFERROR(__xludf.DUMMYFUNCTION("""COMPUTED_VALUE"""),"")</f>
        <v/>
      </c>
      <c r="I1329" s="18" t="str">
        <f>IFERROR(__xludf.DUMMYFUNCTION("""COMPUTED_VALUE"""),"")</f>
        <v/>
      </c>
      <c r="J1329" s="18" t="str">
        <f>IFERROR(__xludf.DUMMYFUNCTION("""COMPUTED_VALUE"""),"")</f>
        <v/>
      </c>
      <c r="K1329" s="19"/>
      <c r="L1329" s="19"/>
      <c r="M1329" s="19"/>
      <c r="N1329" s="19"/>
      <c r="O1329" s="19"/>
    </row>
    <row r="1330">
      <c r="A1330" s="18"/>
      <c r="B1330" s="29"/>
      <c r="C1330" s="19"/>
      <c r="D1330" s="19"/>
      <c r="E1330" s="18"/>
      <c r="F1330" s="18" t="str">
        <f>IFERROR(__xludf.DUMMYFUNCTION("""COMPUTED_VALUE"""),"")</f>
        <v/>
      </c>
      <c r="G1330" s="18" t="str">
        <f>IFERROR(__xludf.DUMMYFUNCTION("""COMPUTED_VALUE"""),"")</f>
        <v/>
      </c>
      <c r="H1330" s="18" t="str">
        <f>IFERROR(__xludf.DUMMYFUNCTION("""COMPUTED_VALUE"""),"")</f>
        <v/>
      </c>
      <c r="I1330" s="18" t="str">
        <f>IFERROR(__xludf.DUMMYFUNCTION("""COMPUTED_VALUE"""),"")</f>
        <v/>
      </c>
      <c r="J1330" s="18" t="str">
        <f>IFERROR(__xludf.DUMMYFUNCTION("""COMPUTED_VALUE"""),"")</f>
        <v/>
      </c>
      <c r="K1330" s="19"/>
      <c r="L1330" s="19"/>
      <c r="M1330" s="19"/>
      <c r="N1330" s="19"/>
      <c r="O1330" s="19"/>
    </row>
    <row r="1331">
      <c r="A1331" s="18"/>
      <c r="B1331" s="29"/>
      <c r="C1331" s="19"/>
      <c r="D1331" s="19"/>
      <c r="E1331" s="18"/>
      <c r="F1331" s="18" t="str">
        <f>IFERROR(__xludf.DUMMYFUNCTION("""COMPUTED_VALUE"""),"")</f>
        <v/>
      </c>
      <c r="G1331" s="18" t="str">
        <f>IFERROR(__xludf.DUMMYFUNCTION("""COMPUTED_VALUE"""),"")</f>
        <v/>
      </c>
      <c r="H1331" s="18" t="str">
        <f>IFERROR(__xludf.DUMMYFUNCTION("""COMPUTED_VALUE"""),"")</f>
        <v/>
      </c>
      <c r="I1331" s="18" t="str">
        <f>IFERROR(__xludf.DUMMYFUNCTION("""COMPUTED_VALUE"""),"")</f>
        <v/>
      </c>
      <c r="J1331" s="18" t="str">
        <f>IFERROR(__xludf.DUMMYFUNCTION("""COMPUTED_VALUE"""),"")</f>
        <v/>
      </c>
      <c r="K1331" s="19"/>
      <c r="L1331" s="19"/>
      <c r="M1331" s="19"/>
      <c r="N1331" s="19"/>
      <c r="O1331" s="19"/>
    </row>
    <row r="1332">
      <c r="A1332" s="18"/>
      <c r="B1332" s="29"/>
      <c r="C1332" s="19"/>
      <c r="D1332" s="19"/>
      <c r="E1332" s="18"/>
      <c r="F1332" s="18" t="str">
        <f>IFERROR(__xludf.DUMMYFUNCTION("""COMPUTED_VALUE"""),"")</f>
        <v/>
      </c>
      <c r="G1332" s="18" t="str">
        <f>IFERROR(__xludf.DUMMYFUNCTION("""COMPUTED_VALUE"""),"")</f>
        <v/>
      </c>
      <c r="H1332" s="18" t="str">
        <f>IFERROR(__xludf.DUMMYFUNCTION("""COMPUTED_VALUE"""),"")</f>
        <v/>
      </c>
      <c r="I1332" s="18" t="str">
        <f>IFERROR(__xludf.DUMMYFUNCTION("""COMPUTED_VALUE"""),"")</f>
        <v/>
      </c>
      <c r="J1332" s="18" t="str">
        <f>IFERROR(__xludf.DUMMYFUNCTION("""COMPUTED_VALUE"""),"")</f>
        <v/>
      </c>
      <c r="K1332" s="19"/>
      <c r="L1332" s="19"/>
      <c r="M1332" s="19"/>
      <c r="N1332" s="19"/>
      <c r="O1332" s="19"/>
    </row>
    <row r="1333">
      <c r="A1333" s="18"/>
      <c r="B1333" s="29"/>
      <c r="C1333" s="19"/>
      <c r="D1333" s="19"/>
      <c r="E1333" s="18"/>
      <c r="F1333" s="18" t="str">
        <f>IFERROR(__xludf.DUMMYFUNCTION("""COMPUTED_VALUE"""),"")</f>
        <v/>
      </c>
      <c r="G1333" s="18" t="str">
        <f>IFERROR(__xludf.DUMMYFUNCTION("""COMPUTED_VALUE"""),"")</f>
        <v/>
      </c>
      <c r="H1333" s="18" t="str">
        <f>IFERROR(__xludf.DUMMYFUNCTION("""COMPUTED_VALUE"""),"")</f>
        <v/>
      </c>
      <c r="I1333" s="18" t="str">
        <f>IFERROR(__xludf.DUMMYFUNCTION("""COMPUTED_VALUE"""),"")</f>
        <v/>
      </c>
      <c r="J1333" s="18" t="str">
        <f>IFERROR(__xludf.DUMMYFUNCTION("""COMPUTED_VALUE"""),"")</f>
        <v/>
      </c>
      <c r="K1333" s="19"/>
      <c r="L1333" s="19"/>
      <c r="M1333" s="19"/>
      <c r="N1333" s="19"/>
      <c r="O1333" s="19"/>
    </row>
    <row r="1334">
      <c r="A1334" s="18"/>
      <c r="B1334" s="29"/>
      <c r="C1334" s="19"/>
      <c r="D1334" s="19"/>
      <c r="E1334" s="18"/>
      <c r="F1334" s="18" t="str">
        <f>IFERROR(__xludf.DUMMYFUNCTION("""COMPUTED_VALUE"""),"")</f>
        <v/>
      </c>
      <c r="G1334" s="18" t="str">
        <f>IFERROR(__xludf.DUMMYFUNCTION("""COMPUTED_VALUE"""),"")</f>
        <v/>
      </c>
      <c r="H1334" s="18" t="str">
        <f>IFERROR(__xludf.DUMMYFUNCTION("""COMPUTED_VALUE"""),"")</f>
        <v/>
      </c>
      <c r="I1334" s="18" t="str">
        <f>IFERROR(__xludf.DUMMYFUNCTION("""COMPUTED_VALUE"""),"")</f>
        <v/>
      </c>
      <c r="J1334" s="18" t="str">
        <f>IFERROR(__xludf.DUMMYFUNCTION("""COMPUTED_VALUE"""),"")</f>
        <v/>
      </c>
      <c r="K1334" s="19"/>
      <c r="L1334" s="19"/>
      <c r="M1334" s="19"/>
      <c r="N1334" s="19"/>
      <c r="O1334" s="19"/>
    </row>
    <row r="1335">
      <c r="A1335" s="18"/>
      <c r="B1335" s="29"/>
      <c r="C1335" s="19"/>
      <c r="D1335" s="19"/>
      <c r="E1335" s="18"/>
      <c r="F1335" s="18" t="str">
        <f>IFERROR(__xludf.DUMMYFUNCTION("""COMPUTED_VALUE"""),"")</f>
        <v/>
      </c>
      <c r="G1335" s="18" t="str">
        <f>IFERROR(__xludf.DUMMYFUNCTION("""COMPUTED_VALUE"""),"")</f>
        <v/>
      </c>
      <c r="H1335" s="18" t="str">
        <f>IFERROR(__xludf.DUMMYFUNCTION("""COMPUTED_VALUE"""),"")</f>
        <v/>
      </c>
      <c r="I1335" s="18" t="str">
        <f>IFERROR(__xludf.DUMMYFUNCTION("""COMPUTED_VALUE"""),"")</f>
        <v/>
      </c>
      <c r="J1335" s="18" t="str">
        <f>IFERROR(__xludf.DUMMYFUNCTION("""COMPUTED_VALUE"""),"")</f>
        <v/>
      </c>
      <c r="K1335" s="19"/>
      <c r="L1335" s="19"/>
      <c r="M1335" s="19"/>
      <c r="N1335" s="19"/>
      <c r="O1335" s="19"/>
    </row>
    <row r="1336">
      <c r="A1336" s="18"/>
      <c r="B1336" s="29"/>
      <c r="C1336" s="19"/>
      <c r="D1336" s="19"/>
      <c r="E1336" s="18"/>
      <c r="F1336" s="18" t="str">
        <f>IFERROR(__xludf.DUMMYFUNCTION("""COMPUTED_VALUE"""),"")</f>
        <v/>
      </c>
      <c r="G1336" s="18" t="str">
        <f>IFERROR(__xludf.DUMMYFUNCTION("""COMPUTED_VALUE"""),"")</f>
        <v/>
      </c>
      <c r="H1336" s="18" t="str">
        <f>IFERROR(__xludf.DUMMYFUNCTION("""COMPUTED_VALUE"""),"")</f>
        <v/>
      </c>
      <c r="I1336" s="18" t="str">
        <f>IFERROR(__xludf.DUMMYFUNCTION("""COMPUTED_VALUE"""),"")</f>
        <v/>
      </c>
      <c r="J1336" s="18" t="str">
        <f>IFERROR(__xludf.DUMMYFUNCTION("""COMPUTED_VALUE"""),"")</f>
        <v/>
      </c>
      <c r="K1336" s="19"/>
      <c r="L1336" s="19"/>
      <c r="M1336" s="19"/>
      <c r="N1336" s="19"/>
      <c r="O1336" s="19"/>
    </row>
    <row r="1337">
      <c r="A1337" s="18"/>
      <c r="B1337" s="29"/>
      <c r="C1337" s="19"/>
      <c r="D1337" s="19"/>
      <c r="E1337" s="18"/>
      <c r="F1337" s="18" t="str">
        <f>IFERROR(__xludf.DUMMYFUNCTION("""COMPUTED_VALUE"""),"")</f>
        <v/>
      </c>
      <c r="G1337" s="18" t="str">
        <f>IFERROR(__xludf.DUMMYFUNCTION("""COMPUTED_VALUE"""),"")</f>
        <v/>
      </c>
      <c r="H1337" s="18" t="str">
        <f>IFERROR(__xludf.DUMMYFUNCTION("""COMPUTED_VALUE"""),"")</f>
        <v/>
      </c>
      <c r="I1337" s="18" t="str">
        <f>IFERROR(__xludf.DUMMYFUNCTION("""COMPUTED_VALUE"""),"")</f>
        <v/>
      </c>
      <c r="J1337" s="18" t="str">
        <f>IFERROR(__xludf.DUMMYFUNCTION("""COMPUTED_VALUE"""),"")</f>
        <v/>
      </c>
      <c r="K1337" s="19"/>
      <c r="L1337" s="19"/>
      <c r="M1337" s="19"/>
      <c r="N1337" s="19"/>
      <c r="O1337" s="19"/>
    </row>
    <row r="1338">
      <c r="A1338" s="18"/>
      <c r="B1338" s="29"/>
      <c r="C1338" s="19"/>
      <c r="D1338" s="19"/>
      <c r="E1338" s="18"/>
      <c r="F1338" s="18" t="str">
        <f>IFERROR(__xludf.DUMMYFUNCTION("""COMPUTED_VALUE"""),"")</f>
        <v/>
      </c>
      <c r="G1338" s="18" t="str">
        <f>IFERROR(__xludf.DUMMYFUNCTION("""COMPUTED_VALUE"""),"")</f>
        <v/>
      </c>
      <c r="H1338" s="18" t="str">
        <f>IFERROR(__xludf.DUMMYFUNCTION("""COMPUTED_VALUE"""),"")</f>
        <v/>
      </c>
      <c r="I1338" s="18" t="str">
        <f>IFERROR(__xludf.DUMMYFUNCTION("""COMPUTED_VALUE"""),"")</f>
        <v/>
      </c>
      <c r="J1338" s="18" t="str">
        <f>IFERROR(__xludf.DUMMYFUNCTION("""COMPUTED_VALUE"""),"")</f>
        <v/>
      </c>
      <c r="K1338" s="19"/>
      <c r="L1338" s="19"/>
      <c r="M1338" s="19"/>
      <c r="N1338" s="19"/>
      <c r="O1338" s="19"/>
    </row>
    <row r="1339">
      <c r="A1339" s="18"/>
      <c r="B1339" s="29"/>
      <c r="C1339" s="19"/>
      <c r="D1339" s="19"/>
      <c r="E1339" s="18"/>
      <c r="F1339" s="18" t="str">
        <f>IFERROR(__xludf.DUMMYFUNCTION("""COMPUTED_VALUE"""),"")</f>
        <v/>
      </c>
      <c r="G1339" s="18" t="str">
        <f>IFERROR(__xludf.DUMMYFUNCTION("""COMPUTED_VALUE"""),"")</f>
        <v/>
      </c>
      <c r="H1339" s="18" t="str">
        <f>IFERROR(__xludf.DUMMYFUNCTION("""COMPUTED_VALUE"""),"")</f>
        <v/>
      </c>
      <c r="I1339" s="18" t="str">
        <f>IFERROR(__xludf.DUMMYFUNCTION("""COMPUTED_VALUE"""),"")</f>
        <v/>
      </c>
      <c r="J1339" s="18" t="str">
        <f>IFERROR(__xludf.DUMMYFUNCTION("""COMPUTED_VALUE"""),"")</f>
        <v/>
      </c>
      <c r="K1339" s="19"/>
      <c r="L1339" s="19"/>
      <c r="M1339" s="19"/>
      <c r="N1339" s="19"/>
      <c r="O1339" s="19"/>
    </row>
    <row r="1340">
      <c r="A1340" s="18"/>
      <c r="B1340" s="29"/>
      <c r="C1340" s="19"/>
      <c r="D1340" s="19"/>
      <c r="E1340" s="18"/>
      <c r="F1340" s="18" t="str">
        <f>IFERROR(__xludf.DUMMYFUNCTION("""COMPUTED_VALUE"""),"")</f>
        <v/>
      </c>
      <c r="G1340" s="18" t="str">
        <f>IFERROR(__xludf.DUMMYFUNCTION("""COMPUTED_VALUE"""),"")</f>
        <v/>
      </c>
      <c r="H1340" s="18" t="str">
        <f>IFERROR(__xludf.DUMMYFUNCTION("""COMPUTED_VALUE"""),"")</f>
        <v/>
      </c>
      <c r="I1340" s="18" t="str">
        <f>IFERROR(__xludf.DUMMYFUNCTION("""COMPUTED_VALUE"""),"")</f>
        <v/>
      </c>
      <c r="J1340" s="18" t="str">
        <f>IFERROR(__xludf.DUMMYFUNCTION("""COMPUTED_VALUE"""),"")</f>
        <v/>
      </c>
      <c r="K1340" s="19"/>
      <c r="L1340" s="19"/>
      <c r="M1340" s="19"/>
      <c r="N1340" s="19"/>
      <c r="O1340" s="19"/>
    </row>
    <row r="1341">
      <c r="A1341" s="18"/>
      <c r="B1341" s="29"/>
      <c r="C1341" s="19"/>
      <c r="D1341" s="19"/>
      <c r="E1341" s="18"/>
      <c r="F1341" s="18" t="str">
        <f>IFERROR(__xludf.DUMMYFUNCTION("""COMPUTED_VALUE"""),"")</f>
        <v/>
      </c>
      <c r="G1341" s="18" t="str">
        <f>IFERROR(__xludf.DUMMYFUNCTION("""COMPUTED_VALUE"""),"")</f>
        <v/>
      </c>
      <c r="H1341" s="18" t="str">
        <f>IFERROR(__xludf.DUMMYFUNCTION("""COMPUTED_VALUE"""),"")</f>
        <v/>
      </c>
      <c r="I1341" s="18" t="str">
        <f>IFERROR(__xludf.DUMMYFUNCTION("""COMPUTED_VALUE"""),"")</f>
        <v/>
      </c>
      <c r="J1341" s="18" t="str">
        <f>IFERROR(__xludf.DUMMYFUNCTION("""COMPUTED_VALUE"""),"")</f>
        <v/>
      </c>
      <c r="K1341" s="19"/>
      <c r="L1341" s="19"/>
      <c r="M1341" s="19"/>
      <c r="N1341" s="19"/>
      <c r="O1341" s="19"/>
    </row>
    <row r="1342">
      <c r="A1342" s="18"/>
      <c r="B1342" s="29"/>
      <c r="C1342" s="19"/>
      <c r="D1342" s="19"/>
      <c r="E1342" s="18"/>
      <c r="F1342" s="18" t="str">
        <f>IFERROR(__xludf.DUMMYFUNCTION("""COMPUTED_VALUE"""),"")</f>
        <v/>
      </c>
      <c r="G1342" s="18" t="str">
        <f>IFERROR(__xludf.DUMMYFUNCTION("""COMPUTED_VALUE"""),"")</f>
        <v/>
      </c>
      <c r="H1342" s="18" t="str">
        <f>IFERROR(__xludf.DUMMYFUNCTION("""COMPUTED_VALUE"""),"")</f>
        <v/>
      </c>
      <c r="I1342" s="18" t="str">
        <f>IFERROR(__xludf.DUMMYFUNCTION("""COMPUTED_VALUE"""),"")</f>
        <v/>
      </c>
      <c r="J1342" s="18" t="str">
        <f>IFERROR(__xludf.DUMMYFUNCTION("""COMPUTED_VALUE"""),"")</f>
        <v/>
      </c>
      <c r="K1342" s="19"/>
      <c r="L1342" s="19"/>
      <c r="M1342" s="19"/>
      <c r="N1342" s="19"/>
      <c r="O1342" s="19"/>
    </row>
    <row r="1343">
      <c r="A1343" s="18"/>
      <c r="B1343" s="29"/>
      <c r="C1343" s="19"/>
      <c r="D1343" s="19"/>
      <c r="E1343" s="18"/>
      <c r="F1343" s="18" t="str">
        <f>IFERROR(__xludf.DUMMYFUNCTION("""COMPUTED_VALUE"""),"")</f>
        <v/>
      </c>
      <c r="G1343" s="18" t="str">
        <f>IFERROR(__xludf.DUMMYFUNCTION("""COMPUTED_VALUE"""),"")</f>
        <v/>
      </c>
      <c r="H1343" s="18" t="str">
        <f>IFERROR(__xludf.DUMMYFUNCTION("""COMPUTED_VALUE"""),"")</f>
        <v/>
      </c>
      <c r="I1343" s="18" t="str">
        <f>IFERROR(__xludf.DUMMYFUNCTION("""COMPUTED_VALUE"""),"")</f>
        <v/>
      </c>
      <c r="J1343" s="18" t="str">
        <f>IFERROR(__xludf.DUMMYFUNCTION("""COMPUTED_VALUE"""),"")</f>
        <v/>
      </c>
      <c r="K1343" s="19"/>
      <c r="L1343" s="19"/>
      <c r="M1343" s="19"/>
      <c r="N1343" s="19"/>
      <c r="O1343" s="19"/>
    </row>
    <row r="1344">
      <c r="A1344" s="18"/>
      <c r="B1344" s="29"/>
      <c r="C1344" s="19"/>
      <c r="D1344" s="19"/>
      <c r="E1344" s="18"/>
      <c r="F1344" s="18" t="str">
        <f>IFERROR(__xludf.DUMMYFUNCTION("""COMPUTED_VALUE"""),"")</f>
        <v/>
      </c>
      <c r="G1344" s="18" t="str">
        <f>IFERROR(__xludf.DUMMYFUNCTION("""COMPUTED_VALUE"""),"")</f>
        <v/>
      </c>
      <c r="H1344" s="18" t="str">
        <f>IFERROR(__xludf.DUMMYFUNCTION("""COMPUTED_VALUE"""),"")</f>
        <v/>
      </c>
      <c r="I1344" s="18" t="str">
        <f>IFERROR(__xludf.DUMMYFUNCTION("""COMPUTED_VALUE"""),"")</f>
        <v/>
      </c>
      <c r="J1344" s="18" t="str">
        <f>IFERROR(__xludf.DUMMYFUNCTION("""COMPUTED_VALUE"""),"")</f>
        <v/>
      </c>
      <c r="K1344" s="19"/>
      <c r="L1344" s="19"/>
      <c r="M1344" s="19"/>
      <c r="N1344" s="19"/>
      <c r="O1344" s="19"/>
    </row>
    <row r="1345">
      <c r="A1345" s="18"/>
      <c r="B1345" s="29"/>
      <c r="C1345" s="19"/>
      <c r="D1345" s="19"/>
      <c r="E1345" s="18"/>
      <c r="F1345" s="18" t="str">
        <f>IFERROR(__xludf.DUMMYFUNCTION("""COMPUTED_VALUE"""),"")</f>
        <v/>
      </c>
      <c r="G1345" s="18" t="str">
        <f>IFERROR(__xludf.DUMMYFUNCTION("""COMPUTED_VALUE"""),"")</f>
        <v/>
      </c>
      <c r="H1345" s="18" t="str">
        <f>IFERROR(__xludf.DUMMYFUNCTION("""COMPUTED_VALUE"""),"")</f>
        <v/>
      </c>
      <c r="I1345" s="18" t="str">
        <f>IFERROR(__xludf.DUMMYFUNCTION("""COMPUTED_VALUE"""),"")</f>
        <v/>
      </c>
      <c r="J1345" s="18" t="str">
        <f>IFERROR(__xludf.DUMMYFUNCTION("""COMPUTED_VALUE"""),"")</f>
        <v/>
      </c>
      <c r="K1345" s="19"/>
      <c r="L1345" s="19"/>
      <c r="M1345" s="19"/>
      <c r="N1345" s="19"/>
      <c r="O1345" s="19"/>
    </row>
    <row r="1346">
      <c r="A1346" s="18"/>
      <c r="B1346" s="29"/>
      <c r="C1346" s="19"/>
      <c r="D1346" s="19"/>
      <c r="E1346" s="18"/>
      <c r="F1346" s="18" t="str">
        <f>IFERROR(__xludf.DUMMYFUNCTION("""COMPUTED_VALUE"""),"")</f>
        <v/>
      </c>
      <c r="G1346" s="18" t="str">
        <f>IFERROR(__xludf.DUMMYFUNCTION("""COMPUTED_VALUE"""),"")</f>
        <v/>
      </c>
      <c r="H1346" s="18" t="str">
        <f>IFERROR(__xludf.DUMMYFUNCTION("""COMPUTED_VALUE"""),"")</f>
        <v/>
      </c>
      <c r="I1346" s="18" t="str">
        <f>IFERROR(__xludf.DUMMYFUNCTION("""COMPUTED_VALUE"""),"")</f>
        <v/>
      </c>
      <c r="J1346" s="18" t="str">
        <f>IFERROR(__xludf.DUMMYFUNCTION("""COMPUTED_VALUE"""),"")</f>
        <v/>
      </c>
      <c r="K1346" s="19"/>
      <c r="L1346" s="19"/>
      <c r="M1346" s="19"/>
      <c r="N1346" s="19"/>
      <c r="O1346" s="19"/>
    </row>
    <row r="1347">
      <c r="A1347" s="18"/>
      <c r="B1347" s="29"/>
      <c r="C1347" s="19"/>
      <c r="D1347" s="19"/>
      <c r="E1347" s="18"/>
      <c r="F1347" s="18" t="str">
        <f>IFERROR(__xludf.DUMMYFUNCTION("""COMPUTED_VALUE"""),"")</f>
        <v/>
      </c>
      <c r="G1347" s="18" t="str">
        <f>IFERROR(__xludf.DUMMYFUNCTION("""COMPUTED_VALUE"""),"")</f>
        <v/>
      </c>
      <c r="H1347" s="18" t="str">
        <f>IFERROR(__xludf.DUMMYFUNCTION("""COMPUTED_VALUE"""),"")</f>
        <v/>
      </c>
      <c r="I1347" s="18" t="str">
        <f>IFERROR(__xludf.DUMMYFUNCTION("""COMPUTED_VALUE"""),"")</f>
        <v/>
      </c>
      <c r="J1347" s="18" t="str">
        <f>IFERROR(__xludf.DUMMYFUNCTION("""COMPUTED_VALUE"""),"")</f>
        <v/>
      </c>
      <c r="K1347" s="19"/>
      <c r="L1347" s="19"/>
      <c r="M1347" s="19"/>
      <c r="N1347" s="19"/>
      <c r="O1347" s="19"/>
    </row>
    <row r="1348">
      <c r="A1348" s="18"/>
      <c r="B1348" s="29"/>
      <c r="C1348" s="19"/>
      <c r="D1348" s="19"/>
      <c r="E1348" s="18"/>
      <c r="F1348" s="18" t="str">
        <f>IFERROR(__xludf.DUMMYFUNCTION("""COMPUTED_VALUE"""),"")</f>
        <v/>
      </c>
      <c r="G1348" s="18" t="str">
        <f>IFERROR(__xludf.DUMMYFUNCTION("""COMPUTED_VALUE"""),"")</f>
        <v/>
      </c>
      <c r="H1348" s="18" t="str">
        <f>IFERROR(__xludf.DUMMYFUNCTION("""COMPUTED_VALUE"""),"")</f>
        <v/>
      </c>
      <c r="I1348" s="18" t="str">
        <f>IFERROR(__xludf.DUMMYFUNCTION("""COMPUTED_VALUE"""),"")</f>
        <v/>
      </c>
      <c r="J1348" s="18" t="str">
        <f>IFERROR(__xludf.DUMMYFUNCTION("""COMPUTED_VALUE"""),"")</f>
        <v/>
      </c>
      <c r="K1348" s="19"/>
      <c r="L1348" s="19"/>
      <c r="M1348" s="19"/>
      <c r="N1348" s="19"/>
      <c r="O1348" s="19"/>
    </row>
    <row r="1349">
      <c r="A1349" s="18"/>
      <c r="B1349" s="29"/>
      <c r="C1349" s="19"/>
      <c r="D1349" s="19"/>
      <c r="E1349" s="18"/>
      <c r="F1349" s="18" t="str">
        <f>IFERROR(__xludf.DUMMYFUNCTION("""COMPUTED_VALUE"""),"")</f>
        <v/>
      </c>
      <c r="G1349" s="18" t="str">
        <f>IFERROR(__xludf.DUMMYFUNCTION("""COMPUTED_VALUE"""),"")</f>
        <v/>
      </c>
      <c r="H1349" s="18" t="str">
        <f>IFERROR(__xludf.DUMMYFUNCTION("""COMPUTED_VALUE"""),"")</f>
        <v/>
      </c>
      <c r="I1349" s="18" t="str">
        <f>IFERROR(__xludf.DUMMYFUNCTION("""COMPUTED_VALUE"""),"")</f>
        <v/>
      </c>
      <c r="J1349" s="18" t="str">
        <f>IFERROR(__xludf.DUMMYFUNCTION("""COMPUTED_VALUE"""),"")</f>
        <v/>
      </c>
      <c r="K1349" s="19"/>
      <c r="L1349" s="19"/>
      <c r="M1349" s="19"/>
      <c r="N1349" s="19"/>
      <c r="O1349" s="19"/>
    </row>
    <row r="1350">
      <c r="A1350" s="18"/>
      <c r="B1350" s="29"/>
      <c r="C1350" s="19"/>
      <c r="D1350" s="19"/>
      <c r="E1350" s="18"/>
      <c r="F1350" s="18" t="str">
        <f>IFERROR(__xludf.DUMMYFUNCTION("""COMPUTED_VALUE"""),"")</f>
        <v/>
      </c>
      <c r="G1350" s="18" t="str">
        <f>IFERROR(__xludf.DUMMYFUNCTION("""COMPUTED_VALUE"""),"")</f>
        <v/>
      </c>
      <c r="H1350" s="18" t="str">
        <f>IFERROR(__xludf.DUMMYFUNCTION("""COMPUTED_VALUE"""),"")</f>
        <v/>
      </c>
      <c r="I1350" s="18" t="str">
        <f>IFERROR(__xludf.DUMMYFUNCTION("""COMPUTED_VALUE"""),"")</f>
        <v/>
      </c>
      <c r="J1350" s="18" t="str">
        <f>IFERROR(__xludf.DUMMYFUNCTION("""COMPUTED_VALUE"""),"")</f>
        <v/>
      </c>
      <c r="K1350" s="19"/>
      <c r="L1350" s="19"/>
      <c r="M1350" s="19"/>
      <c r="N1350" s="19"/>
      <c r="O1350" s="19"/>
    </row>
    <row r="1351">
      <c r="A1351" s="18"/>
      <c r="B1351" s="29"/>
      <c r="C1351" s="19"/>
      <c r="D1351" s="19"/>
      <c r="E1351" s="18"/>
      <c r="F1351" s="18" t="str">
        <f>IFERROR(__xludf.DUMMYFUNCTION("""COMPUTED_VALUE"""),"")</f>
        <v/>
      </c>
      <c r="G1351" s="18" t="str">
        <f>IFERROR(__xludf.DUMMYFUNCTION("""COMPUTED_VALUE"""),"")</f>
        <v/>
      </c>
      <c r="H1351" s="18" t="str">
        <f>IFERROR(__xludf.DUMMYFUNCTION("""COMPUTED_VALUE"""),"")</f>
        <v/>
      </c>
      <c r="I1351" s="18" t="str">
        <f>IFERROR(__xludf.DUMMYFUNCTION("""COMPUTED_VALUE"""),"")</f>
        <v/>
      </c>
      <c r="J1351" s="18" t="str">
        <f>IFERROR(__xludf.DUMMYFUNCTION("""COMPUTED_VALUE"""),"")</f>
        <v/>
      </c>
      <c r="K1351" s="19"/>
      <c r="L1351" s="19"/>
      <c r="M1351" s="19"/>
      <c r="N1351" s="19"/>
      <c r="O1351" s="19"/>
    </row>
  </sheetData>
  <conditionalFormatting sqref="N2:N327 O2:O205">
    <cfRule type="containsText" dxfId="0" priority="1" operator="containsText" text="SIM">
      <formula>NOT(ISERROR(SEARCH(("SIM"),(N2))))</formula>
    </cfRule>
  </conditionalFormatting>
  <conditionalFormatting sqref="N2:N327 O2:O205">
    <cfRule type="containsText" dxfId="1" priority="2" operator="containsText" text="NÃO">
      <formula>NOT(ISERROR(SEARCH(("NÃO"),(N2))))</formula>
    </cfRule>
  </conditionalFormatting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</hyperlinks>
  <drawing r:id="rId34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28.88"/>
    <col customWidth="1" min="3" max="3" width="39.63"/>
  </cols>
  <sheetData>
    <row r="1">
      <c r="A1" s="12" t="s">
        <v>23</v>
      </c>
      <c r="B1" s="12" t="s">
        <v>1294</v>
      </c>
      <c r="C1" s="12" t="s">
        <v>35</v>
      </c>
    </row>
    <row r="2">
      <c r="A2" s="30" t="s">
        <v>1295</v>
      </c>
      <c r="B2" s="31">
        <v>5.511992398632E12</v>
      </c>
      <c r="C2" s="32" t="str">
        <f t="shared" ref="C2:C284" si="1">RIGHT(B2,8)</f>
        <v>92398632</v>
      </c>
    </row>
    <row r="3">
      <c r="A3" s="30" t="s">
        <v>1295</v>
      </c>
      <c r="B3" s="31">
        <v>5.511984977222E12</v>
      </c>
      <c r="C3" s="32" t="str">
        <f t="shared" si="1"/>
        <v>84977222</v>
      </c>
    </row>
    <row r="4">
      <c r="A4" s="31" t="s">
        <v>1296</v>
      </c>
      <c r="B4" s="31">
        <v>5.515997827051E12</v>
      </c>
      <c r="C4" s="32" t="str">
        <f t="shared" si="1"/>
        <v>97827051</v>
      </c>
    </row>
    <row r="5">
      <c r="A5" s="31" t="s">
        <v>1297</v>
      </c>
      <c r="B5" s="31">
        <v>5.515996897606E12</v>
      </c>
      <c r="C5" s="32" t="str">
        <f t="shared" si="1"/>
        <v>96897606</v>
      </c>
    </row>
    <row r="6">
      <c r="A6" s="31" t="s">
        <v>1298</v>
      </c>
      <c r="B6" s="31">
        <v>5.515991729665E12</v>
      </c>
      <c r="C6" s="32" t="str">
        <f t="shared" si="1"/>
        <v>91729665</v>
      </c>
    </row>
    <row r="7">
      <c r="A7" s="31" t="s">
        <v>1299</v>
      </c>
      <c r="B7" s="31">
        <v>5.515998141671E12</v>
      </c>
      <c r="C7" s="32" t="str">
        <f t="shared" si="1"/>
        <v>98141671</v>
      </c>
    </row>
    <row r="8">
      <c r="A8" s="31" t="s">
        <v>1300</v>
      </c>
      <c r="B8" s="31">
        <v>5.5159911523E12</v>
      </c>
      <c r="C8" s="32" t="str">
        <f t="shared" si="1"/>
        <v>91152300</v>
      </c>
    </row>
    <row r="9">
      <c r="A9" s="31" t="s">
        <v>1301</v>
      </c>
      <c r="B9" s="31">
        <v>5.515991956401E12</v>
      </c>
      <c r="C9" s="32" t="str">
        <f t="shared" si="1"/>
        <v>91956401</v>
      </c>
    </row>
    <row r="10">
      <c r="A10" s="31" t="s">
        <v>1302</v>
      </c>
      <c r="B10" s="31">
        <v>5.515998386011E12</v>
      </c>
      <c r="C10" s="32" t="str">
        <f t="shared" si="1"/>
        <v>98386011</v>
      </c>
    </row>
    <row r="11">
      <c r="A11" s="31" t="s">
        <v>1303</v>
      </c>
      <c r="B11" s="31">
        <v>5.515981509778E12</v>
      </c>
      <c r="C11" s="32" t="str">
        <f t="shared" si="1"/>
        <v>81509778</v>
      </c>
    </row>
    <row r="12">
      <c r="A12" s="31" t="s">
        <v>1304</v>
      </c>
      <c r="B12" s="31">
        <v>5.511917539658E12</v>
      </c>
      <c r="C12" s="32" t="str">
        <f t="shared" si="1"/>
        <v>17539658</v>
      </c>
    </row>
    <row r="13">
      <c r="A13" s="31" t="s">
        <v>1305</v>
      </c>
      <c r="B13" s="31">
        <v>5.515981118262E12</v>
      </c>
      <c r="C13" s="32" t="str">
        <f t="shared" si="1"/>
        <v>81118262</v>
      </c>
    </row>
    <row r="14">
      <c r="A14" s="31" t="s">
        <v>1306</v>
      </c>
      <c r="B14" s="31">
        <v>5.511933294406E12</v>
      </c>
      <c r="C14" s="32" t="str">
        <f t="shared" si="1"/>
        <v>33294406</v>
      </c>
    </row>
    <row r="15">
      <c r="A15" s="31" t="s">
        <v>1307</v>
      </c>
      <c r="B15" s="31">
        <v>5.511992506864E12</v>
      </c>
      <c r="C15" s="32" t="str">
        <f t="shared" si="1"/>
        <v>92506864</v>
      </c>
    </row>
    <row r="16">
      <c r="A16" s="31" t="s">
        <v>1308</v>
      </c>
      <c r="B16" s="31">
        <v>5.515991920716E12</v>
      </c>
      <c r="C16" s="32" t="str">
        <f t="shared" si="1"/>
        <v>91920716</v>
      </c>
    </row>
    <row r="17">
      <c r="A17" s="31" t="s">
        <v>1309</v>
      </c>
      <c r="B17" s="31">
        <v>5.515988211837E12</v>
      </c>
      <c r="C17" s="32" t="str">
        <f t="shared" si="1"/>
        <v>88211837</v>
      </c>
    </row>
    <row r="18">
      <c r="A18" s="31" t="s">
        <v>1310</v>
      </c>
      <c r="B18" s="31">
        <v>5.519993311847E12</v>
      </c>
      <c r="C18" s="32" t="str">
        <f t="shared" si="1"/>
        <v>93311847</v>
      </c>
    </row>
    <row r="19">
      <c r="A19" s="31" t="s">
        <v>1311</v>
      </c>
      <c r="B19" s="31">
        <v>5.515997855858E12</v>
      </c>
      <c r="C19" s="32" t="str">
        <f t="shared" si="1"/>
        <v>97855858</v>
      </c>
    </row>
    <row r="20">
      <c r="A20" s="31" t="s">
        <v>1312</v>
      </c>
      <c r="B20" s="31">
        <v>5.515997442004E12</v>
      </c>
      <c r="C20" s="32" t="str">
        <f t="shared" si="1"/>
        <v>97442004</v>
      </c>
    </row>
    <row r="21">
      <c r="A21" s="31" t="s">
        <v>1313</v>
      </c>
      <c r="B21" s="31">
        <v>5.515991268656E12</v>
      </c>
      <c r="C21" s="32" t="str">
        <f t="shared" si="1"/>
        <v>91268656</v>
      </c>
    </row>
    <row r="22">
      <c r="A22" s="31" t="s">
        <v>1314</v>
      </c>
      <c r="B22" s="31">
        <v>5.55596692626E11</v>
      </c>
      <c r="C22" s="32" t="str">
        <f t="shared" si="1"/>
        <v>96692626</v>
      </c>
    </row>
    <row r="23">
      <c r="A23" s="31" t="s">
        <v>1315</v>
      </c>
      <c r="B23" s="31">
        <v>5.515997000778E12</v>
      </c>
      <c r="C23" s="32" t="str">
        <f t="shared" si="1"/>
        <v>97000778</v>
      </c>
    </row>
    <row r="24">
      <c r="A24" s="31" t="s">
        <v>1316</v>
      </c>
      <c r="B24" s="31">
        <v>5.51199988559E12</v>
      </c>
      <c r="C24" s="32" t="str">
        <f t="shared" si="1"/>
        <v>99885590</v>
      </c>
    </row>
    <row r="25">
      <c r="A25" s="31" t="s">
        <v>1317</v>
      </c>
      <c r="B25" s="31">
        <v>5.511992292684E12</v>
      </c>
      <c r="C25" s="32" t="str">
        <f t="shared" si="1"/>
        <v>92292684</v>
      </c>
    </row>
    <row r="26">
      <c r="A26" s="31" t="s">
        <v>1318</v>
      </c>
      <c r="B26" s="31">
        <v>5.515981595553E12</v>
      </c>
      <c r="C26" s="32" t="str">
        <f t="shared" si="1"/>
        <v>81595553</v>
      </c>
    </row>
    <row r="27">
      <c r="A27" s="31" t="s">
        <v>1319</v>
      </c>
      <c r="B27" s="31">
        <v>5.511967359276E12</v>
      </c>
      <c r="C27" s="32" t="str">
        <f t="shared" si="1"/>
        <v>67359276</v>
      </c>
    </row>
    <row r="28">
      <c r="A28" s="31" t="s">
        <v>1320</v>
      </c>
      <c r="B28" s="31">
        <v>5.515997034757E12</v>
      </c>
      <c r="C28" s="32" t="str">
        <f t="shared" si="1"/>
        <v>97034757</v>
      </c>
    </row>
    <row r="29">
      <c r="A29" s="31" t="s">
        <v>1320</v>
      </c>
      <c r="B29" s="31">
        <v>5.515991143109E12</v>
      </c>
      <c r="C29" s="32" t="str">
        <f t="shared" si="1"/>
        <v>91143109</v>
      </c>
    </row>
    <row r="30">
      <c r="A30" s="31" t="s">
        <v>1321</v>
      </c>
      <c r="B30" s="31">
        <v>5.515996014055E12</v>
      </c>
      <c r="C30" s="32" t="str">
        <f t="shared" si="1"/>
        <v>96014055</v>
      </c>
    </row>
    <row r="31">
      <c r="A31" s="31" t="s">
        <v>1322</v>
      </c>
      <c r="B31" s="31">
        <v>5.515981147296E12</v>
      </c>
      <c r="C31" s="32" t="str">
        <f t="shared" si="1"/>
        <v>81147296</v>
      </c>
    </row>
    <row r="32">
      <c r="A32" s="31" t="s">
        <v>1323</v>
      </c>
      <c r="B32" s="31">
        <v>5.515997999984E12</v>
      </c>
      <c r="C32" s="32" t="str">
        <f t="shared" si="1"/>
        <v>97999984</v>
      </c>
    </row>
    <row r="33">
      <c r="A33" s="31" t="s">
        <v>1324</v>
      </c>
      <c r="B33" s="31">
        <v>5.55492193796E11</v>
      </c>
      <c r="C33" s="32" t="str">
        <f t="shared" si="1"/>
        <v>92193796</v>
      </c>
    </row>
    <row r="34">
      <c r="A34" s="31" t="s">
        <v>1325</v>
      </c>
      <c r="B34" s="31">
        <v>5.55492866767E11</v>
      </c>
      <c r="C34" s="32" t="str">
        <f t="shared" si="1"/>
        <v>92866767</v>
      </c>
    </row>
    <row r="35">
      <c r="A35" s="31" t="s">
        <v>1326</v>
      </c>
      <c r="B35" s="31">
        <v>5.516999934108E12</v>
      </c>
      <c r="C35" s="32" t="str">
        <f t="shared" si="1"/>
        <v>99934108</v>
      </c>
    </row>
    <row r="36">
      <c r="A36" s="31" t="s">
        <v>1327</v>
      </c>
      <c r="B36" s="31">
        <v>5.515997476861E12</v>
      </c>
      <c r="C36" s="32" t="str">
        <f t="shared" si="1"/>
        <v>97476861</v>
      </c>
    </row>
    <row r="37">
      <c r="A37" s="31" t="s">
        <v>1328</v>
      </c>
      <c r="B37" s="31">
        <v>5.511999195633E12</v>
      </c>
      <c r="C37" s="32" t="str">
        <f t="shared" si="1"/>
        <v>99195633</v>
      </c>
    </row>
    <row r="38">
      <c r="A38" s="31" t="s">
        <v>1328</v>
      </c>
      <c r="B38" s="31">
        <v>5.515997789191E12</v>
      </c>
      <c r="C38" s="32" t="str">
        <f t="shared" si="1"/>
        <v>97789191</v>
      </c>
    </row>
    <row r="39">
      <c r="A39" s="31" t="s">
        <v>1329</v>
      </c>
      <c r="B39" s="31">
        <v>5.511974751568E12</v>
      </c>
      <c r="C39" s="32" t="str">
        <f t="shared" si="1"/>
        <v>74751568</v>
      </c>
    </row>
    <row r="40">
      <c r="A40" s="31" t="s">
        <v>1330</v>
      </c>
      <c r="B40" s="31">
        <v>5.515981597959E12</v>
      </c>
      <c r="C40" s="32" t="str">
        <f t="shared" si="1"/>
        <v>81597959</v>
      </c>
    </row>
    <row r="41">
      <c r="A41" s="31" t="s">
        <v>1331</v>
      </c>
      <c r="B41" s="31">
        <v>5.515981773711E12</v>
      </c>
      <c r="C41" s="32" t="str">
        <f t="shared" si="1"/>
        <v>81773711</v>
      </c>
    </row>
    <row r="42">
      <c r="A42" s="31" t="s">
        <v>1332</v>
      </c>
      <c r="B42" s="31">
        <v>5.59591136088E11</v>
      </c>
      <c r="C42" s="32" t="str">
        <f t="shared" si="1"/>
        <v>91136088</v>
      </c>
    </row>
    <row r="43">
      <c r="A43" s="31" t="s">
        <v>1333</v>
      </c>
      <c r="B43" s="31">
        <v>5.55499251775E11</v>
      </c>
      <c r="C43" s="32" t="str">
        <f t="shared" si="1"/>
        <v>99251775</v>
      </c>
    </row>
    <row r="44">
      <c r="A44" s="31" t="s">
        <v>1334</v>
      </c>
      <c r="B44" s="31">
        <v>5.515991097562E12</v>
      </c>
      <c r="C44" s="32" t="str">
        <f t="shared" si="1"/>
        <v>91097562</v>
      </c>
    </row>
    <row r="45">
      <c r="A45" s="31" t="s">
        <v>1334</v>
      </c>
      <c r="B45" s="31">
        <v>5.515997215074E12</v>
      </c>
      <c r="C45" s="32" t="str">
        <f t="shared" si="1"/>
        <v>97215074</v>
      </c>
    </row>
    <row r="46">
      <c r="A46" s="31" t="s">
        <v>1335</v>
      </c>
      <c r="B46" s="31">
        <v>5.515988052505E12</v>
      </c>
      <c r="C46" s="32" t="str">
        <f t="shared" si="1"/>
        <v>88052505</v>
      </c>
    </row>
    <row r="47">
      <c r="A47" s="31" t="s">
        <v>1336</v>
      </c>
      <c r="B47" s="31">
        <v>5.515996313568E12</v>
      </c>
      <c r="C47" s="32" t="str">
        <f t="shared" si="1"/>
        <v>96313568</v>
      </c>
    </row>
    <row r="48">
      <c r="A48" s="31" t="s">
        <v>1337</v>
      </c>
      <c r="B48" s="31">
        <v>5.515988030611E12</v>
      </c>
      <c r="C48" s="32" t="str">
        <f t="shared" si="1"/>
        <v>88030611</v>
      </c>
    </row>
    <row r="49">
      <c r="A49" s="31" t="s">
        <v>1338</v>
      </c>
      <c r="B49" s="31">
        <v>5.511985843932E12</v>
      </c>
      <c r="C49" s="32" t="str">
        <f t="shared" si="1"/>
        <v>85843932</v>
      </c>
    </row>
    <row r="50">
      <c r="A50" s="31" t="s">
        <v>1338</v>
      </c>
      <c r="B50" s="31">
        <v>5.515996667904E12</v>
      </c>
      <c r="C50" s="32" t="str">
        <f t="shared" si="1"/>
        <v>96667904</v>
      </c>
    </row>
    <row r="51">
      <c r="A51" s="31" t="s">
        <v>1339</v>
      </c>
      <c r="B51" s="31">
        <v>5.515997577218E12</v>
      </c>
      <c r="C51" s="32" t="str">
        <f t="shared" si="1"/>
        <v>97577218</v>
      </c>
    </row>
    <row r="52">
      <c r="A52" s="31" t="s">
        <v>1340</v>
      </c>
      <c r="B52" s="31">
        <v>5.515996081643E12</v>
      </c>
      <c r="C52" s="32" t="str">
        <f t="shared" si="1"/>
        <v>96081643</v>
      </c>
    </row>
    <row r="53">
      <c r="A53" s="31" t="s">
        <v>1341</v>
      </c>
      <c r="B53" s="31">
        <v>5.515991683E12</v>
      </c>
      <c r="C53" s="32" t="str">
        <f t="shared" si="1"/>
        <v>91683000</v>
      </c>
    </row>
    <row r="54">
      <c r="A54" s="31" t="s">
        <v>1342</v>
      </c>
      <c r="B54" s="31">
        <v>5.515997999938E12</v>
      </c>
      <c r="C54" s="32" t="str">
        <f t="shared" si="1"/>
        <v>97999938</v>
      </c>
    </row>
    <row r="55">
      <c r="A55" s="31" t="s">
        <v>1343</v>
      </c>
      <c r="B55" s="31">
        <v>5.511953038767E12</v>
      </c>
      <c r="C55" s="32" t="str">
        <f t="shared" si="1"/>
        <v>53038767</v>
      </c>
    </row>
    <row r="56">
      <c r="A56" s="31" t="s">
        <v>1344</v>
      </c>
      <c r="B56" s="31">
        <v>5.515998302019E12</v>
      </c>
      <c r="C56" s="32" t="str">
        <f t="shared" si="1"/>
        <v>98302019</v>
      </c>
    </row>
    <row r="57">
      <c r="A57" s="31" t="s">
        <v>1345</v>
      </c>
      <c r="B57" s="31">
        <v>5.515996062675E12</v>
      </c>
      <c r="C57" s="32" t="str">
        <f t="shared" si="1"/>
        <v>96062675</v>
      </c>
    </row>
    <row r="58">
      <c r="A58" s="31" t="s">
        <v>1346</v>
      </c>
      <c r="B58" s="31">
        <v>5.515997851472E12</v>
      </c>
      <c r="C58" s="32" t="str">
        <f t="shared" si="1"/>
        <v>97851472</v>
      </c>
    </row>
    <row r="59">
      <c r="A59" s="31" t="s">
        <v>1347</v>
      </c>
      <c r="B59" s="31">
        <v>5.515991012121E12</v>
      </c>
      <c r="C59" s="32" t="str">
        <f t="shared" si="1"/>
        <v>91012121</v>
      </c>
    </row>
    <row r="60">
      <c r="A60" s="31" t="s">
        <v>1348</v>
      </c>
      <c r="B60" s="31">
        <v>5.515981819781E12</v>
      </c>
      <c r="C60" s="32" t="str">
        <f t="shared" si="1"/>
        <v>81819781</v>
      </c>
    </row>
    <row r="61">
      <c r="A61" s="31" t="s">
        <v>1302</v>
      </c>
      <c r="B61" s="31">
        <v>5.519996015972E12</v>
      </c>
      <c r="C61" s="32" t="str">
        <f t="shared" si="1"/>
        <v>96015972</v>
      </c>
    </row>
    <row r="62">
      <c r="A62" s="31" t="s">
        <v>1349</v>
      </c>
      <c r="B62" s="31">
        <v>5.515997774247E12</v>
      </c>
      <c r="C62" s="32" t="str">
        <f t="shared" si="1"/>
        <v>97774247</v>
      </c>
    </row>
    <row r="63">
      <c r="A63" s="31" t="s">
        <v>1350</v>
      </c>
      <c r="B63" s="31">
        <v>5.515997086431E12</v>
      </c>
      <c r="C63" s="32" t="str">
        <f t="shared" si="1"/>
        <v>97086431</v>
      </c>
    </row>
    <row r="64">
      <c r="A64" s="31" t="s">
        <v>1342</v>
      </c>
      <c r="B64" s="31">
        <v>5.515998337833E12</v>
      </c>
      <c r="C64" s="32" t="str">
        <f t="shared" si="1"/>
        <v>98337833</v>
      </c>
    </row>
    <row r="65">
      <c r="A65" s="31" t="s">
        <v>1351</v>
      </c>
      <c r="B65" s="31">
        <v>5.511983402086E12</v>
      </c>
      <c r="C65" s="32" t="str">
        <f t="shared" si="1"/>
        <v>83402086</v>
      </c>
    </row>
    <row r="66">
      <c r="A66" s="31" t="s">
        <v>1352</v>
      </c>
      <c r="B66" s="31">
        <v>5.515997811443E12</v>
      </c>
      <c r="C66" s="32" t="str">
        <f t="shared" si="1"/>
        <v>97811443</v>
      </c>
    </row>
    <row r="67">
      <c r="A67" s="31" t="s">
        <v>1353</v>
      </c>
      <c r="B67" s="31">
        <v>5.511950501768E12</v>
      </c>
      <c r="C67" s="32" t="str">
        <f t="shared" si="1"/>
        <v>50501768</v>
      </c>
    </row>
    <row r="68">
      <c r="A68" s="31" t="s">
        <v>1354</v>
      </c>
      <c r="B68" s="31">
        <v>5.515991351222E12</v>
      </c>
      <c r="C68" s="32" t="str">
        <f t="shared" si="1"/>
        <v>91351222</v>
      </c>
    </row>
    <row r="69">
      <c r="A69" s="31" t="s">
        <v>1355</v>
      </c>
      <c r="B69" s="31">
        <v>5.51599142868E12</v>
      </c>
      <c r="C69" s="32" t="str">
        <f t="shared" si="1"/>
        <v>91428680</v>
      </c>
    </row>
    <row r="70">
      <c r="A70" s="31" t="s">
        <v>1325</v>
      </c>
      <c r="B70" s="31">
        <v>5.515997089265E12</v>
      </c>
      <c r="C70" s="32" t="str">
        <f t="shared" si="1"/>
        <v>97089265</v>
      </c>
    </row>
    <row r="71">
      <c r="A71" s="31" t="s">
        <v>1356</v>
      </c>
      <c r="B71" s="31">
        <v>5.515997474704E12</v>
      </c>
      <c r="C71" s="32" t="str">
        <f t="shared" si="1"/>
        <v>97474704</v>
      </c>
    </row>
    <row r="72">
      <c r="A72" s="31" t="s">
        <v>1357</v>
      </c>
      <c r="B72" s="31">
        <v>5.515998047496E12</v>
      </c>
      <c r="C72" s="32" t="str">
        <f t="shared" si="1"/>
        <v>98047496</v>
      </c>
    </row>
    <row r="73">
      <c r="A73" s="31" t="s">
        <v>1358</v>
      </c>
      <c r="B73" s="31">
        <v>5.515997710142E12</v>
      </c>
      <c r="C73" s="32" t="str">
        <f t="shared" si="1"/>
        <v>97710142</v>
      </c>
    </row>
    <row r="74">
      <c r="A74" s="31" t="s">
        <v>1359</v>
      </c>
      <c r="B74" s="31">
        <v>5.515991079288E12</v>
      </c>
      <c r="C74" s="32" t="str">
        <f t="shared" si="1"/>
        <v>91079288</v>
      </c>
    </row>
    <row r="75">
      <c r="A75" s="31" t="s">
        <v>1360</v>
      </c>
      <c r="B75" s="31">
        <v>5.511981274041E12</v>
      </c>
      <c r="C75" s="32" t="str">
        <f t="shared" si="1"/>
        <v>81274041</v>
      </c>
    </row>
    <row r="76">
      <c r="A76" s="31" t="s">
        <v>1361</v>
      </c>
      <c r="B76" s="31">
        <v>5.515991263113E12</v>
      </c>
      <c r="C76" s="32" t="str">
        <f t="shared" si="1"/>
        <v>91263113</v>
      </c>
    </row>
    <row r="77">
      <c r="A77" s="31" t="s">
        <v>1362</v>
      </c>
      <c r="B77" s="31">
        <v>5.511975424567E12</v>
      </c>
      <c r="C77" s="32" t="str">
        <f t="shared" si="1"/>
        <v>75424567</v>
      </c>
    </row>
    <row r="78">
      <c r="A78" s="31" t="s">
        <v>1351</v>
      </c>
      <c r="B78" s="31">
        <v>5.511999495893E12</v>
      </c>
      <c r="C78" s="32" t="str">
        <f t="shared" si="1"/>
        <v>99495893</v>
      </c>
    </row>
    <row r="79">
      <c r="A79" s="31" t="s">
        <v>1303</v>
      </c>
      <c r="B79" s="31">
        <v>5.511998288819E12</v>
      </c>
      <c r="C79" s="32" t="str">
        <f t="shared" si="1"/>
        <v>98288819</v>
      </c>
    </row>
    <row r="80">
      <c r="A80" s="31" t="s">
        <v>1363</v>
      </c>
      <c r="B80" s="31">
        <v>5.511964128289E12</v>
      </c>
      <c r="C80" s="32" t="str">
        <f t="shared" si="1"/>
        <v>64128289</v>
      </c>
    </row>
    <row r="81">
      <c r="A81" s="31" t="s">
        <v>1364</v>
      </c>
      <c r="B81" s="31">
        <v>5.51198294121E12</v>
      </c>
      <c r="C81" s="32" t="str">
        <f t="shared" si="1"/>
        <v>82941210</v>
      </c>
    </row>
    <row r="82">
      <c r="A82" s="31" t="s">
        <v>1365</v>
      </c>
      <c r="B82" s="31">
        <v>5.51598129882E12</v>
      </c>
      <c r="C82" s="32" t="str">
        <f t="shared" si="1"/>
        <v>81298820</v>
      </c>
    </row>
    <row r="83">
      <c r="A83" s="31" t="s">
        <v>1327</v>
      </c>
      <c r="B83" s="31">
        <v>5.515981278066E12</v>
      </c>
      <c r="C83" s="32" t="str">
        <f t="shared" si="1"/>
        <v>81278066</v>
      </c>
    </row>
    <row r="84">
      <c r="A84" s="31" t="s">
        <v>1366</v>
      </c>
      <c r="B84" s="31">
        <v>5.511991517194E12</v>
      </c>
      <c r="C84" s="32" t="str">
        <f t="shared" si="1"/>
        <v>91517194</v>
      </c>
    </row>
    <row r="85">
      <c r="A85" s="31" t="s">
        <v>1367</v>
      </c>
      <c r="B85" s="31">
        <v>5.515997717274E12</v>
      </c>
      <c r="C85" s="32" t="str">
        <f t="shared" si="1"/>
        <v>97717274</v>
      </c>
    </row>
    <row r="86">
      <c r="A86" s="31" t="s">
        <v>1368</v>
      </c>
      <c r="B86" s="31">
        <v>5.515997999482E12</v>
      </c>
      <c r="C86" s="32" t="str">
        <f t="shared" si="1"/>
        <v>97999482</v>
      </c>
    </row>
    <row r="87">
      <c r="A87" s="31" t="s">
        <v>1369</v>
      </c>
      <c r="B87" s="31">
        <v>5.515996739689E12</v>
      </c>
      <c r="C87" s="32" t="str">
        <f t="shared" si="1"/>
        <v>96739689</v>
      </c>
    </row>
    <row r="88">
      <c r="A88" s="31" t="s">
        <v>1370</v>
      </c>
      <c r="B88" s="31">
        <v>5.5159812423E12</v>
      </c>
      <c r="C88" s="32" t="str">
        <f t="shared" si="1"/>
        <v>81242300</v>
      </c>
    </row>
    <row r="89">
      <c r="A89" s="31" t="s">
        <v>1371</v>
      </c>
      <c r="B89" s="31">
        <v>5.511975471075E12</v>
      </c>
      <c r="C89" s="32" t="str">
        <f t="shared" si="1"/>
        <v>75471075</v>
      </c>
    </row>
    <row r="90">
      <c r="A90" s="31" t="s">
        <v>1372</v>
      </c>
      <c r="B90" s="31">
        <v>5.511976530336E12</v>
      </c>
      <c r="C90" s="32" t="str">
        <f t="shared" si="1"/>
        <v>76530336</v>
      </c>
    </row>
    <row r="91">
      <c r="A91" s="31" t="s">
        <v>1373</v>
      </c>
      <c r="B91" s="31">
        <v>5.515981220521E12</v>
      </c>
      <c r="C91" s="32" t="str">
        <f t="shared" si="1"/>
        <v>81220521</v>
      </c>
    </row>
    <row r="92">
      <c r="A92" s="31" t="s">
        <v>1374</v>
      </c>
      <c r="B92" s="31">
        <v>5.515996897841E12</v>
      </c>
      <c r="C92" s="32" t="str">
        <f t="shared" si="1"/>
        <v>96897841</v>
      </c>
    </row>
    <row r="93">
      <c r="A93" s="31" t="s">
        <v>1375</v>
      </c>
      <c r="B93" s="31">
        <v>5.511989559958E12</v>
      </c>
      <c r="C93" s="32" t="str">
        <f t="shared" si="1"/>
        <v>89559958</v>
      </c>
    </row>
    <row r="94">
      <c r="A94" s="31" t="s">
        <v>1376</v>
      </c>
      <c r="B94" s="31">
        <v>5.511945121788E12</v>
      </c>
      <c r="C94" s="32" t="str">
        <f t="shared" si="1"/>
        <v>45121788</v>
      </c>
    </row>
    <row r="95">
      <c r="A95" s="31" t="s">
        <v>1377</v>
      </c>
      <c r="B95" s="31">
        <v>5.511957713604E12</v>
      </c>
      <c r="C95" s="32" t="str">
        <f t="shared" si="1"/>
        <v>57713604</v>
      </c>
    </row>
    <row r="96">
      <c r="A96" s="31" t="s">
        <v>1377</v>
      </c>
      <c r="B96" s="31">
        <v>5.515997038515E12</v>
      </c>
      <c r="C96" s="32" t="str">
        <f t="shared" si="1"/>
        <v>97038515</v>
      </c>
    </row>
    <row r="97">
      <c r="A97" s="31" t="s">
        <v>1378</v>
      </c>
      <c r="B97" s="31">
        <v>5.515991820044E12</v>
      </c>
      <c r="C97" s="32" t="str">
        <f t="shared" si="1"/>
        <v>91820044</v>
      </c>
    </row>
    <row r="98">
      <c r="A98" s="31" t="s">
        <v>1379</v>
      </c>
      <c r="B98" s="31">
        <v>5.51199702114E12</v>
      </c>
      <c r="C98" s="32" t="str">
        <f t="shared" si="1"/>
        <v>97021140</v>
      </c>
    </row>
    <row r="99">
      <c r="A99" s="31" t="s">
        <v>1380</v>
      </c>
      <c r="B99" s="31">
        <v>5.515996717077E12</v>
      </c>
      <c r="C99" s="32" t="str">
        <f t="shared" si="1"/>
        <v>96717077</v>
      </c>
    </row>
    <row r="100">
      <c r="A100" s="31" t="s">
        <v>1381</v>
      </c>
      <c r="B100" s="31">
        <v>5.515997242125E12</v>
      </c>
      <c r="C100" s="32" t="str">
        <f t="shared" si="1"/>
        <v>97242125</v>
      </c>
    </row>
    <row r="101">
      <c r="A101" s="31" t="s">
        <v>1382</v>
      </c>
      <c r="B101" s="31">
        <v>5.511981744604E12</v>
      </c>
      <c r="C101" s="32" t="str">
        <f t="shared" si="1"/>
        <v>81744604</v>
      </c>
    </row>
    <row r="102">
      <c r="A102" s="31" t="s">
        <v>1383</v>
      </c>
      <c r="B102" s="31">
        <v>5.515997198278E12</v>
      </c>
      <c r="C102" s="32" t="str">
        <f t="shared" si="1"/>
        <v>97198278</v>
      </c>
    </row>
    <row r="103">
      <c r="A103" s="31" t="s">
        <v>1384</v>
      </c>
      <c r="B103" s="31">
        <v>5.515991002998E12</v>
      </c>
      <c r="C103" s="32" t="str">
        <f t="shared" si="1"/>
        <v>91002998</v>
      </c>
    </row>
    <row r="104">
      <c r="A104" s="31" t="s">
        <v>1329</v>
      </c>
      <c r="B104" s="31">
        <v>5.519991366577E12</v>
      </c>
      <c r="C104" s="32" t="str">
        <f t="shared" si="1"/>
        <v>91366577</v>
      </c>
    </row>
    <row r="105">
      <c r="A105" s="31" t="s">
        <v>1385</v>
      </c>
      <c r="B105" s="31">
        <v>5.511999006362E12</v>
      </c>
      <c r="C105" s="32" t="str">
        <f t="shared" si="1"/>
        <v>99006362</v>
      </c>
    </row>
    <row r="106">
      <c r="A106" s="31" t="s">
        <v>1386</v>
      </c>
      <c r="B106" s="31">
        <v>5.515981320348E12</v>
      </c>
      <c r="C106" s="32" t="str">
        <f t="shared" si="1"/>
        <v>81320348</v>
      </c>
    </row>
    <row r="107">
      <c r="A107" s="31" t="s">
        <v>1387</v>
      </c>
      <c r="B107" s="31">
        <v>5.511995888138E12</v>
      </c>
      <c r="C107" s="32" t="str">
        <f t="shared" si="1"/>
        <v>95888138</v>
      </c>
    </row>
    <row r="108">
      <c r="A108" s="31" t="s">
        <v>1388</v>
      </c>
      <c r="B108" s="31">
        <v>5.511984317204E12</v>
      </c>
      <c r="C108" s="32" t="str">
        <f t="shared" si="1"/>
        <v>84317204</v>
      </c>
    </row>
    <row r="109">
      <c r="A109" s="31" t="s">
        <v>1389</v>
      </c>
      <c r="B109" s="31">
        <v>5.511994648626E12</v>
      </c>
      <c r="C109" s="32" t="str">
        <f t="shared" si="1"/>
        <v>94648626</v>
      </c>
    </row>
    <row r="110">
      <c r="A110" s="31" t="s">
        <v>1390</v>
      </c>
      <c r="B110" s="31">
        <v>5.511999770842E12</v>
      </c>
      <c r="C110" s="32" t="str">
        <f t="shared" si="1"/>
        <v>99770842</v>
      </c>
    </row>
    <row r="111">
      <c r="A111" s="31" t="s">
        <v>1391</v>
      </c>
      <c r="B111" s="31">
        <v>5.515997005133E12</v>
      </c>
      <c r="C111" s="32" t="str">
        <f t="shared" si="1"/>
        <v>97005133</v>
      </c>
    </row>
    <row r="112">
      <c r="A112" s="31" t="s">
        <v>1392</v>
      </c>
      <c r="B112" s="31">
        <v>5.515997455912E12</v>
      </c>
      <c r="C112" s="32" t="str">
        <f t="shared" si="1"/>
        <v>97455912</v>
      </c>
    </row>
    <row r="113">
      <c r="A113" s="31" t="s">
        <v>1393</v>
      </c>
      <c r="B113" s="31">
        <v>5.515997509622E12</v>
      </c>
      <c r="C113" s="32" t="str">
        <f t="shared" si="1"/>
        <v>97509622</v>
      </c>
    </row>
    <row r="114">
      <c r="A114" s="31" t="s">
        <v>1394</v>
      </c>
      <c r="B114" s="31">
        <v>5.515981831519E12</v>
      </c>
      <c r="C114" s="32" t="str">
        <f t="shared" si="1"/>
        <v>81831519</v>
      </c>
    </row>
    <row r="115">
      <c r="A115" s="31" t="s">
        <v>1395</v>
      </c>
      <c r="B115" s="31">
        <v>5.515996929234E12</v>
      </c>
      <c r="C115" s="32" t="str">
        <f t="shared" si="1"/>
        <v>96929234</v>
      </c>
    </row>
    <row r="116">
      <c r="A116" s="31" t="s">
        <v>1396</v>
      </c>
      <c r="B116" s="31">
        <v>5.515992764046E12</v>
      </c>
      <c r="C116" s="32" t="str">
        <f t="shared" si="1"/>
        <v>92764046</v>
      </c>
    </row>
    <row r="117">
      <c r="A117" s="31" t="s">
        <v>1397</v>
      </c>
      <c r="B117" s="31">
        <v>5.55499925133E11</v>
      </c>
      <c r="C117" s="32" t="str">
        <f t="shared" si="1"/>
        <v>99925133</v>
      </c>
    </row>
    <row r="118">
      <c r="A118" s="31" t="s">
        <v>1398</v>
      </c>
      <c r="B118" s="31">
        <v>5.515998051835E12</v>
      </c>
      <c r="C118" s="32" t="str">
        <f t="shared" si="1"/>
        <v>98051835</v>
      </c>
    </row>
    <row r="119">
      <c r="A119" s="31" t="s">
        <v>1399</v>
      </c>
      <c r="B119" s="31">
        <v>5.515996373427E12</v>
      </c>
      <c r="C119" s="32" t="str">
        <f t="shared" si="1"/>
        <v>96373427</v>
      </c>
    </row>
    <row r="120">
      <c r="A120" s="31" t="s">
        <v>1361</v>
      </c>
      <c r="B120" s="31">
        <v>5.511999120722E12</v>
      </c>
      <c r="C120" s="32" t="str">
        <f t="shared" si="1"/>
        <v>99120722</v>
      </c>
    </row>
    <row r="121">
      <c r="A121" s="31" t="s">
        <v>1400</v>
      </c>
      <c r="B121" s="31">
        <v>5.515996140343E12</v>
      </c>
      <c r="C121" s="32" t="str">
        <f t="shared" si="1"/>
        <v>96140343</v>
      </c>
    </row>
    <row r="122">
      <c r="A122" s="31" t="s">
        <v>1400</v>
      </c>
      <c r="B122" s="31">
        <v>5.515996505182E12</v>
      </c>
      <c r="C122" s="32" t="str">
        <f t="shared" si="1"/>
        <v>96505182</v>
      </c>
    </row>
    <row r="123">
      <c r="A123" s="31" t="s">
        <v>1364</v>
      </c>
      <c r="B123" s="31">
        <v>5.515997895385E12</v>
      </c>
      <c r="C123" s="32" t="str">
        <f t="shared" si="1"/>
        <v>97895385</v>
      </c>
    </row>
    <row r="124">
      <c r="A124" s="31" t="s">
        <v>1316</v>
      </c>
      <c r="B124" s="31">
        <v>5.515981358326E12</v>
      </c>
      <c r="C124" s="32" t="str">
        <f t="shared" si="1"/>
        <v>81358326</v>
      </c>
    </row>
    <row r="125">
      <c r="A125" s="31" t="s">
        <v>1401</v>
      </c>
      <c r="B125" s="31">
        <v>5.55496236196E11</v>
      </c>
      <c r="C125" s="32" t="str">
        <f t="shared" si="1"/>
        <v>96236196</v>
      </c>
    </row>
    <row r="126">
      <c r="A126" s="31" t="s">
        <v>1402</v>
      </c>
      <c r="B126" s="31">
        <v>5.51598147021E12</v>
      </c>
      <c r="C126" s="32" t="str">
        <f t="shared" si="1"/>
        <v>81470210</v>
      </c>
    </row>
    <row r="127">
      <c r="A127" s="31" t="s">
        <v>1403</v>
      </c>
      <c r="B127" s="31">
        <v>5.513996724921E12</v>
      </c>
      <c r="C127" s="32" t="str">
        <f t="shared" si="1"/>
        <v>96724921</v>
      </c>
    </row>
    <row r="128">
      <c r="A128" s="31" t="s">
        <v>1404</v>
      </c>
      <c r="B128" s="31">
        <v>5.511986097888E12</v>
      </c>
      <c r="C128" s="32" t="str">
        <f t="shared" si="1"/>
        <v>86097888</v>
      </c>
    </row>
    <row r="129">
      <c r="A129" s="31" t="s">
        <v>1405</v>
      </c>
      <c r="B129" s="31">
        <v>5.511992263043E12</v>
      </c>
      <c r="C129" s="32" t="str">
        <f t="shared" si="1"/>
        <v>92263043</v>
      </c>
    </row>
    <row r="130">
      <c r="A130" s="31" t="s">
        <v>1406</v>
      </c>
      <c r="B130" s="31">
        <v>5.515998006506E12</v>
      </c>
      <c r="C130" s="32" t="str">
        <f t="shared" si="1"/>
        <v>98006506</v>
      </c>
    </row>
    <row r="131">
      <c r="A131" s="31" t="s">
        <v>1407</v>
      </c>
      <c r="B131" s="31">
        <v>5.511994988704E12</v>
      </c>
      <c r="C131" s="32" t="str">
        <f t="shared" si="1"/>
        <v>94988704</v>
      </c>
    </row>
    <row r="132">
      <c r="A132" s="31" t="s">
        <v>1408</v>
      </c>
      <c r="B132" s="31">
        <v>5.511964804869E12</v>
      </c>
      <c r="C132" s="32" t="str">
        <f t="shared" si="1"/>
        <v>64804869</v>
      </c>
    </row>
    <row r="133">
      <c r="A133" s="31" t="s">
        <v>1376</v>
      </c>
      <c r="B133" s="31">
        <v>5.515996798801E12</v>
      </c>
      <c r="C133" s="32" t="str">
        <f t="shared" si="1"/>
        <v>96798801</v>
      </c>
    </row>
    <row r="134">
      <c r="A134" s="31" t="s">
        <v>1409</v>
      </c>
      <c r="B134" s="31">
        <v>5.515991048321E12</v>
      </c>
      <c r="C134" s="32" t="str">
        <f t="shared" si="1"/>
        <v>91048321</v>
      </c>
    </row>
    <row r="135">
      <c r="A135" s="31" t="s">
        <v>1410</v>
      </c>
      <c r="B135" s="31">
        <v>5.511940620021E12</v>
      </c>
      <c r="C135" s="32" t="str">
        <f t="shared" si="1"/>
        <v>40620021</v>
      </c>
    </row>
    <row r="136">
      <c r="A136" s="31" t="s">
        <v>1411</v>
      </c>
      <c r="B136" s="31">
        <v>5.515997910364E12</v>
      </c>
      <c r="C136" s="32" t="str">
        <f t="shared" si="1"/>
        <v>97910364</v>
      </c>
    </row>
    <row r="137">
      <c r="A137" s="31" t="s">
        <v>1412</v>
      </c>
      <c r="B137" s="31">
        <v>5.54720339968E11</v>
      </c>
      <c r="C137" s="32" t="str">
        <f t="shared" si="1"/>
        <v>20339968</v>
      </c>
    </row>
    <row r="138">
      <c r="A138" s="31" t="s">
        <v>1413</v>
      </c>
      <c r="B138" s="31">
        <v>5.54191069649E11</v>
      </c>
      <c r="C138" s="32" t="str">
        <f t="shared" si="1"/>
        <v>91069649</v>
      </c>
    </row>
    <row r="139">
      <c r="A139" s="31" t="s">
        <v>1406</v>
      </c>
      <c r="B139" s="31">
        <v>5.51599688801E12</v>
      </c>
      <c r="C139" s="32" t="str">
        <f t="shared" si="1"/>
        <v>96888010</v>
      </c>
    </row>
    <row r="140">
      <c r="A140" s="31" t="s">
        <v>1414</v>
      </c>
      <c r="B140" s="31">
        <v>5.511996461196E12</v>
      </c>
      <c r="C140" s="32" t="str">
        <f t="shared" si="1"/>
        <v>96461196</v>
      </c>
    </row>
    <row r="141">
      <c r="A141" s="31" t="s">
        <v>1415</v>
      </c>
      <c r="B141" s="31">
        <v>5.511988371198E12</v>
      </c>
      <c r="C141" s="32" t="str">
        <f t="shared" si="1"/>
        <v>88371198</v>
      </c>
    </row>
    <row r="142">
      <c r="A142" s="31" t="s">
        <v>1416</v>
      </c>
      <c r="B142" s="31">
        <v>5.511987922323E12</v>
      </c>
      <c r="C142" s="32" t="str">
        <f t="shared" si="1"/>
        <v>87922323</v>
      </c>
    </row>
    <row r="143">
      <c r="A143" s="31" t="s">
        <v>1417</v>
      </c>
      <c r="B143" s="31">
        <v>5.51999199978E12</v>
      </c>
      <c r="C143" s="32" t="str">
        <f t="shared" si="1"/>
        <v>91999780</v>
      </c>
    </row>
    <row r="144">
      <c r="A144" s="31" t="s">
        <v>1418</v>
      </c>
      <c r="B144" s="31">
        <v>5.511999632529E12</v>
      </c>
      <c r="C144" s="32" t="str">
        <f t="shared" si="1"/>
        <v>99632529</v>
      </c>
    </row>
    <row r="145">
      <c r="A145" s="31" t="s">
        <v>1419</v>
      </c>
      <c r="B145" s="31">
        <v>5.51798190843E12</v>
      </c>
      <c r="C145" s="32" t="str">
        <f t="shared" si="1"/>
        <v>81908430</v>
      </c>
    </row>
    <row r="146">
      <c r="A146" s="31" t="s">
        <v>1420</v>
      </c>
      <c r="B146" s="31">
        <v>5.515981328281E12</v>
      </c>
      <c r="C146" s="32" t="str">
        <f t="shared" si="1"/>
        <v>81328281</v>
      </c>
    </row>
    <row r="147">
      <c r="A147" s="31" t="s">
        <v>1421</v>
      </c>
      <c r="B147" s="31">
        <v>5.511996024228E12</v>
      </c>
      <c r="C147" s="32" t="str">
        <f t="shared" si="1"/>
        <v>96024228</v>
      </c>
    </row>
    <row r="148">
      <c r="A148" s="31" t="s">
        <v>1422</v>
      </c>
      <c r="B148" s="31">
        <v>5.511991779959E12</v>
      </c>
      <c r="C148" s="32" t="str">
        <f t="shared" si="1"/>
        <v>91779959</v>
      </c>
    </row>
    <row r="149">
      <c r="A149" s="31" t="s">
        <v>1388</v>
      </c>
      <c r="B149" s="31">
        <v>5.515981712943E12</v>
      </c>
      <c r="C149" s="32" t="str">
        <f t="shared" si="1"/>
        <v>81712943</v>
      </c>
    </row>
    <row r="150">
      <c r="A150" s="31" t="s">
        <v>1423</v>
      </c>
      <c r="B150" s="31">
        <v>5.515997554309E12</v>
      </c>
      <c r="C150" s="32" t="str">
        <f t="shared" si="1"/>
        <v>97554309</v>
      </c>
    </row>
    <row r="151">
      <c r="A151" s="31" t="s">
        <v>1424</v>
      </c>
      <c r="B151" s="31">
        <v>5.515998009824E12</v>
      </c>
      <c r="C151" s="32" t="str">
        <f t="shared" si="1"/>
        <v>98009824</v>
      </c>
    </row>
    <row r="152">
      <c r="A152" s="31" t="s">
        <v>1411</v>
      </c>
      <c r="B152" s="31">
        <v>5.5119971787E12</v>
      </c>
      <c r="C152" s="32" t="str">
        <f t="shared" si="1"/>
        <v>97178700</v>
      </c>
    </row>
    <row r="153">
      <c r="A153" s="31" t="s">
        <v>1425</v>
      </c>
      <c r="B153" s="31">
        <v>5.515997181145E12</v>
      </c>
      <c r="C153" s="32" t="str">
        <f t="shared" si="1"/>
        <v>97181145</v>
      </c>
    </row>
    <row r="154">
      <c r="A154" s="31" t="s">
        <v>1426</v>
      </c>
      <c r="B154" s="31">
        <v>5.5159973037E12</v>
      </c>
      <c r="C154" s="32" t="str">
        <f t="shared" si="1"/>
        <v>97303700</v>
      </c>
    </row>
    <row r="155">
      <c r="A155" s="31" t="s">
        <v>1427</v>
      </c>
      <c r="B155" s="31">
        <v>5.515981318777E12</v>
      </c>
      <c r="C155" s="32" t="str">
        <f t="shared" si="1"/>
        <v>81318777</v>
      </c>
    </row>
    <row r="156">
      <c r="A156" s="31" t="s">
        <v>1428</v>
      </c>
      <c r="B156" s="31">
        <v>5.515974044694E12</v>
      </c>
      <c r="C156" s="32" t="str">
        <f t="shared" si="1"/>
        <v>74044694</v>
      </c>
    </row>
    <row r="157">
      <c r="A157" s="31" t="s">
        <v>1429</v>
      </c>
      <c r="B157" s="31">
        <v>5.51194166663E12</v>
      </c>
      <c r="C157" s="32" t="str">
        <f t="shared" si="1"/>
        <v>41666630</v>
      </c>
    </row>
    <row r="158">
      <c r="A158" s="31" t="s">
        <v>1430</v>
      </c>
      <c r="B158" s="31">
        <v>5.515996546083E12</v>
      </c>
      <c r="C158" s="32" t="str">
        <f t="shared" si="1"/>
        <v>96546083</v>
      </c>
    </row>
    <row r="159">
      <c r="A159" s="31" t="s">
        <v>1394</v>
      </c>
      <c r="B159" s="31">
        <v>5.511944777785E12</v>
      </c>
      <c r="C159" s="32" t="str">
        <f t="shared" si="1"/>
        <v>44777785</v>
      </c>
    </row>
    <row r="160">
      <c r="A160" s="31" t="s">
        <v>1431</v>
      </c>
      <c r="B160" s="31">
        <v>5.515997337194E12</v>
      </c>
      <c r="C160" s="32" t="str">
        <f t="shared" si="1"/>
        <v>97337194</v>
      </c>
    </row>
    <row r="161">
      <c r="A161" s="31" t="s">
        <v>1398</v>
      </c>
      <c r="B161" s="31">
        <v>5.515996565595E12</v>
      </c>
      <c r="C161" s="32" t="str">
        <f t="shared" si="1"/>
        <v>96565595</v>
      </c>
    </row>
    <row r="162">
      <c r="A162" s="31" t="s">
        <v>1432</v>
      </c>
      <c r="B162" s="31">
        <v>5.515997477727E12</v>
      </c>
      <c r="C162" s="32" t="str">
        <f t="shared" si="1"/>
        <v>97477727</v>
      </c>
    </row>
    <row r="163">
      <c r="A163" s="31" t="s">
        <v>1433</v>
      </c>
      <c r="B163" s="31">
        <v>5.515997868714E12</v>
      </c>
      <c r="C163" s="32" t="str">
        <f t="shared" si="1"/>
        <v>97868714</v>
      </c>
    </row>
    <row r="164">
      <c r="A164" s="31" t="s">
        <v>1434</v>
      </c>
      <c r="B164" s="31">
        <v>5.515998114195E12</v>
      </c>
      <c r="C164" s="32" t="str">
        <f t="shared" si="1"/>
        <v>98114195</v>
      </c>
    </row>
    <row r="165">
      <c r="A165" s="31" t="s">
        <v>1435</v>
      </c>
      <c r="B165" s="31">
        <v>5.515997242654E12</v>
      </c>
      <c r="C165" s="32" t="str">
        <f t="shared" si="1"/>
        <v>97242654</v>
      </c>
    </row>
    <row r="166">
      <c r="A166" s="31" t="s">
        <v>1436</v>
      </c>
      <c r="B166" s="31">
        <v>5.515988337348E12</v>
      </c>
      <c r="C166" s="32" t="str">
        <f t="shared" si="1"/>
        <v>88337348</v>
      </c>
    </row>
    <row r="167">
      <c r="A167" s="31" t="s">
        <v>1437</v>
      </c>
      <c r="B167" s="31">
        <v>5.515997667714E12</v>
      </c>
      <c r="C167" s="32" t="str">
        <f t="shared" si="1"/>
        <v>97667714</v>
      </c>
    </row>
    <row r="168">
      <c r="A168" s="31" t="s">
        <v>1438</v>
      </c>
      <c r="B168" s="31">
        <v>5.515991114722E12</v>
      </c>
      <c r="C168" s="32" t="str">
        <f t="shared" si="1"/>
        <v>91114722</v>
      </c>
    </row>
    <row r="169">
      <c r="A169" s="31" t="s">
        <v>1356</v>
      </c>
      <c r="B169" s="31">
        <v>5.511999623411E12</v>
      </c>
      <c r="C169" s="32" t="str">
        <f t="shared" si="1"/>
        <v>99623411</v>
      </c>
    </row>
    <row r="170">
      <c r="A170" s="31" t="s">
        <v>1439</v>
      </c>
      <c r="B170" s="31">
        <v>5.519998352882E12</v>
      </c>
      <c r="C170" s="32" t="str">
        <f t="shared" si="1"/>
        <v>98352882</v>
      </c>
    </row>
    <row r="171">
      <c r="A171" s="31" t="s">
        <v>1440</v>
      </c>
      <c r="B171" s="31">
        <v>5.515997742216E12</v>
      </c>
      <c r="C171" s="32" t="str">
        <f t="shared" si="1"/>
        <v>97742216</v>
      </c>
    </row>
    <row r="172">
      <c r="A172" s="31" t="s">
        <v>1441</v>
      </c>
      <c r="B172" s="31">
        <v>5.515996577549E12</v>
      </c>
      <c r="C172" s="32" t="str">
        <f t="shared" si="1"/>
        <v>96577549</v>
      </c>
    </row>
    <row r="173">
      <c r="A173" s="31" t="s">
        <v>1333</v>
      </c>
      <c r="B173" s="31">
        <v>5.511976188383E12</v>
      </c>
      <c r="C173" s="32" t="str">
        <f t="shared" si="1"/>
        <v>76188383</v>
      </c>
    </row>
    <row r="174">
      <c r="A174" s="31" t="s">
        <v>1298</v>
      </c>
      <c r="B174" s="31">
        <v>5.515998115066E12</v>
      </c>
      <c r="C174" s="32" t="str">
        <f t="shared" si="1"/>
        <v>98115066</v>
      </c>
    </row>
    <row r="175">
      <c r="A175" s="31" t="s">
        <v>1416</v>
      </c>
      <c r="B175" s="31">
        <v>5.515996209267E12</v>
      </c>
      <c r="C175" s="32" t="str">
        <f t="shared" si="1"/>
        <v>96209267</v>
      </c>
    </row>
    <row r="176">
      <c r="A176" s="31" t="s">
        <v>1442</v>
      </c>
      <c r="B176" s="31">
        <v>5.515997736505E12</v>
      </c>
      <c r="C176" s="32" t="str">
        <f t="shared" si="1"/>
        <v>97736505</v>
      </c>
    </row>
    <row r="177">
      <c r="A177" s="31" t="s">
        <v>1345</v>
      </c>
      <c r="B177" s="31">
        <v>5.511995949171E12</v>
      </c>
      <c r="C177" s="32" t="str">
        <f t="shared" si="1"/>
        <v>95949171</v>
      </c>
    </row>
    <row r="178">
      <c r="A178" s="31" t="s">
        <v>1355</v>
      </c>
      <c r="B178" s="31">
        <v>5.511997457443E12</v>
      </c>
      <c r="C178" s="32" t="str">
        <f t="shared" si="1"/>
        <v>97457443</v>
      </c>
    </row>
    <row r="179">
      <c r="A179" s="31" t="s">
        <v>1315</v>
      </c>
      <c r="B179" s="31">
        <v>5.511952959017E12</v>
      </c>
      <c r="C179" s="32" t="str">
        <f t="shared" si="1"/>
        <v>52959017</v>
      </c>
    </row>
    <row r="180">
      <c r="A180" s="31" t="s">
        <v>1350</v>
      </c>
      <c r="B180" s="31">
        <v>5.515996662212E12</v>
      </c>
      <c r="C180" s="32" t="str">
        <f t="shared" si="1"/>
        <v>96662212</v>
      </c>
    </row>
    <row r="181">
      <c r="A181" s="31" t="s">
        <v>1374</v>
      </c>
      <c r="B181" s="31">
        <v>5.51197547606E12</v>
      </c>
      <c r="C181" s="32" t="str">
        <f t="shared" si="1"/>
        <v>75476060</v>
      </c>
    </row>
    <row r="182">
      <c r="A182" s="31" t="s">
        <v>1443</v>
      </c>
      <c r="B182" s="31">
        <v>5.511996350831E12</v>
      </c>
      <c r="C182" s="32" t="str">
        <f t="shared" si="1"/>
        <v>96350831</v>
      </c>
    </row>
    <row r="183">
      <c r="A183" s="31" t="s">
        <v>1429</v>
      </c>
      <c r="B183" s="31">
        <v>5.511950763723E12</v>
      </c>
      <c r="C183" s="32" t="str">
        <f t="shared" si="1"/>
        <v>50763723</v>
      </c>
    </row>
    <row r="184">
      <c r="A184" s="31" t="s">
        <v>1444</v>
      </c>
      <c r="B184" s="31">
        <v>5.511973249741E12</v>
      </c>
      <c r="C184" s="32" t="str">
        <f t="shared" si="1"/>
        <v>73249741</v>
      </c>
    </row>
    <row r="185">
      <c r="A185" s="31" t="s">
        <v>1304</v>
      </c>
      <c r="B185" s="31">
        <v>5.511947143358E12</v>
      </c>
      <c r="C185" s="32" t="str">
        <f t="shared" si="1"/>
        <v>47143358</v>
      </c>
    </row>
    <row r="186">
      <c r="A186" s="31" t="s">
        <v>1445</v>
      </c>
      <c r="B186" s="31">
        <v>5.511976088511E12</v>
      </c>
      <c r="C186" s="32" t="str">
        <f t="shared" si="1"/>
        <v>76088511</v>
      </c>
    </row>
    <row r="187">
      <c r="A187" s="31" t="s">
        <v>1375</v>
      </c>
      <c r="B187" s="31">
        <v>5.511999715533E12</v>
      </c>
      <c r="C187" s="32" t="str">
        <f t="shared" si="1"/>
        <v>99715533</v>
      </c>
    </row>
    <row r="188">
      <c r="A188" s="31" t="s">
        <v>1317</v>
      </c>
      <c r="B188" s="31">
        <v>5.511941309553E12</v>
      </c>
      <c r="C188" s="32" t="str">
        <f t="shared" si="1"/>
        <v>41309553</v>
      </c>
    </row>
    <row r="189">
      <c r="A189" s="31" t="s">
        <v>1446</v>
      </c>
      <c r="B189" s="31">
        <v>5.51198312866E12</v>
      </c>
      <c r="C189" s="32" t="str">
        <f t="shared" si="1"/>
        <v>83128660</v>
      </c>
    </row>
    <row r="190">
      <c r="A190" s="31" t="s">
        <v>1324</v>
      </c>
      <c r="B190" s="31">
        <v>5.511934747512E12</v>
      </c>
      <c r="C190" s="32" t="str">
        <f t="shared" si="1"/>
        <v>34747512</v>
      </c>
    </row>
    <row r="191">
      <c r="A191" s="31" t="s">
        <v>1426</v>
      </c>
      <c r="B191" s="31">
        <v>5.511996920646E12</v>
      </c>
      <c r="C191" s="32" t="str">
        <f t="shared" si="1"/>
        <v>96920646</v>
      </c>
    </row>
    <row r="192">
      <c r="A192" s="31" t="s">
        <v>1447</v>
      </c>
      <c r="B192" s="31">
        <v>5.511987104551E12</v>
      </c>
      <c r="C192" s="32" t="str">
        <f t="shared" si="1"/>
        <v>87104551</v>
      </c>
    </row>
    <row r="193">
      <c r="A193" s="31" t="s">
        <v>1448</v>
      </c>
      <c r="B193" s="31">
        <v>5.511961377462E12</v>
      </c>
      <c r="C193" s="32" t="str">
        <f t="shared" si="1"/>
        <v>61377462</v>
      </c>
    </row>
    <row r="194">
      <c r="A194" s="31" t="s">
        <v>1449</v>
      </c>
      <c r="B194" s="31">
        <v>5.511977809996E12</v>
      </c>
      <c r="C194" s="32" t="str">
        <f t="shared" si="1"/>
        <v>77809996</v>
      </c>
    </row>
    <row r="195">
      <c r="A195" s="31" t="s">
        <v>1450</v>
      </c>
      <c r="B195" s="31">
        <v>5.511999676362E12</v>
      </c>
      <c r="C195" s="32" t="str">
        <f t="shared" si="1"/>
        <v>99676362</v>
      </c>
    </row>
    <row r="196">
      <c r="A196" s="31" t="s">
        <v>1451</v>
      </c>
      <c r="B196" s="31">
        <v>5.511999349292E12</v>
      </c>
      <c r="C196" s="32" t="str">
        <f t="shared" si="1"/>
        <v>99349292</v>
      </c>
    </row>
    <row r="197">
      <c r="A197" s="31" t="s">
        <v>1452</v>
      </c>
      <c r="B197" s="31">
        <v>5.511995177815E12</v>
      </c>
      <c r="C197" s="32" t="str">
        <f t="shared" si="1"/>
        <v>95177815</v>
      </c>
    </row>
    <row r="198">
      <c r="A198" s="31" t="s">
        <v>1453</v>
      </c>
      <c r="B198" s="31">
        <v>5.51199976603E12</v>
      </c>
      <c r="C198" s="32" t="str">
        <f t="shared" si="1"/>
        <v>99766030</v>
      </c>
    </row>
    <row r="199">
      <c r="A199" s="31" t="s">
        <v>1453</v>
      </c>
      <c r="B199" s="31">
        <v>5.511999901012E12</v>
      </c>
      <c r="C199" s="32" t="str">
        <f t="shared" si="1"/>
        <v>99901012</v>
      </c>
    </row>
    <row r="200">
      <c r="A200" s="31" t="s">
        <v>1454</v>
      </c>
      <c r="B200" s="31">
        <v>5.511989337755E12</v>
      </c>
      <c r="C200" s="32" t="str">
        <f t="shared" si="1"/>
        <v>89337755</v>
      </c>
    </row>
    <row r="201">
      <c r="A201" s="31" t="s">
        <v>1455</v>
      </c>
      <c r="B201" s="31">
        <v>5.511963292262E12</v>
      </c>
      <c r="C201" s="32" t="str">
        <f t="shared" si="1"/>
        <v>63292262</v>
      </c>
    </row>
    <row r="202">
      <c r="A202" s="31" t="s">
        <v>1456</v>
      </c>
      <c r="B202" s="31">
        <v>5.51199637445E12</v>
      </c>
      <c r="C202" s="32" t="str">
        <f t="shared" si="1"/>
        <v>96374450</v>
      </c>
    </row>
    <row r="203">
      <c r="A203" s="31" t="s">
        <v>1457</v>
      </c>
      <c r="B203" s="31">
        <v>5.511991286784E12</v>
      </c>
      <c r="C203" s="32" t="str">
        <f t="shared" si="1"/>
        <v>91286784</v>
      </c>
    </row>
    <row r="204">
      <c r="A204" s="31" t="s">
        <v>1458</v>
      </c>
      <c r="B204" s="31">
        <v>5.51198156882E12</v>
      </c>
      <c r="C204" s="32" t="str">
        <f t="shared" si="1"/>
        <v>81568820</v>
      </c>
    </row>
    <row r="205">
      <c r="A205" s="31" t="s">
        <v>1459</v>
      </c>
      <c r="B205" s="31">
        <v>5.51599799993E12</v>
      </c>
      <c r="C205" s="32" t="str">
        <f t="shared" si="1"/>
        <v>97999930</v>
      </c>
    </row>
    <row r="206">
      <c r="A206" s="31" t="s">
        <v>1460</v>
      </c>
      <c r="B206" s="31">
        <v>5.511999866847E12</v>
      </c>
      <c r="C206" s="32" t="str">
        <f t="shared" si="1"/>
        <v>99866847</v>
      </c>
    </row>
    <row r="207">
      <c r="A207" s="31" t="s">
        <v>1461</v>
      </c>
      <c r="B207" s="31">
        <v>5.511942428877E12</v>
      </c>
      <c r="C207" s="32" t="str">
        <f t="shared" si="1"/>
        <v>42428877</v>
      </c>
    </row>
    <row r="208">
      <c r="A208" s="31" t="s">
        <v>1462</v>
      </c>
      <c r="B208" s="31">
        <v>5.511996033406E12</v>
      </c>
      <c r="C208" s="32" t="str">
        <f t="shared" si="1"/>
        <v>96033406</v>
      </c>
    </row>
    <row r="209">
      <c r="A209" s="31" t="s">
        <v>1463</v>
      </c>
      <c r="B209" s="31">
        <v>5.511947711434E12</v>
      </c>
      <c r="C209" s="32" t="str">
        <f t="shared" si="1"/>
        <v>47711434</v>
      </c>
    </row>
    <row r="210">
      <c r="A210" s="31" t="s">
        <v>1464</v>
      </c>
      <c r="B210" s="31">
        <v>5.511941801898E12</v>
      </c>
      <c r="C210" s="32" t="str">
        <f t="shared" si="1"/>
        <v>41801898</v>
      </c>
    </row>
    <row r="211">
      <c r="A211" s="31" t="s">
        <v>1465</v>
      </c>
      <c r="B211" s="31">
        <v>5.511991290073E12</v>
      </c>
      <c r="C211" s="32" t="str">
        <f t="shared" si="1"/>
        <v>91290073</v>
      </c>
    </row>
    <row r="212">
      <c r="A212" s="31" t="s">
        <v>1466</v>
      </c>
      <c r="B212" s="31">
        <v>5.511999733003E12</v>
      </c>
      <c r="C212" s="32" t="str">
        <f t="shared" si="1"/>
        <v>99733003</v>
      </c>
    </row>
    <row r="213">
      <c r="A213" s="31" t="s">
        <v>1467</v>
      </c>
      <c r="B213" s="31">
        <v>5.511982742002E12</v>
      </c>
      <c r="C213" s="32" t="str">
        <f t="shared" si="1"/>
        <v>82742002</v>
      </c>
    </row>
    <row r="214">
      <c r="A214" s="31" t="s">
        <v>1468</v>
      </c>
      <c r="B214" s="31">
        <v>5.511991327933E12</v>
      </c>
      <c r="C214" s="32" t="str">
        <f t="shared" si="1"/>
        <v>91327933</v>
      </c>
    </row>
    <row r="215">
      <c r="A215" s="31" t="s">
        <v>1469</v>
      </c>
      <c r="B215" s="31">
        <v>5.511943149391E12</v>
      </c>
      <c r="C215" s="32" t="str">
        <f t="shared" si="1"/>
        <v>43149391</v>
      </c>
    </row>
    <row r="216">
      <c r="A216" s="31" t="s">
        <v>1470</v>
      </c>
      <c r="B216" s="31">
        <v>5.511999712123E12</v>
      </c>
      <c r="C216" s="32" t="str">
        <f t="shared" si="1"/>
        <v>99712123</v>
      </c>
    </row>
    <row r="217">
      <c r="A217" s="31" t="s">
        <v>1471</v>
      </c>
      <c r="B217" s="31">
        <v>5.511996180187E12</v>
      </c>
      <c r="C217" s="32" t="str">
        <f t="shared" si="1"/>
        <v>96180187</v>
      </c>
    </row>
    <row r="218">
      <c r="A218" s="31" t="s">
        <v>1472</v>
      </c>
      <c r="B218" s="31">
        <v>5.511991843981E12</v>
      </c>
      <c r="C218" s="32" t="str">
        <f t="shared" si="1"/>
        <v>91843981</v>
      </c>
    </row>
    <row r="219">
      <c r="A219" s="31" t="s">
        <v>1473</v>
      </c>
      <c r="B219" s="31">
        <v>5.511999080667E12</v>
      </c>
      <c r="C219" s="32" t="str">
        <f t="shared" si="1"/>
        <v>99080667</v>
      </c>
    </row>
    <row r="220">
      <c r="A220" s="31" t="s">
        <v>1474</v>
      </c>
      <c r="B220" s="31">
        <v>5.51199979241E12</v>
      </c>
      <c r="C220" s="32" t="str">
        <f t="shared" si="1"/>
        <v>99792410</v>
      </c>
    </row>
    <row r="221">
      <c r="A221" s="31" t="s">
        <v>1475</v>
      </c>
      <c r="B221" s="31">
        <v>5.511999141485E12</v>
      </c>
      <c r="C221" s="32" t="str">
        <f t="shared" si="1"/>
        <v>99141485</v>
      </c>
    </row>
    <row r="222">
      <c r="A222" s="31" t="s">
        <v>1476</v>
      </c>
      <c r="B222" s="31">
        <v>5.511976095659E12</v>
      </c>
      <c r="C222" s="32" t="str">
        <f t="shared" si="1"/>
        <v>76095659</v>
      </c>
    </row>
    <row r="223">
      <c r="A223" s="31" t="s">
        <v>1477</v>
      </c>
      <c r="B223" s="31">
        <v>5.511966400087E12</v>
      </c>
      <c r="C223" s="32" t="str">
        <f t="shared" si="1"/>
        <v>66400087</v>
      </c>
    </row>
    <row r="224">
      <c r="A224" s="31" t="s">
        <v>1478</v>
      </c>
      <c r="B224" s="31">
        <v>5.51534161913E11</v>
      </c>
      <c r="C224" s="32" t="str">
        <f t="shared" si="1"/>
        <v>34161913</v>
      </c>
    </row>
    <row r="225">
      <c r="A225" s="31" t="s">
        <v>1479</v>
      </c>
      <c r="B225" s="31">
        <v>5.511991550676E12</v>
      </c>
      <c r="C225" s="32" t="str">
        <f t="shared" si="1"/>
        <v>91550676</v>
      </c>
    </row>
    <row r="226">
      <c r="A226" s="31" t="s">
        <v>1479</v>
      </c>
      <c r="B226" s="31">
        <v>5.511947191874E12</v>
      </c>
      <c r="C226" s="32" t="str">
        <f t="shared" si="1"/>
        <v>47191874</v>
      </c>
    </row>
    <row r="227">
      <c r="A227" s="31" t="s">
        <v>1480</v>
      </c>
      <c r="B227" s="31">
        <v>5.511982142902E12</v>
      </c>
      <c r="C227" s="32" t="str">
        <f t="shared" si="1"/>
        <v>82142902</v>
      </c>
    </row>
    <row r="228">
      <c r="A228" s="31" t="s">
        <v>1481</v>
      </c>
      <c r="B228" s="31">
        <v>5.511999987515E12</v>
      </c>
      <c r="C228" s="32" t="str">
        <f t="shared" si="1"/>
        <v>99987515</v>
      </c>
    </row>
    <row r="229">
      <c r="A229" s="31" t="s">
        <v>1482</v>
      </c>
      <c r="B229" s="31">
        <v>5.511947017707E12</v>
      </c>
      <c r="C229" s="32" t="str">
        <f t="shared" si="1"/>
        <v>47017707</v>
      </c>
    </row>
    <row r="230">
      <c r="A230" s="31" t="s">
        <v>1483</v>
      </c>
      <c r="B230" s="31">
        <v>5.51198645682E12</v>
      </c>
      <c r="C230" s="32" t="str">
        <f t="shared" si="1"/>
        <v>86456820</v>
      </c>
    </row>
    <row r="231">
      <c r="A231" s="31" t="s">
        <v>1484</v>
      </c>
      <c r="B231" s="31">
        <v>5.511971350678E12</v>
      </c>
      <c r="C231" s="32" t="str">
        <f t="shared" si="1"/>
        <v>71350678</v>
      </c>
    </row>
    <row r="232">
      <c r="A232" s="31" t="s">
        <v>1485</v>
      </c>
      <c r="B232" s="31">
        <v>5.511999324996E12</v>
      </c>
      <c r="C232" s="32" t="str">
        <f t="shared" si="1"/>
        <v>99324996</v>
      </c>
    </row>
    <row r="233">
      <c r="A233" s="31" t="s">
        <v>1486</v>
      </c>
      <c r="B233" s="31">
        <v>5.511992952226E12</v>
      </c>
      <c r="C233" s="32" t="str">
        <f t="shared" si="1"/>
        <v>92952226</v>
      </c>
    </row>
    <row r="234">
      <c r="A234" s="31" t="s">
        <v>1486</v>
      </c>
      <c r="B234" s="31">
        <v>5.511992318478E12</v>
      </c>
      <c r="C234" s="32" t="str">
        <f t="shared" si="1"/>
        <v>92318478</v>
      </c>
    </row>
    <row r="235">
      <c r="A235" s="31" t="s">
        <v>1487</v>
      </c>
      <c r="B235" s="31">
        <v>5.511997638433E12</v>
      </c>
      <c r="C235" s="32" t="str">
        <f t="shared" si="1"/>
        <v>97638433</v>
      </c>
    </row>
    <row r="236">
      <c r="A236" s="31" t="s">
        <v>1488</v>
      </c>
      <c r="B236" s="31">
        <v>5.51195445179E12</v>
      </c>
      <c r="C236" s="32" t="str">
        <f t="shared" si="1"/>
        <v>54451790</v>
      </c>
    </row>
    <row r="237">
      <c r="A237" s="31" t="s">
        <v>1489</v>
      </c>
      <c r="B237" s="31">
        <v>5.511971918977E12</v>
      </c>
      <c r="C237" s="32" t="str">
        <f t="shared" si="1"/>
        <v>71918977</v>
      </c>
    </row>
    <row r="238">
      <c r="A238" s="31" t="s">
        <v>1490</v>
      </c>
      <c r="B238" s="31">
        <v>5.515997898423E12</v>
      </c>
      <c r="C238" s="32" t="str">
        <f t="shared" si="1"/>
        <v>97898423</v>
      </c>
    </row>
    <row r="239">
      <c r="A239" s="31" t="s">
        <v>1491</v>
      </c>
      <c r="B239" s="31">
        <v>5.511976295334E12</v>
      </c>
      <c r="C239" s="32" t="str">
        <f t="shared" si="1"/>
        <v>76295334</v>
      </c>
    </row>
    <row r="240">
      <c r="A240" s="31" t="s">
        <v>1492</v>
      </c>
      <c r="B240" s="31">
        <v>5.511983362833E12</v>
      </c>
      <c r="C240" s="32" t="str">
        <f t="shared" si="1"/>
        <v>83362833</v>
      </c>
    </row>
    <row r="241">
      <c r="A241" s="31" t="s">
        <v>1493</v>
      </c>
      <c r="B241" s="31">
        <v>5.511999108091E12</v>
      </c>
      <c r="C241" s="32" t="str">
        <f t="shared" si="1"/>
        <v>99108091</v>
      </c>
    </row>
    <row r="242">
      <c r="A242" s="31" t="s">
        <v>1472</v>
      </c>
      <c r="B242" s="31">
        <v>5.513981424689E12</v>
      </c>
      <c r="C242" s="32" t="str">
        <f t="shared" si="1"/>
        <v>81424689</v>
      </c>
    </row>
    <row r="243">
      <c r="A243" s="31" t="s">
        <v>1494</v>
      </c>
      <c r="B243" s="31">
        <v>5.511999931307E12</v>
      </c>
      <c r="C243" s="32" t="str">
        <f t="shared" si="1"/>
        <v>99931307</v>
      </c>
    </row>
    <row r="244">
      <c r="A244" s="31" t="s">
        <v>1495</v>
      </c>
      <c r="B244" s="31">
        <v>5.511998961331E12</v>
      </c>
      <c r="C244" s="32" t="str">
        <f t="shared" si="1"/>
        <v>98961331</v>
      </c>
    </row>
    <row r="245">
      <c r="A245" s="31" t="s">
        <v>1496</v>
      </c>
      <c r="B245" s="31">
        <v>5.511963238073E12</v>
      </c>
      <c r="C245" s="32" t="str">
        <f t="shared" si="1"/>
        <v>63238073</v>
      </c>
    </row>
    <row r="246">
      <c r="A246" s="31" t="s">
        <v>1497</v>
      </c>
      <c r="B246" s="31">
        <v>5.519999176613E12</v>
      </c>
      <c r="C246" s="32" t="str">
        <f t="shared" si="1"/>
        <v>99176613</v>
      </c>
    </row>
    <row r="247">
      <c r="A247" s="31" t="s">
        <v>1498</v>
      </c>
      <c r="B247" s="31">
        <v>5.511999665268E12</v>
      </c>
      <c r="C247" s="32" t="str">
        <f t="shared" si="1"/>
        <v>99665268</v>
      </c>
    </row>
    <row r="248">
      <c r="A248" s="31" t="s">
        <v>1499</v>
      </c>
      <c r="B248" s="31">
        <v>5.511958091242E12</v>
      </c>
      <c r="C248" s="32" t="str">
        <f t="shared" si="1"/>
        <v>58091242</v>
      </c>
    </row>
    <row r="249">
      <c r="A249" s="31" t="s">
        <v>1500</v>
      </c>
      <c r="B249" s="31">
        <v>5.511938011745E12</v>
      </c>
      <c r="C249" s="32" t="str">
        <f t="shared" si="1"/>
        <v>38011745</v>
      </c>
    </row>
    <row r="250">
      <c r="A250" s="31" t="s">
        <v>1501</v>
      </c>
      <c r="B250" s="31">
        <v>5.511977731301E12</v>
      </c>
      <c r="C250" s="32" t="str">
        <f t="shared" si="1"/>
        <v>77731301</v>
      </c>
    </row>
    <row r="251">
      <c r="A251" s="31" t="s">
        <v>1502</v>
      </c>
      <c r="B251" s="31">
        <v>5.511999645846E12</v>
      </c>
      <c r="C251" s="32" t="str">
        <f t="shared" si="1"/>
        <v>99645846</v>
      </c>
    </row>
    <row r="252">
      <c r="A252" s="31" t="s">
        <v>1503</v>
      </c>
      <c r="B252" s="31">
        <v>5.511930769954E12</v>
      </c>
      <c r="C252" s="32" t="str">
        <f t="shared" si="1"/>
        <v>30769954</v>
      </c>
    </row>
    <row r="253">
      <c r="A253" s="31" t="s">
        <v>1504</v>
      </c>
      <c r="B253" s="31">
        <v>5.511992288806E12</v>
      </c>
      <c r="C253" s="32" t="str">
        <f t="shared" si="1"/>
        <v>92288806</v>
      </c>
    </row>
    <row r="254">
      <c r="A254" s="31" t="s">
        <v>1332</v>
      </c>
      <c r="B254" s="31">
        <v>5.511984265368E12</v>
      </c>
      <c r="C254" s="32" t="str">
        <f t="shared" si="1"/>
        <v>84265368</v>
      </c>
    </row>
    <row r="255">
      <c r="A255" s="31" t="s">
        <v>1505</v>
      </c>
      <c r="B255" s="31">
        <v>5.511996216092E12</v>
      </c>
      <c r="C255" s="32" t="str">
        <f t="shared" si="1"/>
        <v>96216092</v>
      </c>
    </row>
    <row r="256">
      <c r="A256" s="31" t="s">
        <v>1506</v>
      </c>
      <c r="B256" s="31">
        <v>5.511974139621E12</v>
      </c>
      <c r="C256" s="32" t="str">
        <f t="shared" si="1"/>
        <v>74139621</v>
      </c>
    </row>
    <row r="257">
      <c r="A257" s="31" t="s">
        <v>1507</v>
      </c>
      <c r="B257" s="31">
        <v>5.511991243827E12</v>
      </c>
      <c r="C257" s="32" t="str">
        <f t="shared" si="1"/>
        <v>91243827</v>
      </c>
    </row>
    <row r="258">
      <c r="A258" s="31" t="s">
        <v>1508</v>
      </c>
      <c r="B258" s="31">
        <v>5.51199973863E12</v>
      </c>
      <c r="C258" s="32" t="str">
        <f t="shared" si="1"/>
        <v>99738630</v>
      </c>
    </row>
    <row r="259">
      <c r="A259" s="31" t="s">
        <v>1487</v>
      </c>
      <c r="B259" s="31">
        <v>5.511990179889E12</v>
      </c>
      <c r="C259" s="32" t="str">
        <f t="shared" si="1"/>
        <v>90179889</v>
      </c>
    </row>
    <row r="260">
      <c r="A260" s="31" t="s">
        <v>1491</v>
      </c>
      <c r="B260" s="31">
        <v>5.511913690793E12</v>
      </c>
      <c r="C260" s="32" t="str">
        <f t="shared" si="1"/>
        <v>13690793</v>
      </c>
    </row>
    <row r="261">
      <c r="A261" s="31" t="s">
        <v>1509</v>
      </c>
      <c r="B261" s="31">
        <v>5.511999806202E12</v>
      </c>
      <c r="C261" s="32" t="str">
        <f t="shared" si="1"/>
        <v>99806202</v>
      </c>
    </row>
    <row r="262">
      <c r="A262" s="31" t="s">
        <v>1510</v>
      </c>
      <c r="B262" s="31">
        <v>5.511997494111E12</v>
      </c>
      <c r="C262" s="32" t="str">
        <f t="shared" si="1"/>
        <v>97494111</v>
      </c>
    </row>
    <row r="263">
      <c r="A263" s="31" t="s">
        <v>1511</v>
      </c>
      <c r="B263" s="31">
        <v>5.51195101819E12</v>
      </c>
      <c r="C263" s="32" t="str">
        <f t="shared" si="1"/>
        <v>51018190</v>
      </c>
    </row>
    <row r="264">
      <c r="A264" s="31" t="s">
        <v>1512</v>
      </c>
      <c r="B264" s="31">
        <v>5.511997447512E12</v>
      </c>
      <c r="C264" s="32" t="str">
        <f t="shared" si="1"/>
        <v>97447512</v>
      </c>
    </row>
    <row r="265">
      <c r="A265" s="31" t="s">
        <v>1513</v>
      </c>
      <c r="B265" s="31">
        <v>5.5139883813E12</v>
      </c>
      <c r="C265" s="32" t="str">
        <f t="shared" si="1"/>
        <v>88381300</v>
      </c>
    </row>
    <row r="266">
      <c r="A266" s="31" t="s">
        <v>1514</v>
      </c>
      <c r="B266" s="31">
        <v>5.511930995135E12</v>
      </c>
      <c r="C266" s="32" t="str">
        <f t="shared" si="1"/>
        <v>30995135</v>
      </c>
    </row>
    <row r="267">
      <c r="A267" s="31" t="s">
        <v>1515</v>
      </c>
      <c r="B267" s="31">
        <v>5.511991871043E12</v>
      </c>
      <c r="C267" s="32" t="str">
        <f t="shared" si="1"/>
        <v>91871043</v>
      </c>
    </row>
    <row r="268">
      <c r="A268" s="31" t="s">
        <v>1485</v>
      </c>
      <c r="B268" s="31">
        <v>5.511996432331E12</v>
      </c>
      <c r="C268" s="32" t="str">
        <f t="shared" si="1"/>
        <v>96432331</v>
      </c>
    </row>
    <row r="269">
      <c r="A269" s="31" t="s">
        <v>1490</v>
      </c>
      <c r="B269" s="31">
        <v>5.511961960973E12</v>
      </c>
      <c r="C269" s="32" t="str">
        <f t="shared" si="1"/>
        <v>61960973</v>
      </c>
    </row>
    <row r="270">
      <c r="A270" s="31" t="s">
        <v>1461</v>
      </c>
      <c r="B270" s="31">
        <v>5.511947294176E12</v>
      </c>
      <c r="C270" s="32" t="str">
        <f t="shared" si="1"/>
        <v>47294176</v>
      </c>
    </row>
    <row r="271">
      <c r="A271" s="31" t="s">
        <v>1516</v>
      </c>
      <c r="B271" s="31">
        <v>5.511987871428E12</v>
      </c>
      <c r="C271" s="32" t="str">
        <f t="shared" si="1"/>
        <v>87871428</v>
      </c>
    </row>
    <row r="272">
      <c r="A272" s="31" t="s">
        <v>1517</v>
      </c>
      <c r="B272" s="31">
        <v>5.511974402909E12</v>
      </c>
      <c r="C272" s="32" t="str">
        <f t="shared" si="1"/>
        <v>74402909</v>
      </c>
    </row>
    <row r="273">
      <c r="A273" s="31" t="s">
        <v>1518</v>
      </c>
      <c r="B273" s="31">
        <v>5.51199605809E12</v>
      </c>
      <c r="C273" s="32" t="str">
        <f t="shared" si="1"/>
        <v>96058090</v>
      </c>
    </row>
    <row r="274">
      <c r="A274" s="31" t="s">
        <v>1519</v>
      </c>
      <c r="B274" s="31">
        <v>5.511983040404E12</v>
      </c>
      <c r="C274" s="32" t="str">
        <f t="shared" si="1"/>
        <v>83040404</v>
      </c>
    </row>
    <row r="275">
      <c r="A275" s="31" t="s">
        <v>1451</v>
      </c>
      <c r="B275" s="31">
        <v>5.511984029823E12</v>
      </c>
      <c r="C275" s="32" t="str">
        <f t="shared" si="1"/>
        <v>84029823</v>
      </c>
    </row>
    <row r="276">
      <c r="A276" s="31" t="s">
        <v>1520</v>
      </c>
      <c r="B276" s="31">
        <v>5.511985621917E12</v>
      </c>
      <c r="C276" s="32" t="str">
        <f t="shared" si="1"/>
        <v>85621917</v>
      </c>
    </row>
    <row r="277">
      <c r="A277" s="31" t="s">
        <v>1521</v>
      </c>
      <c r="B277" s="31">
        <v>5.51197249112E12</v>
      </c>
      <c r="C277" s="32" t="str">
        <f t="shared" si="1"/>
        <v>72491120</v>
      </c>
    </row>
    <row r="278">
      <c r="A278" s="31" t="s">
        <v>1521</v>
      </c>
      <c r="B278" s="31">
        <v>5.511947739323E12</v>
      </c>
      <c r="C278" s="32" t="str">
        <f t="shared" si="1"/>
        <v>47739323</v>
      </c>
    </row>
    <row r="279">
      <c r="A279" s="31" t="s">
        <v>1522</v>
      </c>
      <c r="B279" s="31">
        <v>5.511971905393E12</v>
      </c>
      <c r="C279" s="32" t="str">
        <f t="shared" si="1"/>
        <v>71905393</v>
      </c>
    </row>
    <row r="280">
      <c r="A280" s="31" t="s">
        <v>1523</v>
      </c>
      <c r="B280" s="31">
        <v>5.511952234182E12</v>
      </c>
      <c r="C280" s="32" t="str">
        <f t="shared" si="1"/>
        <v>52234182</v>
      </c>
    </row>
    <row r="281">
      <c r="A281" s="31" t="s">
        <v>1524</v>
      </c>
      <c r="B281" s="31">
        <v>5.511998613196E12</v>
      </c>
      <c r="C281" s="32" t="str">
        <f t="shared" si="1"/>
        <v>98613196</v>
      </c>
    </row>
    <row r="282">
      <c r="A282" s="31" t="s">
        <v>1525</v>
      </c>
      <c r="B282" s="31">
        <v>5.511992717148E12</v>
      </c>
      <c r="C282" s="32" t="str">
        <f t="shared" si="1"/>
        <v>92717148</v>
      </c>
    </row>
    <row r="283">
      <c r="A283" s="31" t="s">
        <v>1526</v>
      </c>
      <c r="B283" s="31">
        <v>5.511982084361E12</v>
      </c>
      <c r="C283" s="32" t="str">
        <f t="shared" si="1"/>
        <v>82084361</v>
      </c>
    </row>
    <row r="284">
      <c r="A284" s="31" t="s">
        <v>1527</v>
      </c>
      <c r="B284" s="31">
        <v>5.511991080095E12</v>
      </c>
      <c r="C284" s="32" t="str">
        <f t="shared" si="1"/>
        <v>91080095</v>
      </c>
    </row>
    <row r="285">
      <c r="C285" s="32"/>
    </row>
    <row r="286">
      <c r="C286" s="32"/>
    </row>
    <row r="287">
      <c r="C287" s="32"/>
    </row>
    <row r="288">
      <c r="C288" s="32"/>
    </row>
    <row r="289">
      <c r="C289" s="32"/>
    </row>
    <row r="290">
      <c r="C290" s="32"/>
    </row>
    <row r="291">
      <c r="C291" s="32"/>
    </row>
    <row r="292">
      <c r="C292" s="32"/>
    </row>
    <row r="293">
      <c r="C293" s="32"/>
    </row>
    <row r="294">
      <c r="C294" s="32"/>
    </row>
    <row r="295">
      <c r="C295" s="32"/>
    </row>
    <row r="296">
      <c r="C296" s="32"/>
    </row>
    <row r="297">
      <c r="C297" s="32"/>
    </row>
    <row r="298">
      <c r="C298" s="32"/>
    </row>
    <row r="299">
      <c r="C299" s="32"/>
    </row>
    <row r="300">
      <c r="C300" s="32"/>
    </row>
    <row r="301">
      <c r="C301" s="32"/>
    </row>
    <row r="302">
      <c r="C302" s="32"/>
    </row>
    <row r="303">
      <c r="C303" s="32"/>
    </row>
    <row r="304">
      <c r="C304" s="32"/>
    </row>
    <row r="305">
      <c r="C305" s="32"/>
    </row>
    <row r="306">
      <c r="C306" s="32"/>
    </row>
    <row r="307">
      <c r="C307" s="32"/>
    </row>
    <row r="308">
      <c r="C308" s="32"/>
    </row>
    <row r="309">
      <c r="C309" s="32"/>
    </row>
    <row r="310">
      <c r="C310" s="32"/>
    </row>
    <row r="311">
      <c r="C311" s="32"/>
    </row>
    <row r="312">
      <c r="C312" s="32"/>
    </row>
    <row r="313">
      <c r="C313" s="32"/>
    </row>
    <row r="314">
      <c r="C314" s="32"/>
    </row>
    <row r="315">
      <c r="C315" s="32"/>
    </row>
    <row r="316">
      <c r="C316" s="32"/>
    </row>
    <row r="317">
      <c r="C317" s="32"/>
    </row>
    <row r="318">
      <c r="C318" s="32"/>
    </row>
    <row r="319">
      <c r="C319" s="32"/>
    </row>
    <row r="320">
      <c r="C320" s="32"/>
    </row>
    <row r="321">
      <c r="C321" s="32"/>
    </row>
    <row r="322">
      <c r="C322" s="32"/>
    </row>
    <row r="323">
      <c r="C323" s="32"/>
    </row>
    <row r="324">
      <c r="C324" s="32"/>
    </row>
    <row r="325">
      <c r="C325" s="32"/>
    </row>
    <row r="326">
      <c r="C326" s="32"/>
    </row>
    <row r="327">
      <c r="C327" s="32"/>
    </row>
    <row r="328">
      <c r="C328" s="32"/>
    </row>
    <row r="329">
      <c r="C329" s="32"/>
    </row>
    <row r="330">
      <c r="C330" s="32"/>
    </row>
    <row r="331">
      <c r="C331" s="32"/>
    </row>
    <row r="332">
      <c r="C332" s="32"/>
    </row>
    <row r="333">
      <c r="C333" s="32"/>
    </row>
    <row r="334">
      <c r="C334" s="32"/>
    </row>
    <row r="335">
      <c r="C335" s="32"/>
    </row>
    <row r="336">
      <c r="C336" s="32"/>
    </row>
    <row r="337">
      <c r="C337" s="32"/>
    </row>
    <row r="338">
      <c r="C338" s="32"/>
    </row>
    <row r="339">
      <c r="C339" s="32"/>
    </row>
    <row r="340">
      <c r="C340" s="32"/>
    </row>
    <row r="341">
      <c r="C341" s="32"/>
    </row>
    <row r="342">
      <c r="C342" s="32"/>
    </row>
    <row r="343">
      <c r="C343" s="32"/>
    </row>
    <row r="344">
      <c r="C344" s="32"/>
    </row>
    <row r="345">
      <c r="C345" s="32"/>
    </row>
    <row r="346">
      <c r="C346" s="32"/>
    </row>
    <row r="347">
      <c r="C347" s="32"/>
    </row>
    <row r="348">
      <c r="C348" s="32"/>
    </row>
    <row r="349">
      <c r="C349" s="32"/>
    </row>
    <row r="350">
      <c r="C350" s="32"/>
    </row>
    <row r="351">
      <c r="C351" s="32"/>
    </row>
    <row r="352">
      <c r="C352" s="32"/>
    </row>
    <row r="353">
      <c r="C353" s="32"/>
    </row>
    <row r="354">
      <c r="C354" s="32"/>
    </row>
    <row r="355">
      <c r="C355" s="32"/>
    </row>
    <row r="356">
      <c r="C356" s="32"/>
    </row>
    <row r="357">
      <c r="C357" s="32"/>
    </row>
    <row r="358">
      <c r="C358" s="32"/>
    </row>
    <row r="359">
      <c r="C359" s="32"/>
    </row>
    <row r="360">
      <c r="C360" s="32"/>
    </row>
    <row r="361">
      <c r="C361" s="32"/>
    </row>
    <row r="362">
      <c r="C362" s="32"/>
    </row>
    <row r="363">
      <c r="C363" s="32"/>
    </row>
    <row r="364">
      <c r="C364" s="32"/>
    </row>
    <row r="365">
      <c r="C365" s="32"/>
    </row>
    <row r="366">
      <c r="C366" s="32"/>
    </row>
    <row r="367">
      <c r="C367" s="32"/>
    </row>
    <row r="368">
      <c r="C368" s="32"/>
    </row>
    <row r="369">
      <c r="C369" s="32"/>
    </row>
    <row r="370">
      <c r="C370" s="32"/>
    </row>
    <row r="371">
      <c r="C371" s="32"/>
    </row>
    <row r="372">
      <c r="C372" s="32"/>
    </row>
    <row r="373">
      <c r="C373" s="32"/>
    </row>
    <row r="374">
      <c r="C374" s="32"/>
    </row>
    <row r="375">
      <c r="C375" s="32"/>
    </row>
    <row r="376">
      <c r="C376" s="32"/>
    </row>
    <row r="377">
      <c r="C377" s="32"/>
    </row>
    <row r="378">
      <c r="C378" s="32"/>
    </row>
    <row r="379">
      <c r="C379" s="32"/>
    </row>
    <row r="380">
      <c r="C380" s="32"/>
    </row>
    <row r="381">
      <c r="C381" s="32"/>
    </row>
    <row r="382">
      <c r="C382" s="32"/>
    </row>
    <row r="383">
      <c r="C383" s="32"/>
    </row>
    <row r="384">
      <c r="C384" s="32"/>
    </row>
    <row r="385">
      <c r="C385" s="32"/>
    </row>
    <row r="386">
      <c r="C386" s="32"/>
    </row>
    <row r="387">
      <c r="C387" s="32"/>
    </row>
    <row r="388">
      <c r="C388" s="32"/>
    </row>
    <row r="389">
      <c r="C389" s="32"/>
    </row>
    <row r="390">
      <c r="C390" s="32"/>
    </row>
    <row r="391">
      <c r="C391" s="32"/>
    </row>
    <row r="392">
      <c r="C392" s="32"/>
    </row>
    <row r="393">
      <c r="C393" s="32"/>
    </row>
    <row r="394">
      <c r="C394" s="32"/>
    </row>
    <row r="395">
      <c r="C395" s="32"/>
    </row>
    <row r="396">
      <c r="C396" s="32"/>
    </row>
    <row r="397">
      <c r="C397" s="32"/>
    </row>
    <row r="398">
      <c r="C398" s="32"/>
    </row>
    <row r="399">
      <c r="C399" s="32"/>
    </row>
    <row r="400">
      <c r="C400" s="32"/>
    </row>
    <row r="401">
      <c r="C401" s="32"/>
    </row>
    <row r="402">
      <c r="C402" s="32"/>
    </row>
    <row r="403">
      <c r="C403" s="32"/>
    </row>
    <row r="404">
      <c r="C404" s="32"/>
    </row>
    <row r="405">
      <c r="C405" s="32"/>
    </row>
    <row r="406">
      <c r="C406" s="32"/>
    </row>
    <row r="407">
      <c r="C407" s="32"/>
    </row>
    <row r="408">
      <c r="C408" s="32"/>
    </row>
    <row r="409">
      <c r="C409" s="32"/>
    </row>
    <row r="410">
      <c r="C410" s="32"/>
    </row>
    <row r="411">
      <c r="C411" s="32"/>
    </row>
    <row r="412">
      <c r="C412" s="32"/>
    </row>
    <row r="413">
      <c r="C413" s="32"/>
    </row>
    <row r="414">
      <c r="C414" s="32"/>
    </row>
    <row r="415">
      <c r="C415" s="32"/>
    </row>
    <row r="416">
      <c r="C416" s="32"/>
    </row>
    <row r="417">
      <c r="C417" s="32"/>
    </row>
    <row r="418">
      <c r="C418" s="32"/>
    </row>
    <row r="419">
      <c r="C419" s="32"/>
    </row>
    <row r="420">
      <c r="C420" s="32"/>
    </row>
    <row r="421">
      <c r="C421" s="32"/>
    </row>
    <row r="422">
      <c r="C422" s="32"/>
    </row>
    <row r="423">
      <c r="C423" s="32"/>
    </row>
    <row r="424">
      <c r="C424" s="32"/>
    </row>
    <row r="425">
      <c r="C425" s="32"/>
    </row>
    <row r="426">
      <c r="C426" s="32"/>
    </row>
    <row r="427">
      <c r="C427" s="32"/>
    </row>
    <row r="428">
      <c r="C428" s="32"/>
    </row>
    <row r="429">
      <c r="C429" s="32"/>
    </row>
    <row r="430">
      <c r="C430" s="32"/>
    </row>
    <row r="431">
      <c r="C431" s="32"/>
    </row>
    <row r="432">
      <c r="C432" s="32"/>
    </row>
    <row r="433">
      <c r="C433" s="32"/>
    </row>
    <row r="434">
      <c r="C434" s="32"/>
    </row>
    <row r="435">
      <c r="C435" s="32"/>
    </row>
    <row r="436">
      <c r="C436" s="32"/>
    </row>
    <row r="437">
      <c r="C437" s="32"/>
    </row>
    <row r="438">
      <c r="C438" s="32"/>
    </row>
    <row r="439">
      <c r="C439" s="32"/>
    </row>
    <row r="440">
      <c r="C440" s="32"/>
    </row>
    <row r="441">
      <c r="C441" s="32"/>
    </row>
    <row r="442">
      <c r="C442" s="32"/>
    </row>
    <row r="443">
      <c r="C443" s="32"/>
    </row>
    <row r="444">
      <c r="C444" s="32"/>
    </row>
    <row r="445">
      <c r="C445" s="32"/>
    </row>
    <row r="446">
      <c r="C446" s="32"/>
    </row>
    <row r="447">
      <c r="C447" s="32"/>
    </row>
    <row r="448">
      <c r="C448" s="32"/>
    </row>
    <row r="449">
      <c r="C449" s="32"/>
    </row>
    <row r="450">
      <c r="C450" s="32"/>
    </row>
    <row r="451">
      <c r="C451" s="32"/>
    </row>
    <row r="452">
      <c r="C452" s="32"/>
    </row>
    <row r="453">
      <c r="C453" s="32"/>
    </row>
    <row r="454">
      <c r="C454" s="32"/>
    </row>
    <row r="455">
      <c r="C455" s="32"/>
    </row>
    <row r="456">
      <c r="C456" s="32"/>
    </row>
    <row r="457">
      <c r="C457" s="32"/>
    </row>
    <row r="458">
      <c r="C458" s="32"/>
    </row>
    <row r="459">
      <c r="C459" s="32"/>
    </row>
    <row r="460">
      <c r="C460" s="32"/>
    </row>
    <row r="461">
      <c r="C461" s="32"/>
    </row>
    <row r="462">
      <c r="C462" s="32"/>
    </row>
    <row r="463">
      <c r="C463" s="32"/>
    </row>
    <row r="464">
      <c r="C464" s="32"/>
    </row>
    <row r="465">
      <c r="C465" s="32"/>
    </row>
    <row r="466">
      <c r="C466" s="32"/>
    </row>
    <row r="467">
      <c r="C467" s="32"/>
    </row>
    <row r="468">
      <c r="C468" s="32"/>
    </row>
    <row r="469">
      <c r="C469" s="32"/>
    </row>
    <row r="470">
      <c r="C470" s="32"/>
    </row>
    <row r="471">
      <c r="C471" s="32"/>
    </row>
    <row r="472">
      <c r="C472" s="32"/>
    </row>
    <row r="473">
      <c r="C473" s="32"/>
    </row>
    <row r="474">
      <c r="C474" s="32"/>
    </row>
    <row r="475">
      <c r="C475" s="32"/>
    </row>
    <row r="476">
      <c r="C476" s="32"/>
    </row>
    <row r="477">
      <c r="C477" s="32"/>
    </row>
    <row r="478">
      <c r="C478" s="32"/>
    </row>
    <row r="479">
      <c r="C479" s="32"/>
    </row>
    <row r="480">
      <c r="C480" s="32"/>
    </row>
    <row r="481">
      <c r="C481" s="32"/>
    </row>
    <row r="482">
      <c r="C482" s="32"/>
    </row>
    <row r="483">
      <c r="C483" s="32"/>
    </row>
    <row r="484">
      <c r="C484" s="32"/>
    </row>
    <row r="485">
      <c r="C485" s="32"/>
    </row>
    <row r="486">
      <c r="C486" s="32"/>
    </row>
    <row r="487">
      <c r="C487" s="32"/>
    </row>
    <row r="488">
      <c r="C488" s="32"/>
    </row>
    <row r="489">
      <c r="C489" s="32"/>
    </row>
    <row r="490">
      <c r="C490" s="32"/>
    </row>
    <row r="491">
      <c r="C491" s="32"/>
    </row>
    <row r="492">
      <c r="C492" s="32"/>
    </row>
    <row r="493">
      <c r="C493" s="32"/>
    </row>
    <row r="494">
      <c r="C494" s="32"/>
    </row>
    <row r="495">
      <c r="C495" s="32"/>
    </row>
    <row r="496">
      <c r="C496" s="32"/>
    </row>
    <row r="497">
      <c r="C497" s="32"/>
    </row>
    <row r="498">
      <c r="C498" s="32"/>
    </row>
    <row r="499">
      <c r="C499" s="32"/>
    </row>
    <row r="500">
      <c r="C500" s="32"/>
    </row>
    <row r="501">
      <c r="C501" s="32"/>
    </row>
    <row r="502">
      <c r="C502" s="32"/>
    </row>
    <row r="503">
      <c r="C503" s="32"/>
    </row>
    <row r="504">
      <c r="C504" s="32"/>
    </row>
    <row r="505">
      <c r="C505" s="32"/>
    </row>
    <row r="506">
      <c r="C506" s="32"/>
    </row>
    <row r="507">
      <c r="C507" s="32"/>
    </row>
    <row r="508">
      <c r="C508" s="32"/>
    </row>
    <row r="509">
      <c r="C509" s="32"/>
    </row>
    <row r="510">
      <c r="C510" s="32"/>
    </row>
    <row r="511">
      <c r="C511" s="32"/>
    </row>
    <row r="512">
      <c r="C512" s="32"/>
    </row>
    <row r="513">
      <c r="C513" s="32"/>
    </row>
    <row r="514">
      <c r="C514" s="32"/>
    </row>
    <row r="515">
      <c r="C515" s="32"/>
    </row>
    <row r="516">
      <c r="C516" s="32"/>
    </row>
    <row r="517">
      <c r="C517" s="32"/>
    </row>
    <row r="518">
      <c r="C518" s="32"/>
    </row>
    <row r="519">
      <c r="C519" s="32"/>
    </row>
    <row r="520">
      <c r="C520" s="32"/>
    </row>
    <row r="521">
      <c r="C521" s="32"/>
    </row>
    <row r="522">
      <c r="C522" s="32"/>
    </row>
    <row r="523">
      <c r="C523" s="32"/>
    </row>
    <row r="524">
      <c r="C524" s="32"/>
    </row>
    <row r="525">
      <c r="C525" s="32"/>
    </row>
    <row r="526">
      <c r="C526" s="32"/>
    </row>
    <row r="527">
      <c r="C527" s="32"/>
    </row>
    <row r="528">
      <c r="C528" s="32"/>
    </row>
    <row r="529">
      <c r="C529" s="32"/>
    </row>
    <row r="530">
      <c r="C530" s="32"/>
    </row>
    <row r="531">
      <c r="C531" s="32"/>
    </row>
    <row r="532">
      <c r="C532" s="32"/>
    </row>
    <row r="533">
      <c r="C533" s="32"/>
    </row>
    <row r="534">
      <c r="C534" s="32"/>
    </row>
    <row r="535">
      <c r="C535" s="32"/>
    </row>
    <row r="536">
      <c r="C536" s="32"/>
    </row>
    <row r="537">
      <c r="C537" s="32"/>
    </row>
    <row r="538">
      <c r="C538" s="32"/>
    </row>
    <row r="539">
      <c r="C539" s="32"/>
    </row>
    <row r="540">
      <c r="C540" s="32"/>
    </row>
    <row r="541">
      <c r="C541" s="32"/>
    </row>
    <row r="542">
      <c r="C542" s="32"/>
    </row>
    <row r="543">
      <c r="C543" s="32"/>
    </row>
    <row r="544">
      <c r="C544" s="32"/>
    </row>
    <row r="545">
      <c r="C545" s="32"/>
    </row>
    <row r="546">
      <c r="C546" s="32"/>
    </row>
    <row r="547">
      <c r="C547" s="32"/>
    </row>
    <row r="548">
      <c r="C548" s="32"/>
    </row>
    <row r="549">
      <c r="C549" s="32"/>
    </row>
    <row r="550">
      <c r="C550" s="32"/>
    </row>
    <row r="551">
      <c r="C551" s="32"/>
    </row>
    <row r="552">
      <c r="C552" s="32"/>
    </row>
    <row r="553">
      <c r="C553" s="32"/>
    </row>
    <row r="554">
      <c r="C554" s="32"/>
    </row>
    <row r="555">
      <c r="C555" s="32"/>
    </row>
    <row r="556">
      <c r="C556" s="32"/>
    </row>
    <row r="557">
      <c r="C557" s="32"/>
    </row>
    <row r="558">
      <c r="C558" s="32"/>
    </row>
    <row r="559">
      <c r="C559" s="32"/>
    </row>
    <row r="560">
      <c r="C560" s="32"/>
    </row>
    <row r="561">
      <c r="C561" s="32"/>
    </row>
    <row r="562">
      <c r="C562" s="32"/>
    </row>
    <row r="563">
      <c r="C563" s="32"/>
    </row>
    <row r="564">
      <c r="C564" s="32"/>
    </row>
    <row r="565">
      <c r="C565" s="32"/>
    </row>
    <row r="566">
      <c r="C566" s="32"/>
    </row>
    <row r="567">
      <c r="C567" s="32"/>
    </row>
    <row r="568">
      <c r="C568" s="32"/>
    </row>
    <row r="569">
      <c r="C569" s="32"/>
    </row>
    <row r="570">
      <c r="C570" s="32"/>
    </row>
    <row r="571">
      <c r="C571" s="32"/>
    </row>
    <row r="572">
      <c r="C572" s="32"/>
    </row>
    <row r="573">
      <c r="C573" s="32"/>
    </row>
    <row r="574">
      <c r="C574" s="32"/>
    </row>
    <row r="575">
      <c r="C575" s="32"/>
    </row>
    <row r="576">
      <c r="C576" s="32"/>
    </row>
    <row r="577">
      <c r="C577" s="32"/>
    </row>
    <row r="578">
      <c r="C578" s="32"/>
    </row>
    <row r="579">
      <c r="C579" s="32"/>
    </row>
    <row r="580">
      <c r="C580" s="32"/>
    </row>
    <row r="581">
      <c r="C581" s="32"/>
    </row>
    <row r="582">
      <c r="C582" s="32"/>
    </row>
    <row r="583">
      <c r="C583" s="32"/>
    </row>
    <row r="584">
      <c r="C584" s="32"/>
    </row>
    <row r="585">
      <c r="C585" s="32"/>
    </row>
    <row r="586">
      <c r="C586" s="32"/>
    </row>
    <row r="587">
      <c r="C587" s="32"/>
    </row>
    <row r="588">
      <c r="C588" s="32"/>
    </row>
    <row r="589">
      <c r="C589" s="32"/>
    </row>
    <row r="590">
      <c r="C590" s="32"/>
    </row>
    <row r="591">
      <c r="C591" s="32"/>
    </row>
    <row r="592">
      <c r="C592" s="32"/>
    </row>
    <row r="593">
      <c r="C593" s="32"/>
    </row>
    <row r="594">
      <c r="C594" s="32"/>
    </row>
    <row r="595">
      <c r="C595" s="32"/>
    </row>
    <row r="596">
      <c r="C596" s="32"/>
    </row>
    <row r="597">
      <c r="C597" s="32"/>
    </row>
    <row r="598">
      <c r="C598" s="32"/>
    </row>
    <row r="599">
      <c r="C599" s="32"/>
    </row>
    <row r="600">
      <c r="C600" s="32"/>
    </row>
    <row r="601">
      <c r="C601" s="32"/>
    </row>
    <row r="602">
      <c r="C602" s="32"/>
    </row>
    <row r="603">
      <c r="C603" s="32"/>
    </row>
    <row r="604">
      <c r="C604" s="32"/>
    </row>
    <row r="605">
      <c r="C605" s="32"/>
    </row>
    <row r="606">
      <c r="C606" s="32"/>
    </row>
    <row r="607">
      <c r="C607" s="32"/>
    </row>
    <row r="608">
      <c r="C608" s="32"/>
    </row>
    <row r="609">
      <c r="C609" s="32"/>
    </row>
    <row r="610">
      <c r="C610" s="32"/>
    </row>
    <row r="611">
      <c r="C611" s="32"/>
    </row>
    <row r="612">
      <c r="C612" s="32"/>
    </row>
    <row r="613">
      <c r="C613" s="32"/>
    </row>
    <row r="614">
      <c r="C614" s="32"/>
    </row>
    <row r="615">
      <c r="C615" s="32"/>
    </row>
    <row r="616">
      <c r="C616" s="32"/>
    </row>
    <row r="617">
      <c r="C617" s="32"/>
    </row>
    <row r="618">
      <c r="C618" s="32"/>
    </row>
    <row r="619">
      <c r="C619" s="32"/>
    </row>
    <row r="620">
      <c r="C620" s="32"/>
    </row>
    <row r="621">
      <c r="C621" s="32"/>
    </row>
    <row r="622">
      <c r="C622" s="32"/>
    </row>
    <row r="623">
      <c r="C623" s="32"/>
    </row>
    <row r="624">
      <c r="C624" s="32"/>
    </row>
    <row r="625">
      <c r="C625" s="32"/>
    </row>
    <row r="626">
      <c r="C626" s="32"/>
    </row>
    <row r="627">
      <c r="C627" s="32"/>
    </row>
    <row r="628">
      <c r="C628" s="32"/>
    </row>
    <row r="629">
      <c r="C629" s="32"/>
    </row>
    <row r="630">
      <c r="C630" s="32"/>
    </row>
    <row r="631">
      <c r="C631" s="32"/>
    </row>
    <row r="632">
      <c r="C632" s="32"/>
    </row>
    <row r="633">
      <c r="C633" s="32"/>
    </row>
    <row r="634">
      <c r="C634" s="32"/>
    </row>
    <row r="635">
      <c r="C635" s="32"/>
    </row>
    <row r="636">
      <c r="C636" s="32"/>
    </row>
    <row r="637">
      <c r="C637" s="32"/>
    </row>
    <row r="638">
      <c r="C638" s="32"/>
    </row>
    <row r="639">
      <c r="C639" s="32"/>
    </row>
    <row r="640">
      <c r="C640" s="32"/>
    </row>
    <row r="641">
      <c r="C641" s="32"/>
    </row>
    <row r="642">
      <c r="C642" s="32"/>
    </row>
    <row r="643">
      <c r="C643" s="32"/>
    </row>
    <row r="644">
      <c r="C644" s="32"/>
    </row>
    <row r="645">
      <c r="C645" s="32"/>
    </row>
    <row r="646">
      <c r="C646" s="32"/>
    </row>
    <row r="647">
      <c r="C647" s="32"/>
    </row>
    <row r="648">
      <c r="C648" s="32"/>
    </row>
    <row r="649">
      <c r="C649" s="32"/>
    </row>
    <row r="650">
      <c r="C650" s="32"/>
    </row>
    <row r="651">
      <c r="C651" s="32"/>
    </row>
    <row r="652">
      <c r="C652" s="32"/>
    </row>
    <row r="653">
      <c r="C653" s="32"/>
    </row>
    <row r="654">
      <c r="C654" s="32"/>
    </row>
    <row r="655">
      <c r="C655" s="32"/>
    </row>
    <row r="656">
      <c r="C656" s="32"/>
    </row>
    <row r="657">
      <c r="C657" s="32"/>
    </row>
    <row r="658">
      <c r="C658" s="32"/>
    </row>
    <row r="659">
      <c r="C659" s="32"/>
    </row>
    <row r="660">
      <c r="C660" s="32"/>
    </row>
    <row r="661">
      <c r="C661" s="32"/>
    </row>
    <row r="662">
      <c r="C662" s="32"/>
    </row>
    <row r="663">
      <c r="C663" s="32"/>
    </row>
    <row r="664">
      <c r="C664" s="32"/>
    </row>
    <row r="665">
      <c r="C665" s="32"/>
    </row>
    <row r="666">
      <c r="C666" s="32"/>
    </row>
    <row r="667">
      <c r="C667" s="32"/>
    </row>
    <row r="668">
      <c r="C668" s="32"/>
    </row>
    <row r="669">
      <c r="C669" s="32"/>
    </row>
    <row r="670">
      <c r="C670" s="32"/>
    </row>
    <row r="671">
      <c r="C671" s="32"/>
    </row>
    <row r="672">
      <c r="C672" s="32"/>
    </row>
    <row r="673">
      <c r="C673" s="32"/>
    </row>
    <row r="674">
      <c r="C674" s="32"/>
    </row>
    <row r="675">
      <c r="C675" s="32"/>
    </row>
    <row r="676">
      <c r="C676" s="32"/>
    </row>
    <row r="677">
      <c r="C677" s="32"/>
    </row>
    <row r="678">
      <c r="C678" s="32"/>
    </row>
    <row r="679">
      <c r="C679" s="32"/>
    </row>
    <row r="680">
      <c r="C680" s="32"/>
    </row>
    <row r="681">
      <c r="C681" s="32"/>
    </row>
    <row r="682">
      <c r="C682" s="32"/>
    </row>
    <row r="683">
      <c r="C683" s="32"/>
    </row>
    <row r="684">
      <c r="C684" s="32"/>
    </row>
    <row r="685">
      <c r="C685" s="32"/>
    </row>
    <row r="686">
      <c r="C686" s="32"/>
    </row>
    <row r="687">
      <c r="C687" s="32"/>
    </row>
    <row r="688">
      <c r="C688" s="32"/>
    </row>
    <row r="689">
      <c r="C689" s="32"/>
    </row>
    <row r="690">
      <c r="C690" s="32"/>
    </row>
    <row r="691">
      <c r="C691" s="32"/>
    </row>
    <row r="692">
      <c r="C692" s="32"/>
    </row>
    <row r="693">
      <c r="C693" s="32"/>
    </row>
    <row r="694">
      <c r="C694" s="32"/>
    </row>
    <row r="695">
      <c r="C695" s="32"/>
    </row>
    <row r="696">
      <c r="C696" s="32"/>
    </row>
    <row r="697">
      <c r="C697" s="32"/>
    </row>
    <row r="698">
      <c r="C698" s="32"/>
    </row>
    <row r="699">
      <c r="C699" s="32"/>
    </row>
    <row r="700">
      <c r="C700" s="32"/>
    </row>
    <row r="701">
      <c r="C701" s="32"/>
    </row>
    <row r="702">
      <c r="C702" s="32"/>
    </row>
    <row r="703">
      <c r="C703" s="32"/>
    </row>
    <row r="704">
      <c r="C704" s="32"/>
    </row>
    <row r="705">
      <c r="C705" s="32"/>
    </row>
    <row r="706">
      <c r="C706" s="32"/>
    </row>
    <row r="707">
      <c r="C707" s="32"/>
    </row>
    <row r="708">
      <c r="C708" s="32"/>
    </row>
    <row r="709">
      <c r="C709" s="32"/>
    </row>
    <row r="710">
      <c r="C710" s="32"/>
    </row>
    <row r="711">
      <c r="C711" s="32"/>
    </row>
    <row r="712">
      <c r="C712" s="32"/>
    </row>
    <row r="713">
      <c r="C713" s="32"/>
    </row>
    <row r="714">
      <c r="C714" s="32"/>
    </row>
    <row r="715">
      <c r="C715" s="32"/>
    </row>
    <row r="716">
      <c r="C716" s="32"/>
    </row>
    <row r="717">
      <c r="C717" s="32"/>
    </row>
    <row r="718">
      <c r="C718" s="32"/>
    </row>
    <row r="719">
      <c r="C719" s="32"/>
    </row>
    <row r="720">
      <c r="C720" s="32"/>
    </row>
    <row r="721">
      <c r="C721" s="32"/>
    </row>
    <row r="722">
      <c r="C722" s="32"/>
    </row>
    <row r="723">
      <c r="C723" s="32"/>
    </row>
    <row r="724">
      <c r="C724" s="32"/>
    </row>
    <row r="725">
      <c r="C725" s="32"/>
    </row>
    <row r="726">
      <c r="C726" s="32"/>
    </row>
    <row r="727">
      <c r="C727" s="32"/>
    </row>
    <row r="728">
      <c r="C728" s="32"/>
    </row>
    <row r="729">
      <c r="C729" s="32"/>
    </row>
    <row r="730">
      <c r="C730" s="32"/>
    </row>
    <row r="731">
      <c r="C731" s="32"/>
    </row>
    <row r="732">
      <c r="C732" s="32"/>
    </row>
    <row r="733">
      <c r="C733" s="32"/>
    </row>
    <row r="734">
      <c r="C734" s="32"/>
    </row>
    <row r="735">
      <c r="C735" s="32"/>
    </row>
    <row r="736">
      <c r="C736" s="32"/>
    </row>
    <row r="737">
      <c r="C737" s="32"/>
    </row>
    <row r="738">
      <c r="C738" s="32"/>
    </row>
    <row r="739">
      <c r="C739" s="32"/>
    </row>
    <row r="740">
      <c r="C740" s="32"/>
    </row>
    <row r="741">
      <c r="C741" s="32"/>
    </row>
    <row r="742">
      <c r="C742" s="32"/>
    </row>
    <row r="743">
      <c r="C743" s="32"/>
    </row>
    <row r="744">
      <c r="C744" s="32"/>
    </row>
    <row r="745">
      <c r="C745" s="32"/>
    </row>
    <row r="746">
      <c r="C746" s="32"/>
    </row>
    <row r="747">
      <c r="C747" s="32"/>
    </row>
    <row r="748">
      <c r="C748" s="32"/>
    </row>
    <row r="749">
      <c r="C749" s="32"/>
    </row>
    <row r="750">
      <c r="C750" s="32"/>
    </row>
    <row r="751">
      <c r="C751" s="32"/>
    </row>
    <row r="752">
      <c r="C752" s="32"/>
    </row>
    <row r="753">
      <c r="C753" s="32"/>
    </row>
    <row r="754">
      <c r="C754" s="32"/>
    </row>
    <row r="755">
      <c r="C755" s="32"/>
    </row>
    <row r="756">
      <c r="C756" s="32"/>
    </row>
    <row r="757">
      <c r="C757" s="32"/>
    </row>
    <row r="758">
      <c r="C758" s="32"/>
    </row>
    <row r="759">
      <c r="C759" s="32"/>
    </row>
    <row r="760">
      <c r="C760" s="32"/>
    </row>
    <row r="761">
      <c r="C761" s="32"/>
    </row>
    <row r="762">
      <c r="C762" s="32"/>
    </row>
    <row r="763">
      <c r="C763" s="32"/>
    </row>
    <row r="764">
      <c r="C764" s="32"/>
    </row>
    <row r="765">
      <c r="C765" s="32"/>
    </row>
    <row r="766">
      <c r="C766" s="32"/>
    </row>
    <row r="767">
      <c r="C767" s="32"/>
    </row>
    <row r="768">
      <c r="C768" s="32"/>
    </row>
    <row r="769">
      <c r="C769" s="32"/>
    </row>
    <row r="770">
      <c r="C770" s="32"/>
    </row>
    <row r="771">
      <c r="C771" s="32"/>
    </row>
    <row r="772">
      <c r="C772" s="32"/>
    </row>
    <row r="773">
      <c r="C773" s="32"/>
    </row>
    <row r="774">
      <c r="C774" s="32"/>
    </row>
    <row r="775">
      <c r="C775" s="32"/>
    </row>
    <row r="776">
      <c r="C776" s="32"/>
    </row>
    <row r="777">
      <c r="C777" s="32"/>
    </row>
    <row r="778">
      <c r="C778" s="32"/>
    </row>
    <row r="779">
      <c r="C779" s="32"/>
    </row>
    <row r="780">
      <c r="C780" s="32"/>
    </row>
    <row r="781">
      <c r="C781" s="32"/>
    </row>
    <row r="782">
      <c r="C782" s="32"/>
    </row>
    <row r="783">
      <c r="C783" s="32"/>
    </row>
    <row r="784">
      <c r="C784" s="32"/>
    </row>
    <row r="785">
      <c r="C785" s="32"/>
    </row>
    <row r="786">
      <c r="C786" s="32"/>
    </row>
    <row r="787">
      <c r="C787" s="32"/>
    </row>
    <row r="788">
      <c r="C788" s="32"/>
    </row>
    <row r="789">
      <c r="C789" s="32"/>
    </row>
    <row r="790">
      <c r="C790" s="32"/>
    </row>
    <row r="791">
      <c r="C791" s="32"/>
    </row>
    <row r="792">
      <c r="C792" s="32"/>
    </row>
    <row r="793">
      <c r="C793" s="32"/>
    </row>
    <row r="794">
      <c r="C794" s="32"/>
    </row>
    <row r="795">
      <c r="C795" s="32"/>
    </row>
    <row r="796">
      <c r="C796" s="32"/>
    </row>
    <row r="797">
      <c r="C797" s="32"/>
    </row>
    <row r="798">
      <c r="C798" s="32"/>
    </row>
    <row r="799">
      <c r="C799" s="32"/>
    </row>
    <row r="800">
      <c r="C800" s="32"/>
    </row>
    <row r="801">
      <c r="C801" s="32"/>
    </row>
    <row r="802">
      <c r="C802" s="32"/>
    </row>
    <row r="803">
      <c r="C803" s="32"/>
    </row>
    <row r="804">
      <c r="C804" s="32"/>
    </row>
    <row r="805">
      <c r="C805" s="32"/>
    </row>
    <row r="806">
      <c r="C806" s="32"/>
    </row>
    <row r="807">
      <c r="C807" s="32"/>
    </row>
    <row r="808">
      <c r="C808" s="32"/>
    </row>
    <row r="809">
      <c r="C809" s="32"/>
    </row>
    <row r="810">
      <c r="C810" s="32"/>
    </row>
    <row r="811">
      <c r="C811" s="32"/>
    </row>
    <row r="812">
      <c r="C812" s="32"/>
    </row>
    <row r="813">
      <c r="C813" s="32"/>
    </row>
    <row r="814">
      <c r="C814" s="32"/>
    </row>
    <row r="815">
      <c r="C815" s="32"/>
    </row>
    <row r="816">
      <c r="C816" s="32"/>
    </row>
    <row r="817">
      <c r="C817" s="32"/>
    </row>
    <row r="818">
      <c r="C818" s="32"/>
    </row>
    <row r="819">
      <c r="C819" s="32"/>
    </row>
    <row r="820">
      <c r="C820" s="32"/>
    </row>
    <row r="821">
      <c r="C821" s="32"/>
    </row>
    <row r="822">
      <c r="C822" s="32"/>
    </row>
    <row r="823">
      <c r="C823" s="32"/>
    </row>
    <row r="824">
      <c r="C824" s="32"/>
    </row>
    <row r="825">
      <c r="C825" s="32"/>
    </row>
    <row r="826">
      <c r="C826" s="32"/>
    </row>
    <row r="827">
      <c r="C827" s="32"/>
    </row>
    <row r="828">
      <c r="C828" s="32"/>
    </row>
    <row r="829">
      <c r="C829" s="32"/>
    </row>
    <row r="830">
      <c r="C830" s="32"/>
    </row>
    <row r="831">
      <c r="C831" s="32"/>
    </row>
    <row r="832">
      <c r="C832" s="32"/>
    </row>
    <row r="833">
      <c r="C833" s="32"/>
    </row>
    <row r="834">
      <c r="C834" s="32"/>
    </row>
    <row r="835">
      <c r="C835" s="32"/>
    </row>
    <row r="836">
      <c r="C836" s="32"/>
    </row>
    <row r="837">
      <c r="C837" s="32"/>
    </row>
    <row r="838">
      <c r="C838" s="32"/>
    </row>
    <row r="839">
      <c r="C839" s="32"/>
    </row>
    <row r="840">
      <c r="C840" s="32"/>
    </row>
    <row r="841">
      <c r="C841" s="32"/>
    </row>
    <row r="842">
      <c r="C842" s="32"/>
    </row>
    <row r="843">
      <c r="C843" s="32"/>
    </row>
    <row r="844">
      <c r="C844" s="32"/>
    </row>
    <row r="845">
      <c r="C845" s="32"/>
    </row>
    <row r="846">
      <c r="C846" s="32"/>
    </row>
    <row r="847">
      <c r="C847" s="32"/>
    </row>
    <row r="848">
      <c r="C848" s="32"/>
    </row>
    <row r="849">
      <c r="C849" s="32"/>
    </row>
    <row r="850">
      <c r="C850" s="32"/>
    </row>
    <row r="851">
      <c r="C851" s="32"/>
    </row>
    <row r="852">
      <c r="C852" s="32"/>
    </row>
    <row r="853">
      <c r="C853" s="32"/>
    </row>
    <row r="854">
      <c r="C854" s="32"/>
    </row>
    <row r="855">
      <c r="C855" s="32"/>
    </row>
    <row r="856">
      <c r="C856" s="32"/>
    </row>
    <row r="857">
      <c r="C857" s="32"/>
    </row>
    <row r="858">
      <c r="C858" s="32"/>
    </row>
    <row r="859">
      <c r="C859" s="32"/>
    </row>
    <row r="860">
      <c r="C860" s="32"/>
    </row>
    <row r="861">
      <c r="C861" s="32"/>
    </row>
    <row r="862">
      <c r="C862" s="32"/>
    </row>
    <row r="863">
      <c r="C863" s="32"/>
    </row>
    <row r="864">
      <c r="C864" s="32"/>
    </row>
    <row r="865">
      <c r="C865" s="32"/>
    </row>
    <row r="866">
      <c r="C866" s="32"/>
    </row>
    <row r="867">
      <c r="C867" s="32"/>
    </row>
    <row r="868">
      <c r="C868" s="32"/>
    </row>
    <row r="869">
      <c r="C869" s="32"/>
    </row>
    <row r="870">
      <c r="C870" s="32"/>
    </row>
    <row r="871">
      <c r="C871" s="32"/>
    </row>
    <row r="872">
      <c r="C872" s="32"/>
    </row>
    <row r="873">
      <c r="C873" s="32"/>
    </row>
    <row r="874">
      <c r="C874" s="32"/>
    </row>
    <row r="875">
      <c r="C875" s="32"/>
    </row>
    <row r="876">
      <c r="C876" s="32"/>
    </row>
    <row r="877">
      <c r="C877" s="32"/>
    </row>
    <row r="878">
      <c r="C878" s="32"/>
    </row>
    <row r="879">
      <c r="C879" s="32"/>
    </row>
    <row r="880">
      <c r="C880" s="32"/>
    </row>
    <row r="881">
      <c r="C881" s="32"/>
    </row>
    <row r="882">
      <c r="C882" s="32"/>
    </row>
    <row r="883">
      <c r="C883" s="32"/>
    </row>
    <row r="884">
      <c r="C884" s="32"/>
    </row>
    <row r="885">
      <c r="C885" s="32"/>
    </row>
    <row r="886">
      <c r="C886" s="32"/>
    </row>
    <row r="887">
      <c r="C887" s="32"/>
    </row>
    <row r="888">
      <c r="C888" s="32"/>
    </row>
    <row r="889">
      <c r="C889" s="32"/>
    </row>
    <row r="890">
      <c r="C890" s="32"/>
    </row>
    <row r="891">
      <c r="C891" s="32"/>
    </row>
    <row r="892">
      <c r="C892" s="32"/>
    </row>
    <row r="893">
      <c r="C893" s="32"/>
    </row>
    <row r="894">
      <c r="C894" s="32"/>
    </row>
    <row r="895">
      <c r="C895" s="32"/>
    </row>
    <row r="896">
      <c r="C896" s="32"/>
    </row>
    <row r="897">
      <c r="C897" s="32"/>
    </row>
    <row r="898">
      <c r="C898" s="32"/>
    </row>
    <row r="899">
      <c r="C899" s="32"/>
    </row>
    <row r="900">
      <c r="C900" s="32"/>
    </row>
    <row r="901">
      <c r="C901" s="32"/>
    </row>
    <row r="902">
      <c r="C902" s="32"/>
    </row>
    <row r="903">
      <c r="C903" s="32"/>
    </row>
    <row r="904">
      <c r="C904" s="32"/>
    </row>
    <row r="905">
      <c r="C905" s="32"/>
    </row>
    <row r="906">
      <c r="C906" s="32"/>
    </row>
    <row r="907">
      <c r="C907" s="32"/>
    </row>
    <row r="908">
      <c r="C908" s="32"/>
    </row>
    <row r="909">
      <c r="C909" s="32"/>
    </row>
    <row r="910">
      <c r="C910" s="32"/>
    </row>
    <row r="911">
      <c r="C911" s="32"/>
    </row>
    <row r="912">
      <c r="C912" s="32"/>
    </row>
    <row r="913">
      <c r="C913" s="32"/>
    </row>
    <row r="914">
      <c r="C914" s="32"/>
    </row>
    <row r="915">
      <c r="C915" s="32"/>
    </row>
    <row r="916">
      <c r="C916" s="32"/>
    </row>
    <row r="917">
      <c r="C917" s="32"/>
    </row>
    <row r="918">
      <c r="C918" s="32"/>
    </row>
    <row r="919">
      <c r="C919" s="32"/>
    </row>
    <row r="920">
      <c r="C920" s="32"/>
    </row>
    <row r="921">
      <c r="C921" s="32"/>
    </row>
    <row r="922">
      <c r="C922" s="32"/>
    </row>
    <row r="923">
      <c r="C923" s="32"/>
    </row>
    <row r="924">
      <c r="C924" s="32"/>
    </row>
    <row r="925">
      <c r="C925" s="32"/>
    </row>
    <row r="926">
      <c r="C926" s="32"/>
    </row>
    <row r="927">
      <c r="C927" s="32"/>
    </row>
    <row r="928">
      <c r="C928" s="32"/>
    </row>
    <row r="929">
      <c r="C929" s="32"/>
    </row>
    <row r="930">
      <c r="C930" s="32"/>
    </row>
    <row r="931">
      <c r="C931" s="32"/>
    </row>
    <row r="932">
      <c r="C932" s="32"/>
    </row>
    <row r="933">
      <c r="C933" s="32"/>
    </row>
    <row r="934">
      <c r="C934" s="32"/>
    </row>
    <row r="935">
      <c r="C935" s="32"/>
    </row>
    <row r="936">
      <c r="C936" s="32"/>
    </row>
    <row r="937">
      <c r="C937" s="32"/>
    </row>
    <row r="938">
      <c r="C938" s="32"/>
    </row>
    <row r="939">
      <c r="C939" s="32"/>
    </row>
    <row r="940">
      <c r="C940" s="32"/>
    </row>
    <row r="941">
      <c r="C941" s="32"/>
    </row>
    <row r="942">
      <c r="C942" s="32"/>
    </row>
    <row r="943">
      <c r="C943" s="32"/>
    </row>
    <row r="944">
      <c r="C944" s="32"/>
    </row>
    <row r="945">
      <c r="C945" s="32"/>
    </row>
    <row r="946">
      <c r="C946" s="32"/>
    </row>
    <row r="947">
      <c r="C947" s="32"/>
    </row>
    <row r="948">
      <c r="C948" s="32"/>
    </row>
    <row r="949">
      <c r="C949" s="32"/>
    </row>
    <row r="950">
      <c r="C950" s="32"/>
    </row>
    <row r="951">
      <c r="C951" s="32"/>
    </row>
    <row r="952">
      <c r="C952" s="32"/>
    </row>
    <row r="953">
      <c r="C953" s="32"/>
    </row>
    <row r="954">
      <c r="C954" s="32"/>
    </row>
    <row r="955">
      <c r="C955" s="32"/>
    </row>
    <row r="956">
      <c r="C956" s="32"/>
    </row>
    <row r="957">
      <c r="C957" s="32"/>
    </row>
    <row r="958">
      <c r="C958" s="32"/>
    </row>
    <row r="959">
      <c r="C959" s="32"/>
    </row>
    <row r="960">
      <c r="C960" s="32"/>
    </row>
    <row r="961">
      <c r="C961" s="32"/>
    </row>
    <row r="962">
      <c r="C962" s="32"/>
    </row>
    <row r="963">
      <c r="C963" s="32"/>
    </row>
    <row r="964">
      <c r="C964" s="32"/>
    </row>
    <row r="965">
      <c r="C965" s="32"/>
    </row>
    <row r="966">
      <c r="C966" s="32"/>
    </row>
    <row r="967">
      <c r="C967" s="32"/>
    </row>
    <row r="968">
      <c r="C968" s="32"/>
    </row>
    <row r="969">
      <c r="C969" s="32"/>
    </row>
    <row r="970">
      <c r="C970" s="32"/>
    </row>
    <row r="971">
      <c r="C971" s="32"/>
    </row>
    <row r="972">
      <c r="C972" s="32"/>
    </row>
    <row r="973">
      <c r="C973" s="32"/>
    </row>
    <row r="974">
      <c r="C974" s="32"/>
    </row>
    <row r="975">
      <c r="C975" s="32"/>
    </row>
    <row r="976">
      <c r="C976" s="32"/>
    </row>
    <row r="977">
      <c r="C977" s="32"/>
    </row>
    <row r="978">
      <c r="C978" s="32"/>
    </row>
    <row r="979">
      <c r="C979" s="32"/>
    </row>
    <row r="980">
      <c r="C980" s="32"/>
    </row>
    <row r="981">
      <c r="C981" s="32"/>
    </row>
    <row r="982">
      <c r="C982" s="32"/>
    </row>
    <row r="983">
      <c r="C983" s="32"/>
    </row>
    <row r="984">
      <c r="C984" s="32"/>
    </row>
    <row r="985">
      <c r="C985" s="32"/>
    </row>
    <row r="986">
      <c r="C986" s="32"/>
    </row>
    <row r="987">
      <c r="C987" s="32"/>
    </row>
    <row r="988">
      <c r="C988" s="32"/>
    </row>
    <row r="989">
      <c r="C989" s="32"/>
    </row>
    <row r="990">
      <c r="C990" s="32"/>
    </row>
    <row r="991">
      <c r="C991" s="32"/>
    </row>
    <row r="992">
      <c r="C992" s="32"/>
    </row>
    <row r="993">
      <c r="C993" s="32"/>
    </row>
    <row r="994">
      <c r="C994" s="32"/>
    </row>
    <row r="995">
      <c r="C995" s="32"/>
    </row>
    <row r="996">
      <c r="C996" s="32"/>
    </row>
    <row r="997">
      <c r="C997" s="32"/>
    </row>
    <row r="998">
      <c r="C998" s="32"/>
    </row>
    <row r="999">
      <c r="C999" s="32"/>
    </row>
    <row r="1000">
      <c r="C1000" s="32"/>
    </row>
    <row r="1001">
      <c r="C1001" s="32"/>
    </row>
    <row r="1002">
      <c r="C1002" s="32"/>
    </row>
    <row r="1003">
      <c r="C1003" s="32"/>
    </row>
    <row r="1004">
      <c r="C1004" s="32"/>
    </row>
    <row r="1005">
      <c r="C1005" s="32"/>
    </row>
    <row r="1006">
      <c r="C1006" s="32"/>
    </row>
    <row r="1007">
      <c r="C1007" s="32"/>
    </row>
    <row r="1008">
      <c r="C1008" s="32"/>
    </row>
    <row r="1009">
      <c r="C1009" s="32"/>
    </row>
    <row r="1010">
      <c r="C1010" s="32"/>
    </row>
    <row r="1011">
      <c r="C1011" s="32"/>
    </row>
    <row r="1012">
      <c r="C1012" s="32"/>
    </row>
    <row r="1013">
      <c r="C1013" s="32"/>
    </row>
    <row r="1014">
      <c r="C1014" s="32"/>
    </row>
    <row r="1015">
      <c r="C1015" s="32"/>
    </row>
    <row r="1016">
      <c r="C1016" s="32"/>
    </row>
    <row r="1017">
      <c r="C1017" s="32"/>
    </row>
    <row r="1018">
      <c r="C1018" s="32"/>
    </row>
    <row r="1019">
      <c r="C1019" s="32"/>
    </row>
    <row r="1020">
      <c r="C1020" s="32"/>
    </row>
    <row r="1021">
      <c r="C1021" s="32"/>
    </row>
    <row r="1022">
      <c r="C1022" s="32"/>
    </row>
    <row r="1023">
      <c r="C1023" s="32"/>
    </row>
    <row r="1024">
      <c r="C1024" s="32"/>
    </row>
    <row r="1025">
      <c r="C1025" s="32"/>
    </row>
    <row r="1026">
      <c r="C1026" s="32"/>
    </row>
    <row r="1027">
      <c r="C1027" s="32"/>
    </row>
    <row r="1028">
      <c r="C1028" s="32"/>
    </row>
    <row r="1029">
      <c r="C1029" s="32"/>
    </row>
    <row r="1030">
      <c r="C1030" s="32"/>
    </row>
    <row r="1031">
      <c r="C1031" s="32"/>
    </row>
    <row r="1032">
      <c r="C1032" s="32"/>
    </row>
    <row r="1033">
      <c r="C1033" s="32"/>
    </row>
    <row r="1034">
      <c r="C1034" s="32"/>
    </row>
    <row r="1035">
      <c r="C1035" s="32"/>
    </row>
    <row r="1036">
      <c r="C1036" s="3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0"/>
  <cols>
    <col customWidth="1" min="1" max="2" width="16.38"/>
    <col customWidth="1" min="4" max="4" width="74.63"/>
    <col customWidth="1" min="5" max="5" width="31.25"/>
    <col customWidth="1" min="6" max="6" width="12.75"/>
    <col customWidth="1" min="7" max="7" width="18.13"/>
    <col customWidth="1" min="8" max="8" width="9.88"/>
    <col customWidth="1" min="9" max="10" width="9.38"/>
    <col customWidth="1" min="11" max="11" width="26.25"/>
    <col customWidth="1" min="13" max="13" width="9.5"/>
    <col hidden="1" min="14" max="18" width="12.63"/>
  </cols>
  <sheetData>
    <row r="1">
      <c r="A1" s="33" t="s">
        <v>1528</v>
      </c>
      <c r="B1" s="33" t="s">
        <v>1529</v>
      </c>
      <c r="C1" s="33" t="s">
        <v>1530</v>
      </c>
      <c r="D1" s="34" t="s">
        <v>1531</v>
      </c>
      <c r="E1" s="34" t="s">
        <v>1532</v>
      </c>
      <c r="F1" s="34" t="s">
        <v>1533</v>
      </c>
      <c r="G1" s="33" t="s">
        <v>1534</v>
      </c>
      <c r="H1" s="33" t="s">
        <v>1535</v>
      </c>
      <c r="I1" s="35" t="s">
        <v>1536</v>
      </c>
      <c r="J1" s="35" t="s">
        <v>1537</v>
      </c>
      <c r="K1" s="35" t="s">
        <v>1538</v>
      </c>
      <c r="L1" s="33" t="s">
        <v>1539</v>
      </c>
      <c r="M1" s="35" t="s">
        <v>1540</v>
      </c>
      <c r="N1" s="36" t="s">
        <v>1541</v>
      </c>
      <c r="O1" s="36" t="s">
        <v>1542</v>
      </c>
      <c r="P1" s="36" t="s">
        <v>1543</v>
      </c>
      <c r="Q1" s="36" t="s">
        <v>1544</v>
      </c>
      <c r="R1" s="36" t="s">
        <v>1545</v>
      </c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</row>
    <row r="2">
      <c r="A2" s="38">
        <v>46090.0</v>
      </c>
      <c r="B2" s="39" t="s">
        <v>1546</v>
      </c>
      <c r="C2" s="39" t="s">
        <v>1547</v>
      </c>
      <c r="D2" s="40" t="s">
        <v>1548</v>
      </c>
      <c r="E2" s="39"/>
      <c r="F2" s="39" t="b">
        <v>1</v>
      </c>
      <c r="G2" s="39" t="s">
        <v>1549</v>
      </c>
      <c r="H2" s="41" t="s">
        <v>1550</v>
      </c>
      <c r="I2" s="41" t="s">
        <v>1551</v>
      </c>
      <c r="J2" s="41" t="s">
        <v>1552</v>
      </c>
      <c r="K2" s="37" t="str">
        <f t="shared" ref="K2:K18" si="1">IF(M2=TRUE,"Feito ✅",IF(H2="Faço bem","Já faço bem ✔",IF(R2=27,"🟩🟩🟩🟩🟩🟩🟩🟩🟩",IF(R2=18,"⬛⬛⬛⬛⬛⬛⬛⬛⬜",IF(R2=12,"⬛⬛⬛⬛⬛⬛⬛⬜⬜",IF(R2=9,"⬛⬛⬛⬛⬛⬛⬜⬜⬜",IF(R2=8,"⬛⬛⬛⬛⬛⬜⬜⬜⬜",IF(R2=6,"⬛⬛⬛⬛⬜⬜⬜⬜⬜",IF(R2=4,"⬛⬛⬛⬜⬜⬜⬜⬜⬜",IF(R2=3,"⬛⬛⬜⬜⬜⬜⬜⬜⬜",IF(R2=2,"⬛⬜⬜⬜⬜⬜⬜⬜⬜","")))))))))))</f>
        <v>Feito ✅</v>
      </c>
      <c r="L2" s="42">
        <v>46091.0</v>
      </c>
      <c r="M2" s="43" t="b">
        <v>1</v>
      </c>
      <c r="N2" s="44">
        <f t="shared" ref="N2:N95" si="2">IF(H2="Alta",3,IF(H2="Média",2,IF(H2="Baixa",1)))</f>
        <v>2</v>
      </c>
      <c r="O2" s="44">
        <f t="shared" ref="O2:O95" si="3">IF(I2="Baixo",1,IF(I2="Médio",2,IF(I2="Alto",3,0)))</f>
        <v>3</v>
      </c>
      <c r="P2" s="44">
        <f t="shared" ref="P2:P95" si="4">IF(J2="Fácil",3,IF(J2="Médio",2,IF(J2="Difícil",1,0)))</f>
        <v>3</v>
      </c>
      <c r="Q2" s="44">
        <f t="shared" ref="Q2:Q95" si="5">IF(P2=0,"",(N2*O2))</f>
        <v>6</v>
      </c>
      <c r="R2" s="44">
        <f t="shared" ref="R2:R95" si="6">IF(H2="Faço bem",0,(N2*Q2))</f>
        <v>12</v>
      </c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</row>
    <row r="3">
      <c r="A3" s="38">
        <v>46097.0</v>
      </c>
      <c r="B3" s="39" t="s">
        <v>1546</v>
      </c>
      <c r="C3" s="39"/>
      <c r="D3" s="39" t="s">
        <v>1553</v>
      </c>
      <c r="E3" s="39" t="s">
        <v>1554</v>
      </c>
      <c r="F3" s="45" t="b">
        <v>0</v>
      </c>
      <c r="G3" s="39" t="s">
        <v>1549</v>
      </c>
      <c r="H3" s="41"/>
      <c r="I3" s="41"/>
      <c r="J3" s="41"/>
      <c r="K3" s="37" t="str">
        <f t="shared" si="1"/>
        <v>Feito ✅</v>
      </c>
      <c r="L3" s="42">
        <v>46098.0</v>
      </c>
      <c r="M3" s="43" t="b">
        <v>1</v>
      </c>
      <c r="N3" s="44" t="b">
        <f t="shared" si="2"/>
        <v>0</v>
      </c>
      <c r="O3" s="44">
        <f t="shared" si="3"/>
        <v>0</v>
      </c>
      <c r="P3" s="44">
        <f t="shared" si="4"/>
        <v>0</v>
      </c>
      <c r="Q3" s="44" t="str">
        <f t="shared" si="5"/>
        <v/>
      </c>
      <c r="R3" s="44">
        <f t="shared" si="6"/>
        <v>0</v>
      </c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</row>
    <row r="4">
      <c r="A4" s="38">
        <v>46097.0</v>
      </c>
      <c r="B4" s="39" t="s">
        <v>1546</v>
      </c>
      <c r="C4" s="39"/>
      <c r="D4" s="39" t="s">
        <v>1555</v>
      </c>
      <c r="E4" s="39" t="s">
        <v>1554</v>
      </c>
      <c r="F4" s="45" t="b">
        <v>0</v>
      </c>
      <c r="G4" s="39" t="s">
        <v>1556</v>
      </c>
      <c r="H4" s="41"/>
      <c r="I4" s="41"/>
      <c r="J4" s="41"/>
      <c r="K4" s="37" t="str">
        <f t="shared" si="1"/>
        <v>Feito ✅</v>
      </c>
      <c r="L4" s="42">
        <v>46098.0</v>
      </c>
      <c r="M4" s="43" t="b">
        <v>1</v>
      </c>
      <c r="N4" s="44" t="b">
        <f t="shared" si="2"/>
        <v>0</v>
      </c>
      <c r="O4" s="44">
        <f t="shared" si="3"/>
        <v>0</v>
      </c>
      <c r="P4" s="44">
        <f t="shared" si="4"/>
        <v>0</v>
      </c>
      <c r="Q4" s="44" t="str">
        <f t="shared" si="5"/>
        <v/>
      </c>
      <c r="R4" s="44">
        <f t="shared" si="6"/>
        <v>0</v>
      </c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</row>
    <row r="5">
      <c r="A5" s="38">
        <v>46153.0</v>
      </c>
      <c r="B5" s="39" t="s">
        <v>1546</v>
      </c>
      <c r="C5" s="39"/>
      <c r="D5" s="39" t="s">
        <v>1557</v>
      </c>
      <c r="E5" s="39" t="s">
        <v>1554</v>
      </c>
      <c r="F5" s="45" t="b">
        <v>0</v>
      </c>
      <c r="G5" s="39" t="s">
        <v>1549</v>
      </c>
      <c r="H5" s="41" t="s">
        <v>1558</v>
      </c>
      <c r="I5" s="41" t="s">
        <v>1559</v>
      </c>
      <c r="J5" s="41" t="s">
        <v>1559</v>
      </c>
      <c r="K5" s="37" t="str">
        <f t="shared" si="1"/>
        <v>Feito ✅</v>
      </c>
      <c r="L5" s="42">
        <v>46101.0</v>
      </c>
      <c r="M5" s="43" t="b">
        <v>1</v>
      </c>
      <c r="N5" s="44">
        <f t="shared" si="2"/>
        <v>3</v>
      </c>
      <c r="O5" s="44">
        <f t="shared" si="3"/>
        <v>2</v>
      </c>
      <c r="P5" s="44">
        <f t="shared" si="4"/>
        <v>2</v>
      </c>
      <c r="Q5" s="44">
        <f t="shared" si="5"/>
        <v>6</v>
      </c>
      <c r="R5" s="44">
        <f t="shared" si="6"/>
        <v>18</v>
      </c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</row>
    <row r="6">
      <c r="A6" s="38">
        <v>46134.0</v>
      </c>
      <c r="B6" s="39" t="s">
        <v>1546</v>
      </c>
      <c r="C6" s="39"/>
      <c r="D6" s="39" t="s">
        <v>1560</v>
      </c>
      <c r="E6" s="39" t="s">
        <v>1554</v>
      </c>
      <c r="F6" s="45" t="b">
        <v>0</v>
      </c>
      <c r="G6" s="39" t="s">
        <v>1549</v>
      </c>
      <c r="H6" s="41" t="s">
        <v>1558</v>
      </c>
      <c r="I6" s="41" t="s">
        <v>1559</v>
      </c>
      <c r="J6" s="41" t="s">
        <v>1559</v>
      </c>
      <c r="K6" s="37" t="str">
        <f t="shared" si="1"/>
        <v>Feito ✅</v>
      </c>
      <c r="L6" s="42">
        <v>46101.0</v>
      </c>
      <c r="M6" s="43" t="b">
        <v>1</v>
      </c>
      <c r="N6" s="44">
        <f t="shared" si="2"/>
        <v>3</v>
      </c>
      <c r="O6" s="44">
        <f t="shared" si="3"/>
        <v>2</v>
      </c>
      <c r="P6" s="44">
        <f t="shared" si="4"/>
        <v>2</v>
      </c>
      <c r="Q6" s="44">
        <f t="shared" si="5"/>
        <v>6</v>
      </c>
      <c r="R6" s="44">
        <f t="shared" si="6"/>
        <v>18</v>
      </c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</row>
    <row r="7">
      <c r="A7" s="38">
        <v>46153.0</v>
      </c>
      <c r="B7" s="39" t="s">
        <v>1546</v>
      </c>
      <c r="C7" s="39"/>
      <c r="D7" s="46" t="s">
        <v>1557</v>
      </c>
      <c r="E7" s="39" t="s">
        <v>1554</v>
      </c>
      <c r="F7" s="45" t="b">
        <v>0</v>
      </c>
      <c r="G7" s="39" t="s">
        <v>1549</v>
      </c>
      <c r="H7" s="41" t="s">
        <v>1558</v>
      </c>
      <c r="I7" s="41" t="s">
        <v>1559</v>
      </c>
      <c r="J7" s="41" t="s">
        <v>1559</v>
      </c>
      <c r="K7" s="37" t="str">
        <f t="shared" si="1"/>
        <v>Feito ✅</v>
      </c>
      <c r="L7" s="42">
        <v>46156.0</v>
      </c>
      <c r="M7" s="43" t="b">
        <v>1</v>
      </c>
      <c r="N7" s="44">
        <f t="shared" si="2"/>
        <v>3</v>
      </c>
      <c r="O7" s="44">
        <f t="shared" si="3"/>
        <v>2</v>
      </c>
      <c r="P7" s="44">
        <f t="shared" si="4"/>
        <v>2</v>
      </c>
      <c r="Q7" s="44">
        <f t="shared" si="5"/>
        <v>6</v>
      </c>
      <c r="R7" s="44">
        <f t="shared" si="6"/>
        <v>18</v>
      </c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</row>
    <row r="8">
      <c r="A8" s="47">
        <v>46153.0</v>
      </c>
      <c r="B8" s="48" t="s">
        <v>1546</v>
      </c>
      <c r="C8" s="49"/>
      <c r="D8" s="46" t="s">
        <v>1561</v>
      </c>
      <c r="E8" s="48" t="s">
        <v>1554</v>
      </c>
      <c r="F8" s="50" t="b">
        <v>0</v>
      </c>
      <c r="G8" s="48" t="s">
        <v>1549</v>
      </c>
      <c r="H8" s="51" t="s">
        <v>1558</v>
      </c>
      <c r="I8" s="51" t="s">
        <v>1559</v>
      </c>
      <c r="J8" s="51" t="s">
        <v>1559</v>
      </c>
      <c r="K8" s="2" t="str">
        <f t="shared" si="1"/>
        <v>Feito ✅</v>
      </c>
      <c r="L8" s="52">
        <v>46156.0</v>
      </c>
      <c r="M8" s="53" t="b">
        <v>1</v>
      </c>
      <c r="N8" s="6">
        <f t="shared" si="2"/>
        <v>3</v>
      </c>
      <c r="O8" s="6">
        <f t="shared" si="3"/>
        <v>2</v>
      </c>
      <c r="P8" s="6">
        <f t="shared" si="4"/>
        <v>2</v>
      </c>
      <c r="Q8" s="6">
        <f t="shared" si="5"/>
        <v>6</v>
      </c>
      <c r="R8" s="6">
        <f t="shared" si="6"/>
        <v>18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</row>
    <row r="9">
      <c r="A9" s="47">
        <v>46153.0</v>
      </c>
      <c r="B9" s="48" t="s">
        <v>1546</v>
      </c>
      <c r="C9" s="49"/>
      <c r="D9" s="46" t="s">
        <v>1562</v>
      </c>
      <c r="E9" s="48" t="s">
        <v>1554</v>
      </c>
      <c r="F9" s="50" t="b">
        <v>0</v>
      </c>
      <c r="G9" s="48" t="s">
        <v>1549</v>
      </c>
      <c r="H9" s="51" t="s">
        <v>1558</v>
      </c>
      <c r="I9" s="51" t="s">
        <v>1559</v>
      </c>
      <c r="J9" s="51" t="s">
        <v>1559</v>
      </c>
      <c r="K9" s="2" t="str">
        <f t="shared" si="1"/>
        <v>Feito ✅</v>
      </c>
      <c r="L9" s="52">
        <v>46156.0</v>
      </c>
      <c r="M9" s="53" t="b">
        <v>1</v>
      </c>
      <c r="N9" s="6">
        <f t="shared" si="2"/>
        <v>3</v>
      </c>
      <c r="O9" s="6">
        <f t="shared" si="3"/>
        <v>2</v>
      </c>
      <c r="P9" s="6">
        <f t="shared" si="4"/>
        <v>2</v>
      </c>
      <c r="Q9" s="6">
        <f t="shared" si="5"/>
        <v>6</v>
      </c>
      <c r="R9" s="6">
        <f t="shared" si="6"/>
        <v>18</v>
      </c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</row>
    <row r="10">
      <c r="A10" s="47">
        <v>46153.0</v>
      </c>
      <c r="B10" s="48" t="s">
        <v>1546</v>
      </c>
      <c r="C10" s="49"/>
      <c r="D10" s="46" t="s">
        <v>1563</v>
      </c>
      <c r="E10" s="48" t="s">
        <v>1554</v>
      </c>
      <c r="F10" s="50" t="b">
        <v>0</v>
      </c>
      <c r="G10" s="46" t="s">
        <v>1564</v>
      </c>
      <c r="H10" s="51" t="s">
        <v>1558</v>
      </c>
      <c r="I10" s="51" t="s">
        <v>1559</v>
      </c>
      <c r="J10" s="51" t="s">
        <v>1559</v>
      </c>
      <c r="K10" s="2" t="str">
        <f t="shared" si="1"/>
        <v>Feito ✅</v>
      </c>
      <c r="L10" s="52">
        <v>46156.0</v>
      </c>
      <c r="M10" s="53" t="b">
        <v>1</v>
      </c>
      <c r="N10" s="6">
        <f t="shared" si="2"/>
        <v>3</v>
      </c>
      <c r="O10" s="6">
        <f t="shared" si="3"/>
        <v>2</v>
      </c>
      <c r="P10" s="6">
        <f t="shared" si="4"/>
        <v>2</v>
      </c>
      <c r="Q10" s="6">
        <f t="shared" si="5"/>
        <v>6</v>
      </c>
      <c r="R10" s="6">
        <f t="shared" si="6"/>
        <v>18</v>
      </c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</row>
    <row r="11">
      <c r="A11" s="47">
        <v>46153.0</v>
      </c>
      <c r="B11" s="48" t="s">
        <v>1546</v>
      </c>
      <c r="C11" s="49"/>
      <c r="D11" s="46" t="s">
        <v>1565</v>
      </c>
      <c r="E11" s="48" t="s">
        <v>1554</v>
      </c>
      <c r="F11" s="50" t="b">
        <v>0</v>
      </c>
      <c r="G11" s="48" t="s">
        <v>1549</v>
      </c>
      <c r="H11" s="55" t="s">
        <v>1550</v>
      </c>
      <c r="I11" s="51" t="s">
        <v>1559</v>
      </c>
      <c r="J11" s="51" t="s">
        <v>1559</v>
      </c>
      <c r="K11" s="2" t="str">
        <f t="shared" si="1"/>
        <v>Feito ✅</v>
      </c>
      <c r="L11" s="52">
        <v>46162.0</v>
      </c>
      <c r="M11" s="53" t="b">
        <v>1</v>
      </c>
      <c r="N11" s="6">
        <f t="shared" si="2"/>
        <v>2</v>
      </c>
      <c r="O11" s="6">
        <f t="shared" si="3"/>
        <v>2</v>
      </c>
      <c r="P11" s="6">
        <f t="shared" si="4"/>
        <v>2</v>
      </c>
      <c r="Q11" s="6">
        <f t="shared" si="5"/>
        <v>4</v>
      </c>
      <c r="R11" s="6">
        <f t="shared" si="6"/>
        <v>8</v>
      </c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</row>
    <row r="12">
      <c r="A12" s="56">
        <v>46167.0</v>
      </c>
      <c r="B12" s="48" t="s">
        <v>1546</v>
      </c>
      <c r="C12" s="49"/>
      <c r="D12" s="46" t="s">
        <v>1566</v>
      </c>
      <c r="E12" s="48" t="s">
        <v>1554</v>
      </c>
      <c r="F12" s="50" t="b">
        <v>0</v>
      </c>
      <c r="G12" s="48" t="s">
        <v>1549</v>
      </c>
      <c r="H12" s="55" t="s">
        <v>1550</v>
      </c>
      <c r="I12" s="51" t="s">
        <v>1559</v>
      </c>
      <c r="J12" s="51" t="s">
        <v>1559</v>
      </c>
      <c r="K12" s="2" t="str">
        <f t="shared" si="1"/>
        <v>Feito ✅</v>
      </c>
      <c r="L12" s="52">
        <v>46171.0</v>
      </c>
      <c r="M12" s="53" t="b">
        <v>1</v>
      </c>
      <c r="N12" s="6">
        <f t="shared" si="2"/>
        <v>2</v>
      </c>
      <c r="O12" s="6">
        <f t="shared" si="3"/>
        <v>2</v>
      </c>
      <c r="P12" s="6">
        <f t="shared" si="4"/>
        <v>2</v>
      </c>
      <c r="Q12" s="6">
        <f t="shared" si="5"/>
        <v>4</v>
      </c>
      <c r="R12" s="6">
        <f t="shared" si="6"/>
        <v>8</v>
      </c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</row>
    <row r="13">
      <c r="A13" s="56">
        <v>46167.0</v>
      </c>
      <c r="B13" s="48" t="s">
        <v>1546</v>
      </c>
      <c r="C13" s="49"/>
      <c r="D13" s="46" t="s">
        <v>1567</v>
      </c>
      <c r="E13" s="48" t="s">
        <v>1554</v>
      </c>
      <c r="F13" s="50" t="b">
        <v>0</v>
      </c>
      <c r="G13" s="48" t="s">
        <v>1549</v>
      </c>
      <c r="H13" s="55" t="s">
        <v>1550</v>
      </c>
      <c r="I13" s="51" t="s">
        <v>1559</v>
      </c>
      <c r="J13" s="51" t="s">
        <v>1559</v>
      </c>
      <c r="K13" s="2" t="str">
        <f t="shared" si="1"/>
        <v>Feito ✅</v>
      </c>
      <c r="L13" s="52">
        <v>46171.0</v>
      </c>
      <c r="M13" s="53" t="b">
        <v>1</v>
      </c>
      <c r="N13" s="6">
        <f t="shared" si="2"/>
        <v>2</v>
      </c>
      <c r="O13" s="6">
        <f t="shared" si="3"/>
        <v>2</v>
      </c>
      <c r="P13" s="6">
        <f t="shared" si="4"/>
        <v>2</v>
      </c>
      <c r="Q13" s="6">
        <f t="shared" si="5"/>
        <v>4</v>
      </c>
      <c r="R13" s="6">
        <f t="shared" si="6"/>
        <v>8</v>
      </c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</row>
    <row r="14">
      <c r="A14" s="57">
        <v>46167.0</v>
      </c>
      <c r="B14" s="58" t="s">
        <v>1546</v>
      </c>
      <c r="C14" s="49"/>
      <c r="D14" s="59" t="s">
        <v>1568</v>
      </c>
      <c r="E14" s="58" t="s">
        <v>1554</v>
      </c>
      <c r="F14" s="60" t="b">
        <v>0</v>
      </c>
      <c r="G14" s="58" t="s">
        <v>1549</v>
      </c>
      <c r="H14" s="61" t="s">
        <v>1550</v>
      </c>
      <c r="I14" s="61" t="s">
        <v>1559</v>
      </c>
      <c r="J14" s="61" t="s">
        <v>1559</v>
      </c>
      <c r="K14" s="62" t="str">
        <f t="shared" si="1"/>
        <v>Feito ✅</v>
      </c>
      <c r="L14" s="63">
        <v>46169.0</v>
      </c>
      <c r="M14" s="64" t="b">
        <v>1</v>
      </c>
      <c r="N14" s="65">
        <f t="shared" si="2"/>
        <v>2</v>
      </c>
      <c r="O14" s="65">
        <f t="shared" si="3"/>
        <v>2</v>
      </c>
      <c r="P14" s="65">
        <f t="shared" si="4"/>
        <v>2</v>
      </c>
      <c r="Q14" s="65">
        <f t="shared" si="5"/>
        <v>4</v>
      </c>
      <c r="R14" s="65">
        <f t="shared" si="6"/>
        <v>8</v>
      </c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</row>
    <row r="15">
      <c r="A15" s="57">
        <v>46167.0</v>
      </c>
      <c r="B15" s="58" t="s">
        <v>1546</v>
      </c>
      <c r="C15" s="49"/>
      <c r="D15" s="59" t="s">
        <v>1569</v>
      </c>
      <c r="E15" s="58" t="s">
        <v>1554</v>
      </c>
      <c r="F15" s="60" t="b">
        <v>0</v>
      </c>
      <c r="G15" s="58" t="s">
        <v>1549</v>
      </c>
      <c r="H15" s="61" t="s">
        <v>1550</v>
      </c>
      <c r="I15" s="61" t="s">
        <v>1559</v>
      </c>
      <c r="J15" s="61" t="s">
        <v>1559</v>
      </c>
      <c r="K15" s="62" t="str">
        <f t="shared" si="1"/>
        <v>Feito ✅</v>
      </c>
      <c r="L15" s="63">
        <v>46168.0</v>
      </c>
      <c r="M15" s="64" t="b">
        <v>1</v>
      </c>
      <c r="N15" s="65">
        <f t="shared" si="2"/>
        <v>2</v>
      </c>
      <c r="O15" s="65">
        <f t="shared" si="3"/>
        <v>2</v>
      </c>
      <c r="P15" s="65">
        <f t="shared" si="4"/>
        <v>2</v>
      </c>
      <c r="Q15" s="65">
        <f t="shared" si="5"/>
        <v>4</v>
      </c>
      <c r="R15" s="65">
        <f t="shared" si="6"/>
        <v>8</v>
      </c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</row>
    <row r="16">
      <c r="A16" s="57">
        <v>46167.0</v>
      </c>
      <c r="B16" s="58" t="s">
        <v>1546</v>
      </c>
      <c r="C16" s="49"/>
      <c r="D16" s="59" t="s">
        <v>1570</v>
      </c>
      <c r="E16" s="58" t="s">
        <v>1554</v>
      </c>
      <c r="F16" s="60" t="b">
        <v>0</v>
      </c>
      <c r="G16" s="58" t="s">
        <v>1549</v>
      </c>
      <c r="H16" s="61" t="s">
        <v>1550</v>
      </c>
      <c r="I16" s="61" t="s">
        <v>1559</v>
      </c>
      <c r="J16" s="61" t="s">
        <v>1559</v>
      </c>
      <c r="K16" s="62" t="str">
        <f t="shared" si="1"/>
        <v>Feito ✅</v>
      </c>
      <c r="L16" s="63">
        <v>46169.0</v>
      </c>
      <c r="M16" s="64" t="b">
        <v>1</v>
      </c>
      <c r="N16" s="65">
        <f t="shared" si="2"/>
        <v>2</v>
      </c>
      <c r="O16" s="65">
        <f t="shared" si="3"/>
        <v>2</v>
      </c>
      <c r="P16" s="65">
        <f t="shared" si="4"/>
        <v>2</v>
      </c>
      <c r="Q16" s="65">
        <f t="shared" si="5"/>
        <v>4</v>
      </c>
      <c r="R16" s="65">
        <f t="shared" si="6"/>
        <v>8</v>
      </c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</row>
    <row r="17">
      <c r="A17" s="57">
        <v>46167.0</v>
      </c>
      <c r="B17" s="58" t="s">
        <v>1546</v>
      </c>
      <c r="C17" s="49"/>
      <c r="D17" s="59" t="s">
        <v>1571</v>
      </c>
      <c r="E17" s="58" t="s">
        <v>1554</v>
      </c>
      <c r="F17" s="60" t="b">
        <v>0</v>
      </c>
      <c r="G17" s="58" t="s">
        <v>1549</v>
      </c>
      <c r="H17" s="61" t="s">
        <v>1550</v>
      </c>
      <c r="I17" s="61" t="s">
        <v>1559</v>
      </c>
      <c r="J17" s="61" t="s">
        <v>1559</v>
      </c>
      <c r="K17" s="62" t="str">
        <f t="shared" si="1"/>
        <v>Feito ✅</v>
      </c>
      <c r="L17" s="63">
        <v>46169.0</v>
      </c>
      <c r="M17" s="64" t="b">
        <v>1</v>
      </c>
      <c r="N17" s="65">
        <f t="shared" si="2"/>
        <v>2</v>
      </c>
      <c r="O17" s="65">
        <f t="shared" si="3"/>
        <v>2</v>
      </c>
      <c r="P17" s="65">
        <f t="shared" si="4"/>
        <v>2</v>
      </c>
      <c r="Q17" s="65">
        <f t="shared" si="5"/>
        <v>4</v>
      </c>
      <c r="R17" s="65">
        <f t="shared" si="6"/>
        <v>8</v>
      </c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</row>
    <row r="18">
      <c r="A18" s="57">
        <v>46167.0</v>
      </c>
      <c r="B18" s="58" t="s">
        <v>1546</v>
      </c>
      <c r="C18" s="49"/>
      <c r="D18" s="59" t="s">
        <v>1572</v>
      </c>
      <c r="E18" s="58" t="s">
        <v>1554</v>
      </c>
      <c r="F18" s="60" t="b">
        <v>0</v>
      </c>
      <c r="G18" s="58" t="s">
        <v>1549</v>
      </c>
      <c r="H18" s="61" t="s">
        <v>1550</v>
      </c>
      <c r="I18" s="61" t="s">
        <v>1559</v>
      </c>
      <c r="J18" s="61" t="s">
        <v>1559</v>
      </c>
      <c r="K18" s="62" t="str">
        <f t="shared" si="1"/>
        <v>Feito ✅</v>
      </c>
      <c r="L18" s="63">
        <v>46169.0</v>
      </c>
      <c r="M18" s="64" t="b">
        <v>1</v>
      </c>
      <c r="N18" s="65">
        <f t="shared" si="2"/>
        <v>2</v>
      </c>
      <c r="O18" s="65">
        <f t="shared" si="3"/>
        <v>2</v>
      </c>
      <c r="P18" s="65">
        <f t="shared" si="4"/>
        <v>2</v>
      </c>
      <c r="Q18" s="65">
        <f t="shared" si="5"/>
        <v>4</v>
      </c>
      <c r="R18" s="65">
        <f t="shared" si="6"/>
        <v>8</v>
      </c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</row>
    <row r="19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44" t="b">
        <f t="shared" si="2"/>
        <v>0</v>
      </c>
      <c r="O19" s="44">
        <f t="shared" si="3"/>
        <v>0</v>
      </c>
      <c r="P19" s="44">
        <f t="shared" si="4"/>
        <v>0</v>
      </c>
      <c r="Q19" s="44" t="str">
        <f t="shared" si="5"/>
        <v/>
      </c>
      <c r="R19" s="44">
        <f t="shared" si="6"/>
        <v>0</v>
      </c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</row>
    <row r="20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44" t="b">
        <f t="shared" si="2"/>
        <v>0</v>
      </c>
      <c r="O20" s="44">
        <f t="shared" si="3"/>
        <v>0</v>
      </c>
      <c r="P20" s="44">
        <f t="shared" si="4"/>
        <v>0</v>
      </c>
      <c r="Q20" s="44" t="str">
        <f t="shared" si="5"/>
        <v/>
      </c>
      <c r="R20" s="44">
        <f t="shared" si="6"/>
        <v>0</v>
      </c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</row>
    <row r="2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44" t="b">
        <f t="shared" si="2"/>
        <v>0</v>
      </c>
      <c r="O21" s="44">
        <f t="shared" si="3"/>
        <v>0</v>
      </c>
      <c r="P21" s="44">
        <f t="shared" si="4"/>
        <v>0</v>
      </c>
      <c r="Q21" s="44" t="str">
        <f t="shared" si="5"/>
        <v/>
      </c>
      <c r="R21" s="44">
        <f t="shared" si="6"/>
        <v>0</v>
      </c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</row>
    <row r="22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44" t="b">
        <f t="shared" si="2"/>
        <v>0</v>
      </c>
      <c r="O22" s="44">
        <f t="shared" si="3"/>
        <v>0</v>
      </c>
      <c r="P22" s="44">
        <f t="shared" si="4"/>
        <v>0</v>
      </c>
      <c r="Q22" s="44" t="str">
        <f t="shared" si="5"/>
        <v/>
      </c>
      <c r="R22" s="44">
        <f t="shared" si="6"/>
        <v>0</v>
      </c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</row>
    <row r="23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44" t="b">
        <f t="shared" si="2"/>
        <v>0</v>
      </c>
      <c r="O23" s="44">
        <f t="shared" si="3"/>
        <v>0</v>
      </c>
      <c r="P23" s="44">
        <f t="shared" si="4"/>
        <v>0</v>
      </c>
      <c r="Q23" s="44" t="str">
        <f t="shared" si="5"/>
        <v/>
      </c>
      <c r="R23" s="44">
        <f t="shared" si="6"/>
        <v>0</v>
      </c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</row>
    <row r="24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44" t="b">
        <f t="shared" si="2"/>
        <v>0</v>
      </c>
      <c r="O24" s="44">
        <f t="shared" si="3"/>
        <v>0</v>
      </c>
      <c r="P24" s="44">
        <f t="shared" si="4"/>
        <v>0</v>
      </c>
      <c r="Q24" s="44" t="str">
        <f t="shared" si="5"/>
        <v/>
      </c>
      <c r="R24" s="44">
        <f t="shared" si="6"/>
        <v>0</v>
      </c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</row>
    <row r="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44" t="b">
        <f t="shared" si="2"/>
        <v>0</v>
      </c>
      <c r="O25" s="44">
        <f t="shared" si="3"/>
        <v>0</v>
      </c>
      <c r="P25" s="44">
        <f t="shared" si="4"/>
        <v>0</v>
      </c>
      <c r="Q25" s="44" t="str">
        <f t="shared" si="5"/>
        <v/>
      </c>
      <c r="R25" s="44">
        <f t="shared" si="6"/>
        <v>0</v>
      </c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</row>
    <row r="26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44" t="b">
        <f t="shared" si="2"/>
        <v>0</v>
      </c>
      <c r="O26" s="44">
        <f t="shared" si="3"/>
        <v>0</v>
      </c>
      <c r="P26" s="44">
        <f t="shared" si="4"/>
        <v>0</v>
      </c>
      <c r="Q26" s="44" t="str">
        <f t="shared" si="5"/>
        <v/>
      </c>
      <c r="R26" s="44">
        <f t="shared" si="6"/>
        <v>0</v>
      </c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</row>
    <row r="27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44" t="b">
        <f t="shared" si="2"/>
        <v>0</v>
      </c>
      <c r="O27" s="44">
        <f t="shared" si="3"/>
        <v>0</v>
      </c>
      <c r="P27" s="44">
        <f t="shared" si="4"/>
        <v>0</v>
      </c>
      <c r="Q27" s="44" t="str">
        <f t="shared" si="5"/>
        <v/>
      </c>
      <c r="R27" s="44">
        <f t="shared" si="6"/>
        <v>0</v>
      </c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</row>
    <row r="28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44" t="b">
        <f t="shared" si="2"/>
        <v>0</v>
      </c>
      <c r="O28" s="44">
        <f t="shared" si="3"/>
        <v>0</v>
      </c>
      <c r="P28" s="44">
        <f t="shared" si="4"/>
        <v>0</v>
      </c>
      <c r="Q28" s="44" t="str">
        <f t="shared" si="5"/>
        <v/>
      </c>
      <c r="R28" s="44">
        <f t="shared" si="6"/>
        <v>0</v>
      </c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</row>
    <row r="29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4" t="b">
        <f t="shared" si="2"/>
        <v>0</v>
      </c>
      <c r="O29" s="44">
        <f t="shared" si="3"/>
        <v>0</v>
      </c>
      <c r="P29" s="44">
        <f t="shared" si="4"/>
        <v>0</v>
      </c>
      <c r="Q29" s="44" t="str">
        <f t="shared" si="5"/>
        <v/>
      </c>
      <c r="R29" s="44">
        <f t="shared" si="6"/>
        <v>0</v>
      </c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</row>
    <row r="30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44" t="b">
        <f t="shared" si="2"/>
        <v>0</v>
      </c>
      <c r="O30" s="44">
        <f t="shared" si="3"/>
        <v>0</v>
      </c>
      <c r="P30" s="44">
        <f t="shared" si="4"/>
        <v>0</v>
      </c>
      <c r="Q30" s="44" t="str">
        <f t="shared" si="5"/>
        <v/>
      </c>
      <c r="R30" s="44">
        <f t="shared" si="6"/>
        <v>0</v>
      </c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</row>
    <row r="3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44" t="b">
        <f t="shared" si="2"/>
        <v>0</v>
      </c>
      <c r="O31" s="44">
        <f t="shared" si="3"/>
        <v>0</v>
      </c>
      <c r="P31" s="44">
        <f t="shared" si="4"/>
        <v>0</v>
      </c>
      <c r="Q31" s="44" t="str">
        <f t="shared" si="5"/>
        <v/>
      </c>
      <c r="R31" s="44">
        <f t="shared" si="6"/>
        <v>0</v>
      </c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</row>
    <row r="3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44" t="b">
        <f t="shared" si="2"/>
        <v>0</v>
      </c>
      <c r="O32" s="44">
        <f t="shared" si="3"/>
        <v>0</v>
      </c>
      <c r="P32" s="44">
        <f t="shared" si="4"/>
        <v>0</v>
      </c>
      <c r="Q32" s="44" t="str">
        <f t="shared" si="5"/>
        <v/>
      </c>
      <c r="R32" s="44">
        <f t="shared" si="6"/>
        <v>0</v>
      </c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</row>
    <row r="3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44" t="b">
        <f t="shared" si="2"/>
        <v>0</v>
      </c>
      <c r="O33" s="44">
        <f t="shared" si="3"/>
        <v>0</v>
      </c>
      <c r="P33" s="44">
        <f t="shared" si="4"/>
        <v>0</v>
      </c>
      <c r="Q33" s="44" t="str">
        <f t="shared" si="5"/>
        <v/>
      </c>
      <c r="R33" s="44">
        <f t="shared" si="6"/>
        <v>0</v>
      </c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</row>
    <row r="34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44" t="b">
        <f t="shared" si="2"/>
        <v>0</v>
      </c>
      <c r="O34" s="44">
        <f t="shared" si="3"/>
        <v>0</v>
      </c>
      <c r="P34" s="44">
        <f t="shared" si="4"/>
        <v>0</v>
      </c>
      <c r="Q34" s="44" t="str">
        <f t="shared" si="5"/>
        <v/>
      </c>
      <c r="R34" s="44">
        <f t="shared" si="6"/>
        <v>0</v>
      </c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</row>
    <row r="3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44" t="b">
        <f t="shared" si="2"/>
        <v>0</v>
      </c>
      <c r="O35" s="44">
        <f t="shared" si="3"/>
        <v>0</v>
      </c>
      <c r="P35" s="44">
        <f t="shared" si="4"/>
        <v>0</v>
      </c>
      <c r="Q35" s="44" t="str">
        <f t="shared" si="5"/>
        <v/>
      </c>
      <c r="R35" s="44">
        <f t="shared" si="6"/>
        <v>0</v>
      </c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</row>
    <row r="36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44" t="b">
        <f t="shared" si="2"/>
        <v>0</v>
      </c>
      <c r="O36" s="44">
        <f t="shared" si="3"/>
        <v>0</v>
      </c>
      <c r="P36" s="44">
        <f t="shared" si="4"/>
        <v>0</v>
      </c>
      <c r="Q36" s="44" t="str">
        <f t="shared" si="5"/>
        <v/>
      </c>
      <c r="R36" s="44">
        <f t="shared" si="6"/>
        <v>0</v>
      </c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</row>
    <row r="37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44" t="b">
        <f t="shared" si="2"/>
        <v>0</v>
      </c>
      <c r="O37" s="44">
        <f t="shared" si="3"/>
        <v>0</v>
      </c>
      <c r="P37" s="44">
        <f t="shared" si="4"/>
        <v>0</v>
      </c>
      <c r="Q37" s="44" t="str">
        <f t="shared" si="5"/>
        <v/>
      </c>
      <c r="R37" s="44">
        <f t="shared" si="6"/>
        <v>0</v>
      </c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</row>
    <row r="38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44" t="b">
        <f t="shared" si="2"/>
        <v>0</v>
      </c>
      <c r="O38" s="44">
        <f t="shared" si="3"/>
        <v>0</v>
      </c>
      <c r="P38" s="44">
        <f t="shared" si="4"/>
        <v>0</v>
      </c>
      <c r="Q38" s="44" t="str">
        <f t="shared" si="5"/>
        <v/>
      </c>
      <c r="R38" s="44">
        <f t="shared" si="6"/>
        <v>0</v>
      </c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</row>
    <row r="39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44" t="b">
        <f t="shared" si="2"/>
        <v>0</v>
      </c>
      <c r="O39" s="44">
        <f t="shared" si="3"/>
        <v>0</v>
      </c>
      <c r="P39" s="44">
        <f t="shared" si="4"/>
        <v>0</v>
      </c>
      <c r="Q39" s="44" t="str">
        <f t="shared" si="5"/>
        <v/>
      </c>
      <c r="R39" s="44">
        <f t="shared" si="6"/>
        <v>0</v>
      </c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</row>
    <row r="40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44" t="b">
        <f t="shared" si="2"/>
        <v>0</v>
      </c>
      <c r="O40" s="44">
        <f t="shared" si="3"/>
        <v>0</v>
      </c>
      <c r="P40" s="44">
        <f t="shared" si="4"/>
        <v>0</v>
      </c>
      <c r="Q40" s="44" t="str">
        <f t="shared" si="5"/>
        <v/>
      </c>
      <c r="R40" s="44">
        <f t="shared" si="6"/>
        <v>0</v>
      </c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</row>
    <row r="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44" t="b">
        <f t="shared" si="2"/>
        <v>0</v>
      </c>
      <c r="O41" s="44">
        <f t="shared" si="3"/>
        <v>0</v>
      </c>
      <c r="P41" s="44">
        <f t="shared" si="4"/>
        <v>0</v>
      </c>
      <c r="Q41" s="44" t="str">
        <f t="shared" si="5"/>
        <v/>
      </c>
      <c r="R41" s="44">
        <f t="shared" si="6"/>
        <v>0</v>
      </c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</row>
    <row r="4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44" t="b">
        <f t="shared" si="2"/>
        <v>0</v>
      </c>
      <c r="O42" s="44">
        <f t="shared" si="3"/>
        <v>0</v>
      </c>
      <c r="P42" s="44">
        <f t="shared" si="4"/>
        <v>0</v>
      </c>
      <c r="Q42" s="44" t="str">
        <f t="shared" si="5"/>
        <v/>
      </c>
      <c r="R42" s="44">
        <f t="shared" si="6"/>
        <v>0</v>
      </c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</row>
    <row r="4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44" t="b">
        <f t="shared" si="2"/>
        <v>0</v>
      </c>
      <c r="O43" s="44">
        <f t="shared" si="3"/>
        <v>0</v>
      </c>
      <c r="P43" s="44">
        <f t="shared" si="4"/>
        <v>0</v>
      </c>
      <c r="Q43" s="44" t="str">
        <f t="shared" si="5"/>
        <v/>
      </c>
      <c r="R43" s="44">
        <f t="shared" si="6"/>
        <v>0</v>
      </c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</row>
    <row r="44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44" t="b">
        <f t="shared" si="2"/>
        <v>0</v>
      </c>
      <c r="O44" s="44">
        <f t="shared" si="3"/>
        <v>0</v>
      </c>
      <c r="P44" s="44">
        <f t="shared" si="4"/>
        <v>0</v>
      </c>
      <c r="Q44" s="44" t="str">
        <f t="shared" si="5"/>
        <v/>
      </c>
      <c r="R44" s="44">
        <f t="shared" si="6"/>
        <v>0</v>
      </c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</row>
    <row r="4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44" t="b">
        <f t="shared" si="2"/>
        <v>0</v>
      </c>
      <c r="O45" s="44">
        <f t="shared" si="3"/>
        <v>0</v>
      </c>
      <c r="P45" s="44">
        <f t="shared" si="4"/>
        <v>0</v>
      </c>
      <c r="Q45" s="44" t="str">
        <f t="shared" si="5"/>
        <v/>
      </c>
      <c r="R45" s="44">
        <f t="shared" si="6"/>
        <v>0</v>
      </c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</row>
    <row r="46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44" t="b">
        <f t="shared" si="2"/>
        <v>0</v>
      </c>
      <c r="O46" s="44">
        <f t="shared" si="3"/>
        <v>0</v>
      </c>
      <c r="P46" s="44">
        <f t="shared" si="4"/>
        <v>0</v>
      </c>
      <c r="Q46" s="44" t="str">
        <f t="shared" si="5"/>
        <v/>
      </c>
      <c r="R46" s="44">
        <f t="shared" si="6"/>
        <v>0</v>
      </c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</row>
    <row r="47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44" t="b">
        <f t="shared" si="2"/>
        <v>0</v>
      </c>
      <c r="O47" s="44">
        <f t="shared" si="3"/>
        <v>0</v>
      </c>
      <c r="P47" s="44">
        <f t="shared" si="4"/>
        <v>0</v>
      </c>
      <c r="Q47" s="44" t="str">
        <f t="shared" si="5"/>
        <v/>
      </c>
      <c r="R47" s="44">
        <f t="shared" si="6"/>
        <v>0</v>
      </c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</row>
    <row r="4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44" t="b">
        <f t="shared" si="2"/>
        <v>0</v>
      </c>
      <c r="O48" s="44">
        <f t="shared" si="3"/>
        <v>0</v>
      </c>
      <c r="P48" s="44">
        <f t="shared" si="4"/>
        <v>0</v>
      </c>
      <c r="Q48" s="44" t="str">
        <f t="shared" si="5"/>
        <v/>
      </c>
      <c r="R48" s="44">
        <f t="shared" si="6"/>
        <v>0</v>
      </c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</row>
    <row r="49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44" t="b">
        <f t="shared" si="2"/>
        <v>0</v>
      </c>
      <c r="O49" s="44">
        <f t="shared" si="3"/>
        <v>0</v>
      </c>
      <c r="P49" s="44">
        <f t="shared" si="4"/>
        <v>0</v>
      </c>
      <c r="Q49" s="44" t="str">
        <f t="shared" si="5"/>
        <v/>
      </c>
      <c r="R49" s="44">
        <f t="shared" si="6"/>
        <v>0</v>
      </c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</row>
    <row r="50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44" t="b">
        <f t="shared" si="2"/>
        <v>0</v>
      </c>
      <c r="O50" s="44">
        <f t="shared" si="3"/>
        <v>0</v>
      </c>
      <c r="P50" s="44">
        <f t="shared" si="4"/>
        <v>0</v>
      </c>
      <c r="Q50" s="44" t="str">
        <f t="shared" si="5"/>
        <v/>
      </c>
      <c r="R50" s="44">
        <f t="shared" si="6"/>
        <v>0</v>
      </c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</row>
    <row r="5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44" t="b">
        <f t="shared" si="2"/>
        <v>0</v>
      </c>
      <c r="O51" s="44">
        <f t="shared" si="3"/>
        <v>0</v>
      </c>
      <c r="P51" s="44">
        <f t="shared" si="4"/>
        <v>0</v>
      </c>
      <c r="Q51" s="44" t="str">
        <f t="shared" si="5"/>
        <v/>
      </c>
      <c r="R51" s="44">
        <f t="shared" si="6"/>
        <v>0</v>
      </c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</row>
    <row r="52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44" t="b">
        <f t="shared" si="2"/>
        <v>0</v>
      </c>
      <c r="O52" s="44">
        <f t="shared" si="3"/>
        <v>0</v>
      </c>
      <c r="P52" s="44">
        <f t="shared" si="4"/>
        <v>0</v>
      </c>
      <c r="Q52" s="44" t="str">
        <f t="shared" si="5"/>
        <v/>
      </c>
      <c r="R52" s="44">
        <f t="shared" si="6"/>
        <v>0</v>
      </c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</row>
    <row r="5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44" t="b">
        <f t="shared" si="2"/>
        <v>0</v>
      </c>
      <c r="O53" s="44">
        <f t="shared" si="3"/>
        <v>0</v>
      </c>
      <c r="P53" s="44">
        <f t="shared" si="4"/>
        <v>0</v>
      </c>
      <c r="Q53" s="44" t="str">
        <f t="shared" si="5"/>
        <v/>
      </c>
      <c r="R53" s="44">
        <f t="shared" si="6"/>
        <v>0</v>
      </c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</row>
    <row r="54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44" t="b">
        <f t="shared" si="2"/>
        <v>0</v>
      </c>
      <c r="O54" s="44">
        <f t="shared" si="3"/>
        <v>0</v>
      </c>
      <c r="P54" s="44">
        <f t="shared" si="4"/>
        <v>0</v>
      </c>
      <c r="Q54" s="44" t="str">
        <f t="shared" si="5"/>
        <v/>
      </c>
      <c r="R54" s="44">
        <f t="shared" si="6"/>
        <v>0</v>
      </c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</row>
    <row r="5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44" t="b">
        <f t="shared" si="2"/>
        <v>0</v>
      </c>
      <c r="O55" s="44">
        <f t="shared" si="3"/>
        <v>0</v>
      </c>
      <c r="P55" s="44">
        <f t="shared" si="4"/>
        <v>0</v>
      </c>
      <c r="Q55" s="44" t="str">
        <f t="shared" si="5"/>
        <v/>
      </c>
      <c r="R55" s="44">
        <f t="shared" si="6"/>
        <v>0</v>
      </c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</row>
    <row r="56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44" t="b">
        <f t="shared" si="2"/>
        <v>0</v>
      </c>
      <c r="O56" s="44">
        <f t="shared" si="3"/>
        <v>0</v>
      </c>
      <c r="P56" s="44">
        <f t="shared" si="4"/>
        <v>0</v>
      </c>
      <c r="Q56" s="44" t="str">
        <f t="shared" si="5"/>
        <v/>
      </c>
      <c r="R56" s="44">
        <f t="shared" si="6"/>
        <v>0</v>
      </c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</row>
    <row r="57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44" t="b">
        <f t="shared" si="2"/>
        <v>0</v>
      </c>
      <c r="O57" s="44">
        <f t="shared" si="3"/>
        <v>0</v>
      </c>
      <c r="P57" s="44">
        <f t="shared" si="4"/>
        <v>0</v>
      </c>
      <c r="Q57" s="44" t="str">
        <f t="shared" si="5"/>
        <v/>
      </c>
      <c r="R57" s="44">
        <f t="shared" si="6"/>
        <v>0</v>
      </c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</row>
    <row r="58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44" t="b">
        <f t="shared" si="2"/>
        <v>0</v>
      </c>
      <c r="O58" s="44">
        <f t="shared" si="3"/>
        <v>0</v>
      </c>
      <c r="P58" s="44">
        <f t="shared" si="4"/>
        <v>0</v>
      </c>
      <c r="Q58" s="44" t="str">
        <f t="shared" si="5"/>
        <v/>
      </c>
      <c r="R58" s="44">
        <f t="shared" si="6"/>
        <v>0</v>
      </c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</row>
    <row r="59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44" t="b">
        <f t="shared" si="2"/>
        <v>0</v>
      </c>
      <c r="O59" s="44">
        <f t="shared" si="3"/>
        <v>0</v>
      </c>
      <c r="P59" s="44">
        <f t="shared" si="4"/>
        <v>0</v>
      </c>
      <c r="Q59" s="44" t="str">
        <f t="shared" si="5"/>
        <v/>
      </c>
      <c r="R59" s="44">
        <f t="shared" si="6"/>
        <v>0</v>
      </c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</row>
    <row r="60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44" t="b">
        <f t="shared" si="2"/>
        <v>0</v>
      </c>
      <c r="O60" s="44">
        <f t="shared" si="3"/>
        <v>0</v>
      </c>
      <c r="P60" s="44">
        <f t="shared" si="4"/>
        <v>0</v>
      </c>
      <c r="Q60" s="44" t="str">
        <f t="shared" si="5"/>
        <v/>
      </c>
      <c r="R60" s="44">
        <f t="shared" si="6"/>
        <v>0</v>
      </c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</row>
    <row r="6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44" t="b">
        <f t="shared" si="2"/>
        <v>0</v>
      </c>
      <c r="O61" s="44">
        <f t="shared" si="3"/>
        <v>0</v>
      </c>
      <c r="P61" s="44">
        <f t="shared" si="4"/>
        <v>0</v>
      </c>
      <c r="Q61" s="44" t="str">
        <f t="shared" si="5"/>
        <v/>
      </c>
      <c r="R61" s="44">
        <f t="shared" si="6"/>
        <v>0</v>
      </c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</row>
    <row r="6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44" t="b">
        <f t="shared" si="2"/>
        <v>0</v>
      </c>
      <c r="O62" s="44">
        <f t="shared" si="3"/>
        <v>0</v>
      </c>
      <c r="P62" s="44">
        <f t="shared" si="4"/>
        <v>0</v>
      </c>
      <c r="Q62" s="44" t="str">
        <f t="shared" si="5"/>
        <v/>
      </c>
      <c r="R62" s="44">
        <f t="shared" si="6"/>
        <v>0</v>
      </c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44" t="b">
        <f t="shared" si="2"/>
        <v>0</v>
      </c>
      <c r="O63" s="44">
        <f t="shared" si="3"/>
        <v>0</v>
      </c>
      <c r="P63" s="44">
        <f t="shared" si="4"/>
        <v>0</v>
      </c>
      <c r="Q63" s="44" t="str">
        <f t="shared" si="5"/>
        <v/>
      </c>
      <c r="R63" s="44">
        <f t="shared" si="6"/>
        <v>0</v>
      </c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44" t="b">
        <f t="shared" si="2"/>
        <v>0</v>
      </c>
      <c r="O64" s="44">
        <f t="shared" si="3"/>
        <v>0</v>
      </c>
      <c r="P64" s="44">
        <f t="shared" si="4"/>
        <v>0</v>
      </c>
      <c r="Q64" s="44" t="str">
        <f t="shared" si="5"/>
        <v/>
      </c>
      <c r="R64" s="44">
        <f t="shared" si="6"/>
        <v>0</v>
      </c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44" t="b">
        <f t="shared" si="2"/>
        <v>0</v>
      </c>
      <c r="O65" s="44">
        <f t="shared" si="3"/>
        <v>0</v>
      </c>
      <c r="P65" s="44">
        <f t="shared" si="4"/>
        <v>0</v>
      </c>
      <c r="Q65" s="44" t="str">
        <f t="shared" si="5"/>
        <v/>
      </c>
      <c r="R65" s="44">
        <f t="shared" si="6"/>
        <v>0</v>
      </c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44" t="b">
        <f t="shared" si="2"/>
        <v>0</v>
      </c>
      <c r="O66" s="44">
        <f t="shared" si="3"/>
        <v>0</v>
      </c>
      <c r="P66" s="44">
        <f t="shared" si="4"/>
        <v>0</v>
      </c>
      <c r="Q66" s="44" t="str">
        <f t="shared" si="5"/>
        <v/>
      </c>
      <c r="R66" s="44">
        <f t="shared" si="6"/>
        <v>0</v>
      </c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</row>
    <row r="6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44" t="b">
        <f t="shared" si="2"/>
        <v>0</v>
      </c>
      <c r="O67" s="44">
        <f t="shared" si="3"/>
        <v>0</v>
      </c>
      <c r="P67" s="44">
        <f t="shared" si="4"/>
        <v>0</v>
      </c>
      <c r="Q67" s="44" t="str">
        <f t="shared" si="5"/>
        <v/>
      </c>
      <c r="R67" s="44">
        <f t="shared" si="6"/>
        <v>0</v>
      </c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</row>
    <row r="6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44" t="b">
        <f t="shared" si="2"/>
        <v>0</v>
      </c>
      <c r="O68" s="44">
        <f t="shared" si="3"/>
        <v>0</v>
      </c>
      <c r="P68" s="44">
        <f t="shared" si="4"/>
        <v>0</v>
      </c>
      <c r="Q68" s="44" t="str">
        <f t="shared" si="5"/>
        <v/>
      </c>
      <c r="R68" s="44">
        <f t="shared" si="6"/>
        <v>0</v>
      </c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</row>
    <row r="69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44" t="b">
        <f t="shared" si="2"/>
        <v>0</v>
      </c>
      <c r="O69" s="44">
        <f t="shared" si="3"/>
        <v>0</v>
      </c>
      <c r="P69" s="44">
        <f t="shared" si="4"/>
        <v>0</v>
      </c>
      <c r="Q69" s="44" t="str">
        <f t="shared" si="5"/>
        <v/>
      </c>
      <c r="R69" s="44">
        <f t="shared" si="6"/>
        <v>0</v>
      </c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44" t="b">
        <f t="shared" si="2"/>
        <v>0</v>
      </c>
      <c r="O70" s="44">
        <f t="shared" si="3"/>
        <v>0</v>
      </c>
      <c r="P70" s="44">
        <f t="shared" si="4"/>
        <v>0</v>
      </c>
      <c r="Q70" s="44" t="str">
        <f t="shared" si="5"/>
        <v/>
      </c>
      <c r="R70" s="44">
        <f t="shared" si="6"/>
        <v>0</v>
      </c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44" t="b">
        <f t="shared" si="2"/>
        <v>0</v>
      </c>
      <c r="O71" s="44">
        <f t="shared" si="3"/>
        <v>0</v>
      </c>
      <c r="P71" s="44">
        <f t="shared" si="4"/>
        <v>0</v>
      </c>
      <c r="Q71" s="44" t="str">
        <f t="shared" si="5"/>
        <v/>
      </c>
      <c r="R71" s="44">
        <f t="shared" si="6"/>
        <v>0</v>
      </c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44" t="b">
        <f t="shared" si="2"/>
        <v>0</v>
      </c>
      <c r="O72" s="44">
        <f t="shared" si="3"/>
        <v>0</v>
      </c>
      <c r="P72" s="44">
        <f t="shared" si="4"/>
        <v>0</v>
      </c>
      <c r="Q72" s="44" t="str">
        <f t="shared" si="5"/>
        <v/>
      </c>
      <c r="R72" s="44">
        <f t="shared" si="6"/>
        <v>0</v>
      </c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44" t="b">
        <f t="shared" si="2"/>
        <v>0</v>
      </c>
      <c r="O73" s="44">
        <f t="shared" si="3"/>
        <v>0</v>
      </c>
      <c r="P73" s="44">
        <f t="shared" si="4"/>
        <v>0</v>
      </c>
      <c r="Q73" s="44" t="str">
        <f t="shared" si="5"/>
        <v/>
      </c>
      <c r="R73" s="44">
        <f t="shared" si="6"/>
        <v>0</v>
      </c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44" t="b">
        <f t="shared" si="2"/>
        <v>0</v>
      </c>
      <c r="O74" s="44">
        <f t="shared" si="3"/>
        <v>0</v>
      </c>
      <c r="P74" s="44">
        <f t="shared" si="4"/>
        <v>0</v>
      </c>
      <c r="Q74" s="44" t="str">
        <f t="shared" si="5"/>
        <v/>
      </c>
      <c r="R74" s="44">
        <f t="shared" si="6"/>
        <v>0</v>
      </c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44" t="b">
        <f t="shared" si="2"/>
        <v>0</v>
      </c>
      <c r="O75" s="44">
        <f t="shared" si="3"/>
        <v>0</v>
      </c>
      <c r="P75" s="44">
        <f t="shared" si="4"/>
        <v>0</v>
      </c>
      <c r="Q75" s="44" t="str">
        <f t="shared" si="5"/>
        <v/>
      </c>
      <c r="R75" s="44">
        <f t="shared" si="6"/>
        <v>0</v>
      </c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44" t="b">
        <f t="shared" si="2"/>
        <v>0</v>
      </c>
      <c r="O76" s="44">
        <f t="shared" si="3"/>
        <v>0</v>
      </c>
      <c r="P76" s="44">
        <f t="shared" si="4"/>
        <v>0</v>
      </c>
      <c r="Q76" s="44" t="str">
        <f t="shared" si="5"/>
        <v/>
      </c>
      <c r="R76" s="44">
        <f t="shared" si="6"/>
        <v>0</v>
      </c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44" t="b">
        <f t="shared" si="2"/>
        <v>0</v>
      </c>
      <c r="O77" s="44">
        <f t="shared" si="3"/>
        <v>0</v>
      </c>
      <c r="P77" s="44">
        <f t="shared" si="4"/>
        <v>0</v>
      </c>
      <c r="Q77" s="44" t="str">
        <f t="shared" si="5"/>
        <v/>
      </c>
      <c r="R77" s="44">
        <f t="shared" si="6"/>
        <v>0</v>
      </c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44" t="b">
        <f t="shared" si="2"/>
        <v>0</v>
      </c>
      <c r="O78" s="44">
        <f t="shared" si="3"/>
        <v>0</v>
      </c>
      <c r="P78" s="44">
        <f t="shared" si="4"/>
        <v>0</v>
      </c>
      <c r="Q78" s="44" t="str">
        <f t="shared" si="5"/>
        <v/>
      </c>
      <c r="R78" s="44">
        <f t="shared" si="6"/>
        <v>0</v>
      </c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44" t="b">
        <f t="shared" si="2"/>
        <v>0</v>
      </c>
      <c r="O79" s="44">
        <f t="shared" si="3"/>
        <v>0</v>
      </c>
      <c r="P79" s="44">
        <f t="shared" si="4"/>
        <v>0</v>
      </c>
      <c r="Q79" s="44" t="str">
        <f t="shared" si="5"/>
        <v/>
      </c>
      <c r="R79" s="44">
        <f t="shared" si="6"/>
        <v>0</v>
      </c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44" t="b">
        <f t="shared" si="2"/>
        <v>0</v>
      </c>
      <c r="O80" s="44">
        <f t="shared" si="3"/>
        <v>0</v>
      </c>
      <c r="P80" s="44">
        <f t="shared" si="4"/>
        <v>0</v>
      </c>
      <c r="Q80" s="44" t="str">
        <f t="shared" si="5"/>
        <v/>
      </c>
      <c r="R80" s="44">
        <f t="shared" si="6"/>
        <v>0</v>
      </c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44" t="b">
        <f t="shared" si="2"/>
        <v>0</v>
      </c>
      <c r="O81" s="44">
        <f t="shared" si="3"/>
        <v>0</v>
      </c>
      <c r="P81" s="44">
        <f t="shared" si="4"/>
        <v>0</v>
      </c>
      <c r="Q81" s="44" t="str">
        <f t="shared" si="5"/>
        <v/>
      </c>
      <c r="R81" s="44">
        <f t="shared" si="6"/>
        <v>0</v>
      </c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44" t="b">
        <f t="shared" si="2"/>
        <v>0</v>
      </c>
      <c r="O82" s="44">
        <f t="shared" si="3"/>
        <v>0</v>
      </c>
      <c r="P82" s="44">
        <f t="shared" si="4"/>
        <v>0</v>
      </c>
      <c r="Q82" s="44" t="str">
        <f t="shared" si="5"/>
        <v/>
      </c>
      <c r="R82" s="44">
        <f t="shared" si="6"/>
        <v>0</v>
      </c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44" t="b">
        <f t="shared" si="2"/>
        <v>0</v>
      </c>
      <c r="O83" s="44">
        <f t="shared" si="3"/>
        <v>0</v>
      </c>
      <c r="P83" s="44">
        <f t="shared" si="4"/>
        <v>0</v>
      </c>
      <c r="Q83" s="44" t="str">
        <f t="shared" si="5"/>
        <v/>
      </c>
      <c r="R83" s="44">
        <f t="shared" si="6"/>
        <v>0</v>
      </c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44" t="b">
        <f t="shared" si="2"/>
        <v>0</v>
      </c>
      <c r="O84" s="44">
        <f t="shared" si="3"/>
        <v>0</v>
      </c>
      <c r="P84" s="44">
        <f t="shared" si="4"/>
        <v>0</v>
      </c>
      <c r="Q84" s="44" t="str">
        <f t="shared" si="5"/>
        <v/>
      </c>
      <c r="R84" s="44">
        <f t="shared" si="6"/>
        <v>0</v>
      </c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44" t="b">
        <f t="shared" si="2"/>
        <v>0</v>
      </c>
      <c r="O85" s="44">
        <f t="shared" si="3"/>
        <v>0</v>
      </c>
      <c r="P85" s="44">
        <f t="shared" si="4"/>
        <v>0</v>
      </c>
      <c r="Q85" s="44" t="str">
        <f t="shared" si="5"/>
        <v/>
      </c>
      <c r="R85" s="44">
        <f t="shared" si="6"/>
        <v>0</v>
      </c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44" t="b">
        <f t="shared" si="2"/>
        <v>0</v>
      </c>
      <c r="O86" s="44">
        <f t="shared" si="3"/>
        <v>0</v>
      </c>
      <c r="P86" s="44">
        <f t="shared" si="4"/>
        <v>0</v>
      </c>
      <c r="Q86" s="44" t="str">
        <f t="shared" si="5"/>
        <v/>
      </c>
      <c r="R86" s="44">
        <f t="shared" si="6"/>
        <v>0</v>
      </c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44" t="b">
        <f t="shared" si="2"/>
        <v>0</v>
      </c>
      <c r="O87" s="44">
        <f t="shared" si="3"/>
        <v>0</v>
      </c>
      <c r="P87" s="44">
        <f t="shared" si="4"/>
        <v>0</v>
      </c>
      <c r="Q87" s="44" t="str">
        <f t="shared" si="5"/>
        <v/>
      </c>
      <c r="R87" s="44">
        <f t="shared" si="6"/>
        <v>0</v>
      </c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44" t="b">
        <f t="shared" si="2"/>
        <v>0</v>
      </c>
      <c r="O88" s="44">
        <f t="shared" si="3"/>
        <v>0</v>
      </c>
      <c r="P88" s="44">
        <f t="shared" si="4"/>
        <v>0</v>
      </c>
      <c r="Q88" s="44" t="str">
        <f t="shared" si="5"/>
        <v/>
      </c>
      <c r="R88" s="44">
        <f t="shared" si="6"/>
        <v>0</v>
      </c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44" t="b">
        <f t="shared" si="2"/>
        <v>0</v>
      </c>
      <c r="O89" s="44">
        <f t="shared" si="3"/>
        <v>0</v>
      </c>
      <c r="P89" s="44">
        <f t="shared" si="4"/>
        <v>0</v>
      </c>
      <c r="Q89" s="44" t="str">
        <f t="shared" si="5"/>
        <v/>
      </c>
      <c r="R89" s="44">
        <f t="shared" si="6"/>
        <v>0</v>
      </c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44" t="b">
        <f t="shared" si="2"/>
        <v>0</v>
      </c>
      <c r="O90" s="44">
        <f t="shared" si="3"/>
        <v>0</v>
      </c>
      <c r="P90" s="44">
        <f t="shared" si="4"/>
        <v>0</v>
      </c>
      <c r="Q90" s="44" t="str">
        <f t="shared" si="5"/>
        <v/>
      </c>
      <c r="R90" s="44">
        <f t="shared" si="6"/>
        <v>0</v>
      </c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44" t="b">
        <f t="shared" si="2"/>
        <v>0</v>
      </c>
      <c r="O91" s="44">
        <f t="shared" si="3"/>
        <v>0</v>
      </c>
      <c r="P91" s="44">
        <f t="shared" si="4"/>
        <v>0</v>
      </c>
      <c r="Q91" s="44" t="str">
        <f t="shared" si="5"/>
        <v/>
      </c>
      <c r="R91" s="44">
        <f t="shared" si="6"/>
        <v>0</v>
      </c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44" t="b">
        <f t="shared" si="2"/>
        <v>0</v>
      </c>
      <c r="O92" s="44">
        <f t="shared" si="3"/>
        <v>0</v>
      </c>
      <c r="P92" s="44">
        <f t="shared" si="4"/>
        <v>0</v>
      </c>
      <c r="Q92" s="44" t="str">
        <f t="shared" si="5"/>
        <v/>
      </c>
      <c r="R92" s="44">
        <f t="shared" si="6"/>
        <v>0</v>
      </c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44" t="b">
        <f t="shared" si="2"/>
        <v>0</v>
      </c>
      <c r="O93" s="44">
        <f t="shared" si="3"/>
        <v>0</v>
      </c>
      <c r="P93" s="44">
        <f t="shared" si="4"/>
        <v>0</v>
      </c>
      <c r="Q93" s="44" t="str">
        <f t="shared" si="5"/>
        <v/>
      </c>
      <c r="R93" s="44">
        <f t="shared" si="6"/>
        <v>0</v>
      </c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44" t="b">
        <f t="shared" si="2"/>
        <v>0</v>
      </c>
      <c r="O94" s="44">
        <f t="shared" si="3"/>
        <v>0</v>
      </c>
      <c r="P94" s="44">
        <f t="shared" si="4"/>
        <v>0</v>
      </c>
      <c r="Q94" s="44" t="str">
        <f t="shared" si="5"/>
        <v/>
      </c>
      <c r="R94" s="44">
        <f t="shared" si="6"/>
        <v>0</v>
      </c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44" t="b">
        <f t="shared" si="2"/>
        <v>0</v>
      </c>
      <c r="O95" s="44">
        <f t="shared" si="3"/>
        <v>0</v>
      </c>
      <c r="P95" s="44">
        <f t="shared" si="4"/>
        <v>0</v>
      </c>
      <c r="Q95" s="44" t="str">
        <f t="shared" si="5"/>
        <v/>
      </c>
      <c r="R95" s="44">
        <f t="shared" si="6"/>
        <v>0</v>
      </c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  <row r="998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</row>
    <row r="999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</row>
    <row r="1000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</row>
    <row r="1001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</row>
    <row r="1002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</row>
    <row r="1004">
      <c r="A1004" s="37"/>
      <c r="B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</row>
    <row r="1005">
      <c r="A1005" s="37"/>
      <c r="B1005" s="37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</row>
    <row r="1006">
      <c r="A1006" s="37"/>
      <c r="B1006" s="37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</row>
    <row r="1007">
      <c r="A1007" s="37"/>
      <c r="B1007" s="37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</row>
    <row r="1008">
      <c r="A1008" s="37"/>
      <c r="B1008" s="37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</row>
    <row r="1009">
      <c r="A1009" s="37"/>
      <c r="B1009" s="37"/>
      <c r="C1009" s="37"/>
      <c r="D1009" s="37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</row>
    <row r="1010">
      <c r="A1010" s="37"/>
      <c r="B1010" s="37"/>
      <c r="C1010" s="37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</row>
    <row r="1011">
      <c r="A1011" s="37"/>
      <c r="B1011" s="37"/>
      <c r="C1011" s="37"/>
      <c r="D1011" s="37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</row>
    <row r="1012">
      <c r="A1012" s="37"/>
      <c r="B1012" s="37"/>
      <c r="C1012" s="37"/>
      <c r="D1012" s="37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</row>
    <row r="1013">
      <c r="A1013" s="37"/>
      <c r="B1013" s="37"/>
      <c r="C1013" s="37"/>
      <c r="D1013" s="37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</row>
    <row r="1014">
      <c r="A1014" s="37"/>
      <c r="B1014" s="37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</row>
    <row r="1015">
      <c r="A1015" s="37"/>
      <c r="B1015" s="37"/>
      <c r="C1015" s="37"/>
      <c r="D1015" s="37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</row>
    <row r="1016">
      <c r="A1016" s="37"/>
      <c r="B1016" s="37"/>
      <c r="C1016" s="37"/>
      <c r="D1016" s="37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</row>
    <row r="1017">
      <c r="A1017" s="37"/>
      <c r="B1017" s="37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</row>
    <row r="1018">
      <c r="A1018" s="37"/>
      <c r="B1018" s="37"/>
      <c r="C1018" s="37"/>
      <c r="D1018" s="37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</row>
    <row r="1019">
      <c r="A1019" s="37"/>
      <c r="B1019" s="37"/>
      <c r="C1019" s="37"/>
      <c r="D1019" s="37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</row>
    <row r="1020">
      <c r="A1020" s="37"/>
      <c r="B1020" s="37"/>
      <c r="C1020" s="37"/>
      <c r="D1020" s="37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</row>
    <row r="1021">
      <c r="A1021" s="37"/>
      <c r="B1021" s="37"/>
      <c r="C1021" s="37"/>
      <c r="D1021" s="37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</row>
    <row r="1022">
      <c r="A1022" s="37"/>
      <c r="B1022" s="37"/>
      <c r="C1022" s="37"/>
      <c r="D1022" s="37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</row>
    <row r="1023">
      <c r="A1023" s="37"/>
      <c r="B1023" s="37"/>
      <c r="C1023" s="37"/>
      <c r="D1023" s="37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</row>
    <row r="1024">
      <c r="A1024" s="37"/>
      <c r="B1024" s="37"/>
      <c r="C1024" s="37"/>
      <c r="D1024" s="37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</row>
    <row r="1025">
      <c r="A1025" s="37"/>
      <c r="B1025" s="37"/>
      <c r="C1025" s="37"/>
      <c r="D1025" s="37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</row>
    <row r="1026">
      <c r="A1026" s="37"/>
      <c r="B1026" s="37"/>
      <c r="C1026" s="37"/>
      <c r="D1026" s="37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  <c r="AD1026" s="37"/>
    </row>
    <row r="1027">
      <c r="A1027" s="37"/>
      <c r="B1027" s="37"/>
      <c r="C1027" s="37"/>
      <c r="D1027" s="37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</row>
    <row r="1028">
      <c r="A1028" s="37"/>
      <c r="B1028" s="37"/>
      <c r="C1028" s="37"/>
      <c r="D1028" s="37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  <c r="AD1028" s="37"/>
    </row>
    <row r="1029">
      <c r="A1029" s="37"/>
      <c r="B1029" s="37"/>
      <c r="C1029" s="37"/>
      <c r="D1029" s="37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</row>
    <row r="1030">
      <c r="A1030" s="37"/>
      <c r="B1030" s="37"/>
      <c r="C1030" s="37"/>
      <c r="D1030" s="37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  <c r="AD1030" s="37"/>
    </row>
    <row r="1031">
      <c r="A1031" s="37"/>
      <c r="B1031" s="37"/>
      <c r="C1031" s="37"/>
      <c r="D1031" s="37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  <c r="AC1031" s="37"/>
      <c r="AD1031" s="37"/>
    </row>
    <row r="1032">
      <c r="A1032" s="37"/>
      <c r="B1032" s="37"/>
      <c r="C1032" s="37"/>
      <c r="D1032" s="37"/>
      <c r="E1032" s="37"/>
      <c r="F1032" s="37"/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  <c r="AC1032" s="37"/>
      <c r="AD1032" s="37"/>
    </row>
    <row r="1033">
      <c r="A1033" s="37"/>
      <c r="B1033" s="37"/>
      <c r="C1033" s="37"/>
      <c r="D1033" s="37"/>
      <c r="E1033" s="37"/>
      <c r="F1033" s="37"/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  <c r="AC1033" s="37"/>
      <c r="AD1033" s="37"/>
    </row>
    <row r="1034">
      <c r="A1034" s="37"/>
      <c r="B1034" s="37"/>
      <c r="C1034" s="37"/>
      <c r="D1034" s="37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37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  <c r="AC1034" s="37"/>
      <c r="AD1034" s="37"/>
    </row>
    <row r="1035">
      <c r="A1035" s="37"/>
      <c r="B1035" s="37"/>
      <c r="C1035" s="37"/>
      <c r="D1035" s="37"/>
      <c r="E1035" s="37"/>
      <c r="F1035" s="37"/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  <c r="AC1035" s="37"/>
      <c r="AD1035" s="37"/>
    </row>
    <row r="1036">
      <c r="A1036" s="37"/>
      <c r="B1036" s="37"/>
      <c r="C1036" s="37"/>
      <c r="D1036" s="37"/>
      <c r="E1036" s="37"/>
      <c r="F1036" s="37"/>
      <c r="G1036" s="37"/>
      <c r="H1036" s="37"/>
      <c r="I1036" s="37"/>
      <c r="J1036" s="37"/>
      <c r="K1036" s="37"/>
      <c r="L1036" s="37"/>
      <c r="M1036" s="37"/>
      <c r="N1036" s="37"/>
      <c r="O1036" s="37"/>
      <c r="P1036" s="37"/>
      <c r="Q1036" s="37"/>
      <c r="R1036" s="37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7"/>
      <c r="AC1036" s="37"/>
      <c r="AD1036" s="37"/>
    </row>
    <row r="1037">
      <c r="A1037" s="37"/>
      <c r="B1037" s="37"/>
      <c r="C1037" s="37"/>
      <c r="D1037" s="37"/>
      <c r="E1037" s="37"/>
      <c r="F1037" s="37"/>
      <c r="G1037" s="37"/>
      <c r="H1037" s="37"/>
      <c r="I1037" s="37"/>
      <c r="J1037" s="37"/>
      <c r="K1037" s="37"/>
      <c r="L1037" s="37"/>
      <c r="M1037" s="37"/>
      <c r="N1037" s="37"/>
      <c r="O1037" s="37"/>
      <c r="P1037" s="37"/>
      <c r="Q1037" s="37"/>
      <c r="R1037" s="37"/>
      <c r="S1037" s="37"/>
      <c r="T1037" s="37"/>
      <c r="U1037" s="37"/>
      <c r="V1037" s="37"/>
      <c r="W1037" s="37"/>
      <c r="X1037" s="37"/>
      <c r="Y1037" s="37"/>
      <c r="Z1037" s="37"/>
      <c r="AA1037" s="37"/>
      <c r="AB1037" s="37"/>
      <c r="AC1037" s="37"/>
      <c r="AD1037" s="37"/>
    </row>
    <row r="1038">
      <c r="A1038" s="37"/>
      <c r="B1038" s="37"/>
      <c r="C1038" s="37"/>
      <c r="D1038" s="37"/>
      <c r="E1038" s="37"/>
      <c r="F1038" s="37"/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37"/>
      <c r="S1038" s="37"/>
      <c r="T1038" s="37"/>
      <c r="U1038" s="37"/>
      <c r="V1038" s="37"/>
      <c r="W1038" s="37"/>
      <c r="X1038" s="37"/>
      <c r="Y1038" s="37"/>
      <c r="Z1038" s="37"/>
      <c r="AA1038" s="37"/>
      <c r="AB1038" s="37"/>
      <c r="AC1038" s="37"/>
      <c r="AD1038" s="37"/>
    </row>
    <row r="1039">
      <c r="A1039" s="37"/>
      <c r="B1039" s="37"/>
      <c r="C1039" s="37"/>
      <c r="D1039" s="37"/>
      <c r="E1039" s="37"/>
      <c r="F1039" s="37"/>
      <c r="G1039" s="37"/>
      <c r="H1039" s="37"/>
      <c r="I1039" s="37"/>
      <c r="J1039" s="37"/>
      <c r="K1039" s="37"/>
      <c r="L1039" s="37"/>
      <c r="M1039" s="37"/>
      <c r="N1039" s="37"/>
      <c r="O1039" s="37"/>
      <c r="P1039" s="37"/>
      <c r="Q1039" s="37"/>
      <c r="R1039" s="37"/>
      <c r="S1039" s="37"/>
      <c r="T1039" s="37"/>
      <c r="U1039" s="37"/>
      <c r="V1039" s="37"/>
      <c r="W1039" s="37"/>
      <c r="X1039" s="37"/>
      <c r="Y1039" s="37"/>
      <c r="Z1039" s="37"/>
      <c r="AA1039" s="37"/>
      <c r="AB1039" s="37"/>
      <c r="AC1039" s="37"/>
      <c r="AD1039" s="37"/>
    </row>
    <row r="1040">
      <c r="A1040" s="37"/>
      <c r="B1040" s="37"/>
      <c r="C1040" s="37"/>
      <c r="D1040" s="37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  <c r="AC1040" s="37"/>
      <c r="AD1040" s="37"/>
    </row>
    <row r="1041">
      <c r="A1041" s="37"/>
      <c r="B1041" s="37"/>
      <c r="C1041" s="37"/>
      <c r="D1041" s="37"/>
      <c r="E1041" s="37"/>
      <c r="F1041" s="37"/>
      <c r="G1041" s="37"/>
      <c r="H1041" s="37"/>
      <c r="I1041" s="37"/>
      <c r="J1041" s="37"/>
      <c r="K1041" s="37"/>
      <c r="L1041" s="37"/>
      <c r="M1041" s="37"/>
      <c r="N1041" s="37"/>
      <c r="O1041" s="37"/>
      <c r="P1041" s="37"/>
      <c r="Q1041" s="37"/>
      <c r="R1041" s="37"/>
      <c r="S1041" s="37"/>
      <c r="T1041" s="37"/>
      <c r="U1041" s="37"/>
      <c r="V1041" s="37"/>
      <c r="W1041" s="37"/>
      <c r="X1041" s="37"/>
      <c r="Y1041" s="37"/>
      <c r="Z1041" s="37"/>
      <c r="AA1041" s="37"/>
      <c r="AB1041" s="37"/>
      <c r="AC1041" s="37"/>
      <c r="AD1041" s="37"/>
    </row>
    <row r="1042">
      <c r="A1042" s="37"/>
      <c r="B1042" s="37"/>
      <c r="C1042" s="37"/>
      <c r="D1042" s="37"/>
      <c r="E1042" s="37"/>
      <c r="F1042" s="37"/>
      <c r="G1042" s="37"/>
      <c r="H1042" s="37"/>
      <c r="I1042" s="37"/>
      <c r="J1042" s="37"/>
      <c r="K1042" s="37"/>
      <c r="L1042" s="37"/>
      <c r="M1042" s="37"/>
      <c r="N1042" s="37"/>
      <c r="O1042" s="37"/>
      <c r="P1042" s="37"/>
      <c r="Q1042" s="37"/>
      <c r="R1042" s="37"/>
      <c r="S1042" s="37"/>
      <c r="T1042" s="37"/>
      <c r="U1042" s="37"/>
      <c r="V1042" s="37"/>
      <c r="W1042" s="37"/>
      <c r="X1042" s="37"/>
      <c r="Y1042" s="37"/>
      <c r="Z1042" s="37"/>
      <c r="AA1042" s="37"/>
      <c r="AB1042" s="37"/>
      <c r="AC1042" s="37"/>
      <c r="AD1042" s="37"/>
    </row>
    <row r="1043">
      <c r="A1043" s="37"/>
      <c r="B1043" s="37"/>
      <c r="C1043" s="37"/>
      <c r="D1043" s="37"/>
      <c r="E1043" s="37"/>
      <c r="F1043" s="37"/>
      <c r="G1043" s="37"/>
      <c r="H1043" s="37"/>
      <c r="I1043" s="37"/>
      <c r="J1043" s="37"/>
      <c r="K1043" s="37"/>
      <c r="L1043" s="37"/>
      <c r="M1043" s="37"/>
      <c r="N1043" s="37"/>
      <c r="O1043" s="37"/>
      <c r="P1043" s="37"/>
      <c r="Q1043" s="37"/>
      <c r="R1043" s="37"/>
      <c r="S1043" s="37"/>
      <c r="T1043" s="37"/>
      <c r="U1043" s="37"/>
      <c r="V1043" s="37"/>
      <c r="W1043" s="37"/>
      <c r="X1043" s="37"/>
      <c r="Y1043" s="37"/>
      <c r="Z1043" s="37"/>
      <c r="AA1043" s="37"/>
      <c r="AB1043" s="37"/>
      <c r="AC1043" s="37"/>
      <c r="AD1043" s="37"/>
    </row>
    <row r="1044">
      <c r="A1044" s="37"/>
      <c r="B1044" s="37"/>
      <c r="C1044" s="37"/>
      <c r="D1044" s="37"/>
      <c r="E1044" s="37"/>
      <c r="F1044" s="37"/>
      <c r="G1044" s="37"/>
      <c r="H1044" s="37"/>
      <c r="I1044" s="37"/>
      <c r="J1044" s="37"/>
      <c r="K1044" s="37"/>
      <c r="L1044" s="37"/>
      <c r="M1044" s="37"/>
      <c r="N1044" s="37"/>
      <c r="O1044" s="37"/>
      <c r="P1044" s="37"/>
      <c r="Q1044" s="37"/>
      <c r="R1044" s="37"/>
      <c r="S1044" s="37"/>
      <c r="T1044" s="37"/>
      <c r="U1044" s="37"/>
      <c r="V1044" s="37"/>
      <c r="W1044" s="37"/>
      <c r="X1044" s="37"/>
      <c r="Y1044" s="37"/>
      <c r="Z1044" s="37"/>
      <c r="AA1044" s="37"/>
      <c r="AB1044" s="37"/>
      <c r="AC1044" s="37"/>
      <c r="AD1044" s="37"/>
    </row>
    <row r="1045">
      <c r="A1045" s="37"/>
      <c r="B1045" s="37"/>
      <c r="C1045" s="37"/>
      <c r="D1045" s="37"/>
      <c r="E1045" s="37"/>
      <c r="F1045" s="37"/>
      <c r="G1045" s="37"/>
      <c r="H1045" s="37"/>
      <c r="I1045" s="37"/>
      <c r="J1045" s="37"/>
      <c r="K1045" s="37"/>
      <c r="L1045" s="37"/>
      <c r="M1045" s="37"/>
      <c r="N1045" s="37"/>
      <c r="O1045" s="37"/>
      <c r="P1045" s="37"/>
      <c r="Q1045" s="37"/>
      <c r="R1045" s="37"/>
      <c r="S1045" s="37"/>
      <c r="T1045" s="37"/>
      <c r="U1045" s="37"/>
      <c r="V1045" s="37"/>
      <c r="W1045" s="37"/>
      <c r="X1045" s="37"/>
      <c r="Y1045" s="37"/>
      <c r="Z1045" s="37"/>
      <c r="AA1045" s="37"/>
      <c r="AB1045" s="37"/>
      <c r="AC1045" s="37"/>
      <c r="AD1045" s="37"/>
    </row>
    <row r="1046">
      <c r="A1046" s="37"/>
      <c r="B1046" s="37"/>
      <c r="C1046" s="37"/>
      <c r="D1046" s="37"/>
      <c r="E1046" s="37"/>
      <c r="F1046" s="37"/>
      <c r="G1046" s="37"/>
      <c r="H1046" s="37"/>
      <c r="I1046" s="37"/>
      <c r="J1046" s="37"/>
      <c r="K1046" s="37"/>
      <c r="L1046" s="37"/>
      <c r="M1046" s="37"/>
      <c r="N1046" s="37"/>
      <c r="O1046" s="37"/>
      <c r="P1046" s="37"/>
      <c r="Q1046" s="37"/>
      <c r="R1046" s="37"/>
      <c r="S1046" s="37"/>
      <c r="T1046" s="37"/>
      <c r="U1046" s="37"/>
      <c r="V1046" s="37"/>
      <c r="W1046" s="37"/>
      <c r="X1046" s="37"/>
      <c r="Y1046" s="37"/>
      <c r="Z1046" s="37"/>
      <c r="AA1046" s="37"/>
      <c r="AB1046" s="37"/>
      <c r="AC1046" s="37"/>
      <c r="AD1046" s="37"/>
    </row>
    <row r="1047">
      <c r="A1047" s="37"/>
      <c r="B1047" s="37"/>
      <c r="C1047" s="37"/>
      <c r="D1047" s="37"/>
      <c r="E1047" s="37"/>
      <c r="F1047" s="37"/>
      <c r="G1047" s="37"/>
      <c r="H1047" s="37"/>
      <c r="I1047" s="37"/>
      <c r="J1047" s="37"/>
      <c r="K1047" s="37"/>
      <c r="L1047" s="37"/>
      <c r="M1047" s="37"/>
      <c r="N1047" s="37"/>
      <c r="O1047" s="37"/>
      <c r="P1047" s="37"/>
      <c r="Q1047" s="37"/>
      <c r="R1047" s="37"/>
      <c r="S1047" s="37"/>
      <c r="T1047" s="37"/>
      <c r="U1047" s="37"/>
      <c r="V1047" s="37"/>
      <c r="W1047" s="37"/>
      <c r="X1047" s="37"/>
      <c r="Y1047" s="37"/>
      <c r="Z1047" s="37"/>
      <c r="AA1047" s="37"/>
      <c r="AB1047" s="37"/>
      <c r="AC1047" s="37"/>
      <c r="AD1047" s="37"/>
    </row>
    <row r="1048">
      <c r="A1048" s="37"/>
      <c r="B1048" s="37"/>
      <c r="C1048" s="37"/>
      <c r="D1048" s="37"/>
      <c r="E1048" s="37"/>
      <c r="F1048" s="37"/>
      <c r="G1048" s="37"/>
      <c r="H1048" s="37"/>
      <c r="I1048" s="37"/>
      <c r="J1048" s="37"/>
      <c r="K1048" s="37"/>
      <c r="L1048" s="37"/>
      <c r="M1048" s="37"/>
      <c r="N1048" s="37"/>
      <c r="O1048" s="37"/>
      <c r="P1048" s="37"/>
      <c r="Q1048" s="37"/>
      <c r="R1048" s="37"/>
      <c r="S1048" s="37"/>
      <c r="T1048" s="37"/>
      <c r="U1048" s="37"/>
      <c r="V1048" s="37"/>
      <c r="W1048" s="37"/>
      <c r="X1048" s="37"/>
      <c r="Y1048" s="37"/>
      <c r="Z1048" s="37"/>
      <c r="AA1048" s="37"/>
      <c r="AB1048" s="37"/>
      <c r="AC1048" s="37"/>
      <c r="AD1048" s="37"/>
    </row>
    <row r="1049">
      <c r="A1049" s="37"/>
      <c r="B1049" s="37"/>
      <c r="C1049" s="37"/>
      <c r="D1049" s="37"/>
      <c r="E1049" s="37"/>
      <c r="F1049" s="37"/>
      <c r="G1049" s="37"/>
      <c r="H1049" s="37"/>
      <c r="I1049" s="37"/>
      <c r="J1049" s="37"/>
      <c r="K1049" s="37"/>
      <c r="L1049" s="37"/>
      <c r="M1049" s="37"/>
      <c r="N1049" s="37"/>
      <c r="O1049" s="37"/>
      <c r="P1049" s="37"/>
      <c r="Q1049" s="37"/>
      <c r="R1049" s="37"/>
      <c r="S1049" s="37"/>
      <c r="T1049" s="37"/>
      <c r="U1049" s="37"/>
      <c r="V1049" s="37"/>
      <c r="W1049" s="37"/>
      <c r="X1049" s="37"/>
      <c r="Y1049" s="37"/>
      <c r="Z1049" s="37"/>
      <c r="AA1049" s="37"/>
      <c r="AB1049" s="37"/>
      <c r="AC1049" s="37"/>
      <c r="AD1049" s="37"/>
    </row>
    <row r="1050">
      <c r="A1050" s="37"/>
      <c r="B1050" s="37"/>
      <c r="C1050" s="37"/>
      <c r="D1050" s="37"/>
      <c r="E1050" s="37"/>
      <c r="F1050" s="37"/>
      <c r="G1050" s="37"/>
      <c r="H1050" s="37"/>
      <c r="I1050" s="37"/>
      <c r="J1050" s="37"/>
      <c r="K1050" s="37"/>
      <c r="L1050" s="37"/>
      <c r="M1050" s="37"/>
      <c r="N1050" s="37"/>
      <c r="O1050" s="37"/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37"/>
      <c r="AA1050" s="37"/>
      <c r="AB1050" s="37"/>
      <c r="AC1050" s="37"/>
      <c r="AD1050" s="37"/>
    </row>
    <row r="1051">
      <c r="A1051" s="37"/>
      <c r="B1051" s="37"/>
      <c r="C1051" s="37"/>
      <c r="D1051" s="37"/>
      <c r="E1051" s="37"/>
      <c r="F1051" s="37"/>
      <c r="G1051" s="37"/>
      <c r="H1051" s="37"/>
      <c r="I1051" s="37"/>
      <c r="J1051" s="37"/>
      <c r="K1051" s="37"/>
      <c r="L1051" s="37"/>
      <c r="M1051" s="37"/>
      <c r="N1051" s="37"/>
      <c r="O1051" s="37"/>
      <c r="P1051" s="37"/>
      <c r="Q1051" s="37"/>
      <c r="R1051" s="37"/>
      <c r="S1051" s="37"/>
      <c r="T1051" s="37"/>
      <c r="U1051" s="37"/>
      <c r="V1051" s="37"/>
      <c r="W1051" s="37"/>
      <c r="X1051" s="37"/>
      <c r="Y1051" s="37"/>
      <c r="Z1051" s="37"/>
      <c r="AA1051" s="37"/>
      <c r="AB1051" s="37"/>
      <c r="AC1051" s="37"/>
      <c r="AD1051" s="37"/>
    </row>
    <row r="1052">
      <c r="A1052" s="37"/>
      <c r="B1052" s="37"/>
      <c r="C1052" s="37"/>
      <c r="D1052" s="37"/>
      <c r="E1052" s="37"/>
      <c r="F1052" s="37"/>
      <c r="G1052" s="37"/>
      <c r="H1052" s="37"/>
      <c r="I1052" s="37"/>
      <c r="J1052" s="37"/>
      <c r="K1052" s="37"/>
      <c r="L1052" s="37"/>
      <c r="M1052" s="37"/>
      <c r="N1052" s="37"/>
      <c r="O1052" s="37"/>
      <c r="P1052" s="37"/>
      <c r="Q1052" s="37"/>
      <c r="R1052" s="37"/>
      <c r="S1052" s="37"/>
      <c r="T1052" s="37"/>
      <c r="U1052" s="37"/>
      <c r="V1052" s="37"/>
      <c r="W1052" s="37"/>
      <c r="X1052" s="37"/>
      <c r="Y1052" s="37"/>
      <c r="Z1052" s="37"/>
      <c r="AA1052" s="37"/>
      <c r="AB1052" s="37"/>
      <c r="AC1052" s="37"/>
      <c r="AD1052" s="37"/>
    </row>
    <row r="1053">
      <c r="A1053" s="37"/>
      <c r="B1053" s="37"/>
      <c r="C1053" s="37"/>
      <c r="D1053" s="37"/>
      <c r="E1053" s="37"/>
      <c r="F1053" s="37"/>
      <c r="G1053" s="37"/>
      <c r="H1053" s="37"/>
      <c r="I1053" s="37"/>
      <c r="J1053" s="37"/>
      <c r="K1053" s="37"/>
      <c r="L1053" s="37"/>
      <c r="M1053" s="37"/>
      <c r="N1053" s="37"/>
      <c r="O1053" s="37"/>
      <c r="P1053" s="37"/>
      <c r="Q1053" s="37"/>
      <c r="R1053" s="37"/>
      <c r="S1053" s="37"/>
      <c r="T1053" s="37"/>
      <c r="U1053" s="37"/>
      <c r="V1053" s="37"/>
      <c r="W1053" s="37"/>
      <c r="X1053" s="37"/>
      <c r="Y1053" s="37"/>
      <c r="Z1053" s="37"/>
      <c r="AA1053" s="37"/>
      <c r="AB1053" s="37"/>
      <c r="AC1053" s="37"/>
      <c r="AD1053" s="37"/>
    </row>
    <row r="1054">
      <c r="A1054" s="37"/>
      <c r="B1054" s="37"/>
      <c r="C1054" s="37"/>
      <c r="D1054" s="37"/>
      <c r="E1054" s="37"/>
      <c r="F1054" s="37"/>
      <c r="G1054" s="37"/>
      <c r="H1054" s="37"/>
      <c r="I1054" s="37"/>
      <c r="J1054" s="37"/>
      <c r="K1054" s="37"/>
      <c r="L1054" s="37"/>
      <c r="M1054" s="37"/>
      <c r="N1054" s="37"/>
      <c r="O1054" s="37"/>
      <c r="P1054" s="37"/>
      <c r="Q1054" s="37"/>
      <c r="R1054" s="37"/>
      <c r="S1054" s="37"/>
      <c r="T1054" s="37"/>
      <c r="U1054" s="37"/>
      <c r="V1054" s="37"/>
      <c r="W1054" s="37"/>
      <c r="X1054" s="37"/>
      <c r="Y1054" s="37"/>
      <c r="Z1054" s="37"/>
      <c r="AA1054" s="37"/>
      <c r="AB1054" s="37"/>
      <c r="AC1054" s="37"/>
      <c r="AD1054" s="37"/>
    </row>
    <row r="1055">
      <c r="A1055" s="37"/>
      <c r="B1055" s="37"/>
      <c r="C1055" s="37"/>
      <c r="D1055" s="37"/>
      <c r="E1055" s="37"/>
      <c r="F1055" s="37"/>
      <c r="G1055" s="37"/>
      <c r="H1055" s="37"/>
      <c r="I1055" s="37"/>
      <c r="J1055" s="37"/>
      <c r="K1055" s="37"/>
      <c r="L1055" s="37"/>
      <c r="M1055" s="37"/>
      <c r="N1055" s="37"/>
      <c r="O1055" s="37"/>
      <c r="P1055" s="37"/>
      <c r="Q1055" s="37"/>
      <c r="R1055" s="37"/>
      <c r="S1055" s="37"/>
      <c r="T1055" s="37"/>
      <c r="U1055" s="37"/>
      <c r="V1055" s="37"/>
      <c r="W1055" s="37"/>
      <c r="X1055" s="37"/>
      <c r="Y1055" s="37"/>
      <c r="Z1055" s="37"/>
      <c r="AA1055" s="37"/>
      <c r="AB1055" s="37"/>
      <c r="AC1055" s="37"/>
      <c r="AD1055" s="37"/>
    </row>
    <row r="1056">
      <c r="A1056" s="37"/>
      <c r="B1056" s="37"/>
      <c r="C1056" s="37"/>
      <c r="D1056" s="37"/>
      <c r="E1056" s="37"/>
      <c r="F1056" s="37"/>
      <c r="G1056" s="37"/>
      <c r="H1056" s="37"/>
      <c r="I1056" s="37"/>
      <c r="J1056" s="37"/>
      <c r="K1056" s="37"/>
      <c r="L1056" s="37"/>
      <c r="M1056" s="37"/>
      <c r="N1056" s="37"/>
      <c r="O1056" s="37"/>
      <c r="P1056" s="37"/>
      <c r="Q1056" s="37"/>
      <c r="R1056" s="37"/>
      <c r="S1056" s="37"/>
      <c r="T1056" s="37"/>
      <c r="U1056" s="37"/>
      <c r="V1056" s="37"/>
      <c r="W1056" s="37"/>
      <c r="X1056" s="37"/>
      <c r="Y1056" s="37"/>
      <c r="Z1056" s="37"/>
      <c r="AA1056" s="37"/>
      <c r="AB1056" s="37"/>
      <c r="AC1056" s="37"/>
      <c r="AD1056" s="37"/>
    </row>
    <row r="1057">
      <c r="A1057" s="37"/>
      <c r="B1057" s="37"/>
      <c r="C1057" s="37"/>
      <c r="D1057" s="37"/>
      <c r="E1057" s="37"/>
      <c r="F1057" s="37"/>
      <c r="G1057" s="37"/>
      <c r="H1057" s="37"/>
      <c r="I1057" s="37"/>
      <c r="J1057" s="37"/>
      <c r="K1057" s="37"/>
      <c r="L1057" s="37"/>
      <c r="M1057" s="37"/>
      <c r="N1057" s="37"/>
      <c r="O1057" s="37"/>
      <c r="P1057" s="37"/>
      <c r="Q1057" s="37"/>
      <c r="R1057" s="37"/>
      <c r="S1057" s="37"/>
      <c r="T1057" s="37"/>
      <c r="U1057" s="37"/>
      <c r="V1057" s="37"/>
      <c r="W1057" s="37"/>
      <c r="X1057" s="37"/>
      <c r="Y1057" s="37"/>
      <c r="Z1057" s="37"/>
      <c r="AA1057" s="37"/>
      <c r="AB1057" s="37"/>
      <c r="AC1057" s="37"/>
      <c r="AD1057" s="37"/>
    </row>
    <row r="1058">
      <c r="A1058" s="37"/>
      <c r="B1058" s="37"/>
      <c r="C1058" s="37"/>
      <c r="D1058" s="37"/>
      <c r="E1058" s="37"/>
      <c r="F1058" s="37"/>
      <c r="G1058" s="37"/>
      <c r="H1058" s="37"/>
      <c r="I1058" s="37"/>
      <c r="J1058" s="37"/>
      <c r="K1058" s="37"/>
      <c r="L1058" s="37"/>
      <c r="M1058" s="37"/>
      <c r="N1058" s="37"/>
      <c r="O1058" s="37"/>
      <c r="P1058" s="37"/>
      <c r="Q1058" s="37"/>
      <c r="R1058" s="37"/>
      <c r="S1058" s="37"/>
      <c r="T1058" s="37"/>
      <c r="U1058" s="37"/>
      <c r="V1058" s="37"/>
      <c r="W1058" s="37"/>
      <c r="X1058" s="37"/>
      <c r="Y1058" s="37"/>
      <c r="Z1058" s="37"/>
      <c r="AA1058" s="37"/>
      <c r="AB1058" s="37"/>
      <c r="AC1058" s="37"/>
      <c r="AD1058" s="37"/>
    </row>
    <row r="1059">
      <c r="A1059" s="37"/>
      <c r="B1059" s="37"/>
      <c r="C1059" s="37"/>
      <c r="D1059" s="37"/>
      <c r="E1059" s="37"/>
      <c r="F1059" s="37"/>
      <c r="G1059" s="37"/>
      <c r="H1059" s="37"/>
      <c r="I1059" s="37"/>
      <c r="J1059" s="37"/>
      <c r="K1059" s="37"/>
      <c r="L1059" s="37"/>
      <c r="M1059" s="37"/>
      <c r="N1059" s="37"/>
      <c r="O1059" s="37"/>
      <c r="P1059" s="37"/>
      <c r="Q1059" s="37"/>
      <c r="R1059" s="37"/>
      <c r="S1059" s="37"/>
      <c r="T1059" s="37"/>
      <c r="U1059" s="37"/>
      <c r="V1059" s="37"/>
      <c r="W1059" s="37"/>
      <c r="X1059" s="37"/>
      <c r="Y1059" s="37"/>
      <c r="Z1059" s="37"/>
      <c r="AA1059" s="37"/>
      <c r="AB1059" s="37"/>
      <c r="AC1059" s="37"/>
      <c r="AD1059" s="37"/>
    </row>
    <row r="1060">
      <c r="A1060" s="37"/>
      <c r="B1060" s="37"/>
      <c r="C1060" s="37"/>
      <c r="D1060" s="37"/>
      <c r="E1060" s="37"/>
      <c r="F1060" s="37"/>
      <c r="G1060" s="37"/>
      <c r="H1060" s="37"/>
      <c r="I1060" s="37"/>
      <c r="J1060" s="37"/>
      <c r="K1060" s="37"/>
      <c r="L1060" s="37"/>
      <c r="M1060" s="37"/>
      <c r="N1060" s="37"/>
      <c r="O1060" s="37"/>
      <c r="P1060" s="37"/>
      <c r="Q1060" s="37"/>
      <c r="R1060" s="37"/>
      <c r="S1060" s="37"/>
      <c r="T1060" s="37"/>
      <c r="U1060" s="37"/>
      <c r="V1060" s="37"/>
      <c r="W1060" s="37"/>
      <c r="X1060" s="37"/>
      <c r="Y1060" s="37"/>
      <c r="Z1060" s="37"/>
      <c r="AA1060" s="37"/>
      <c r="AB1060" s="37"/>
      <c r="AC1060" s="37"/>
      <c r="AD1060" s="37"/>
    </row>
    <row r="1061">
      <c r="A1061" s="37"/>
      <c r="B1061" s="37"/>
      <c r="C1061" s="37"/>
      <c r="D1061" s="37"/>
      <c r="E1061" s="37"/>
      <c r="F1061" s="37"/>
      <c r="G1061" s="37"/>
      <c r="H1061" s="37"/>
      <c r="I1061" s="37"/>
      <c r="J1061" s="37"/>
      <c r="K1061" s="37"/>
      <c r="L1061" s="37"/>
      <c r="M1061" s="37"/>
      <c r="N1061" s="37"/>
      <c r="O1061" s="37"/>
      <c r="P1061" s="37"/>
      <c r="Q1061" s="37"/>
      <c r="R1061" s="37"/>
      <c r="S1061" s="37"/>
      <c r="T1061" s="37"/>
      <c r="U1061" s="37"/>
      <c r="V1061" s="37"/>
      <c r="W1061" s="37"/>
      <c r="X1061" s="37"/>
      <c r="Y1061" s="37"/>
      <c r="Z1061" s="37"/>
      <c r="AA1061" s="37"/>
      <c r="AB1061" s="37"/>
      <c r="AC1061" s="37"/>
      <c r="AD1061" s="37"/>
    </row>
    <row r="1062">
      <c r="A1062" s="37"/>
      <c r="B1062" s="37"/>
      <c r="C1062" s="37"/>
      <c r="D1062" s="37"/>
      <c r="E1062" s="37"/>
      <c r="F1062" s="37"/>
      <c r="G1062" s="37"/>
      <c r="H1062" s="37"/>
      <c r="I1062" s="37"/>
      <c r="J1062" s="37"/>
      <c r="K1062" s="37"/>
      <c r="L1062" s="37"/>
      <c r="M1062" s="37"/>
      <c r="N1062" s="37"/>
      <c r="O1062" s="37"/>
      <c r="P1062" s="37"/>
      <c r="Q1062" s="37"/>
      <c r="R1062" s="37"/>
      <c r="S1062" s="37"/>
      <c r="T1062" s="37"/>
      <c r="U1062" s="37"/>
      <c r="V1062" s="37"/>
      <c r="W1062" s="37"/>
      <c r="X1062" s="37"/>
      <c r="Y1062" s="37"/>
      <c r="Z1062" s="37"/>
      <c r="AA1062" s="37"/>
      <c r="AB1062" s="37"/>
      <c r="AC1062" s="37"/>
      <c r="AD1062" s="37"/>
    </row>
    <row r="1063">
      <c r="A1063" s="37"/>
      <c r="B1063" s="37"/>
      <c r="C1063" s="37"/>
      <c r="D1063" s="37"/>
      <c r="E1063" s="37"/>
      <c r="F1063" s="37"/>
      <c r="G1063" s="37"/>
      <c r="H1063" s="37"/>
      <c r="I1063" s="37"/>
      <c r="J1063" s="37"/>
      <c r="K1063" s="37"/>
      <c r="L1063" s="37"/>
      <c r="M1063" s="37"/>
      <c r="N1063" s="37"/>
      <c r="O1063" s="37"/>
      <c r="P1063" s="37"/>
      <c r="Q1063" s="37"/>
      <c r="R1063" s="37"/>
      <c r="S1063" s="37"/>
      <c r="T1063" s="37"/>
      <c r="U1063" s="37"/>
      <c r="V1063" s="37"/>
      <c r="W1063" s="37"/>
      <c r="X1063" s="37"/>
      <c r="Y1063" s="37"/>
      <c r="Z1063" s="37"/>
      <c r="AA1063" s="37"/>
      <c r="AB1063" s="37"/>
      <c r="AC1063" s="37"/>
      <c r="AD1063" s="37"/>
    </row>
    <row r="1064">
      <c r="A1064" s="37"/>
      <c r="B1064" s="37"/>
      <c r="C1064" s="37"/>
      <c r="D1064" s="37"/>
      <c r="E1064" s="37"/>
      <c r="F1064" s="37"/>
      <c r="G1064" s="37"/>
      <c r="H1064" s="37"/>
      <c r="I1064" s="37"/>
      <c r="J1064" s="37"/>
      <c r="K1064" s="37"/>
      <c r="L1064" s="37"/>
      <c r="M1064" s="37"/>
      <c r="N1064" s="37"/>
      <c r="O1064" s="37"/>
      <c r="P1064" s="37"/>
      <c r="Q1064" s="37"/>
      <c r="R1064" s="37"/>
      <c r="S1064" s="37"/>
      <c r="T1064" s="37"/>
      <c r="U1064" s="37"/>
      <c r="V1064" s="37"/>
      <c r="W1064" s="37"/>
      <c r="X1064" s="37"/>
      <c r="Y1064" s="37"/>
      <c r="Z1064" s="37"/>
      <c r="AA1064" s="37"/>
      <c r="AB1064" s="37"/>
      <c r="AC1064" s="37"/>
      <c r="AD1064" s="37"/>
    </row>
    <row r="1065">
      <c r="A1065" s="37"/>
      <c r="B1065" s="37"/>
      <c r="C1065" s="37"/>
      <c r="D1065" s="37"/>
      <c r="E1065" s="37"/>
      <c r="F1065" s="37"/>
      <c r="G1065" s="37"/>
      <c r="H1065" s="37"/>
      <c r="I1065" s="37"/>
      <c r="J1065" s="37"/>
      <c r="K1065" s="37"/>
      <c r="L1065" s="37"/>
      <c r="M1065" s="37"/>
      <c r="N1065" s="37"/>
      <c r="O1065" s="37"/>
      <c r="P1065" s="37"/>
      <c r="Q1065" s="37"/>
      <c r="R1065" s="37"/>
      <c r="S1065" s="37"/>
      <c r="T1065" s="37"/>
      <c r="U1065" s="37"/>
      <c r="V1065" s="37"/>
      <c r="W1065" s="37"/>
      <c r="X1065" s="37"/>
      <c r="Y1065" s="37"/>
      <c r="Z1065" s="37"/>
      <c r="AA1065" s="37"/>
      <c r="AB1065" s="37"/>
      <c r="AC1065" s="37"/>
      <c r="AD1065" s="37"/>
    </row>
    <row r="1066">
      <c r="A1066" s="37"/>
      <c r="B1066" s="37"/>
      <c r="C1066" s="37"/>
      <c r="D1066" s="37"/>
      <c r="E1066" s="37"/>
      <c r="F1066" s="37"/>
      <c r="G1066" s="37"/>
      <c r="H1066" s="37"/>
      <c r="I1066" s="37"/>
      <c r="J1066" s="37"/>
      <c r="K1066" s="37"/>
      <c r="L1066" s="37"/>
      <c r="M1066" s="37"/>
      <c r="N1066" s="37"/>
      <c r="O1066" s="37"/>
      <c r="P1066" s="37"/>
      <c r="Q1066" s="37"/>
      <c r="R1066" s="37"/>
      <c r="S1066" s="37"/>
      <c r="T1066" s="37"/>
      <c r="U1066" s="37"/>
      <c r="V1066" s="37"/>
      <c r="W1066" s="37"/>
      <c r="X1066" s="37"/>
      <c r="Y1066" s="37"/>
      <c r="Z1066" s="37"/>
      <c r="AA1066" s="37"/>
      <c r="AB1066" s="37"/>
      <c r="AC1066" s="37"/>
      <c r="AD1066" s="37"/>
    </row>
    <row r="1067">
      <c r="A1067" s="37"/>
      <c r="B1067" s="37"/>
      <c r="C1067" s="37"/>
      <c r="D1067" s="37"/>
      <c r="E1067" s="37"/>
      <c r="F1067" s="37"/>
      <c r="G1067" s="37"/>
      <c r="H1067" s="37"/>
      <c r="I1067" s="37"/>
      <c r="J1067" s="37"/>
      <c r="K1067" s="37"/>
      <c r="L1067" s="37"/>
      <c r="M1067" s="37"/>
      <c r="N1067" s="37"/>
      <c r="O1067" s="37"/>
      <c r="P1067" s="37"/>
      <c r="Q1067" s="37"/>
      <c r="R1067" s="37"/>
      <c r="S1067" s="37"/>
      <c r="T1067" s="37"/>
      <c r="U1067" s="37"/>
      <c r="V1067" s="37"/>
      <c r="W1067" s="37"/>
      <c r="X1067" s="37"/>
      <c r="Y1067" s="37"/>
      <c r="Z1067" s="37"/>
      <c r="AA1067" s="37"/>
      <c r="AB1067" s="37"/>
      <c r="AC1067" s="37"/>
      <c r="AD1067" s="37"/>
    </row>
    <row r="1068">
      <c r="A1068" s="37"/>
      <c r="B1068" s="37"/>
      <c r="C1068" s="37"/>
      <c r="D1068" s="37"/>
      <c r="E1068" s="37"/>
      <c r="F1068" s="37"/>
      <c r="G1068" s="37"/>
      <c r="H1068" s="37"/>
      <c r="I1068" s="37"/>
      <c r="J1068" s="37"/>
      <c r="K1068" s="37"/>
      <c r="L1068" s="37"/>
      <c r="M1068" s="37"/>
      <c r="N1068" s="37"/>
      <c r="O1068" s="37"/>
      <c r="P1068" s="37"/>
      <c r="Q1068" s="37"/>
      <c r="R1068" s="37"/>
      <c r="S1068" s="37"/>
      <c r="T1068" s="37"/>
      <c r="U1068" s="37"/>
      <c r="V1068" s="37"/>
      <c r="W1068" s="37"/>
      <c r="X1068" s="37"/>
      <c r="Y1068" s="37"/>
      <c r="Z1068" s="37"/>
      <c r="AA1068" s="37"/>
      <c r="AB1068" s="37"/>
      <c r="AC1068" s="37"/>
      <c r="AD1068" s="37"/>
    </row>
    <row r="1069">
      <c r="A1069" s="37"/>
      <c r="B1069" s="37"/>
      <c r="C1069" s="37"/>
      <c r="D1069" s="37"/>
      <c r="E1069" s="37"/>
      <c r="F1069" s="37"/>
      <c r="G1069" s="37"/>
      <c r="H1069" s="37"/>
      <c r="I1069" s="37"/>
      <c r="J1069" s="37"/>
      <c r="K1069" s="37"/>
      <c r="L1069" s="37"/>
      <c r="M1069" s="37"/>
      <c r="N1069" s="37"/>
      <c r="O1069" s="37"/>
      <c r="P1069" s="37"/>
      <c r="Q1069" s="37"/>
      <c r="R1069" s="37"/>
      <c r="S1069" s="37"/>
      <c r="T1069" s="37"/>
      <c r="U1069" s="37"/>
      <c r="V1069" s="37"/>
      <c r="W1069" s="37"/>
      <c r="X1069" s="37"/>
      <c r="Y1069" s="37"/>
      <c r="Z1069" s="37"/>
      <c r="AA1069" s="37"/>
      <c r="AB1069" s="37"/>
      <c r="AC1069" s="37"/>
      <c r="AD1069" s="37"/>
    </row>
    <row r="1070">
      <c r="A1070" s="37"/>
      <c r="B1070" s="37"/>
      <c r="C1070" s="37"/>
      <c r="D1070" s="37"/>
      <c r="E1070" s="37"/>
      <c r="F1070" s="37"/>
      <c r="G1070" s="37"/>
      <c r="H1070" s="37"/>
      <c r="I1070" s="37"/>
      <c r="J1070" s="37"/>
      <c r="K1070" s="37"/>
      <c r="L1070" s="37"/>
      <c r="M1070" s="37"/>
      <c r="N1070" s="37"/>
      <c r="O1070" s="37"/>
      <c r="P1070" s="37"/>
      <c r="Q1070" s="37"/>
      <c r="R1070" s="37"/>
      <c r="S1070" s="37"/>
      <c r="T1070" s="37"/>
      <c r="U1070" s="37"/>
      <c r="V1070" s="37"/>
      <c r="W1070" s="37"/>
      <c r="X1070" s="37"/>
      <c r="Y1070" s="37"/>
      <c r="Z1070" s="37"/>
      <c r="AA1070" s="37"/>
      <c r="AB1070" s="37"/>
      <c r="AC1070" s="37"/>
      <c r="AD1070" s="37"/>
    </row>
    <row r="1071">
      <c r="A1071" s="37"/>
      <c r="B1071" s="37"/>
      <c r="C1071" s="37"/>
      <c r="D1071" s="37"/>
      <c r="E1071" s="37"/>
      <c r="F1071" s="37"/>
      <c r="G1071" s="37"/>
      <c r="H1071" s="37"/>
      <c r="I1071" s="37"/>
      <c r="J1071" s="37"/>
      <c r="K1071" s="37"/>
      <c r="L1071" s="37"/>
      <c r="M1071" s="37"/>
      <c r="N1071" s="37"/>
      <c r="O1071" s="37"/>
      <c r="P1071" s="37"/>
      <c r="Q1071" s="37"/>
      <c r="R1071" s="37"/>
      <c r="S1071" s="37"/>
      <c r="T1071" s="37"/>
      <c r="U1071" s="37"/>
      <c r="V1071" s="37"/>
      <c r="W1071" s="37"/>
      <c r="X1071" s="37"/>
      <c r="Y1071" s="37"/>
      <c r="Z1071" s="37"/>
      <c r="AA1071" s="37"/>
      <c r="AB1071" s="37"/>
      <c r="AC1071" s="37"/>
      <c r="AD1071" s="37"/>
    </row>
    <row r="1072">
      <c r="A1072" s="37"/>
      <c r="B1072" s="37"/>
      <c r="C1072" s="37"/>
      <c r="D1072" s="37"/>
      <c r="E1072" s="37"/>
      <c r="F1072" s="37"/>
      <c r="G1072" s="37"/>
      <c r="H1072" s="37"/>
      <c r="I1072" s="37"/>
      <c r="J1072" s="37"/>
      <c r="K1072" s="37"/>
      <c r="L1072" s="37"/>
      <c r="M1072" s="37"/>
      <c r="N1072" s="37"/>
      <c r="O1072" s="37"/>
      <c r="P1072" s="37"/>
      <c r="Q1072" s="37"/>
      <c r="R1072" s="37"/>
      <c r="S1072" s="37"/>
      <c r="T1072" s="37"/>
      <c r="U1072" s="37"/>
      <c r="V1072" s="37"/>
      <c r="W1072" s="37"/>
      <c r="X1072" s="37"/>
      <c r="Y1072" s="37"/>
      <c r="Z1072" s="37"/>
      <c r="AA1072" s="37"/>
      <c r="AB1072" s="37"/>
      <c r="AC1072" s="37"/>
      <c r="AD1072" s="37"/>
    </row>
    <row r="1073">
      <c r="A1073" s="37"/>
      <c r="B1073" s="37"/>
      <c r="C1073" s="37"/>
      <c r="D1073" s="37"/>
      <c r="E1073" s="37"/>
      <c r="F1073" s="37"/>
      <c r="G1073" s="37"/>
      <c r="H1073" s="37"/>
      <c r="I1073" s="37"/>
      <c r="J1073" s="37"/>
      <c r="K1073" s="37"/>
      <c r="L1073" s="37"/>
      <c r="M1073" s="37"/>
      <c r="N1073" s="37"/>
      <c r="O1073" s="37"/>
      <c r="P1073" s="37"/>
      <c r="Q1073" s="37"/>
      <c r="R1073" s="37"/>
      <c r="S1073" s="37"/>
      <c r="T1073" s="37"/>
      <c r="U1073" s="37"/>
      <c r="V1073" s="37"/>
      <c r="W1073" s="37"/>
      <c r="X1073" s="37"/>
      <c r="Y1073" s="37"/>
      <c r="Z1073" s="37"/>
      <c r="AA1073" s="37"/>
      <c r="AB1073" s="37"/>
      <c r="AC1073" s="37"/>
      <c r="AD1073" s="37"/>
    </row>
    <row r="1074">
      <c r="A1074" s="37"/>
      <c r="B1074" s="37"/>
      <c r="C1074" s="37"/>
      <c r="D1074" s="37"/>
      <c r="E1074" s="37"/>
      <c r="F1074" s="37"/>
      <c r="G1074" s="37"/>
      <c r="H1074" s="37"/>
      <c r="I1074" s="37"/>
      <c r="J1074" s="37"/>
      <c r="K1074" s="37"/>
      <c r="L1074" s="37"/>
      <c r="M1074" s="37"/>
      <c r="N1074" s="37"/>
      <c r="O1074" s="37"/>
      <c r="P1074" s="37"/>
      <c r="Q1074" s="37"/>
      <c r="R1074" s="37"/>
      <c r="S1074" s="37"/>
      <c r="T1074" s="37"/>
      <c r="U1074" s="37"/>
      <c r="V1074" s="37"/>
      <c r="W1074" s="37"/>
      <c r="X1074" s="37"/>
      <c r="Y1074" s="37"/>
      <c r="Z1074" s="37"/>
      <c r="AA1074" s="37"/>
      <c r="AB1074" s="37"/>
      <c r="AC1074" s="37"/>
      <c r="AD1074" s="37"/>
    </row>
    <row r="1075">
      <c r="A1075" s="37"/>
      <c r="B1075" s="37"/>
      <c r="C1075" s="37"/>
      <c r="D1075" s="37"/>
      <c r="E1075" s="37"/>
      <c r="F1075" s="37"/>
      <c r="G1075" s="37"/>
      <c r="H1075" s="37"/>
      <c r="I1075" s="37"/>
      <c r="J1075" s="37"/>
      <c r="K1075" s="37"/>
      <c r="L1075" s="37"/>
      <c r="M1075" s="37"/>
      <c r="N1075" s="37"/>
      <c r="O1075" s="37"/>
      <c r="P1075" s="37"/>
      <c r="Q1075" s="37"/>
      <c r="R1075" s="37"/>
      <c r="S1075" s="37"/>
      <c r="T1075" s="37"/>
      <c r="U1075" s="37"/>
      <c r="V1075" s="37"/>
      <c r="W1075" s="37"/>
      <c r="X1075" s="37"/>
      <c r="Y1075" s="37"/>
      <c r="Z1075" s="37"/>
      <c r="AA1075" s="37"/>
      <c r="AB1075" s="37"/>
      <c r="AC1075" s="37"/>
      <c r="AD1075" s="37"/>
    </row>
    <row r="1076">
      <c r="A1076" s="37"/>
      <c r="B1076" s="37"/>
      <c r="C1076" s="37"/>
      <c r="D1076" s="37"/>
      <c r="E1076" s="37"/>
      <c r="F1076" s="37"/>
      <c r="G1076" s="37"/>
      <c r="H1076" s="37"/>
      <c r="I1076" s="37"/>
      <c r="J1076" s="37"/>
      <c r="K1076" s="37"/>
      <c r="L1076" s="37"/>
      <c r="M1076" s="37"/>
      <c r="N1076" s="37"/>
      <c r="O1076" s="37"/>
      <c r="P1076" s="37"/>
      <c r="Q1076" s="37"/>
      <c r="R1076" s="37"/>
      <c r="S1076" s="37"/>
      <c r="T1076" s="37"/>
      <c r="U1076" s="37"/>
      <c r="V1076" s="37"/>
      <c r="W1076" s="37"/>
      <c r="X1076" s="37"/>
      <c r="Y1076" s="37"/>
      <c r="Z1076" s="37"/>
      <c r="AA1076" s="37"/>
      <c r="AB1076" s="37"/>
      <c r="AC1076" s="37"/>
      <c r="AD1076" s="37"/>
    </row>
    <row r="1077">
      <c r="A1077" s="37"/>
      <c r="B1077" s="37"/>
      <c r="C1077" s="37"/>
      <c r="D1077" s="37"/>
      <c r="E1077" s="37"/>
      <c r="F1077" s="37"/>
      <c r="G1077" s="37"/>
      <c r="H1077" s="37"/>
      <c r="I1077" s="37"/>
      <c r="J1077" s="37"/>
      <c r="K1077" s="37"/>
      <c r="L1077" s="37"/>
      <c r="M1077" s="37"/>
      <c r="N1077" s="37"/>
      <c r="O1077" s="37"/>
      <c r="P1077" s="37"/>
      <c r="Q1077" s="37"/>
      <c r="R1077" s="37"/>
      <c r="S1077" s="37"/>
      <c r="T1077" s="37"/>
      <c r="U1077" s="37"/>
      <c r="V1077" s="37"/>
      <c r="W1077" s="37"/>
      <c r="X1077" s="37"/>
      <c r="Y1077" s="37"/>
      <c r="Z1077" s="37"/>
      <c r="AA1077" s="37"/>
      <c r="AB1077" s="37"/>
      <c r="AC1077" s="37"/>
      <c r="AD1077" s="37"/>
    </row>
    <row r="1078">
      <c r="A1078" s="37"/>
      <c r="B1078" s="37"/>
      <c r="C1078" s="37"/>
      <c r="D1078" s="37"/>
      <c r="E1078" s="37"/>
      <c r="F1078" s="37"/>
      <c r="G1078" s="37"/>
      <c r="H1078" s="37"/>
      <c r="I1078" s="37"/>
      <c r="J1078" s="37"/>
      <c r="K1078" s="37"/>
      <c r="L1078" s="37"/>
      <c r="M1078" s="37"/>
      <c r="N1078" s="37"/>
      <c r="O1078" s="37"/>
      <c r="P1078" s="37"/>
      <c r="Q1078" s="37"/>
      <c r="R1078" s="37"/>
      <c r="S1078" s="37"/>
      <c r="T1078" s="37"/>
      <c r="U1078" s="37"/>
      <c r="V1078" s="37"/>
      <c r="W1078" s="37"/>
      <c r="X1078" s="37"/>
      <c r="Y1078" s="37"/>
      <c r="Z1078" s="37"/>
      <c r="AA1078" s="37"/>
      <c r="AB1078" s="37"/>
      <c r="AC1078" s="37"/>
      <c r="AD1078" s="37"/>
    </row>
    <row r="1079">
      <c r="A1079" s="37"/>
      <c r="B1079" s="37"/>
      <c r="C1079" s="37"/>
      <c r="D1079" s="37"/>
      <c r="E1079" s="37"/>
      <c r="F1079" s="37"/>
      <c r="G1079" s="37"/>
      <c r="H1079" s="37"/>
      <c r="I1079" s="37"/>
      <c r="J1079" s="37"/>
      <c r="K1079" s="37"/>
      <c r="L1079" s="37"/>
      <c r="M1079" s="37"/>
      <c r="N1079" s="37"/>
      <c r="O1079" s="37"/>
      <c r="P1079" s="37"/>
      <c r="Q1079" s="37"/>
      <c r="R1079" s="37"/>
      <c r="S1079" s="37"/>
      <c r="T1079" s="37"/>
      <c r="U1079" s="37"/>
      <c r="V1079" s="37"/>
      <c r="W1079" s="37"/>
      <c r="X1079" s="37"/>
      <c r="Y1079" s="37"/>
      <c r="Z1079" s="37"/>
      <c r="AA1079" s="37"/>
      <c r="AB1079" s="37"/>
      <c r="AC1079" s="37"/>
      <c r="AD1079" s="37"/>
    </row>
    <row r="1080">
      <c r="A1080" s="37"/>
      <c r="B1080" s="37"/>
      <c r="C1080" s="37"/>
      <c r="D1080" s="37"/>
      <c r="E1080" s="37"/>
      <c r="F1080" s="37"/>
      <c r="G1080" s="37"/>
      <c r="H1080" s="37"/>
      <c r="I1080" s="37"/>
      <c r="J1080" s="37"/>
      <c r="K1080" s="37"/>
      <c r="L1080" s="37"/>
      <c r="M1080" s="37"/>
      <c r="N1080" s="37"/>
      <c r="O1080" s="37"/>
      <c r="P1080" s="37"/>
      <c r="Q1080" s="37"/>
      <c r="R1080" s="37"/>
      <c r="S1080" s="37"/>
      <c r="T1080" s="37"/>
      <c r="U1080" s="37"/>
      <c r="V1080" s="37"/>
      <c r="W1080" s="37"/>
      <c r="X1080" s="37"/>
      <c r="Y1080" s="37"/>
      <c r="Z1080" s="37"/>
      <c r="AA1080" s="37"/>
      <c r="AB1080" s="37"/>
      <c r="AC1080" s="37"/>
      <c r="AD1080" s="37"/>
    </row>
    <row r="1081">
      <c r="A1081" s="37"/>
      <c r="B1081" s="37"/>
      <c r="C1081" s="37"/>
      <c r="D1081" s="37"/>
      <c r="E1081" s="37"/>
      <c r="F1081" s="37"/>
      <c r="G1081" s="37"/>
      <c r="H1081" s="37"/>
      <c r="I1081" s="37"/>
      <c r="J1081" s="37"/>
      <c r="K1081" s="37"/>
      <c r="L1081" s="37"/>
      <c r="M1081" s="37"/>
      <c r="N1081" s="37"/>
      <c r="O1081" s="37"/>
      <c r="P1081" s="37"/>
      <c r="Q1081" s="37"/>
      <c r="R1081" s="37"/>
      <c r="S1081" s="37"/>
      <c r="T1081" s="37"/>
      <c r="U1081" s="37"/>
      <c r="V1081" s="37"/>
      <c r="W1081" s="37"/>
      <c r="X1081" s="37"/>
      <c r="Y1081" s="37"/>
      <c r="Z1081" s="37"/>
      <c r="AA1081" s="37"/>
      <c r="AB1081" s="37"/>
      <c r="AC1081" s="37"/>
      <c r="AD1081" s="37"/>
    </row>
    <row r="1082">
      <c r="A1082" s="37"/>
      <c r="B1082" s="37"/>
      <c r="C1082" s="37"/>
      <c r="D1082" s="37"/>
      <c r="E1082" s="37"/>
      <c r="F1082" s="37"/>
      <c r="G1082" s="37"/>
      <c r="H1082" s="37"/>
      <c r="I1082" s="37"/>
      <c r="J1082" s="37"/>
      <c r="K1082" s="37"/>
      <c r="L1082" s="37"/>
      <c r="M1082" s="37"/>
      <c r="N1082" s="37"/>
      <c r="O1082" s="37"/>
      <c r="P1082" s="37"/>
      <c r="Q1082" s="37"/>
      <c r="R1082" s="37"/>
      <c r="S1082" s="37"/>
      <c r="T1082" s="37"/>
      <c r="U1082" s="37"/>
      <c r="V1082" s="37"/>
      <c r="W1082" s="37"/>
      <c r="X1082" s="37"/>
      <c r="Y1082" s="37"/>
      <c r="Z1082" s="37"/>
      <c r="AA1082" s="37"/>
      <c r="AB1082" s="37"/>
      <c r="AC1082" s="37"/>
      <c r="AD1082" s="37"/>
    </row>
    <row r="1083">
      <c r="A1083" s="37"/>
      <c r="B1083" s="37"/>
      <c r="C1083" s="37"/>
      <c r="D1083" s="37"/>
      <c r="E1083" s="37"/>
      <c r="F1083" s="37"/>
      <c r="G1083" s="37"/>
      <c r="H1083" s="37"/>
      <c r="I1083" s="37"/>
      <c r="J1083" s="37"/>
      <c r="K1083" s="37"/>
      <c r="L1083" s="37"/>
      <c r="M1083" s="37"/>
      <c r="N1083" s="37"/>
      <c r="O1083" s="37"/>
      <c r="P1083" s="37"/>
      <c r="Q1083" s="37"/>
      <c r="R1083" s="37"/>
      <c r="S1083" s="37"/>
      <c r="T1083" s="37"/>
      <c r="U1083" s="37"/>
      <c r="V1083" s="37"/>
      <c r="W1083" s="37"/>
      <c r="X1083" s="37"/>
      <c r="Y1083" s="37"/>
      <c r="Z1083" s="37"/>
      <c r="AA1083" s="37"/>
      <c r="AB1083" s="37"/>
      <c r="AC1083" s="37"/>
      <c r="AD1083" s="37"/>
    </row>
    <row r="1084">
      <c r="A1084" s="37"/>
      <c r="B1084" s="37"/>
      <c r="C1084" s="37"/>
      <c r="D1084" s="37"/>
      <c r="E1084" s="37"/>
      <c r="F1084" s="37"/>
      <c r="G1084" s="37"/>
      <c r="H1084" s="37"/>
      <c r="I1084" s="37"/>
      <c r="J1084" s="37"/>
      <c r="K1084" s="37"/>
      <c r="L1084" s="37"/>
      <c r="M1084" s="37"/>
      <c r="N1084" s="37"/>
      <c r="O1084" s="37"/>
      <c r="P1084" s="37"/>
      <c r="Q1084" s="37"/>
      <c r="R1084" s="37"/>
      <c r="S1084" s="37"/>
      <c r="T1084" s="37"/>
      <c r="U1084" s="37"/>
      <c r="V1084" s="37"/>
      <c r="W1084" s="37"/>
      <c r="X1084" s="37"/>
      <c r="Y1084" s="37"/>
      <c r="Z1084" s="37"/>
      <c r="AA1084" s="37"/>
      <c r="AB1084" s="37"/>
      <c r="AC1084" s="37"/>
      <c r="AD1084" s="37"/>
    </row>
    <row r="1085">
      <c r="A1085" s="37"/>
      <c r="B1085" s="37"/>
      <c r="C1085" s="37"/>
      <c r="D1085" s="37"/>
      <c r="E1085" s="37"/>
      <c r="F1085" s="37"/>
      <c r="G1085" s="37"/>
      <c r="H1085" s="37"/>
      <c r="I1085" s="37"/>
      <c r="J1085" s="37"/>
      <c r="K1085" s="37"/>
      <c r="L1085" s="37"/>
      <c r="M1085" s="37"/>
      <c r="N1085" s="37"/>
      <c r="O1085" s="37"/>
      <c r="P1085" s="37"/>
      <c r="Q1085" s="37"/>
      <c r="R1085" s="37"/>
      <c r="S1085" s="37"/>
      <c r="T1085" s="37"/>
      <c r="U1085" s="37"/>
      <c r="V1085" s="37"/>
      <c r="W1085" s="37"/>
      <c r="X1085" s="37"/>
      <c r="Y1085" s="37"/>
      <c r="Z1085" s="37"/>
      <c r="AA1085" s="37"/>
      <c r="AB1085" s="37"/>
      <c r="AC1085" s="37"/>
      <c r="AD1085" s="37"/>
    </row>
    <row r="1086">
      <c r="A1086" s="37"/>
      <c r="B1086" s="37"/>
      <c r="C1086" s="37"/>
      <c r="D1086" s="37"/>
      <c r="E1086" s="37"/>
      <c r="F1086" s="37"/>
      <c r="G1086" s="37"/>
      <c r="H1086" s="37"/>
      <c r="I1086" s="37"/>
      <c r="J1086" s="37"/>
      <c r="K1086" s="37"/>
      <c r="L1086" s="37"/>
      <c r="M1086" s="37"/>
      <c r="N1086" s="37"/>
      <c r="O1086" s="37"/>
      <c r="P1086" s="37"/>
      <c r="Q1086" s="37"/>
      <c r="R1086" s="37"/>
      <c r="S1086" s="37"/>
      <c r="T1086" s="37"/>
      <c r="U1086" s="37"/>
      <c r="V1086" s="37"/>
      <c r="W1086" s="37"/>
      <c r="X1086" s="37"/>
      <c r="Y1086" s="37"/>
      <c r="Z1086" s="37"/>
      <c r="AA1086" s="37"/>
      <c r="AB1086" s="37"/>
      <c r="AC1086" s="37"/>
      <c r="AD1086" s="37"/>
    </row>
    <row r="1087">
      <c r="A1087" s="37"/>
      <c r="B1087" s="37"/>
      <c r="C1087" s="37"/>
      <c r="D1087" s="37"/>
      <c r="E1087" s="37"/>
      <c r="F1087" s="37"/>
      <c r="G1087" s="37"/>
      <c r="H1087" s="37"/>
      <c r="I1087" s="37"/>
      <c r="J1087" s="37"/>
      <c r="K1087" s="37"/>
      <c r="L1087" s="37"/>
      <c r="M1087" s="37"/>
      <c r="N1087" s="37"/>
      <c r="O1087" s="37"/>
      <c r="P1087" s="37"/>
      <c r="Q1087" s="37"/>
      <c r="R1087" s="37"/>
      <c r="S1087" s="37"/>
      <c r="T1087" s="37"/>
      <c r="U1087" s="37"/>
      <c r="V1087" s="37"/>
      <c r="W1087" s="37"/>
      <c r="X1087" s="37"/>
      <c r="Y1087" s="37"/>
      <c r="Z1087" s="37"/>
      <c r="AA1087" s="37"/>
      <c r="AB1087" s="37"/>
      <c r="AC1087" s="37"/>
      <c r="AD1087" s="37"/>
    </row>
    <row r="1088">
      <c r="A1088" s="37"/>
      <c r="B1088" s="37"/>
      <c r="C1088" s="37"/>
      <c r="D1088" s="37"/>
      <c r="E1088" s="37"/>
      <c r="F1088" s="37"/>
      <c r="G1088" s="37"/>
      <c r="H1088" s="37"/>
      <c r="I1088" s="37"/>
      <c r="J1088" s="37"/>
      <c r="K1088" s="37"/>
      <c r="L1088" s="37"/>
      <c r="M1088" s="37"/>
      <c r="N1088" s="37"/>
      <c r="O1088" s="37"/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37"/>
      <c r="AA1088" s="37"/>
      <c r="AB1088" s="37"/>
      <c r="AC1088" s="37"/>
      <c r="AD1088" s="37"/>
    </row>
    <row r="1089">
      <c r="A1089" s="37"/>
      <c r="B1089" s="37"/>
      <c r="C1089" s="37"/>
      <c r="D1089" s="37"/>
      <c r="E1089" s="37"/>
      <c r="F1089" s="37"/>
      <c r="G1089" s="37"/>
      <c r="H1089" s="37"/>
      <c r="I1089" s="37"/>
      <c r="J1089" s="37"/>
      <c r="K1089" s="37"/>
      <c r="L1089" s="37"/>
      <c r="M1089" s="37"/>
      <c r="N1089" s="37"/>
      <c r="O1089" s="37"/>
      <c r="P1089" s="37"/>
      <c r="Q1089" s="37"/>
      <c r="R1089" s="37"/>
      <c r="S1089" s="37"/>
      <c r="T1089" s="37"/>
      <c r="U1089" s="37"/>
      <c r="V1089" s="37"/>
      <c r="W1089" s="37"/>
      <c r="X1089" s="37"/>
      <c r="Y1089" s="37"/>
      <c r="Z1089" s="37"/>
      <c r="AA1089" s="37"/>
      <c r="AB1089" s="37"/>
      <c r="AC1089" s="37"/>
      <c r="AD1089" s="37"/>
    </row>
    <row r="1090">
      <c r="A1090" s="37"/>
      <c r="B1090" s="37"/>
      <c r="C1090" s="37"/>
      <c r="D1090" s="37"/>
      <c r="E1090" s="37"/>
      <c r="F1090" s="37"/>
      <c r="G1090" s="37"/>
      <c r="H1090" s="37"/>
      <c r="I1090" s="37"/>
      <c r="J1090" s="37"/>
      <c r="K1090" s="37"/>
      <c r="L1090" s="37"/>
      <c r="M1090" s="37"/>
      <c r="N1090" s="37"/>
      <c r="O1090" s="37"/>
      <c r="P1090" s="37"/>
      <c r="Q1090" s="37"/>
      <c r="R1090" s="37"/>
      <c r="S1090" s="37"/>
      <c r="T1090" s="37"/>
      <c r="U1090" s="37"/>
      <c r="V1090" s="37"/>
      <c r="W1090" s="37"/>
      <c r="X1090" s="37"/>
      <c r="Y1090" s="37"/>
      <c r="Z1090" s="37"/>
      <c r="AA1090" s="37"/>
      <c r="AB1090" s="37"/>
      <c r="AC1090" s="37"/>
      <c r="AD1090" s="37"/>
    </row>
    <row r="1091">
      <c r="A1091" s="37"/>
      <c r="B1091" s="37"/>
      <c r="C1091" s="37"/>
      <c r="D1091" s="37"/>
      <c r="E1091" s="37"/>
      <c r="F1091" s="37"/>
      <c r="G1091" s="37"/>
      <c r="H1091" s="37"/>
      <c r="I1091" s="37"/>
      <c r="J1091" s="37"/>
      <c r="K1091" s="37"/>
      <c r="L1091" s="37"/>
      <c r="M1091" s="37"/>
      <c r="N1091" s="37"/>
      <c r="O1091" s="37"/>
      <c r="P1091" s="37"/>
      <c r="Q1091" s="37"/>
      <c r="R1091" s="37"/>
      <c r="S1091" s="37"/>
      <c r="T1091" s="37"/>
      <c r="U1091" s="37"/>
      <c r="V1091" s="37"/>
      <c r="W1091" s="37"/>
      <c r="X1091" s="37"/>
      <c r="Y1091" s="37"/>
      <c r="Z1091" s="37"/>
      <c r="AA1091" s="37"/>
      <c r="AB1091" s="37"/>
      <c r="AC1091" s="37"/>
      <c r="AD1091" s="37"/>
    </row>
    <row r="1092">
      <c r="A1092" s="37"/>
      <c r="B1092" s="37"/>
      <c r="C1092" s="37"/>
      <c r="D1092" s="37"/>
      <c r="E1092" s="37"/>
      <c r="F1092" s="37"/>
      <c r="G1092" s="37"/>
      <c r="H1092" s="37"/>
      <c r="I1092" s="37"/>
      <c r="J1092" s="37"/>
      <c r="K1092" s="37"/>
      <c r="L1092" s="37"/>
      <c r="M1092" s="37"/>
      <c r="N1092" s="37"/>
      <c r="O1092" s="37"/>
      <c r="P1092" s="37"/>
      <c r="Q1092" s="37"/>
      <c r="R1092" s="37"/>
      <c r="S1092" s="37"/>
      <c r="T1092" s="37"/>
      <c r="U1092" s="37"/>
      <c r="V1092" s="37"/>
      <c r="W1092" s="37"/>
      <c r="X1092" s="37"/>
      <c r="Y1092" s="37"/>
      <c r="Z1092" s="37"/>
      <c r="AA1092" s="37"/>
      <c r="AB1092" s="37"/>
      <c r="AC1092" s="37"/>
      <c r="AD1092" s="37"/>
    </row>
    <row r="1093">
      <c r="A1093" s="37"/>
      <c r="B1093" s="37"/>
      <c r="C1093" s="37"/>
      <c r="D1093" s="37"/>
      <c r="E1093" s="37"/>
      <c r="F1093" s="37"/>
      <c r="G1093" s="37"/>
      <c r="H1093" s="37"/>
      <c r="I1093" s="37"/>
      <c r="J1093" s="37"/>
      <c r="K1093" s="37"/>
      <c r="L1093" s="37"/>
      <c r="M1093" s="37"/>
      <c r="N1093" s="37"/>
      <c r="O1093" s="37"/>
      <c r="P1093" s="37"/>
      <c r="Q1093" s="37"/>
      <c r="R1093" s="37"/>
      <c r="S1093" s="37"/>
      <c r="T1093" s="37"/>
      <c r="U1093" s="37"/>
      <c r="V1093" s="37"/>
      <c r="W1093" s="37"/>
      <c r="X1093" s="37"/>
      <c r="Y1093" s="37"/>
      <c r="Z1093" s="37"/>
      <c r="AA1093" s="37"/>
      <c r="AB1093" s="37"/>
      <c r="AC1093" s="37"/>
      <c r="AD1093" s="37"/>
    </row>
    <row r="1094">
      <c r="A1094" s="37"/>
      <c r="B1094" s="37"/>
      <c r="C1094" s="37"/>
      <c r="D1094" s="37"/>
      <c r="E1094" s="37"/>
      <c r="F1094" s="37"/>
      <c r="G1094" s="37"/>
      <c r="H1094" s="37"/>
      <c r="I1094" s="37"/>
      <c r="J1094" s="37"/>
      <c r="K1094" s="37"/>
      <c r="L1094" s="37"/>
      <c r="M1094" s="37"/>
      <c r="N1094" s="37"/>
      <c r="O1094" s="37"/>
      <c r="P1094" s="37"/>
      <c r="Q1094" s="37"/>
      <c r="R1094" s="37"/>
      <c r="S1094" s="37"/>
      <c r="T1094" s="37"/>
      <c r="U1094" s="37"/>
      <c r="V1094" s="37"/>
      <c r="W1094" s="37"/>
      <c r="X1094" s="37"/>
      <c r="Y1094" s="37"/>
      <c r="Z1094" s="37"/>
      <c r="AA1094" s="37"/>
      <c r="AB1094" s="37"/>
      <c r="AC1094" s="37"/>
      <c r="AD1094" s="37"/>
    </row>
    <row r="1095">
      <c r="A1095" s="37"/>
      <c r="B1095" s="37"/>
      <c r="C1095" s="37"/>
      <c r="D1095" s="37"/>
      <c r="E1095" s="37"/>
      <c r="F1095" s="37"/>
      <c r="G1095" s="37"/>
      <c r="H1095" s="37"/>
      <c r="I1095" s="37"/>
      <c r="J1095" s="37"/>
      <c r="K1095" s="37"/>
      <c r="L1095" s="37"/>
      <c r="M1095" s="37"/>
      <c r="N1095" s="37"/>
      <c r="O1095" s="37"/>
      <c r="P1095" s="37"/>
      <c r="Q1095" s="37"/>
      <c r="R1095" s="37"/>
      <c r="S1095" s="37"/>
      <c r="T1095" s="37"/>
      <c r="U1095" s="37"/>
      <c r="V1095" s="37"/>
      <c r="W1095" s="37"/>
      <c r="X1095" s="37"/>
      <c r="Y1095" s="37"/>
      <c r="Z1095" s="37"/>
      <c r="AA1095" s="37"/>
      <c r="AB1095" s="37"/>
      <c r="AC1095" s="37"/>
      <c r="AD1095" s="37"/>
    </row>
    <row r="1096">
      <c r="A1096" s="37"/>
      <c r="B1096" s="37"/>
      <c r="C1096" s="37"/>
      <c r="D1096" s="37"/>
      <c r="E1096" s="37"/>
      <c r="F1096" s="37"/>
      <c r="G1096" s="37"/>
      <c r="H1096" s="37"/>
      <c r="I1096" s="37"/>
      <c r="J1096" s="37"/>
      <c r="K1096" s="37"/>
      <c r="L1096" s="37"/>
      <c r="M1096" s="37"/>
      <c r="N1096" s="37"/>
      <c r="O1096" s="37"/>
      <c r="P1096" s="37"/>
      <c r="Q1096" s="37"/>
      <c r="R1096" s="37"/>
      <c r="S1096" s="37"/>
      <c r="T1096" s="37"/>
      <c r="U1096" s="37"/>
      <c r="V1096" s="37"/>
      <c r="W1096" s="37"/>
      <c r="X1096" s="37"/>
      <c r="Y1096" s="37"/>
      <c r="Z1096" s="37"/>
      <c r="AA1096" s="37"/>
      <c r="AB1096" s="37"/>
      <c r="AC1096" s="37"/>
      <c r="AD1096" s="37"/>
    </row>
    <row r="1097">
      <c r="A1097" s="37"/>
      <c r="B1097" s="37"/>
      <c r="C1097" s="37"/>
      <c r="D1097" s="37"/>
      <c r="E1097" s="37"/>
      <c r="F1097" s="37"/>
      <c r="G1097" s="37"/>
      <c r="H1097" s="37"/>
      <c r="I1097" s="37"/>
      <c r="J1097" s="37"/>
      <c r="K1097" s="37"/>
      <c r="L1097" s="37"/>
      <c r="M1097" s="37"/>
      <c r="N1097" s="37"/>
      <c r="O1097" s="37"/>
      <c r="P1097" s="37"/>
      <c r="Q1097" s="37"/>
      <c r="R1097" s="37"/>
      <c r="S1097" s="37"/>
      <c r="T1097" s="37"/>
      <c r="U1097" s="37"/>
      <c r="V1097" s="37"/>
      <c r="W1097" s="37"/>
      <c r="X1097" s="37"/>
      <c r="Y1097" s="37"/>
      <c r="Z1097" s="37"/>
      <c r="AA1097" s="37"/>
      <c r="AB1097" s="37"/>
      <c r="AC1097" s="37"/>
      <c r="AD1097" s="37"/>
    </row>
    <row r="1098">
      <c r="A1098" s="37"/>
      <c r="B1098" s="37"/>
      <c r="C1098" s="37"/>
      <c r="D1098" s="37"/>
      <c r="E1098" s="37"/>
      <c r="F1098" s="37"/>
      <c r="G1098" s="37"/>
      <c r="H1098" s="37"/>
      <c r="I1098" s="37"/>
      <c r="J1098" s="37"/>
      <c r="K1098" s="37"/>
      <c r="L1098" s="37"/>
      <c r="M1098" s="37"/>
      <c r="N1098" s="37"/>
      <c r="O1098" s="37"/>
      <c r="P1098" s="37"/>
      <c r="Q1098" s="37"/>
      <c r="R1098" s="37"/>
      <c r="S1098" s="37"/>
      <c r="T1098" s="37"/>
      <c r="U1098" s="37"/>
      <c r="V1098" s="37"/>
      <c r="W1098" s="37"/>
      <c r="X1098" s="37"/>
      <c r="Y1098" s="37"/>
      <c r="Z1098" s="37"/>
      <c r="AA1098" s="37"/>
      <c r="AB1098" s="37"/>
      <c r="AC1098" s="37"/>
      <c r="AD1098" s="37"/>
    </row>
    <row r="1099">
      <c r="A1099" s="37"/>
      <c r="B1099" s="37"/>
      <c r="C1099" s="37"/>
      <c r="D1099" s="37"/>
      <c r="E1099" s="37"/>
      <c r="F1099" s="37"/>
      <c r="G1099" s="37"/>
      <c r="H1099" s="37"/>
      <c r="I1099" s="37"/>
      <c r="J1099" s="37"/>
      <c r="K1099" s="37"/>
      <c r="L1099" s="37"/>
      <c r="M1099" s="37"/>
      <c r="N1099" s="37"/>
      <c r="O1099" s="37"/>
      <c r="P1099" s="37"/>
      <c r="Q1099" s="37"/>
      <c r="R1099" s="37"/>
      <c r="S1099" s="37"/>
      <c r="T1099" s="37"/>
      <c r="U1099" s="37"/>
      <c r="V1099" s="37"/>
      <c r="W1099" s="37"/>
      <c r="X1099" s="37"/>
      <c r="Y1099" s="37"/>
      <c r="Z1099" s="37"/>
      <c r="AA1099" s="37"/>
      <c r="AB1099" s="37"/>
      <c r="AC1099" s="37"/>
      <c r="AD1099" s="37"/>
    </row>
    <row r="1100">
      <c r="A1100" s="37"/>
      <c r="B1100" s="37"/>
      <c r="C1100" s="37"/>
      <c r="D1100" s="37"/>
      <c r="E1100" s="37"/>
      <c r="F1100" s="37"/>
      <c r="G1100" s="37"/>
      <c r="H1100" s="37"/>
      <c r="I1100" s="37"/>
      <c r="J1100" s="37"/>
      <c r="K1100" s="37"/>
      <c r="L1100" s="37"/>
      <c r="M1100" s="37"/>
      <c r="N1100" s="37"/>
      <c r="O1100" s="37"/>
      <c r="P1100" s="37"/>
      <c r="Q1100" s="37"/>
      <c r="R1100" s="37"/>
      <c r="S1100" s="37"/>
      <c r="T1100" s="37"/>
      <c r="U1100" s="37"/>
      <c r="V1100" s="37"/>
      <c r="W1100" s="37"/>
      <c r="X1100" s="37"/>
      <c r="Y1100" s="37"/>
      <c r="Z1100" s="37"/>
      <c r="AA1100" s="37"/>
      <c r="AB1100" s="37"/>
      <c r="AC1100" s="37"/>
      <c r="AD1100" s="37"/>
    </row>
    <row r="1101">
      <c r="A1101" s="37"/>
      <c r="B1101" s="37"/>
      <c r="C1101" s="37"/>
      <c r="D1101" s="37"/>
      <c r="E1101" s="37"/>
      <c r="F1101" s="37"/>
      <c r="G1101" s="37"/>
      <c r="H1101" s="37"/>
      <c r="I1101" s="37"/>
      <c r="J1101" s="37"/>
      <c r="K1101" s="37"/>
      <c r="L1101" s="37"/>
      <c r="M1101" s="37"/>
      <c r="N1101" s="37"/>
      <c r="O1101" s="37"/>
      <c r="P1101" s="37"/>
      <c r="Q1101" s="37"/>
      <c r="R1101" s="37"/>
      <c r="S1101" s="37"/>
      <c r="T1101" s="37"/>
      <c r="U1101" s="37"/>
      <c r="V1101" s="37"/>
      <c r="W1101" s="37"/>
      <c r="X1101" s="37"/>
      <c r="Y1101" s="37"/>
      <c r="Z1101" s="37"/>
      <c r="AA1101" s="37"/>
      <c r="AB1101" s="37"/>
      <c r="AC1101" s="37"/>
      <c r="AD1101" s="37"/>
    </row>
    <row r="1102">
      <c r="A1102" s="37"/>
      <c r="B1102" s="37"/>
      <c r="C1102" s="37"/>
      <c r="D1102" s="37"/>
      <c r="E1102" s="37"/>
      <c r="F1102" s="37"/>
      <c r="G1102" s="37"/>
      <c r="H1102" s="37"/>
      <c r="I1102" s="37"/>
      <c r="J1102" s="37"/>
      <c r="K1102" s="37"/>
      <c r="L1102" s="37"/>
      <c r="M1102" s="37"/>
      <c r="N1102" s="37"/>
      <c r="O1102" s="37"/>
      <c r="P1102" s="37"/>
      <c r="Q1102" s="37"/>
      <c r="R1102" s="37"/>
      <c r="S1102" s="37"/>
      <c r="T1102" s="37"/>
      <c r="U1102" s="37"/>
      <c r="V1102" s="37"/>
      <c r="W1102" s="37"/>
      <c r="X1102" s="37"/>
      <c r="Y1102" s="37"/>
      <c r="Z1102" s="37"/>
      <c r="AA1102" s="37"/>
      <c r="AB1102" s="37"/>
      <c r="AC1102" s="37"/>
      <c r="AD1102" s="37"/>
    </row>
    <row r="1103">
      <c r="A1103" s="37"/>
      <c r="B1103" s="37"/>
      <c r="C1103" s="37"/>
      <c r="D1103" s="37"/>
      <c r="E1103" s="37"/>
      <c r="F1103" s="37"/>
      <c r="G1103" s="37"/>
      <c r="H1103" s="37"/>
      <c r="I1103" s="37"/>
      <c r="J1103" s="37"/>
      <c r="K1103" s="37"/>
      <c r="L1103" s="37"/>
      <c r="M1103" s="37"/>
      <c r="N1103" s="37"/>
      <c r="O1103" s="37"/>
      <c r="P1103" s="37"/>
      <c r="Q1103" s="37"/>
      <c r="R1103" s="37"/>
      <c r="S1103" s="37"/>
      <c r="T1103" s="37"/>
      <c r="U1103" s="37"/>
      <c r="V1103" s="37"/>
      <c r="W1103" s="37"/>
      <c r="X1103" s="37"/>
      <c r="Y1103" s="37"/>
      <c r="Z1103" s="37"/>
      <c r="AA1103" s="37"/>
      <c r="AB1103" s="37"/>
      <c r="AC1103" s="37"/>
      <c r="AD1103" s="37"/>
    </row>
    <row r="1104">
      <c r="A1104" s="37"/>
      <c r="B1104" s="37"/>
      <c r="C1104" s="37"/>
      <c r="D1104" s="37"/>
      <c r="E1104" s="37"/>
      <c r="F1104" s="37"/>
      <c r="G1104" s="37"/>
      <c r="H1104" s="37"/>
      <c r="I1104" s="37"/>
      <c r="J1104" s="37"/>
      <c r="K1104" s="37"/>
      <c r="L1104" s="37"/>
      <c r="M1104" s="37"/>
      <c r="N1104" s="37"/>
      <c r="O1104" s="37"/>
      <c r="P1104" s="37"/>
      <c r="Q1104" s="37"/>
      <c r="R1104" s="37"/>
      <c r="S1104" s="37"/>
      <c r="T1104" s="37"/>
      <c r="U1104" s="37"/>
      <c r="V1104" s="37"/>
      <c r="W1104" s="37"/>
      <c r="X1104" s="37"/>
      <c r="Y1104" s="37"/>
      <c r="Z1104" s="37"/>
      <c r="AA1104" s="37"/>
      <c r="AB1104" s="37"/>
      <c r="AC1104" s="37"/>
      <c r="AD1104" s="37"/>
    </row>
    <row r="1105">
      <c r="A1105" s="37"/>
      <c r="B1105" s="37"/>
      <c r="C1105" s="37"/>
      <c r="D1105" s="37"/>
      <c r="E1105" s="37"/>
      <c r="F1105" s="37"/>
      <c r="G1105" s="37"/>
      <c r="H1105" s="37"/>
      <c r="I1105" s="37"/>
      <c r="J1105" s="37"/>
      <c r="K1105" s="37"/>
      <c r="L1105" s="37"/>
      <c r="M1105" s="37"/>
      <c r="N1105" s="37"/>
      <c r="O1105" s="37"/>
      <c r="P1105" s="37"/>
      <c r="Q1105" s="37"/>
      <c r="R1105" s="37"/>
      <c r="S1105" s="37"/>
      <c r="T1105" s="37"/>
      <c r="U1105" s="37"/>
      <c r="V1105" s="37"/>
      <c r="W1105" s="37"/>
      <c r="X1105" s="37"/>
      <c r="Y1105" s="37"/>
      <c r="Z1105" s="37"/>
      <c r="AA1105" s="37"/>
      <c r="AB1105" s="37"/>
      <c r="AC1105" s="37"/>
      <c r="AD1105" s="37"/>
    </row>
    <row r="1106">
      <c r="A1106" s="37"/>
      <c r="B1106" s="37"/>
      <c r="C1106" s="37"/>
      <c r="D1106" s="37"/>
      <c r="E1106" s="37"/>
      <c r="F1106" s="37"/>
      <c r="G1106" s="37"/>
      <c r="H1106" s="37"/>
      <c r="I1106" s="37"/>
      <c r="J1106" s="37"/>
      <c r="K1106" s="37"/>
      <c r="L1106" s="37"/>
      <c r="M1106" s="37"/>
      <c r="N1106" s="37"/>
      <c r="O1106" s="37"/>
      <c r="P1106" s="37"/>
      <c r="Q1106" s="37"/>
      <c r="R1106" s="37"/>
      <c r="S1106" s="37"/>
      <c r="T1106" s="37"/>
      <c r="U1106" s="37"/>
      <c r="V1106" s="37"/>
      <c r="W1106" s="37"/>
      <c r="X1106" s="37"/>
      <c r="Y1106" s="37"/>
      <c r="Z1106" s="37"/>
      <c r="AA1106" s="37"/>
      <c r="AB1106" s="37"/>
      <c r="AC1106" s="37"/>
      <c r="AD1106" s="37"/>
    </row>
    <row r="1107">
      <c r="A1107" s="37"/>
      <c r="B1107" s="37"/>
      <c r="C1107" s="37"/>
      <c r="D1107" s="37"/>
      <c r="E1107" s="37"/>
      <c r="F1107" s="37"/>
      <c r="G1107" s="37"/>
      <c r="H1107" s="37"/>
      <c r="I1107" s="37"/>
      <c r="J1107" s="37"/>
      <c r="K1107" s="37"/>
      <c r="L1107" s="37"/>
      <c r="M1107" s="37"/>
      <c r="N1107" s="37"/>
      <c r="O1107" s="37"/>
      <c r="P1107" s="37"/>
      <c r="Q1107" s="37"/>
      <c r="R1107" s="37"/>
      <c r="S1107" s="37"/>
      <c r="T1107" s="37"/>
      <c r="U1107" s="37"/>
      <c r="V1107" s="37"/>
      <c r="W1107" s="37"/>
      <c r="X1107" s="37"/>
      <c r="Y1107" s="37"/>
      <c r="Z1107" s="37"/>
      <c r="AA1107" s="37"/>
      <c r="AB1107" s="37"/>
      <c r="AC1107" s="37"/>
      <c r="AD1107" s="37"/>
    </row>
    <row r="1108">
      <c r="A1108" s="37"/>
      <c r="B1108" s="37"/>
      <c r="C1108" s="37"/>
      <c r="D1108" s="37"/>
      <c r="E1108" s="37"/>
      <c r="F1108" s="37"/>
      <c r="G1108" s="37"/>
      <c r="H1108" s="37"/>
      <c r="I1108" s="37"/>
      <c r="J1108" s="37"/>
      <c r="K1108" s="37"/>
      <c r="L1108" s="37"/>
      <c r="M1108" s="37"/>
      <c r="N1108" s="37"/>
      <c r="O1108" s="37"/>
      <c r="P1108" s="37"/>
      <c r="Q1108" s="37"/>
      <c r="R1108" s="37"/>
      <c r="S1108" s="37"/>
      <c r="T1108" s="37"/>
      <c r="U1108" s="37"/>
      <c r="V1108" s="37"/>
      <c r="W1108" s="37"/>
      <c r="X1108" s="37"/>
      <c r="Y1108" s="37"/>
      <c r="Z1108" s="37"/>
      <c r="AA1108" s="37"/>
      <c r="AB1108" s="37"/>
      <c r="AC1108" s="37"/>
      <c r="AD1108" s="37"/>
    </row>
    <row r="1109">
      <c r="A1109" s="37"/>
      <c r="B1109" s="37"/>
      <c r="C1109" s="37"/>
      <c r="D1109" s="37"/>
      <c r="E1109" s="37"/>
      <c r="F1109" s="37"/>
      <c r="G1109" s="37"/>
      <c r="H1109" s="37"/>
      <c r="I1109" s="37"/>
      <c r="J1109" s="37"/>
      <c r="K1109" s="37"/>
      <c r="L1109" s="37"/>
      <c r="M1109" s="37"/>
      <c r="N1109" s="37"/>
      <c r="O1109" s="37"/>
      <c r="P1109" s="37"/>
      <c r="Q1109" s="37"/>
      <c r="R1109" s="37"/>
      <c r="S1109" s="37"/>
      <c r="T1109" s="37"/>
      <c r="U1109" s="37"/>
      <c r="V1109" s="37"/>
      <c r="W1109" s="37"/>
      <c r="X1109" s="37"/>
      <c r="Y1109" s="37"/>
      <c r="Z1109" s="37"/>
      <c r="AA1109" s="37"/>
      <c r="AB1109" s="37"/>
      <c r="AC1109" s="37"/>
      <c r="AD1109" s="37"/>
    </row>
    <row r="1110">
      <c r="A1110" s="37"/>
      <c r="B1110" s="37"/>
      <c r="C1110" s="37"/>
      <c r="D1110" s="37"/>
      <c r="E1110" s="37"/>
      <c r="F1110" s="37"/>
      <c r="G1110" s="37"/>
      <c r="H1110" s="37"/>
      <c r="I1110" s="37"/>
      <c r="J1110" s="37"/>
      <c r="K1110" s="37"/>
      <c r="L1110" s="37"/>
      <c r="M1110" s="37"/>
      <c r="N1110" s="37"/>
      <c r="O1110" s="37"/>
      <c r="P1110" s="37"/>
      <c r="Q1110" s="37"/>
      <c r="R1110" s="37"/>
      <c r="S1110" s="37"/>
      <c r="T1110" s="37"/>
      <c r="U1110" s="37"/>
      <c r="V1110" s="37"/>
      <c r="W1110" s="37"/>
      <c r="X1110" s="37"/>
      <c r="Y1110" s="37"/>
      <c r="Z1110" s="37"/>
      <c r="AA1110" s="37"/>
      <c r="AB1110" s="37"/>
      <c r="AC1110" s="37"/>
      <c r="AD1110" s="37"/>
    </row>
    <row r="1111">
      <c r="A1111" s="37"/>
      <c r="B1111" s="37"/>
      <c r="C1111" s="37"/>
      <c r="D1111" s="37"/>
      <c r="E1111" s="37"/>
      <c r="F1111" s="37"/>
      <c r="G1111" s="37"/>
      <c r="H1111" s="37"/>
      <c r="I1111" s="37"/>
      <c r="J1111" s="37"/>
      <c r="K1111" s="37"/>
      <c r="L1111" s="37"/>
      <c r="M1111" s="37"/>
      <c r="N1111" s="37"/>
      <c r="O1111" s="37"/>
      <c r="P1111" s="37"/>
      <c r="Q1111" s="37"/>
      <c r="R1111" s="37"/>
      <c r="S1111" s="37"/>
      <c r="T1111" s="37"/>
      <c r="U1111" s="37"/>
      <c r="V1111" s="37"/>
      <c r="W1111" s="37"/>
      <c r="X1111" s="37"/>
      <c r="Y1111" s="37"/>
      <c r="Z1111" s="37"/>
      <c r="AA1111" s="37"/>
      <c r="AB1111" s="37"/>
      <c r="AC1111" s="37"/>
      <c r="AD1111" s="37"/>
    </row>
    <row r="1112">
      <c r="A1112" s="37"/>
      <c r="B1112" s="37"/>
      <c r="C1112" s="37"/>
      <c r="D1112" s="37"/>
      <c r="E1112" s="37"/>
      <c r="F1112" s="37"/>
      <c r="G1112" s="37"/>
      <c r="H1112" s="37"/>
      <c r="I1112" s="37"/>
      <c r="J1112" s="37"/>
      <c r="K1112" s="37"/>
      <c r="L1112" s="37"/>
      <c r="M1112" s="37"/>
      <c r="N1112" s="37"/>
      <c r="O1112" s="37"/>
      <c r="P1112" s="37"/>
      <c r="Q1112" s="37"/>
      <c r="R1112" s="37"/>
      <c r="S1112" s="37"/>
      <c r="T1112" s="37"/>
      <c r="U1112" s="37"/>
      <c r="V1112" s="37"/>
      <c r="W1112" s="37"/>
      <c r="X1112" s="37"/>
      <c r="Y1112" s="37"/>
      <c r="Z1112" s="37"/>
      <c r="AA1112" s="37"/>
      <c r="AB1112" s="37"/>
      <c r="AC1112" s="37"/>
      <c r="AD1112" s="37"/>
    </row>
    <row r="1113">
      <c r="A1113" s="37"/>
      <c r="B1113" s="37"/>
      <c r="C1113" s="37"/>
      <c r="D1113" s="37"/>
      <c r="E1113" s="37"/>
      <c r="F1113" s="37"/>
      <c r="G1113" s="37"/>
      <c r="H1113" s="37"/>
      <c r="I1113" s="37"/>
      <c r="J1113" s="37"/>
      <c r="K1113" s="37"/>
      <c r="L1113" s="37"/>
      <c r="M1113" s="37"/>
      <c r="N1113" s="37"/>
      <c r="O1113" s="37"/>
      <c r="P1113" s="37"/>
      <c r="Q1113" s="37"/>
      <c r="R1113" s="37"/>
      <c r="S1113" s="37"/>
      <c r="T1113" s="37"/>
      <c r="U1113" s="37"/>
      <c r="V1113" s="37"/>
      <c r="W1113" s="37"/>
      <c r="X1113" s="37"/>
      <c r="Y1113" s="37"/>
      <c r="Z1113" s="37"/>
      <c r="AA1113" s="37"/>
      <c r="AB1113" s="37"/>
      <c r="AC1113" s="37"/>
      <c r="AD1113" s="37"/>
    </row>
    <row r="1114">
      <c r="A1114" s="37"/>
      <c r="B1114" s="37"/>
      <c r="C1114" s="37"/>
      <c r="D1114" s="37"/>
      <c r="E1114" s="37"/>
      <c r="F1114" s="37"/>
      <c r="G1114" s="37"/>
      <c r="H1114" s="37"/>
      <c r="I1114" s="37"/>
      <c r="J1114" s="37"/>
      <c r="K1114" s="37"/>
      <c r="L1114" s="37"/>
      <c r="M1114" s="37"/>
      <c r="N1114" s="37"/>
      <c r="O1114" s="37"/>
      <c r="P1114" s="37"/>
      <c r="Q1114" s="37"/>
      <c r="R1114" s="37"/>
      <c r="S1114" s="37"/>
      <c r="T1114" s="37"/>
      <c r="U1114" s="37"/>
      <c r="V1114" s="37"/>
      <c r="W1114" s="37"/>
      <c r="X1114" s="37"/>
      <c r="Y1114" s="37"/>
      <c r="Z1114" s="37"/>
      <c r="AA1114" s="37"/>
      <c r="AB1114" s="37"/>
      <c r="AC1114" s="37"/>
      <c r="AD1114" s="37"/>
    </row>
    <row r="1115">
      <c r="A1115" s="37"/>
      <c r="B1115" s="37"/>
      <c r="C1115" s="37"/>
      <c r="D1115" s="37"/>
      <c r="E1115" s="37"/>
      <c r="F1115" s="37"/>
      <c r="G1115" s="37"/>
      <c r="H1115" s="37"/>
      <c r="I1115" s="37"/>
      <c r="J1115" s="37"/>
      <c r="K1115" s="37"/>
      <c r="L1115" s="37"/>
      <c r="M1115" s="37"/>
      <c r="N1115" s="37"/>
      <c r="O1115" s="37"/>
      <c r="P1115" s="37"/>
      <c r="Q1115" s="37"/>
      <c r="R1115" s="37"/>
      <c r="S1115" s="37"/>
      <c r="T1115" s="37"/>
      <c r="U1115" s="37"/>
      <c r="V1115" s="37"/>
      <c r="W1115" s="37"/>
      <c r="X1115" s="37"/>
      <c r="Y1115" s="37"/>
      <c r="Z1115" s="37"/>
      <c r="AA1115" s="37"/>
      <c r="AB1115" s="37"/>
      <c r="AC1115" s="37"/>
      <c r="AD1115" s="37"/>
    </row>
    <row r="1116">
      <c r="A1116" s="37"/>
      <c r="B1116" s="37"/>
      <c r="C1116" s="37"/>
      <c r="D1116" s="37"/>
      <c r="E1116" s="37"/>
      <c r="F1116" s="37"/>
      <c r="G1116" s="37"/>
      <c r="H1116" s="37"/>
      <c r="I1116" s="37"/>
      <c r="J1116" s="37"/>
      <c r="K1116" s="37"/>
      <c r="L1116" s="37"/>
      <c r="M1116" s="37"/>
      <c r="N1116" s="37"/>
      <c r="O1116" s="37"/>
      <c r="P1116" s="37"/>
      <c r="Q1116" s="37"/>
      <c r="R1116" s="37"/>
      <c r="S1116" s="37"/>
      <c r="T1116" s="37"/>
      <c r="U1116" s="37"/>
      <c r="V1116" s="37"/>
      <c r="W1116" s="37"/>
      <c r="X1116" s="37"/>
      <c r="Y1116" s="37"/>
      <c r="Z1116" s="37"/>
      <c r="AA1116" s="37"/>
      <c r="AB1116" s="37"/>
      <c r="AC1116" s="37"/>
      <c r="AD1116" s="37"/>
    </row>
    <row r="1117">
      <c r="A1117" s="37"/>
      <c r="B1117" s="37"/>
      <c r="C1117" s="37"/>
      <c r="D1117" s="37"/>
      <c r="E1117" s="37"/>
      <c r="F1117" s="37"/>
      <c r="G1117" s="37"/>
      <c r="H1117" s="37"/>
      <c r="I1117" s="37"/>
      <c r="J1117" s="37"/>
      <c r="K1117" s="37"/>
      <c r="L1117" s="37"/>
      <c r="M1117" s="37"/>
      <c r="N1117" s="37"/>
      <c r="O1117" s="37"/>
      <c r="P1117" s="37"/>
      <c r="Q1117" s="37"/>
      <c r="R1117" s="37"/>
      <c r="S1117" s="37"/>
      <c r="T1117" s="37"/>
      <c r="U1117" s="37"/>
      <c r="V1117" s="37"/>
      <c r="W1117" s="37"/>
      <c r="X1117" s="37"/>
      <c r="Y1117" s="37"/>
      <c r="Z1117" s="37"/>
      <c r="AA1117" s="37"/>
      <c r="AB1117" s="37"/>
      <c r="AC1117" s="37"/>
      <c r="AD1117" s="37"/>
    </row>
    <row r="1118">
      <c r="A1118" s="37"/>
      <c r="B1118" s="37"/>
      <c r="C1118" s="37"/>
      <c r="D1118" s="37"/>
      <c r="E1118" s="37"/>
      <c r="F1118" s="37"/>
      <c r="G1118" s="37"/>
      <c r="H1118" s="37"/>
      <c r="I1118" s="37"/>
      <c r="J1118" s="37"/>
      <c r="K1118" s="37"/>
      <c r="L1118" s="37"/>
      <c r="M1118" s="37"/>
      <c r="N1118" s="37"/>
      <c r="O1118" s="37"/>
      <c r="P1118" s="37"/>
      <c r="Q1118" s="37"/>
      <c r="R1118" s="37"/>
      <c r="S1118" s="37"/>
      <c r="T1118" s="37"/>
      <c r="U1118" s="37"/>
      <c r="V1118" s="37"/>
      <c r="W1118" s="37"/>
      <c r="X1118" s="37"/>
      <c r="Y1118" s="37"/>
      <c r="Z1118" s="37"/>
      <c r="AA1118" s="37"/>
      <c r="AB1118" s="37"/>
      <c r="AC1118" s="37"/>
      <c r="AD1118" s="37"/>
    </row>
    <row r="1119">
      <c r="A1119" s="37"/>
      <c r="B1119" s="37"/>
      <c r="C1119" s="37"/>
      <c r="D1119" s="37"/>
      <c r="E1119" s="37"/>
      <c r="F1119" s="37"/>
      <c r="G1119" s="37"/>
      <c r="H1119" s="37"/>
      <c r="I1119" s="37"/>
      <c r="J1119" s="37"/>
      <c r="K1119" s="37"/>
      <c r="L1119" s="37"/>
      <c r="M1119" s="37"/>
      <c r="N1119" s="37"/>
      <c r="O1119" s="37"/>
      <c r="P1119" s="37"/>
      <c r="Q1119" s="37"/>
      <c r="R1119" s="37"/>
      <c r="S1119" s="37"/>
      <c r="T1119" s="37"/>
      <c r="U1119" s="37"/>
      <c r="V1119" s="37"/>
      <c r="W1119" s="37"/>
      <c r="X1119" s="37"/>
      <c r="Y1119" s="37"/>
      <c r="Z1119" s="37"/>
      <c r="AA1119" s="37"/>
      <c r="AB1119" s="37"/>
      <c r="AC1119" s="37"/>
      <c r="AD1119" s="37"/>
    </row>
    <row r="1120">
      <c r="A1120" s="37"/>
      <c r="B1120" s="37"/>
      <c r="C1120" s="37"/>
      <c r="D1120" s="37"/>
      <c r="E1120" s="37"/>
      <c r="F1120" s="37"/>
      <c r="G1120" s="37"/>
      <c r="H1120" s="37"/>
      <c r="I1120" s="37"/>
      <c r="J1120" s="37"/>
      <c r="K1120" s="37"/>
      <c r="L1120" s="37"/>
      <c r="M1120" s="37"/>
      <c r="N1120" s="37"/>
      <c r="O1120" s="37"/>
      <c r="P1120" s="37"/>
      <c r="Q1120" s="37"/>
      <c r="R1120" s="37"/>
      <c r="S1120" s="37"/>
      <c r="T1120" s="37"/>
      <c r="U1120" s="37"/>
      <c r="V1120" s="37"/>
      <c r="W1120" s="37"/>
      <c r="X1120" s="37"/>
      <c r="Y1120" s="37"/>
      <c r="Z1120" s="37"/>
      <c r="AA1120" s="37"/>
      <c r="AB1120" s="37"/>
      <c r="AC1120" s="37"/>
      <c r="AD1120" s="37"/>
    </row>
    <row r="1121">
      <c r="A1121" s="37"/>
      <c r="B1121" s="37"/>
      <c r="C1121" s="37"/>
      <c r="D1121" s="37"/>
      <c r="E1121" s="37"/>
      <c r="F1121" s="37"/>
      <c r="G1121" s="37"/>
      <c r="H1121" s="37"/>
      <c r="I1121" s="37"/>
      <c r="J1121" s="37"/>
      <c r="K1121" s="37"/>
      <c r="L1121" s="37"/>
      <c r="M1121" s="37"/>
      <c r="N1121" s="37"/>
      <c r="O1121" s="37"/>
      <c r="P1121" s="37"/>
      <c r="Q1121" s="37"/>
      <c r="R1121" s="37"/>
      <c r="S1121" s="37"/>
      <c r="T1121" s="37"/>
      <c r="U1121" s="37"/>
      <c r="V1121" s="37"/>
      <c r="W1121" s="37"/>
      <c r="X1121" s="37"/>
      <c r="Y1121" s="37"/>
      <c r="Z1121" s="37"/>
      <c r="AA1121" s="37"/>
      <c r="AB1121" s="37"/>
      <c r="AC1121" s="37"/>
      <c r="AD1121" s="37"/>
    </row>
    <row r="1122">
      <c r="A1122" s="37"/>
      <c r="B1122" s="37"/>
      <c r="C1122" s="37"/>
      <c r="D1122" s="37"/>
      <c r="E1122" s="37"/>
      <c r="F1122" s="37"/>
      <c r="G1122" s="37"/>
      <c r="H1122" s="37"/>
      <c r="I1122" s="37"/>
      <c r="J1122" s="37"/>
      <c r="K1122" s="37"/>
      <c r="L1122" s="37"/>
      <c r="M1122" s="37"/>
      <c r="N1122" s="37"/>
      <c r="O1122" s="37"/>
      <c r="P1122" s="37"/>
      <c r="Q1122" s="37"/>
      <c r="R1122" s="37"/>
      <c r="S1122" s="37"/>
      <c r="T1122" s="37"/>
      <c r="U1122" s="37"/>
      <c r="V1122" s="37"/>
      <c r="W1122" s="37"/>
      <c r="X1122" s="37"/>
      <c r="Y1122" s="37"/>
      <c r="Z1122" s="37"/>
      <c r="AA1122" s="37"/>
      <c r="AB1122" s="37"/>
      <c r="AC1122" s="37"/>
      <c r="AD1122" s="37"/>
    </row>
    <row r="1123">
      <c r="A1123" s="37"/>
      <c r="B1123" s="37"/>
      <c r="C1123" s="37"/>
      <c r="D1123" s="37"/>
      <c r="E1123" s="37"/>
      <c r="F1123" s="37"/>
      <c r="G1123" s="37"/>
      <c r="H1123" s="37"/>
      <c r="I1123" s="37"/>
      <c r="J1123" s="37"/>
      <c r="K1123" s="37"/>
      <c r="L1123" s="37"/>
      <c r="M1123" s="37"/>
      <c r="N1123" s="37"/>
      <c r="O1123" s="37"/>
      <c r="P1123" s="37"/>
      <c r="Q1123" s="37"/>
      <c r="R1123" s="37"/>
      <c r="S1123" s="37"/>
      <c r="T1123" s="37"/>
      <c r="U1123" s="37"/>
      <c r="V1123" s="37"/>
      <c r="W1123" s="37"/>
      <c r="X1123" s="37"/>
      <c r="Y1123" s="37"/>
      <c r="Z1123" s="37"/>
      <c r="AA1123" s="37"/>
      <c r="AB1123" s="37"/>
      <c r="AC1123" s="37"/>
      <c r="AD1123" s="37"/>
    </row>
    <row r="1124">
      <c r="A1124" s="37"/>
      <c r="B1124" s="37"/>
      <c r="C1124" s="37"/>
      <c r="D1124" s="37"/>
      <c r="E1124" s="37"/>
      <c r="F1124" s="37"/>
      <c r="G1124" s="37"/>
      <c r="H1124" s="37"/>
      <c r="I1124" s="37"/>
      <c r="J1124" s="37"/>
      <c r="K1124" s="37"/>
      <c r="L1124" s="37"/>
      <c r="M1124" s="37"/>
      <c r="N1124" s="37"/>
      <c r="O1124" s="37"/>
      <c r="P1124" s="37"/>
      <c r="Q1124" s="37"/>
      <c r="R1124" s="37"/>
      <c r="S1124" s="37"/>
      <c r="T1124" s="37"/>
      <c r="U1124" s="37"/>
      <c r="V1124" s="37"/>
      <c r="W1124" s="37"/>
      <c r="X1124" s="37"/>
      <c r="Y1124" s="37"/>
      <c r="Z1124" s="37"/>
      <c r="AA1124" s="37"/>
      <c r="AB1124" s="37"/>
      <c r="AC1124" s="37"/>
      <c r="AD1124" s="37"/>
    </row>
    <row r="1125">
      <c r="A1125" s="37"/>
      <c r="B1125" s="37"/>
      <c r="C1125" s="37"/>
      <c r="D1125" s="37"/>
      <c r="E1125" s="37"/>
      <c r="F1125" s="37"/>
      <c r="G1125" s="37"/>
      <c r="H1125" s="37"/>
      <c r="I1125" s="37"/>
      <c r="J1125" s="37"/>
      <c r="K1125" s="37"/>
      <c r="L1125" s="37"/>
      <c r="M1125" s="37"/>
      <c r="N1125" s="37"/>
      <c r="O1125" s="37"/>
      <c r="P1125" s="37"/>
      <c r="Q1125" s="37"/>
      <c r="R1125" s="37"/>
      <c r="S1125" s="37"/>
      <c r="T1125" s="37"/>
      <c r="U1125" s="37"/>
      <c r="V1125" s="37"/>
      <c r="W1125" s="37"/>
      <c r="X1125" s="37"/>
      <c r="Y1125" s="37"/>
      <c r="Z1125" s="37"/>
      <c r="AA1125" s="37"/>
      <c r="AB1125" s="37"/>
      <c r="AC1125" s="37"/>
      <c r="AD1125" s="37"/>
    </row>
    <row r="1126">
      <c r="A1126" s="37"/>
      <c r="B1126" s="37"/>
      <c r="C1126" s="37"/>
      <c r="D1126" s="37"/>
      <c r="E1126" s="37"/>
      <c r="F1126" s="37"/>
      <c r="G1126" s="37"/>
      <c r="H1126" s="37"/>
      <c r="I1126" s="37"/>
      <c r="J1126" s="37"/>
      <c r="K1126" s="37"/>
      <c r="L1126" s="37"/>
      <c r="M1126" s="37"/>
      <c r="N1126" s="37"/>
      <c r="O1126" s="37"/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37"/>
      <c r="AA1126" s="37"/>
      <c r="AB1126" s="37"/>
      <c r="AC1126" s="37"/>
      <c r="AD1126" s="37"/>
    </row>
    <row r="1127">
      <c r="A1127" s="37"/>
      <c r="B1127" s="37"/>
      <c r="C1127" s="37"/>
      <c r="D1127" s="37"/>
      <c r="E1127" s="37"/>
      <c r="F1127" s="37"/>
      <c r="G1127" s="37"/>
      <c r="H1127" s="37"/>
      <c r="I1127" s="37"/>
      <c r="J1127" s="37"/>
      <c r="K1127" s="37"/>
      <c r="L1127" s="37"/>
      <c r="M1127" s="37"/>
      <c r="N1127" s="37"/>
      <c r="O1127" s="37"/>
      <c r="P1127" s="37"/>
      <c r="Q1127" s="37"/>
      <c r="R1127" s="37"/>
      <c r="S1127" s="37"/>
      <c r="T1127" s="37"/>
      <c r="U1127" s="37"/>
      <c r="V1127" s="37"/>
      <c r="W1127" s="37"/>
      <c r="X1127" s="37"/>
      <c r="Y1127" s="37"/>
      <c r="Z1127" s="37"/>
      <c r="AA1127" s="37"/>
      <c r="AB1127" s="37"/>
      <c r="AC1127" s="37"/>
      <c r="AD1127" s="37"/>
    </row>
    <row r="1128">
      <c r="A1128" s="37"/>
      <c r="B1128" s="37"/>
      <c r="C1128" s="37"/>
      <c r="D1128" s="37"/>
      <c r="E1128" s="37"/>
      <c r="F1128" s="37"/>
      <c r="G1128" s="37"/>
      <c r="H1128" s="37"/>
      <c r="I1128" s="37"/>
      <c r="J1128" s="37"/>
      <c r="K1128" s="37"/>
      <c r="L1128" s="37"/>
      <c r="M1128" s="37"/>
      <c r="N1128" s="37"/>
      <c r="O1128" s="37"/>
      <c r="P1128" s="37"/>
      <c r="Q1128" s="37"/>
      <c r="R1128" s="37"/>
      <c r="S1128" s="37"/>
      <c r="T1128" s="37"/>
      <c r="U1128" s="37"/>
      <c r="V1128" s="37"/>
      <c r="W1128" s="37"/>
      <c r="X1128" s="37"/>
      <c r="Y1128" s="37"/>
      <c r="Z1128" s="37"/>
      <c r="AA1128" s="37"/>
      <c r="AB1128" s="37"/>
      <c r="AC1128" s="37"/>
      <c r="AD1128" s="37"/>
    </row>
    <row r="1129">
      <c r="A1129" s="37"/>
      <c r="B1129" s="37"/>
      <c r="C1129" s="37"/>
      <c r="D1129" s="37"/>
      <c r="E1129" s="37"/>
      <c r="F1129" s="37"/>
      <c r="G1129" s="37"/>
      <c r="H1129" s="37"/>
      <c r="I1129" s="37"/>
      <c r="J1129" s="37"/>
      <c r="K1129" s="37"/>
      <c r="L1129" s="37"/>
      <c r="M1129" s="37"/>
      <c r="N1129" s="37"/>
      <c r="O1129" s="37"/>
      <c r="P1129" s="37"/>
      <c r="Q1129" s="37"/>
      <c r="R1129" s="37"/>
      <c r="S1129" s="37"/>
      <c r="T1129" s="37"/>
      <c r="U1129" s="37"/>
      <c r="V1129" s="37"/>
      <c r="W1129" s="37"/>
      <c r="X1129" s="37"/>
      <c r="Y1129" s="37"/>
      <c r="Z1129" s="37"/>
      <c r="AA1129" s="37"/>
      <c r="AB1129" s="37"/>
      <c r="AC1129" s="37"/>
      <c r="AD1129" s="37"/>
    </row>
    <row r="1130">
      <c r="A1130" s="37"/>
      <c r="B1130" s="37"/>
      <c r="C1130" s="37"/>
      <c r="D1130" s="37"/>
      <c r="E1130" s="37"/>
      <c r="F1130" s="37"/>
      <c r="G1130" s="37"/>
      <c r="H1130" s="37"/>
      <c r="I1130" s="37"/>
      <c r="J1130" s="37"/>
      <c r="K1130" s="37"/>
      <c r="L1130" s="37"/>
      <c r="M1130" s="37"/>
      <c r="N1130" s="37"/>
      <c r="O1130" s="37"/>
      <c r="P1130" s="37"/>
      <c r="Q1130" s="37"/>
      <c r="R1130" s="37"/>
      <c r="S1130" s="37"/>
      <c r="T1130" s="37"/>
      <c r="U1130" s="37"/>
      <c r="V1130" s="37"/>
      <c r="W1130" s="37"/>
      <c r="X1130" s="37"/>
      <c r="Y1130" s="37"/>
      <c r="Z1130" s="37"/>
      <c r="AA1130" s="37"/>
      <c r="AB1130" s="37"/>
      <c r="AC1130" s="37"/>
      <c r="AD1130" s="37"/>
    </row>
    <row r="1131">
      <c r="A1131" s="37"/>
      <c r="B1131" s="37"/>
      <c r="C1131" s="37"/>
      <c r="D1131" s="37"/>
      <c r="E1131" s="37"/>
      <c r="F1131" s="37"/>
      <c r="G1131" s="37"/>
      <c r="H1131" s="37"/>
      <c r="I1131" s="37"/>
      <c r="J1131" s="37"/>
      <c r="K1131" s="37"/>
      <c r="L1131" s="37"/>
      <c r="M1131" s="37"/>
      <c r="N1131" s="37"/>
      <c r="O1131" s="37"/>
      <c r="P1131" s="37"/>
      <c r="Q1131" s="37"/>
      <c r="R1131" s="37"/>
      <c r="S1131" s="37"/>
      <c r="T1131" s="37"/>
      <c r="U1131" s="37"/>
      <c r="V1131" s="37"/>
      <c r="W1131" s="37"/>
      <c r="X1131" s="37"/>
      <c r="Y1131" s="37"/>
      <c r="Z1131" s="37"/>
      <c r="AA1131" s="37"/>
      <c r="AB1131" s="37"/>
      <c r="AC1131" s="37"/>
      <c r="AD1131" s="37"/>
    </row>
    <row r="1132">
      <c r="A1132" s="37"/>
      <c r="B1132" s="37"/>
      <c r="C1132" s="37"/>
      <c r="D1132" s="37"/>
      <c r="E1132" s="37"/>
      <c r="F1132" s="37"/>
      <c r="G1132" s="37"/>
      <c r="H1132" s="37"/>
      <c r="I1132" s="37"/>
      <c r="J1132" s="37"/>
      <c r="K1132" s="37"/>
      <c r="L1132" s="37"/>
      <c r="M1132" s="37"/>
      <c r="N1132" s="37"/>
      <c r="O1132" s="37"/>
      <c r="P1132" s="37"/>
      <c r="Q1132" s="37"/>
      <c r="R1132" s="37"/>
      <c r="S1132" s="37"/>
      <c r="T1132" s="37"/>
      <c r="U1132" s="37"/>
      <c r="V1132" s="37"/>
      <c r="W1132" s="37"/>
      <c r="X1132" s="37"/>
      <c r="Y1132" s="37"/>
      <c r="Z1132" s="37"/>
      <c r="AA1132" s="37"/>
      <c r="AB1132" s="37"/>
      <c r="AC1132" s="37"/>
      <c r="AD1132" s="37"/>
    </row>
    <row r="1133">
      <c r="A1133" s="37"/>
      <c r="B1133" s="37"/>
      <c r="C1133" s="37"/>
      <c r="D1133" s="37"/>
      <c r="E1133" s="37"/>
      <c r="F1133" s="37"/>
      <c r="G1133" s="37"/>
      <c r="H1133" s="37"/>
      <c r="I1133" s="37"/>
      <c r="J1133" s="37"/>
      <c r="K1133" s="37"/>
      <c r="L1133" s="37"/>
      <c r="M1133" s="37"/>
      <c r="N1133" s="37"/>
      <c r="O1133" s="37"/>
      <c r="P1133" s="37"/>
      <c r="Q1133" s="37"/>
      <c r="R1133" s="37"/>
      <c r="S1133" s="37"/>
      <c r="T1133" s="37"/>
      <c r="U1133" s="37"/>
      <c r="V1133" s="37"/>
      <c r="W1133" s="37"/>
      <c r="X1133" s="37"/>
      <c r="Y1133" s="37"/>
      <c r="Z1133" s="37"/>
      <c r="AA1133" s="37"/>
      <c r="AB1133" s="37"/>
      <c r="AC1133" s="37"/>
      <c r="AD1133" s="37"/>
    </row>
    <row r="1134">
      <c r="A1134" s="37"/>
      <c r="B1134" s="37"/>
      <c r="C1134" s="37"/>
      <c r="D1134" s="37"/>
      <c r="E1134" s="37"/>
      <c r="F1134" s="37"/>
      <c r="G1134" s="37"/>
      <c r="H1134" s="37"/>
      <c r="I1134" s="37"/>
      <c r="J1134" s="37"/>
      <c r="K1134" s="37"/>
      <c r="L1134" s="37"/>
      <c r="M1134" s="37"/>
      <c r="N1134" s="37"/>
      <c r="O1134" s="37"/>
      <c r="P1134" s="37"/>
      <c r="Q1134" s="37"/>
      <c r="R1134" s="37"/>
      <c r="S1134" s="37"/>
      <c r="T1134" s="37"/>
      <c r="U1134" s="37"/>
      <c r="V1134" s="37"/>
      <c r="W1134" s="37"/>
      <c r="X1134" s="37"/>
      <c r="Y1134" s="37"/>
      <c r="Z1134" s="37"/>
      <c r="AA1134" s="37"/>
      <c r="AB1134" s="37"/>
      <c r="AC1134" s="37"/>
      <c r="AD1134" s="37"/>
    </row>
    <row r="1135">
      <c r="A1135" s="37"/>
      <c r="B1135" s="37"/>
      <c r="C1135" s="37"/>
      <c r="D1135" s="37"/>
      <c r="E1135" s="37"/>
      <c r="F1135" s="37"/>
      <c r="G1135" s="37"/>
      <c r="H1135" s="37"/>
      <c r="I1135" s="37"/>
      <c r="J1135" s="37"/>
      <c r="K1135" s="37"/>
      <c r="L1135" s="37"/>
      <c r="M1135" s="37"/>
      <c r="N1135" s="37"/>
      <c r="O1135" s="37"/>
      <c r="P1135" s="37"/>
      <c r="Q1135" s="37"/>
      <c r="R1135" s="37"/>
      <c r="S1135" s="37"/>
      <c r="T1135" s="37"/>
      <c r="U1135" s="37"/>
      <c r="V1135" s="37"/>
      <c r="W1135" s="37"/>
      <c r="X1135" s="37"/>
      <c r="Y1135" s="37"/>
      <c r="Z1135" s="37"/>
      <c r="AA1135" s="37"/>
      <c r="AB1135" s="37"/>
      <c r="AC1135" s="37"/>
      <c r="AD1135" s="37"/>
    </row>
    <row r="1136">
      <c r="A1136" s="37"/>
      <c r="B1136" s="37"/>
      <c r="C1136" s="37"/>
      <c r="D1136" s="37"/>
      <c r="E1136" s="37"/>
      <c r="F1136" s="37"/>
      <c r="G1136" s="37"/>
      <c r="H1136" s="37"/>
      <c r="I1136" s="37"/>
      <c r="J1136" s="37"/>
      <c r="K1136" s="37"/>
      <c r="L1136" s="37"/>
      <c r="M1136" s="37"/>
      <c r="N1136" s="37"/>
      <c r="O1136" s="37"/>
      <c r="P1136" s="37"/>
      <c r="Q1136" s="37"/>
      <c r="R1136" s="37"/>
      <c r="S1136" s="37"/>
      <c r="T1136" s="37"/>
      <c r="U1136" s="37"/>
      <c r="V1136" s="37"/>
      <c r="W1136" s="37"/>
      <c r="X1136" s="37"/>
      <c r="Y1136" s="37"/>
      <c r="Z1136" s="37"/>
      <c r="AA1136" s="37"/>
      <c r="AB1136" s="37"/>
      <c r="AC1136" s="37"/>
      <c r="AD1136" s="37"/>
    </row>
    <row r="1137">
      <c r="A1137" s="37"/>
      <c r="B1137" s="37"/>
      <c r="C1137" s="37"/>
      <c r="D1137" s="37"/>
      <c r="E1137" s="37"/>
      <c r="F1137" s="37"/>
      <c r="G1137" s="37"/>
      <c r="H1137" s="37"/>
      <c r="I1137" s="37"/>
      <c r="J1137" s="37"/>
      <c r="K1137" s="37"/>
      <c r="L1137" s="37"/>
      <c r="M1137" s="37"/>
      <c r="N1137" s="37"/>
      <c r="O1137" s="37"/>
      <c r="P1137" s="37"/>
      <c r="Q1137" s="37"/>
      <c r="R1137" s="37"/>
      <c r="S1137" s="37"/>
      <c r="T1137" s="37"/>
      <c r="U1137" s="37"/>
      <c r="V1137" s="37"/>
      <c r="W1137" s="37"/>
      <c r="X1137" s="37"/>
      <c r="Y1137" s="37"/>
      <c r="Z1137" s="37"/>
      <c r="AA1137" s="37"/>
      <c r="AB1137" s="37"/>
      <c r="AC1137" s="37"/>
      <c r="AD1137" s="37"/>
    </row>
    <row r="1138">
      <c r="A1138" s="37"/>
      <c r="B1138" s="37"/>
      <c r="C1138" s="37"/>
      <c r="D1138" s="37"/>
      <c r="E1138" s="37"/>
      <c r="F1138" s="37"/>
      <c r="G1138" s="37"/>
      <c r="H1138" s="37"/>
      <c r="I1138" s="37"/>
      <c r="J1138" s="37"/>
      <c r="K1138" s="37"/>
      <c r="L1138" s="37"/>
      <c r="M1138" s="37"/>
      <c r="N1138" s="37"/>
      <c r="O1138" s="37"/>
      <c r="P1138" s="37"/>
      <c r="Q1138" s="37"/>
      <c r="R1138" s="37"/>
      <c r="S1138" s="37"/>
      <c r="T1138" s="37"/>
      <c r="U1138" s="37"/>
      <c r="V1138" s="37"/>
      <c r="W1138" s="37"/>
      <c r="X1138" s="37"/>
      <c r="Y1138" s="37"/>
      <c r="Z1138" s="37"/>
      <c r="AA1138" s="37"/>
      <c r="AB1138" s="37"/>
      <c r="AC1138" s="37"/>
      <c r="AD1138" s="37"/>
    </row>
    <row r="1139">
      <c r="A1139" s="37"/>
      <c r="B1139" s="37"/>
      <c r="C1139" s="37"/>
      <c r="D1139" s="37"/>
      <c r="E1139" s="37"/>
      <c r="F1139" s="37"/>
      <c r="G1139" s="37"/>
      <c r="H1139" s="37"/>
      <c r="I1139" s="37"/>
      <c r="J1139" s="37"/>
      <c r="K1139" s="37"/>
      <c r="L1139" s="37"/>
      <c r="M1139" s="37"/>
      <c r="N1139" s="37"/>
      <c r="O1139" s="37"/>
      <c r="P1139" s="37"/>
      <c r="Q1139" s="37"/>
      <c r="R1139" s="37"/>
      <c r="S1139" s="37"/>
      <c r="T1139" s="37"/>
      <c r="U1139" s="37"/>
      <c r="V1139" s="37"/>
      <c r="W1139" s="37"/>
      <c r="X1139" s="37"/>
      <c r="Y1139" s="37"/>
      <c r="Z1139" s="37"/>
      <c r="AA1139" s="37"/>
      <c r="AB1139" s="37"/>
      <c r="AC1139" s="37"/>
      <c r="AD1139" s="37"/>
    </row>
    <row r="1140">
      <c r="A1140" s="37"/>
      <c r="B1140" s="37"/>
      <c r="C1140" s="37"/>
      <c r="D1140" s="37"/>
      <c r="E1140" s="37"/>
      <c r="F1140" s="37"/>
      <c r="G1140" s="37"/>
      <c r="H1140" s="37"/>
      <c r="I1140" s="37"/>
      <c r="J1140" s="37"/>
      <c r="K1140" s="37"/>
      <c r="L1140" s="37"/>
      <c r="M1140" s="37"/>
      <c r="N1140" s="37"/>
      <c r="O1140" s="37"/>
      <c r="P1140" s="37"/>
      <c r="Q1140" s="37"/>
      <c r="R1140" s="37"/>
      <c r="S1140" s="37"/>
      <c r="T1140" s="37"/>
      <c r="U1140" s="37"/>
      <c r="V1140" s="37"/>
      <c r="W1140" s="37"/>
      <c r="X1140" s="37"/>
      <c r="Y1140" s="37"/>
      <c r="Z1140" s="37"/>
      <c r="AA1140" s="37"/>
      <c r="AB1140" s="37"/>
      <c r="AC1140" s="37"/>
      <c r="AD1140" s="37"/>
    </row>
    <row r="1141">
      <c r="A1141" s="37"/>
      <c r="B1141" s="37"/>
      <c r="C1141" s="37"/>
      <c r="D1141" s="37"/>
      <c r="E1141" s="37"/>
      <c r="F1141" s="37"/>
      <c r="G1141" s="37"/>
      <c r="H1141" s="37"/>
      <c r="I1141" s="37"/>
      <c r="J1141" s="37"/>
      <c r="K1141" s="37"/>
      <c r="L1141" s="37"/>
      <c r="M1141" s="37"/>
      <c r="N1141" s="37"/>
      <c r="O1141" s="37"/>
      <c r="P1141" s="37"/>
      <c r="Q1141" s="37"/>
      <c r="R1141" s="37"/>
      <c r="S1141" s="37"/>
      <c r="T1141" s="37"/>
      <c r="U1141" s="37"/>
      <c r="V1141" s="37"/>
      <c r="W1141" s="37"/>
      <c r="X1141" s="37"/>
      <c r="Y1141" s="37"/>
      <c r="Z1141" s="37"/>
      <c r="AA1141" s="37"/>
      <c r="AB1141" s="37"/>
      <c r="AC1141" s="37"/>
      <c r="AD1141" s="37"/>
    </row>
    <row r="1142">
      <c r="A1142" s="37"/>
      <c r="B1142" s="37"/>
      <c r="C1142" s="37"/>
      <c r="D1142" s="37"/>
      <c r="E1142" s="37"/>
      <c r="F1142" s="37"/>
      <c r="G1142" s="37"/>
      <c r="H1142" s="37"/>
      <c r="I1142" s="37"/>
      <c r="J1142" s="37"/>
      <c r="K1142" s="37"/>
      <c r="L1142" s="37"/>
      <c r="M1142" s="37"/>
      <c r="N1142" s="37"/>
      <c r="O1142" s="37"/>
      <c r="P1142" s="37"/>
      <c r="Q1142" s="37"/>
      <c r="R1142" s="37"/>
      <c r="S1142" s="37"/>
      <c r="T1142" s="37"/>
      <c r="U1142" s="37"/>
      <c r="V1142" s="37"/>
      <c r="W1142" s="37"/>
      <c r="X1142" s="37"/>
      <c r="Y1142" s="37"/>
      <c r="Z1142" s="37"/>
      <c r="AA1142" s="37"/>
      <c r="AB1142" s="37"/>
      <c r="AC1142" s="37"/>
      <c r="AD1142" s="37"/>
    </row>
    <row r="1143">
      <c r="A1143" s="37"/>
      <c r="B1143" s="37"/>
      <c r="C1143" s="37"/>
      <c r="D1143" s="37"/>
      <c r="E1143" s="37"/>
      <c r="F1143" s="37"/>
      <c r="G1143" s="37"/>
      <c r="H1143" s="37"/>
      <c r="I1143" s="37"/>
      <c r="J1143" s="37"/>
      <c r="K1143" s="37"/>
      <c r="L1143" s="37"/>
      <c r="M1143" s="37"/>
      <c r="N1143" s="37"/>
      <c r="O1143" s="37"/>
      <c r="P1143" s="37"/>
      <c r="Q1143" s="37"/>
      <c r="R1143" s="37"/>
      <c r="S1143" s="37"/>
      <c r="T1143" s="37"/>
      <c r="U1143" s="37"/>
      <c r="V1143" s="37"/>
      <c r="W1143" s="37"/>
      <c r="X1143" s="37"/>
      <c r="Y1143" s="37"/>
      <c r="Z1143" s="37"/>
      <c r="AA1143" s="37"/>
      <c r="AB1143" s="37"/>
      <c r="AC1143" s="37"/>
      <c r="AD1143" s="37"/>
    </row>
    <row r="1144">
      <c r="A1144" s="37"/>
      <c r="B1144" s="37"/>
      <c r="C1144" s="37"/>
      <c r="D1144" s="37"/>
      <c r="E1144" s="37"/>
      <c r="F1144" s="37"/>
      <c r="G1144" s="37"/>
      <c r="H1144" s="37"/>
      <c r="I1144" s="37"/>
      <c r="J1144" s="37"/>
      <c r="K1144" s="37"/>
      <c r="L1144" s="37"/>
      <c r="M1144" s="37"/>
      <c r="N1144" s="37"/>
      <c r="O1144" s="37"/>
      <c r="P1144" s="37"/>
      <c r="Q1144" s="37"/>
      <c r="R1144" s="37"/>
      <c r="S1144" s="37"/>
      <c r="T1144" s="37"/>
      <c r="U1144" s="37"/>
      <c r="V1144" s="37"/>
      <c r="W1144" s="37"/>
      <c r="X1144" s="37"/>
      <c r="Y1144" s="37"/>
      <c r="Z1144" s="37"/>
      <c r="AA1144" s="37"/>
      <c r="AB1144" s="37"/>
      <c r="AC1144" s="37"/>
      <c r="AD1144" s="37"/>
    </row>
    <row r="1145">
      <c r="A1145" s="37"/>
      <c r="B1145" s="37"/>
      <c r="C1145" s="37"/>
      <c r="D1145" s="37"/>
      <c r="E1145" s="37"/>
      <c r="F1145" s="37"/>
      <c r="G1145" s="37"/>
      <c r="H1145" s="37"/>
      <c r="I1145" s="37"/>
      <c r="J1145" s="37"/>
      <c r="K1145" s="37"/>
      <c r="L1145" s="37"/>
      <c r="M1145" s="37"/>
      <c r="N1145" s="37"/>
      <c r="O1145" s="37"/>
      <c r="P1145" s="37"/>
      <c r="Q1145" s="37"/>
      <c r="R1145" s="37"/>
      <c r="S1145" s="37"/>
      <c r="T1145" s="37"/>
      <c r="U1145" s="37"/>
      <c r="V1145" s="37"/>
      <c r="W1145" s="37"/>
      <c r="X1145" s="37"/>
      <c r="Y1145" s="37"/>
      <c r="Z1145" s="37"/>
      <c r="AA1145" s="37"/>
      <c r="AB1145" s="37"/>
      <c r="AC1145" s="37"/>
      <c r="AD1145" s="37"/>
    </row>
    <row r="1146">
      <c r="A1146" s="37"/>
      <c r="B1146" s="37"/>
      <c r="C1146" s="37"/>
      <c r="D1146" s="37"/>
      <c r="E1146" s="37"/>
      <c r="F1146" s="37"/>
      <c r="G1146" s="37"/>
      <c r="H1146" s="37"/>
      <c r="I1146" s="37"/>
      <c r="J1146" s="37"/>
      <c r="K1146" s="37"/>
      <c r="L1146" s="37"/>
      <c r="M1146" s="37"/>
      <c r="N1146" s="37"/>
      <c r="O1146" s="37"/>
      <c r="P1146" s="37"/>
      <c r="Q1146" s="37"/>
      <c r="R1146" s="37"/>
      <c r="S1146" s="37"/>
      <c r="T1146" s="37"/>
      <c r="U1146" s="37"/>
      <c r="V1146" s="37"/>
      <c r="W1146" s="37"/>
      <c r="X1146" s="37"/>
      <c r="Y1146" s="37"/>
      <c r="Z1146" s="37"/>
      <c r="AA1146" s="37"/>
      <c r="AB1146" s="37"/>
      <c r="AC1146" s="37"/>
      <c r="AD1146" s="37"/>
    </row>
    <row r="1147">
      <c r="A1147" s="37"/>
      <c r="B1147" s="37"/>
      <c r="C1147" s="37"/>
      <c r="D1147" s="37"/>
      <c r="E1147" s="37"/>
      <c r="F1147" s="37"/>
      <c r="G1147" s="37"/>
      <c r="H1147" s="37"/>
      <c r="I1147" s="37"/>
      <c r="J1147" s="37"/>
      <c r="K1147" s="37"/>
      <c r="L1147" s="37"/>
      <c r="M1147" s="37"/>
      <c r="N1147" s="37"/>
      <c r="O1147" s="37"/>
      <c r="P1147" s="37"/>
      <c r="Q1147" s="37"/>
      <c r="R1147" s="37"/>
      <c r="S1147" s="37"/>
      <c r="T1147" s="37"/>
      <c r="U1147" s="37"/>
      <c r="V1147" s="37"/>
      <c r="W1147" s="37"/>
      <c r="X1147" s="37"/>
      <c r="Y1147" s="37"/>
      <c r="Z1147" s="37"/>
      <c r="AA1147" s="37"/>
      <c r="AB1147" s="37"/>
      <c r="AC1147" s="37"/>
      <c r="AD1147" s="37"/>
    </row>
    <row r="1148">
      <c r="A1148" s="37"/>
      <c r="B1148" s="37"/>
      <c r="C1148" s="37"/>
      <c r="D1148" s="37"/>
      <c r="E1148" s="37"/>
      <c r="F1148" s="37"/>
      <c r="G1148" s="37"/>
      <c r="H1148" s="37"/>
      <c r="I1148" s="37"/>
      <c r="J1148" s="37"/>
      <c r="K1148" s="37"/>
      <c r="L1148" s="37"/>
      <c r="M1148" s="37"/>
      <c r="N1148" s="37"/>
      <c r="O1148" s="37"/>
      <c r="P1148" s="37"/>
      <c r="Q1148" s="37"/>
      <c r="R1148" s="37"/>
      <c r="S1148" s="37"/>
      <c r="T1148" s="37"/>
      <c r="U1148" s="37"/>
      <c r="V1148" s="37"/>
      <c r="W1148" s="37"/>
      <c r="X1148" s="37"/>
      <c r="Y1148" s="37"/>
      <c r="Z1148" s="37"/>
      <c r="AA1148" s="37"/>
      <c r="AB1148" s="37"/>
      <c r="AC1148" s="37"/>
      <c r="AD1148" s="37"/>
    </row>
    <row r="1149">
      <c r="A1149" s="37"/>
      <c r="B1149" s="37"/>
      <c r="C1149" s="37"/>
      <c r="D1149" s="37"/>
      <c r="E1149" s="37"/>
      <c r="F1149" s="37"/>
      <c r="G1149" s="37"/>
      <c r="H1149" s="37"/>
      <c r="I1149" s="37"/>
      <c r="J1149" s="37"/>
      <c r="K1149" s="37"/>
      <c r="L1149" s="37"/>
      <c r="M1149" s="37"/>
      <c r="N1149" s="37"/>
      <c r="O1149" s="37"/>
      <c r="P1149" s="37"/>
      <c r="Q1149" s="37"/>
      <c r="R1149" s="37"/>
      <c r="S1149" s="37"/>
      <c r="T1149" s="37"/>
      <c r="U1149" s="37"/>
      <c r="V1149" s="37"/>
      <c r="W1149" s="37"/>
      <c r="X1149" s="37"/>
      <c r="Y1149" s="37"/>
      <c r="Z1149" s="37"/>
      <c r="AA1149" s="37"/>
      <c r="AB1149" s="37"/>
      <c r="AC1149" s="37"/>
      <c r="AD1149" s="37"/>
    </row>
    <row r="1150">
      <c r="A1150" s="37"/>
      <c r="B1150" s="37"/>
      <c r="C1150" s="37"/>
      <c r="D1150" s="37"/>
      <c r="E1150" s="37"/>
      <c r="F1150" s="37"/>
      <c r="G1150" s="37"/>
      <c r="H1150" s="37"/>
      <c r="I1150" s="37"/>
      <c r="J1150" s="37"/>
      <c r="K1150" s="37"/>
      <c r="L1150" s="37"/>
      <c r="M1150" s="37"/>
      <c r="N1150" s="37"/>
      <c r="O1150" s="37"/>
      <c r="P1150" s="37"/>
      <c r="Q1150" s="37"/>
      <c r="R1150" s="37"/>
      <c r="S1150" s="37"/>
      <c r="T1150" s="37"/>
      <c r="U1150" s="37"/>
      <c r="V1150" s="37"/>
      <c r="W1150" s="37"/>
      <c r="X1150" s="37"/>
      <c r="Y1150" s="37"/>
      <c r="Z1150" s="37"/>
      <c r="AA1150" s="37"/>
      <c r="AB1150" s="37"/>
      <c r="AC1150" s="37"/>
      <c r="AD1150" s="37"/>
    </row>
    <row r="1151">
      <c r="A1151" s="37"/>
      <c r="B1151" s="37"/>
      <c r="C1151" s="37"/>
      <c r="D1151" s="37"/>
      <c r="E1151" s="37"/>
      <c r="F1151" s="37"/>
      <c r="G1151" s="37"/>
      <c r="H1151" s="37"/>
      <c r="I1151" s="37"/>
      <c r="J1151" s="37"/>
      <c r="K1151" s="37"/>
      <c r="L1151" s="37"/>
      <c r="M1151" s="37"/>
      <c r="N1151" s="37"/>
      <c r="O1151" s="37"/>
      <c r="P1151" s="37"/>
      <c r="Q1151" s="37"/>
      <c r="R1151" s="37"/>
      <c r="S1151" s="37"/>
      <c r="T1151" s="37"/>
      <c r="U1151" s="37"/>
      <c r="V1151" s="37"/>
      <c r="W1151" s="37"/>
      <c r="X1151" s="37"/>
      <c r="Y1151" s="37"/>
      <c r="Z1151" s="37"/>
      <c r="AA1151" s="37"/>
      <c r="AB1151" s="37"/>
      <c r="AC1151" s="37"/>
      <c r="AD1151" s="37"/>
    </row>
    <row r="1152">
      <c r="A1152" s="37"/>
      <c r="B1152" s="37"/>
      <c r="C1152" s="37"/>
      <c r="D1152" s="37"/>
      <c r="E1152" s="37"/>
      <c r="F1152" s="37"/>
      <c r="G1152" s="37"/>
      <c r="H1152" s="37"/>
      <c r="I1152" s="37"/>
      <c r="J1152" s="37"/>
      <c r="K1152" s="37"/>
      <c r="L1152" s="37"/>
      <c r="M1152" s="37"/>
      <c r="N1152" s="37"/>
      <c r="O1152" s="37"/>
      <c r="P1152" s="37"/>
      <c r="Q1152" s="37"/>
      <c r="R1152" s="37"/>
      <c r="S1152" s="37"/>
      <c r="T1152" s="37"/>
      <c r="U1152" s="37"/>
      <c r="V1152" s="37"/>
      <c r="W1152" s="37"/>
      <c r="X1152" s="37"/>
      <c r="Y1152" s="37"/>
      <c r="Z1152" s="37"/>
      <c r="AA1152" s="37"/>
      <c r="AB1152" s="37"/>
      <c r="AC1152" s="37"/>
      <c r="AD1152" s="37"/>
    </row>
    <row r="1153">
      <c r="A1153" s="37"/>
      <c r="B1153" s="37"/>
      <c r="C1153" s="37"/>
      <c r="D1153" s="37"/>
      <c r="E1153" s="37"/>
      <c r="F1153" s="37"/>
      <c r="G1153" s="37"/>
      <c r="H1153" s="37"/>
      <c r="I1153" s="37"/>
      <c r="J1153" s="37"/>
      <c r="K1153" s="37"/>
      <c r="L1153" s="37"/>
      <c r="M1153" s="37"/>
      <c r="N1153" s="37"/>
      <c r="O1153" s="37"/>
      <c r="P1153" s="37"/>
      <c r="Q1153" s="37"/>
      <c r="R1153" s="37"/>
      <c r="S1153" s="37"/>
      <c r="T1153" s="37"/>
      <c r="U1153" s="37"/>
      <c r="V1153" s="37"/>
      <c r="W1153" s="37"/>
      <c r="X1153" s="37"/>
      <c r="Y1153" s="37"/>
      <c r="Z1153" s="37"/>
      <c r="AA1153" s="37"/>
      <c r="AB1153" s="37"/>
      <c r="AC1153" s="37"/>
      <c r="AD1153" s="37"/>
    </row>
    <row r="1154">
      <c r="A1154" s="37"/>
      <c r="B1154" s="37"/>
      <c r="C1154" s="37"/>
      <c r="D1154" s="37"/>
      <c r="E1154" s="37"/>
      <c r="F1154" s="37"/>
      <c r="G1154" s="37"/>
      <c r="H1154" s="37"/>
      <c r="I1154" s="37"/>
      <c r="J1154" s="37"/>
      <c r="K1154" s="37"/>
      <c r="L1154" s="37"/>
      <c r="M1154" s="37"/>
      <c r="N1154" s="37"/>
      <c r="O1154" s="37"/>
      <c r="P1154" s="37"/>
      <c r="Q1154" s="37"/>
      <c r="R1154" s="37"/>
      <c r="S1154" s="37"/>
      <c r="T1154" s="37"/>
      <c r="U1154" s="37"/>
      <c r="V1154" s="37"/>
      <c r="W1154" s="37"/>
      <c r="X1154" s="37"/>
      <c r="Y1154" s="37"/>
      <c r="Z1154" s="37"/>
      <c r="AA1154" s="37"/>
      <c r="AB1154" s="37"/>
      <c r="AC1154" s="37"/>
      <c r="AD1154" s="37"/>
    </row>
    <row r="1155">
      <c r="A1155" s="37"/>
      <c r="B1155" s="37"/>
      <c r="C1155" s="37"/>
      <c r="D1155" s="37"/>
      <c r="E1155" s="37"/>
      <c r="F1155" s="37"/>
      <c r="G1155" s="37"/>
      <c r="H1155" s="37"/>
      <c r="I1155" s="37"/>
      <c r="J1155" s="37"/>
      <c r="K1155" s="37"/>
      <c r="L1155" s="37"/>
      <c r="M1155" s="37"/>
      <c r="N1155" s="37"/>
      <c r="O1155" s="37"/>
      <c r="P1155" s="37"/>
      <c r="Q1155" s="37"/>
      <c r="R1155" s="37"/>
      <c r="S1155" s="37"/>
      <c r="T1155" s="37"/>
      <c r="U1155" s="37"/>
      <c r="V1155" s="37"/>
      <c r="W1155" s="37"/>
      <c r="X1155" s="37"/>
      <c r="Y1155" s="37"/>
      <c r="Z1155" s="37"/>
      <c r="AA1155" s="37"/>
      <c r="AB1155" s="37"/>
      <c r="AC1155" s="37"/>
      <c r="AD1155" s="37"/>
    </row>
    <row r="1156">
      <c r="A1156" s="37"/>
      <c r="B1156" s="37"/>
      <c r="C1156" s="37"/>
      <c r="D1156" s="37"/>
      <c r="E1156" s="37"/>
      <c r="F1156" s="37"/>
      <c r="G1156" s="37"/>
      <c r="H1156" s="37"/>
      <c r="I1156" s="37"/>
      <c r="J1156" s="37"/>
      <c r="K1156" s="37"/>
      <c r="L1156" s="37"/>
      <c r="M1156" s="37"/>
      <c r="N1156" s="37"/>
      <c r="O1156" s="37"/>
      <c r="P1156" s="37"/>
      <c r="Q1156" s="37"/>
      <c r="R1156" s="37"/>
      <c r="S1156" s="37"/>
      <c r="T1156" s="37"/>
      <c r="U1156" s="37"/>
      <c r="V1156" s="37"/>
      <c r="W1156" s="37"/>
      <c r="X1156" s="37"/>
      <c r="Y1156" s="37"/>
      <c r="Z1156" s="37"/>
      <c r="AA1156" s="37"/>
      <c r="AB1156" s="37"/>
      <c r="AC1156" s="37"/>
      <c r="AD1156" s="37"/>
    </row>
    <row r="1157">
      <c r="A1157" s="37"/>
      <c r="B1157" s="37"/>
      <c r="C1157" s="37"/>
      <c r="D1157" s="37"/>
      <c r="E1157" s="37"/>
      <c r="F1157" s="37"/>
      <c r="G1157" s="37"/>
      <c r="H1157" s="37"/>
      <c r="I1157" s="37"/>
      <c r="J1157" s="37"/>
      <c r="K1157" s="37"/>
      <c r="L1157" s="37"/>
      <c r="M1157" s="37"/>
      <c r="N1157" s="37"/>
      <c r="O1157" s="37"/>
      <c r="P1157" s="37"/>
      <c r="Q1157" s="37"/>
      <c r="R1157" s="37"/>
      <c r="S1157" s="37"/>
      <c r="T1157" s="37"/>
      <c r="U1157" s="37"/>
      <c r="V1157" s="37"/>
      <c r="W1157" s="37"/>
      <c r="X1157" s="37"/>
      <c r="Y1157" s="37"/>
      <c r="Z1157" s="37"/>
      <c r="AA1157" s="37"/>
      <c r="AB1157" s="37"/>
      <c r="AC1157" s="37"/>
      <c r="AD1157" s="37"/>
    </row>
    <row r="1158">
      <c r="A1158" s="37"/>
      <c r="B1158" s="37"/>
      <c r="C1158" s="37"/>
      <c r="D1158" s="37"/>
      <c r="E1158" s="37"/>
      <c r="F1158" s="37"/>
      <c r="G1158" s="37"/>
      <c r="H1158" s="37"/>
      <c r="I1158" s="37"/>
      <c r="J1158" s="37"/>
      <c r="K1158" s="37"/>
      <c r="L1158" s="37"/>
      <c r="M1158" s="37"/>
      <c r="N1158" s="37"/>
      <c r="O1158" s="37"/>
      <c r="P1158" s="37"/>
      <c r="Q1158" s="37"/>
      <c r="R1158" s="37"/>
      <c r="S1158" s="37"/>
      <c r="T1158" s="37"/>
      <c r="U1158" s="37"/>
      <c r="V1158" s="37"/>
      <c r="W1158" s="37"/>
      <c r="X1158" s="37"/>
      <c r="Y1158" s="37"/>
      <c r="Z1158" s="37"/>
      <c r="AA1158" s="37"/>
      <c r="AB1158" s="37"/>
      <c r="AC1158" s="37"/>
      <c r="AD1158" s="37"/>
    </row>
    <row r="1159">
      <c r="A1159" s="37"/>
      <c r="B1159" s="37"/>
      <c r="C1159" s="37"/>
      <c r="D1159" s="37"/>
      <c r="E1159" s="37"/>
      <c r="F1159" s="37"/>
      <c r="G1159" s="37"/>
      <c r="H1159" s="37"/>
      <c r="I1159" s="37"/>
      <c r="J1159" s="37"/>
      <c r="K1159" s="37"/>
      <c r="L1159" s="37"/>
      <c r="M1159" s="37"/>
      <c r="N1159" s="37"/>
      <c r="O1159" s="37"/>
      <c r="P1159" s="37"/>
      <c r="Q1159" s="37"/>
      <c r="R1159" s="37"/>
      <c r="S1159" s="37"/>
      <c r="T1159" s="37"/>
      <c r="U1159" s="37"/>
      <c r="V1159" s="37"/>
      <c r="W1159" s="37"/>
      <c r="X1159" s="37"/>
      <c r="Y1159" s="37"/>
      <c r="Z1159" s="37"/>
      <c r="AA1159" s="37"/>
      <c r="AB1159" s="37"/>
      <c r="AC1159" s="37"/>
      <c r="AD1159" s="37"/>
    </row>
    <row r="1160">
      <c r="A1160" s="37"/>
      <c r="B1160" s="37"/>
      <c r="C1160" s="37"/>
      <c r="D1160" s="37"/>
      <c r="E1160" s="37"/>
      <c r="F1160" s="37"/>
      <c r="G1160" s="37"/>
      <c r="H1160" s="37"/>
      <c r="I1160" s="37"/>
      <c r="J1160" s="37"/>
      <c r="K1160" s="37"/>
      <c r="L1160" s="37"/>
      <c r="M1160" s="37"/>
      <c r="N1160" s="37"/>
      <c r="O1160" s="37"/>
      <c r="P1160" s="37"/>
      <c r="Q1160" s="37"/>
      <c r="R1160" s="37"/>
      <c r="S1160" s="37"/>
      <c r="T1160" s="37"/>
      <c r="U1160" s="37"/>
      <c r="V1160" s="37"/>
      <c r="W1160" s="37"/>
      <c r="X1160" s="37"/>
      <c r="Y1160" s="37"/>
      <c r="Z1160" s="37"/>
      <c r="AA1160" s="37"/>
      <c r="AB1160" s="37"/>
      <c r="AC1160" s="37"/>
      <c r="AD1160" s="37"/>
    </row>
    <row r="1161">
      <c r="A1161" s="37"/>
      <c r="B1161" s="37"/>
      <c r="C1161" s="37"/>
      <c r="D1161" s="37"/>
      <c r="E1161" s="37"/>
      <c r="F1161" s="37"/>
      <c r="G1161" s="37"/>
      <c r="H1161" s="37"/>
      <c r="I1161" s="37"/>
      <c r="J1161" s="37"/>
      <c r="K1161" s="37"/>
      <c r="L1161" s="37"/>
      <c r="M1161" s="37"/>
      <c r="N1161" s="37"/>
      <c r="O1161" s="37"/>
      <c r="P1161" s="37"/>
      <c r="Q1161" s="37"/>
      <c r="R1161" s="37"/>
      <c r="S1161" s="37"/>
      <c r="T1161" s="37"/>
      <c r="U1161" s="37"/>
      <c r="V1161" s="37"/>
      <c r="W1161" s="37"/>
      <c r="X1161" s="37"/>
      <c r="Y1161" s="37"/>
      <c r="Z1161" s="37"/>
      <c r="AA1161" s="37"/>
      <c r="AB1161" s="37"/>
      <c r="AC1161" s="37"/>
      <c r="AD1161" s="37"/>
    </row>
    <row r="1162">
      <c r="A1162" s="37"/>
      <c r="B1162" s="37"/>
      <c r="C1162" s="37"/>
      <c r="D1162" s="37"/>
      <c r="E1162" s="37"/>
      <c r="F1162" s="37"/>
      <c r="G1162" s="37"/>
      <c r="H1162" s="37"/>
      <c r="I1162" s="37"/>
      <c r="J1162" s="37"/>
      <c r="K1162" s="37"/>
      <c r="L1162" s="37"/>
      <c r="M1162" s="37"/>
      <c r="N1162" s="37"/>
      <c r="O1162" s="37"/>
      <c r="P1162" s="37"/>
      <c r="Q1162" s="37"/>
      <c r="R1162" s="37"/>
      <c r="S1162" s="37"/>
      <c r="T1162" s="37"/>
      <c r="U1162" s="37"/>
      <c r="V1162" s="37"/>
      <c r="W1162" s="37"/>
      <c r="X1162" s="37"/>
      <c r="Y1162" s="37"/>
      <c r="Z1162" s="37"/>
      <c r="AA1162" s="37"/>
      <c r="AB1162" s="37"/>
      <c r="AC1162" s="37"/>
      <c r="AD1162" s="37"/>
    </row>
    <row r="1163">
      <c r="A1163" s="37"/>
      <c r="B1163" s="37"/>
      <c r="C1163" s="37"/>
      <c r="D1163" s="37"/>
      <c r="E1163" s="37"/>
      <c r="F1163" s="37"/>
      <c r="G1163" s="37"/>
      <c r="H1163" s="37"/>
      <c r="I1163" s="37"/>
      <c r="J1163" s="37"/>
      <c r="K1163" s="37"/>
      <c r="L1163" s="37"/>
      <c r="M1163" s="37"/>
      <c r="N1163" s="37"/>
      <c r="O1163" s="37"/>
      <c r="P1163" s="37"/>
      <c r="Q1163" s="37"/>
      <c r="R1163" s="37"/>
      <c r="S1163" s="37"/>
      <c r="T1163" s="37"/>
      <c r="U1163" s="37"/>
      <c r="V1163" s="37"/>
      <c r="W1163" s="37"/>
      <c r="X1163" s="37"/>
      <c r="Y1163" s="37"/>
      <c r="Z1163" s="37"/>
      <c r="AA1163" s="37"/>
      <c r="AB1163" s="37"/>
      <c r="AC1163" s="37"/>
      <c r="AD1163" s="37"/>
    </row>
    <row r="1164">
      <c r="A1164" s="37"/>
      <c r="B1164" s="37"/>
      <c r="C1164" s="37"/>
      <c r="D1164" s="37"/>
      <c r="E1164" s="37"/>
      <c r="F1164" s="37"/>
      <c r="G1164" s="37"/>
      <c r="H1164" s="37"/>
      <c r="I1164" s="37"/>
      <c r="J1164" s="37"/>
      <c r="K1164" s="37"/>
      <c r="L1164" s="37"/>
      <c r="M1164" s="37"/>
      <c r="N1164" s="37"/>
      <c r="O1164" s="37"/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37"/>
      <c r="AA1164" s="37"/>
      <c r="AB1164" s="37"/>
      <c r="AC1164" s="37"/>
      <c r="AD1164" s="37"/>
    </row>
    <row r="1165">
      <c r="A1165" s="37"/>
      <c r="B1165" s="37"/>
      <c r="C1165" s="37"/>
      <c r="D1165" s="37"/>
      <c r="E1165" s="37"/>
      <c r="F1165" s="37"/>
      <c r="G1165" s="37"/>
      <c r="H1165" s="37"/>
      <c r="I1165" s="37"/>
      <c r="J1165" s="37"/>
      <c r="K1165" s="37"/>
      <c r="L1165" s="37"/>
      <c r="M1165" s="37"/>
      <c r="N1165" s="37"/>
      <c r="O1165" s="37"/>
      <c r="P1165" s="37"/>
      <c r="Q1165" s="37"/>
      <c r="R1165" s="37"/>
      <c r="S1165" s="37"/>
      <c r="T1165" s="37"/>
      <c r="U1165" s="37"/>
      <c r="V1165" s="37"/>
      <c r="W1165" s="37"/>
      <c r="X1165" s="37"/>
      <c r="Y1165" s="37"/>
      <c r="Z1165" s="37"/>
      <c r="AA1165" s="37"/>
      <c r="AB1165" s="37"/>
      <c r="AC1165" s="37"/>
      <c r="AD1165" s="37"/>
    </row>
    <row r="1166">
      <c r="A1166" s="37"/>
      <c r="B1166" s="37"/>
      <c r="C1166" s="37"/>
      <c r="D1166" s="37"/>
      <c r="E1166" s="37"/>
      <c r="F1166" s="37"/>
      <c r="G1166" s="37"/>
      <c r="H1166" s="37"/>
      <c r="I1166" s="37"/>
      <c r="J1166" s="37"/>
      <c r="K1166" s="37"/>
      <c r="L1166" s="37"/>
      <c r="M1166" s="37"/>
      <c r="N1166" s="37"/>
      <c r="O1166" s="37"/>
      <c r="P1166" s="37"/>
      <c r="Q1166" s="37"/>
      <c r="R1166" s="37"/>
      <c r="S1166" s="37"/>
      <c r="T1166" s="37"/>
      <c r="U1166" s="37"/>
      <c r="V1166" s="37"/>
      <c r="W1166" s="37"/>
      <c r="X1166" s="37"/>
      <c r="Y1166" s="37"/>
      <c r="Z1166" s="37"/>
      <c r="AA1166" s="37"/>
      <c r="AB1166" s="37"/>
      <c r="AC1166" s="37"/>
      <c r="AD1166" s="37"/>
    </row>
    <row r="1167">
      <c r="A1167" s="37"/>
      <c r="B1167" s="37"/>
      <c r="C1167" s="37"/>
      <c r="D1167" s="37"/>
      <c r="E1167" s="37"/>
      <c r="F1167" s="37"/>
      <c r="G1167" s="37"/>
      <c r="H1167" s="37"/>
      <c r="I1167" s="37"/>
      <c r="J1167" s="37"/>
      <c r="K1167" s="37"/>
      <c r="L1167" s="37"/>
      <c r="M1167" s="37"/>
      <c r="N1167" s="37"/>
      <c r="O1167" s="37"/>
      <c r="P1167" s="37"/>
      <c r="Q1167" s="37"/>
      <c r="R1167" s="37"/>
      <c r="S1167" s="37"/>
      <c r="T1167" s="37"/>
      <c r="U1167" s="37"/>
      <c r="V1167" s="37"/>
      <c r="W1167" s="37"/>
      <c r="X1167" s="37"/>
      <c r="Y1167" s="37"/>
      <c r="Z1167" s="37"/>
      <c r="AA1167" s="37"/>
      <c r="AB1167" s="37"/>
      <c r="AC1167" s="37"/>
      <c r="AD1167" s="37"/>
    </row>
    <row r="1168">
      <c r="A1168" s="37"/>
      <c r="B1168" s="37"/>
      <c r="C1168" s="37"/>
      <c r="D1168" s="37"/>
      <c r="E1168" s="37"/>
      <c r="F1168" s="37"/>
      <c r="G1168" s="37"/>
      <c r="H1168" s="37"/>
      <c r="I1168" s="37"/>
      <c r="J1168" s="37"/>
      <c r="K1168" s="37"/>
      <c r="L1168" s="37"/>
      <c r="M1168" s="37"/>
      <c r="N1168" s="37"/>
      <c r="O1168" s="37"/>
      <c r="P1168" s="37"/>
      <c r="Q1168" s="37"/>
      <c r="R1168" s="37"/>
      <c r="S1168" s="37"/>
      <c r="T1168" s="37"/>
      <c r="U1168" s="37"/>
      <c r="V1168" s="37"/>
      <c r="W1168" s="37"/>
      <c r="X1168" s="37"/>
      <c r="Y1168" s="37"/>
      <c r="Z1168" s="37"/>
      <c r="AA1168" s="37"/>
      <c r="AB1168" s="37"/>
      <c r="AC1168" s="37"/>
      <c r="AD1168" s="37"/>
    </row>
    <row r="1169">
      <c r="A1169" s="37"/>
      <c r="B1169" s="37"/>
      <c r="C1169" s="37"/>
      <c r="D1169" s="37"/>
      <c r="E1169" s="37"/>
      <c r="F1169" s="37"/>
      <c r="G1169" s="37"/>
      <c r="H1169" s="37"/>
      <c r="I1169" s="37"/>
      <c r="J1169" s="37"/>
      <c r="K1169" s="37"/>
      <c r="L1169" s="37"/>
      <c r="M1169" s="37"/>
      <c r="N1169" s="37"/>
      <c r="O1169" s="37"/>
      <c r="P1169" s="37"/>
      <c r="Q1169" s="37"/>
      <c r="R1169" s="37"/>
      <c r="S1169" s="37"/>
      <c r="T1169" s="37"/>
      <c r="U1169" s="37"/>
      <c r="V1169" s="37"/>
      <c r="W1169" s="37"/>
      <c r="X1169" s="37"/>
      <c r="Y1169" s="37"/>
      <c r="Z1169" s="37"/>
      <c r="AA1169" s="37"/>
      <c r="AB1169" s="37"/>
      <c r="AC1169" s="37"/>
      <c r="AD1169" s="37"/>
    </row>
    <row r="1170">
      <c r="A1170" s="37"/>
      <c r="B1170" s="37"/>
      <c r="C1170" s="37"/>
      <c r="D1170" s="37"/>
      <c r="E1170" s="37"/>
      <c r="F1170" s="37"/>
      <c r="G1170" s="37"/>
      <c r="H1170" s="37"/>
      <c r="I1170" s="37"/>
      <c r="J1170" s="37"/>
      <c r="K1170" s="37"/>
      <c r="L1170" s="37"/>
      <c r="M1170" s="37"/>
      <c r="N1170" s="37"/>
      <c r="O1170" s="37"/>
      <c r="P1170" s="37"/>
      <c r="Q1170" s="37"/>
      <c r="R1170" s="37"/>
      <c r="S1170" s="37"/>
      <c r="T1170" s="37"/>
      <c r="U1170" s="37"/>
      <c r="V1170" s="37"/>
      <c r="W1170" s="37"/>
      <c r="X1170" s="37"/>
      <c r="Y1170" s="37"/>
      <c r="Z1170" s="37"/>
      <c r="AA1170" s="37"/>
      <c r="AB1170" s="37"/>
      <c r="AC1170" s="37"/>
      <c r="AD1170" s="37"/>
    </row>
    <row r="1171">
      <c r="A1171" s="37"/>
      <c r="B1171" s="37"/>
      <c r="C1171" s="37"/>
      <c r="D1171" s="37"/>
      <c r="E1171" s="37"/>
      <c r="F1171" s="37"/>
      <c r="G1171" s="37"/>
      <c r="H1171" s="37"/>
      <c r="I1171" s="37"/>
      <c r="J1171" s="37"/>
      <c r="K1171" s="37"/>
      <c r="L1171" s="37"/>
      <c r="M1171" s="37"/>
      <c r="N1171" s="37"/>
      <c r="O1171" s="37"/>
      <c r="P1171" s="37"/>
      <c r="Q1171" s="37"/>
      <c r="R1171" s="37"/>
      <c r="S1171" s="37"/>
      <c r="T1171" s="37"/>
      <c r="U1171" s="37"/>
      <c r="V1171" s="37"/>
      <c r="W1171" s="37"/>
      <c r="X1171" s="37"/>
      <c r="Y1171" s="37"/>
      <c r="Z1171" s="37"/>
      <c r="AA1171" s="37"/>
      <c r="AB1171" s="37"/>
      <c r="AC1171" s="37"/>
      <c r="AD1171" s="37"/>
    </row>
    <row r="1172">
      <c r="A1172" s="37"/>
      <c r="B1172" s="37"/>
      <c r="C1172" s="37"/>
      <c r="D1172" s="37"/>
      <c r="E1172" s="37"/>
      <c r="F1172" s="37"/>
      <c r="G1172" s="37"/>
      <c r="H1172" s="37"/>
      <c r="I1172" s="37"/>
      <c r="J1172" s="37"/>
      <c r="K1172" s="37"/>
      <c r="L1172" s="37"/>
      <c r="M1172" s="37"/>
      <c r="N1172" s="37"/>
      <c r="O1172" s="37"/>
      <c r="P1172" s="37"/>
      <c r="Q1172" s="37"/>
      <c r="R1172" s="37"/>
      <c r="S1172" s="37"/>
      <c r="T1172" s="37"/>
      <c r="U1172" s="37"/>
      <c r="V1172" s="37"/>
      <c r="W1172" s="37"/>
      <c r="X1172" s="37"/>
      <c r="Y1172" s="37"/>
      <c r="Z1172" s="37"/>
      <c r="AA1172" s="37"/>
      <c r="AB1172" s="37"/>
      <c r="AC1172" s="37"/>
      <c r="AD1172" s="37"/>
    </row>
    <row r="1173">
      <c r="A1173" s="37"/>
      <c r="B1173" s="37"/>
      <c r="C1173" s="37"/>
      <c r="D1173" s="37"/>
      <c r="E1173" s="37"/>
      <c r="F1173" s="37"/>
      <c r="G1173" s="37"/>
      <c r="H1173" s="37"/>
      <c r="I1173" s="37"/>
      <c r="J1173" s="37"/>
      <c r="K1173" s="37"/>
      <c r="L1173" s="37"/>
      <c r="M1173" s="37"/>
      <c r="N1173" s="37"/>
      <c r="O1173" s="37"/>
      <c r="P1173" s="37"/>
      <c r="Q1173" s="37"/>
      <c r="R1173" s="37"/>
      <c r="S1173" s="37"/>
      <c r="T1173" s="37"/>
      <c r="U1173" s="37"/>
      <c r="V1173" s="37"/>
      <c r="W1173" s="37"/>
      <c r="X1173" s="37"/>
      <c r="Y1173" s="37"/>
      <c r="Z1173" s="37"/>
      <c r="AA1173" s="37"/>
      <c r="AB1173" s="37"/>
      <c r="AC1173" s="37"/>
      <c r="AD1173" s="37"/>
    </row>
    <row r="1174">
      <c r="A1174" s="37"/>
      <c r="B1174" s="37"/>
      <c r="C1174" s="37"/>
      <c r="D1174" s="37"/>
      <c r="E1174" s="37"/>
      <c r="F1174" s="37"/>
      <c r="G1174" s="37"/>
      <c r="H1174" s="37"/>
      <c r="I1174" s="37"/>
      <c r="J1174" s="37"/>
      <c r="K1174" s="37"/>
      <c r="L1174" s="37"/>
      <c r="M1174" s="37"/>
      <c r="N1174" s="37"/>
      <c r="O1174" s="37"/>
      <c r="P1174" s="37"/>
      <c r="Q1174" s="37"/>
      <c r="R1174" s="37"/>
      <c r="S1174" s="37"/>
      <c r="T1174" s="37"/>
      <c r="U1174" s="37"/>
      <c r="V1174" s="37"/>
      <c r="W1174" s="37"/>
      <c r="X1174" s="37"/>
      <c r="Y1174" s="37"/>
      <c r="Z1174" s="37"/>
      <c r="AA1174" s="37"/>
      <c r="AB1174" s="37"/>
      <c r="AC1174" s="37"/>
      <c r="AD1174" s="37"/>
    </row>
    <row r="1175">
      <c r="A1175" s="37"/>
      <c r="B1175" s="37"/>
      <c r="C1175" s="37"/>
      <c r="D1175" s="37"/>
      <c r="E1175" s="37"/>
      <c r="F1175" s="37"/>
      <c r="G1175" s="37"/>
      <c r="H1175" s="37"/>
      <c r="I1175" s="37"/>
      <c r="J1175" s="37"/>
      <c r="K1175" s="37"/>
      <c r="L1175" s="37"/>
      <c r="M1175" s="37"/>
      <c r="N1175" s="37"/>
      <c r="O1175" s="37"/>
      <c r="P1175" s="37"/>
      <c r="Q1175" s="37"/>
      <c r="R1175" s="37"/>
      <c r="S1175" s="37"/>
      <c r="T1175" s="37"/>
      <c r="U1175" s="37"/>
      <c r="V1175" s="37"/>
      <c r="W1175" s="37"/>
      <c r="X1175" s="37"/>
      <c r="Y1175" s="37"/>
      <c r="Z1175" s="37"/>
      <c r="AA1175" s="37"/>
      <c r="AB1175" s="37"/>
      <c r="AC1175" s="37"/>
      <c r="AD1175" s="37"/>
    </row>
    <row r="1176">
      <c r="A1176" s="37"/>
      <c r="B1176" s="37"/>
      <c r="C1176" s="37"/>
      <c r="D1176" s="37"/>
      <c r="E1176" s="37"/>
      <c r="F1176" s="37"/>
      <c r="G1176" s="37"/>
      <c r="H1176" s="37"/>
      <c r="I1176" s="37"/>
      <c r="J1176" s="37"/>
      <c r="K1176" s="37"/>
      <c r="L1176" s="37"/>
      <c r="M1176" s="37"/>
      <c r="N1176" s="37"/>
      <c r="O1176" s="37"/>
      <c r="P1176" s="37"/>
      <c r="Q1176" s="37"/>
      <c r="R1176" s="37"/>
      <c r="S1176" s="37"/>
      <c r="T1176" s="37"/>
      <c r="U1176" s="37"/>
      <c r="V1176" s="37"/>
      <c r="W1176" s="37"/>
      <c r="X1176" s="37"/>
      <c r="Y1176" s="37"/>
      <c r="Z1176" s="37"/>
      <c r="AA1176" s="37"/>
      <c r="AB1176" s="37"/>
      <c r="AC1176" s="37"/>
      <c r="AD1176" s="37"/>
    </row>
    <row r="1177">
      <c r="A1177" s="37"/>
      <c r="B1177" s="37"/>
      <c r="C1177" s="37"/>
      <c r="D1177" s="37"/>
      <c r="E1177" s="37"/>
      <c r="F1177" s="37"/>
      <c r="G1177" s="37"/>
      <c r="H1177" s="37"/>
      <c r="I1177" s="37"/>
      <c r="J1177" s="37"/>
      <c r="K1177" s="37"/>
      <c r="L1177" s="37"/>
      <c r="M1177" s="37"/>
      <c r="N1177" s="37"/>
      <c r="O1177" s="37"/>
      <c r="P1177" s="37"/>
      <c r="Q1177" s="37"/>
      <c r="R1177" s="37"/>
      <c r="S1177" s="37"/>
      <c r="T1177" s="37"/>
      <c r="U1177" s="37"/>
      <c r="V1177" s="37"/>
      <c r="W1177" s="37"/>
      <c r="X1177" s="37"/>
      <c r="Y1177" s="37"/>
      <c r="Z1177" s="37"/>
      <c r="AA1177" s="37"/>
      <c r="AB1177" s="37"/>
      <c r="AC1177" s="37"/>
      <c r="AD1177" s="37"/>
    </row>
    <row r="1178">
      <c r="A1178" s="37"/>
      <c r="B1178" s="37"/>
      <c r="C1178" s="37"/>
      <c r="D1178" s="37"/>
      <c r="E1178" s="37"/>
      <c r="F1178" s="37"/>
      <c r="G1178" s="37"/>
      <c r="H1178" s="37"/>
      <c r="I1178" s="37"/>
      <c r="J1178" s="37"/>
      <c r="K1178" s="37"/>
      <c r="L1178" s="37"/>
      <c r="M1178" s="37"/>
      <c r="N1178" s="37"/>
      <c r="O1178" s="37"/>
      <c r="P1178" s="37"/>
      <c r="Q1178" s="37"/>
      <c r="R1178" s="37"/>
      <c r="S1178" s="37"/>
      <c r="T1178" s="37"/>
      <c r="U1178" s="37"/>
      <c r="V1178" s="37"/>
      <c r="W1178" s="37"/>
      <c r="X1178" s="37"/>
      <c r="Y1178" s="37"/>
      <c r="Z1178" s="37"/>
      <c r="AA1178" s="37"/>
      <c r="AB1178" s="37"/>
      <c r="AC1178" s="37"/>
      <c r="AD1178" s="37"/>
    </row>
    <row r="1179">
      <c r="A1179" s="37"/>
      <c r="B1179" s="37"/>
      <c r="C1179" s="37"/>
      <c r="D1179" s="37"/>
      <c r="E1179" s="37"/>
      <c r="F1179" s="37"/>
      <c r="G1179" s="37"/>
      <c r="H1179" s="37"/>
      <c r="I1179" s="37"/>
      <c r="J1179" s="37"/>
      <c r="K1179" s="37"/>
      <c r="L1179" s="37"/>
      <c r="M1179" s="37"/>
      <c r="N1179" s="37"/>
      <c r="O1179" s="37"/>
      <c r="P1179" s="37"/>
      <c r="Q1179" s="37"/>
      <c r="R1179" s="37"/>
      <c r="S1179" s="37"/>
      <c r="T1179" s="37"/>
      <c r="U1179" s="37"/>
      <c r="V1179" s="37"/>
      <c r="W1179" s="37"/>
      <c r="X1179" s="37"/>
      <c r="Y1179" s="37"/>
      <c r="Z1179" s="37"/>
      <c r="AA1179" s="37"/>
      <c r="AB1179" s="37"/>
      <c r="AC1179" s="37"/>
      <c r="AD1179" s="37"/>
    </row>
    <row r="1180">
      <c r="A1180" s="37"/>
      <c r="B1180" s="37"/>
      <c r="C1180" s="37"/>
      <c r="D1180" s="37"/>
      <c r="E1180" s="37"/>
      <c r="F1180" s="37"/>
      <c r="G1180" s="37"/>
      <c r="H1180" s="37"/>
      <c r="I1180" s="37"/>
      <c r="J1180" s="37"/>
      <c r="K1180" s="37"/>
      <c r="L1180" s="37"/>
      <c r="M1180" s="37"/>
      <c r="N1180" s="37"/>
      <c r="O1180" s="37"/>
      <c r="P1180" s="37"/>
      <c r="Q1180" s="37"/>
      <c r="R1180" s="37"/>
      <c r="S1180" s="37"/>
      <c r="T1180" s="37"/>
      <c r="U1180" s="37"/>
      <c r="V1180" s="37"/>
      <c r="W1180" s="37"/>
      <c r="X1180" s="37"/>
      <c r="Y1180" s="37"/>
      <c r="Z1180" s="37"/>
      <c r="AA1180" s="37"/>
      <c r="AB1180" s="37"/>
      <c r="AC1180" s="37"/>
      <c r="AD1180" s="37"/>
    </row>
    <row r="1181">
      <c r="A1181" s="37"/>
      <c r="B1181" s="37"/>
      <c r="C1181" s="37"/>
      <c r="D1181" s="37"/>
      <c r="E1181" s="37"/>
      <c r="F1181" s="37"/>
      <c r="G1181" s="37"/>
      <c r="H1181" s="37"/>
      <c r="I1181" s="37"/>
      <c r="J1181" s="37"/>
      <c r="K1181" s="37"/>
      <c r="L1181" s="37"/>
      <c r="M1181" s="37"/>
      <c r="N1181" s="37"/>
      <c r="O1181" s="37"/>
      <c r="P1181" s="37"/>
      <c r="Q1181" s="37"/>
      <c r="R1181" s="37"/>
      <c r="S1181" s="37"/>
      <c r="T1181" s="37"/>
      <c r="U1181" s="37"/>
      <c r="V1181" s="37"/>
      <c r="W1181" s="37"/>
      <c r="X1181" s="37"/>
      <c r="Y1181" s="37"/>
      <c r="Z1181" s="37"/>
      <c r="AA1181" s="37"/>
      <c r="AB1181" s="37"/>
      <c r="AC1181" s="37"/>
      <c r="AD1181" s="37"/>
    </row>
    <row r="1182">
      <c r="A1182" s="37"/>
      <c r="B1182" s="37"/>
      <c r="C1182" s="37"/>
      <c r="D1182" s="37"/>
      <c r="E1182" s="37"/>
      <c r="F1182" s="37"/>
      <c r="G1182" s="37"/>
      <c r="H1182" s="37"/>
      <c r="I1182" s="37"/>
      <c r="J1182" s="37"/>
      <c r="K1182" s="37"/>
      <c r="L1182" s="37"/>
      <c r="M1182" s="37"/>
      <c r="N1182" s="37"/>
      <c r="O1182" s="37"/>
      <c r="P1182" s="37"/>
      <c r="Q1182" s="37"/>
      <c r="R1182" s="37"/>
      <c r="S1182" s="37"/>
      <c r="T1182" s="37"/>
      <c r="U1182" s="37"/>
      <c r="V1182" s="37"/>
      <c r="W1182" s="37"/>
      <c r="X1182" s="37"/>
      <c r="Y1182" s="37"/>
      <c r="Z1182" s="37"/>
      <c r="AA1182" s="37"/>
      <c r="AB1182" s="37"/>
      <c r="AC1182" s="37"/>
      <c r="AD1182" s="37"/>
    </row>
    <row r="1183">
      <c r="A1183" s="37"/>
      <c r="B1183" s="37"/>
      <c r="C1183" s="37"/>
      <c r="D1183" s="37"/>
      <c r="E1183" s="37"/>
      <c r="F1183" s="37"/>
      <c r="G1183" s="37"/>
      <c r="H1183" s="37"/>
      <c r="I1183" s="37"/>
      <c r="J1183" s="37"/>
      <c r="K1183" s="37"/>
      <c r="L1183" s="37"/>
      <c r="M1183" s="37"/>
      <c r="N1183" s="37"/>
      <c r="O1183" s="37"/>
      <c r="P1183" s="37"/>
      <c r="Q1183" s="37"/>
      <c r="R1183" s="37"/>
      <c r="S1183" s="37"/>
      <c r="T1183" s="37"/>
      <c r="U1183" s="37"/>
      <c r="V1183" s="37"/>
      <c r="W1183" s="37"/>
      <c r="X1183" s="37"/>
      <c r="Y1183" s="37"/>
      <c r="Z1183" s="37"/>
      <c r="AA1183" s="37"/>
      <c r="AB1183" s="37"/>
      <c r="AC1183" s="37"/>
      <c r="AD1183" s="37"/>
    </row>
    <row r="1184">
      <c r="A1184" s="37"/>
      <c r="B1184" s="37"/>
      <c r="C1184" s="37"/>
      <c r="D1184" s="37"/>
      <c r="E1184" s="37"/>
      <c r="F1184" s="37"/>
      <c r="G1184" s="37"/>
      <c r="H1184" s="37"/>
      <c r="I1184" s="37"/>
      <c r="J1184" s="37"/>
      <c r="K1184" s="37"/>
      <c r="L1184" s="37"/>
      <c r="M1184" s="37"/>
      <c r="N1184" s="37"/>
      <c r="O1184" s="37"/>
      <c r="P1184" s="37"/>
      <c r="Q1184" s="37"/>
      <c r="R1184" s="37"/>
      <c r="S1184" s="37"/>
      <c r="T1184" s="37"/>
      <c r="U1184" s="37"/>
      <c r="V1184" s="37"/>
      <c r="W1184" s="37"/>
      <c r="X1184" s="37"/>
      <c r="Y1184" s="37"/>
      <c r="Z1184" s="37"/>
      <c r="AA1184" s="37"/>
      <c r="AB1184" s="37"/>
      <c r="AC1184" s="37"/>
      <c r="AD1184" s="37"/>
    </row>
    <row r="1185">
      <c r="A1185" s="37"/>
      <c r="B1185" s="37"/>
      <c r="C1185" s="37"/>
      <c r="D1185" s="37"/>
      <c r="E1185" s="37"/>
      <c r="F1185" s="37"/>
      <c r="G1185" s="37"/>
      <c r="H1185" s="37"/>
      <c r="I1185" s="37"/>
      <c r="J1185" s="37"/>
      <c r="K1185" s="37"/>
      <c r="L1185" s="37"/>
      <c r="M1185" s="37"/>
      <c r="N1185" s="37"/>
      <c r="O1185" s="37"/>
      <c r="P1185" s="37"/>
      <c r="Q1185" s="37"/>
      <c r="R1185" s="37"/>
      <c r="S1185" s="37"/>
      <c r="T1185" s="37"/>
      <c r="U1185" s="37"/>
      <c r="V1185" s="37"/>
      <c r="W1185" s="37"/>
      <c r="X1185" s="37"/>
      <c r="Y1185" s="37"/>
      <c r="Z1185" s="37"/>
      <c r="AA1185" s="37"/>
      <c r="AB1185" s="37"/>
      <c r="AC1185" s="37"/>
      <c r="AD1185" s="37"/>
    </row>
    <row r="1186">
      <c r="A1186" s="37"/>
      <c r="B1186" s="37"/>
      <c r="C1186" s="37"/>
      <c r="D1186" s="37"/>
      <c r="E1186" s="37"/>
      <c r="F1186" s="37"/>
      <c r="G1186" s="37"/>
      <c r="H1186" s="37"/>
      <c r="I1186" s="37"/>
      <c r="J1186" s="37"/>
      <c r="K1186" s="37"/>
      <c r="L1186" s="37"/>
      <c r="M1186" s="37"/>
      <c r="N1186" s="37"/>
      <c r="O1186" s="37"/>
      <c r="P1186" s="37"/>
      <c r="Q1186" s="37"/>
      <c r="R1186" s="37"/>
      <c r="S1186" s="37"/>
      <c r="T1186" s="37"/>
      <c r="U1186" s="37"/>
      <c r="V1186" s="37"/>
      <c r="W1186" s="37"/>
      <c r="X1186" s="37"/>
      <c r="Y1186" s="37"/>
      <c r="Z1186" s="37"/>
      <c r="AA1186" s="37"/>
      <c r="AB1186" s="37"/>
      <c r="AC1186" s="37"/>
      <c r="AD1186" s="37"/>
    </row>
    <row r="1187">
      <c r="A1187" s="37"/>
      <c r="B1187" s="37"/>
      <c r="C1187" s="37"/>
      <c r="D1187" s="37"/>
      <c r="E1187" s="37"/>
      <c r="F1187" s="37"/>
      <c r="G1187" s="37"/>
      <c r="H1187" s="37"/>
      <c r="I1187" s="37"/>
      <c r="J1187" s="37"/>
      <c r="K1187" s="37"/>
      <c r="L1187" s="37"/>
      <c r="M1187" s="37"/>
      <c r="N1187" s="37"/>
      <c r="O1187" s="37"/>
      <c r="P1187" s="37"/>
      <c r="Q1187" s="37"/>
      <c r="R1187" s="37"/>
      <c r="S1187" s="37"/>
      <c r="T1187" s="37"/>
      <c r="U1187" s="37"/>
      <c r="V1187" s="37"/>
      <c r="W1187" s="37"/>
      <c r="X1187" s="37"/>
      <c r="Y1187" s="37"/>
      <c r="Z1187" s="37"/>
      <c r="AA1187" s="37"/>
      <c r="AB1187" s="37"/>
      <c r="AC1187" s="37"/>
      <c r="AD1187" s="37"/>
    </row>
    <row r="1188">
      <c r="A1188" s="37"/>
      <c r="B1188" s="37"/>
      <c r="C1188" s="37"/>
      <c r="D1188" s="37"/>
      <c r="E1188" s="37"/>
      <c r="F1188" s="37"/>
      <c r="G1188" s="37"/>
      <c r="H1188" s="37"/>
      <c r="I1188" s="37"/>
      <c r="J1188" s="37"/>
      <c r="K1188" s="37"/>
      <c r="L1188" s="37"/>
      <c r="M1188" s="37"/>
      <c r="N1188" s="37"/>
      <c r="O1188" s="37"/>
      <c r="P1188" s="37"/>
      <c r="Q1188" s="37"/>
      <c r="R1188" s="37"/>
      <c r="S1188" s="37"/>
      <c r="T1188" s="37"/>
      <c r="U1188" s="37"/>
      <c r="V1188" s="37"/>
      <c r="W1188" s="37"/>
      <c r="X1188" s="37"/>
      <c r="Y1188" s="37"/>
      <c r="Z1188" s="37"/>
      <c r="AA1188" s="37"/>
      <c r="AB1188" s="37"/>
      <c r="AC1188" s="37"/>
      <c r="AD1188" s="37"/>
    </row>
    <row r="1189">
      <c r="A1189" s="37"/>
      <c r="B1189" s="37"/>
      <c r="C1189" s="37"/>
      <c r="D1189" s="37"/>
      <c r="E1189" s="37"/>
      <c r="F1189" s="37"/>
      <c r="G1189" s="37"/>
      <c r="H1189" s="37"/>
      <c r="I1189" s="37"/>
      <c r="J1189" s="37"/>
      <c r="K1189" s="37"/>
      <c r="L1189" s="37"/>
      <c r="M1189" s="37"/>
      <c r="N1189" s="37"/>
      <c r="O1189" s="37"/>
      <c r="P1189" s="37"/>
      <c r="Q1189" s="37"/>
      <c r="R1189" s="37"/>
      <c r="S1189" s="37"/>
      <c r="T1189" s="37"/>
      <c r="U1189" s="37"/>
      <c r="V1189" s="37"/>
      <c r="W1189" s="37"/>
      <c r="X1189" s="37"/>
      <c r="Y1189" s="37"/>
      <c r="Z1189" s="37"/>
      <c r="AA1189" s="37"/>
      <c r="AB1189" s="37"/>
      <c r="AC1189" s="37"/>
      <c r="AD1189" s="37"/>
    </row>
    <row r="1190">
      <c r="A1190" s="37"/>
      <c r="B1190" s="37"/>
      <c r="C1190" s="37"/>
      <c r="D1190" s="37"/>
      <c r="E1190" s="37"/>
      <c r="F1190" s="37"/>
      <c r="G1190" s="37"/>
      <c r="H1190" s="37"/>
      <c r="I1190" s="37"/>
      <c r="J1190" s="37"/>
      <c r="K1190" s="37"/>
      <c r="L1190" s="37"/>
      <c r="M1190" s="37"/>
      <c r="N1190" s="37"/>
      <c r="O1190" s="37"/>
      <c r="P1190" s="37"/>
      <c r="Q1190" s="37"/>
      <c r="R1190" s="37"/>
      <c r="S1190" s="37"/>
      <c r="T1190" s="37"/>
      <c r="U1190" s="37"/>
      <c r="V1190" s="37"/>
      <c r="W1190" s="37"/>
      <c r="X1190" s="37"/>
      <c r="Y1190" s="37"/>
      <c r="Z1190" s="37"/>
      <c r="AA1190" s="37"/>
      <c r="AB1190" s="37"/>
      <c r="AC1190" s="37"/>
      <c r="AD1190" s="37"/>
    </row>
    <row r="1191">
      <c r="A1191" s="37"/>
      <c r="B1191" s="37"/>
      <c r="C1191" s="37"/>
      <c r="D1191" s="37"/>
      <c r="E1191" s="37"/>
      <c r="F1191" s="37"/>
      <c r="G1191" s="37"/>
      <c r="H1191" s="37"/>
      <c r="I1191" s="37"/>
      <c r="J1191" s="37"/>
      <c r="K1191" s="37"/>
      <c r="L1191" s="37"/>
      <c r="M1191" s="37"/>
      <c r="N1191" s="37"/>
      <c r="O1191" s="37"/>
      <c r="P1191" s="37"/>
      <c r="Q1191" s="37"/>
      <c r="R1191" s="37"/>
      <c r="S1191" s="37"/>
      <c r="T1191" s="37"/>
      <c r="U1191" s="37"/>
      <c r="V1191" s="37"/>
      <c r="W1191" s="37"/>
      <c r="X1191" s="37"/>
      <c r="Y1191" s="37"/>
      <c r="Z1191" s="37"/>
      <c r="AA1191" s="37"/>
      <c r="AB1191" s="37"/>
      <c r="AC1191" s="37"/>
      <c r="AD1191" s="37"/>
    </row>
    <row r="1192">
      <c r="A1192" s="37"/>
      <c r="B1192" s="37"/>
      <c r="C1192" s="37"/>
      <c r="D1192" s="37"/>
      <c r="E1192" s="37"/>
      <c r="F1192" s="37"/>
      <c r="G1192" s="37"/>
      <c r="H1192" s="37"/>
      <c r="I1192" s="37"/>
      <c r="J1192" s="37"/>
      <c r="K1192" s="37"/>
      <c r="L1192" s="37"/>
      <c r="M1192" s="37"/>
      <c r="N1192" s="37"/>
      <c r="O1192" s="37"/>
      <c r="P1192" s="37"/>
      <c r="Q1192" s="37"/>
      <c r="R1192" s="37"/>
      <c r="S1192" s="37"/>
      <c r="T1192" s="37"/>
      <c r="U1192" s="37"/>
      <c r="V1192" s="37"/>
      <c r="W1192" s="37"/>
      <c r="X1192" s="37"/>
      <c r="Y1192" s="37"/>
      <c r="Z1192" s="37"/>
      <c r="AA1192" s="37"/>
      <c r="AB1192" s="37"/>
      <c r="AC1192" s="37"/>
      <c r="AD1192" s="37"/>
    </row>
    <row r="1193">
      <c r="A1193" s="37"/>
      <c r="B1193" s="37"/>
      <c r="C1193" s="37"/>
      <c r="D1193" s="37"/>
      <c r="E1193" s="37"/>
      <c r="F1193" s="37"/>
      <c r="G1193" s="37"/>
      <c r="H1193" s="37"/>
      <c r="I1193" s="37"/>
      <c r="J1193" s="37"/>
      <c r="K1193" s="37"/>
      <c r="L1193" s="37"/>
      <c r="M1193" s="37"/>
      <c r="N1193" s="37"/>
      <c r="O1193" s="37"/>
      <c r="P1193" s="37"/>
      <c r="Q1193" s="37"/>
      <c r="R1193" s="37"/>
      <c r="S1193" s="37"/>
      <c r="T1193" s="37"/>
      <c r="U1193" s="37"/>
      <c r="V1193" s="37"/>
      <c r="W1193" s="37"/>
      <c r="X1193" s="37"/>
      <c r="Y1193" s="37"/>
      <c r="Z1193" s="37"/>
      <c r="AA1193" s="37"/>
      <c r="AB1193" s="37"/>
      <c r="AC1193" s="37"/>
      <c r="AD1193" s="37"/>
    </row>
    <row r="1194">
      <c r="A1194" s="37"/>
      <c r="B1194" s="37"/>
      <c r="C1194" s="37"/>
      <c r="D1194" s="37"/>
      <c r="E1194" s="37"/>
      <c r="F1194" s="37"/>
      <c r="G1194" s="37"/>
      <c r="H1194" s="37"/>
      <c r="I1194" s="37"/>
      <c r="J1194" s="37"/>
      <c r="K1194" s="37"/>
      <c r="L1194" s="37"/>
      <c r="M1194" s="37"/>
      <c r="N1194" s="37"/>
      <c r="O1194" s="37"/>
      <c r="P1194" s="37"/>
      <c r="Q1194" s="37"/>
      <c r="R1194" s="37"/>
      <c r="S1194" s="37"/>
      <c r="T1194" s="37"/>
      <c r="U1194" s="37"/>
      <c r="V1194" s="37"/>
      <c r="W1194" s="37"/>
      <c r="X1194" s="37"/>
      <c r="Y1194" s="37"/>
      <c r="Z1194" s="37"/>
      <c r="AA1194" s="37"/>
      <c r="AB1194" s="37"/>
      <c r="AC1194" s="37"/>
      <c r="AD1194" s="37"/>
    </row>
    <row r="1195">
      <c r="A1195" s="37"/>
      <c r="B1195" s="37"/>
      <c r="C1195" s="37"/>
      <c r="D1195" s="37"/>
      <c r="E1195" s="37"/>
      <c r="F1195" s="37"/>
      <c r="G1195" s="37"/>
      <c r="H1195" s="37"/>
      <c r="I1195" s="37"/>
      <c r="J1195" s="37"/>
      <c r="K1195" s="37"/>
      <c r="L1195" s="37"/>
      <c r="M1195" s="37"/>
      <c r="N1195" s="37"/>
      <c r="O1195" s="37"/>
      <c r="P1195" s="37"/>
      <c r="Q1195" s="37"/>
      <c r="R1195" s="37"/>
      <c r="S1195" s="37"/>
      <c r="T1195" s="37"/>
      <c r="U1195" s="37"/>
      <c r="V1195" s="37"/>
      <c r="W1195" s="37"/>
      <c r="X1195" s="37"/>
      <c r="Y1195" s="37"/>
      <c r="Z1195" s="37"/>
      <c r="AA1195" s="37"/>
      <c r="AB1195" s="37"/>
      <c r="AC1195" s="37"/>
      <c r="AD1195" s="37"/>
    </row>
    <row r="1196">
      <c r="A1196" s="37"/>
      <c r="B1196" s="37"/>
      <c r="C1196" s="37"/>
      <c r="D1196" s="37"/>
      <c r="E1196" s="37"/>
      <c r="F1196" s="37"/>
      <c r="G1196" s="37"/>
      <c r="H1196" s="37"/>
      <c r="I1196" s="37"/>
      <c r="J1196" s="37"/>
      <c r="K1196" s="37"/>
      <c r="L1196" s="37"/>
      <c r="M1196" s="37"/>
      <c r="N1196" s="37"/>
      <c r="O1196" s="37"/>
      <c r="P1196" s="37"/>
      <c r="Q1196" s="37"/>
      <c r="R1196" s="37"/>
      <c r="S1196" s="37"/>
      <c r="T1196" s="37"/>
      <c r="U1196" s="37"/>
      <c r="V1196" s="37"/>
      <c r="W1196" s="37"/>
      <c r="X1196" s="37"/>
      <c r="Y1196" s="37"/>
      <c r="Z1196" s="37"/>
      <c r="AA1196" s="37"/>
      <c r="AB1196" s="37"/>
      <c r="AC1196" s="37"/>
      <c r="AD1196" s="37"/>
    </row>
    <row r="1197">
      <c r="A1197" s="37"/>
      <c r="B1197" s="37"/>
      <c r="C1197" s="37"/>
      <c r="D1197" s="37"/>
      <c r="E1197" s="37"/>
      <c r="F1197" s="37"/>
      <c r="G1197" s="37"/>
      <c r="H1197" s="37"/>
      <c r="I1197" s="37"/>
      <c r="J1197" s="37"/>
      <c r="K1197" s="37"/>
      <c r="L1197" s="37"/>
      <c r="M1197" s="37"/>
      <c r="N1197" s="37"/>
      <c r="O1197" s="37"/>
      <c r="P1197" s="37"/>
      <c r="Q1197" s="37"/>
      <c r="R1197" s="37"/>
      <c r="S1197" s="37"/>
      <c r="T1197" s="37"/>
      <c r="U1197" s="37"/>
      <c r="V1197" s="37"/>
      <c r="W1197" s="37"/>
      <c r="X1197" s="37"/>
      <c r="Y1197" s="37"/>
      <c r="Z1197" s="37"/>
      <c r="AA1197" s="37"/>
      <c r="AB1197" s="37"/>
      <c r="AC1197" s="37"/>
      <c r="AD1197" s="37"/>
    </row>
    <row r="1198">
      <c r="A1198" s="37"/>
      <c r="B1198" s="37"/>
      <c r="C1198" s="37"/>
      <c r="D1198" s="37"/>
      <c r="E1198" s="37"/>
      <c r="F1198" s="37"/>
      <c r="G1198" s="37"/>
      <c r="H1198" s="37"/>
      <c r="I1198" s="37"/>
      <c r="J1198" s="37"/>
      <c r="K1198" s="37"/>
      <c r="L1198" s="37"/>
      <c r="M1198" s="37"/>
      <c r="N1198" s="37"/>
      <c r="O1198" s="37"/>
      <c r="P1198" s="37"/>
      <c r="Q1198" s="37"/>
      <c r="R1198" s="37"/>
      <c r="S1198" s="37"/>
      <c r="T1198" s="37"/>
      <c r="U1198" s="37"/>
      <c r="V1198" s="37"/>
      <c r="W1198" s="37"/>
      <c r="X1198" s="37"/>
      <c r="Y1198" s="37"/>
      <c r="Z1198" s="37"/>
      <c r="AA1198" s="37"/>
      <c r="AB1198" s="37"/>
      <c r="AC1198" s="37"/>
      <c r="AD1198" s="37"/>
    </row>
    <row r="1199">
      <c r="A1199" s="37"/>
      <c r="B1199" s="37"/>
      <c r="C1199" s="37"/>
      <c r="D1199" s="37"/>
      <c r="E1199" s="37"/>
      <c r="F1199" s="37"/>
      <c r="G1199" s="37"/>
      <c r="H1199" s="37"/>
      <c r="I1199" s="37"/>
      <c r="J1199" s="37"/>
      <c r="K1199" s="37"/>
      <c r="L1199" s="37"/>
      <c r="M1199" s="37"/>
      <c r="N1199" s="37"/>
      <c r="O1199" s="37"/>
      <c r="P1199" s="37"/>
      <c r="Q1199" s="37"/>
      <c r="R1199" s="37"/>
      <c r="S1199" s="37"/>
      <c r="T1199" s="37"/>
      <c r="U1199" s="37"/>
      <c r="V1199" s="37"/>
      <c r="W1199" s="37"/>
      <c r="X1199" s="37"/>
      <c r="Y1199" s="37"/>
      <c r="Z1199" s="37"/>
      <c r="AA1199" s="37"/>
      <c r="AB1199" s="37"/>
      <c r="AC1199" s="37"/>
      <c r="AD1199" s="37"/>
    </row>
    <row r="1200">
      <c r="A1200" s="37"/>
      <c r="B1200" s="37"/>
      <c r="C1200" s="37"/>
      <c r="D1200" s="37"/>
      <c r="E1200" s="37"/>
      <c r="F1200" s="37"/>
      <c r="G1200" s="37"/>
      <c r="H1200" s="37"/>
      <c r="I1200" s="37"/>
      <c r="J1200" s="37"/>
      <c r="K1200" s="37"/>
      <c r="L1200" s="37"/>
      <c r="M1200" s="37"/>
      <c r="N1200" s="37"/>
      <c r="O1200" s="37"/>
      <c r="P1200" s="37"/>
      <c r="Q1200" s="37"/>
      <c r="R1200" s="37"/>
      <c r="S1200" s="37"/>
      <c r="T1200" s="37"/>
      <c r="U1200" s="37"/>
      <c r="V1200" s="37"/>
      <c r="W1200" s="37"/>
      <c r="X1200" s="37"/>
      <c r="Y1200" s="37"/>
      <c r="Z1200" s="37"/>
      <c r="AA1200" s="37"/>
      <c r="AB1200" s="37"/>
      <c r="AC1200" s="37"/>
      <c r="AD1200" s="37"/>
    </row>
    <row r="1201">
      <c r="A1201" s="37"/>
      <c r="B1201" s="37"/>
      <c r="C1201" s="37"/>
      <c r="D1201" s="37"/>
      <c r="E1201" s="37"/>
      <c r="F1201" s="37"/>
      <c r="G1201" s="37"/>
      <c r="H1201" s="37"/>
      <c r="I1201" s="37"/>
      <c r="J1201" s="37"/>
      <c r="K1201" s="37"/>
      <c r="L1201" s="37"/>
      <c r="M1201" s="37"/>
      <c r="N1201" s="37"/>
      <c r="O1201" s="37"/>
      <c r="P1201" s="37"/>
      <c r="Q1201" s="37"/>
      <c r="R1201" s="37"/>
      <c r="S1201" s="37"/>
      <c r="T1201" s="37"/>
      <c r="U1201" s="37"/>
      <c r="V1201" s="37"/>
      <c r="W1201" s="37"/>
      <c r="X1201" s="37"/>
      <c r="Y1201" s="37"/>
      <c r="Z1201" s="37"/>
      <c r="AA1201" s="37"/>
      <c r="AB1201" s="37"/>
      <c r="AC1201" s="37"/>
      <c r="AD1201" s="37"/>
    </row>
    <row r="1202">
      <c r="A1202" s="37"/>
      <c r="B1202" s="37"/>
      <c r="C1202" s="37"/>
      <c r="D1202" s="37"/>
      <c r="E1202" s="37"/>
      <c r="F1202" s="37"/>
      <c r="G1202" s="37"/>
      <c r="H1202" s="37"/>
      <c r="I1202" s="37"/>
      <c r="J1202" s="37"/>
      <c r="K1202" s="37"/>
      <c r="L1202" s="37"/>
      <c r="M1202" s="37"/>
      <c r="N1202" s="37"/>
      <c r="O1202" s="37"/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37"/>
      <c r="AA1202" s="37"/>
      <c r="AB1202" s="37"/>
      <c r="AC1202" s="37"/>
      <c r="AD1202" s="37"/>
    </row>
    <row r="1203">
      <c r="A1203" s="37"/>
      <c r="B1203" s="37"/>
      <c r="C1203" s="37"/>
      <c r="D1203" s="37"/>
      <c r="E1203" s="37"/>
      <c r="F1203" s="37"/>
      <c r="G1203" s="37"/>
      <c r="H1203" s="37"/>
      <c r="I1203" s="37"/>
      <c r="J1203" s="37"/>
      <c r="K1203" s="37"/>
      <c r="L1203" s="37"/>
      <c r="M1203" s="37"/>
      <c r="N1203" s="37"/>
      <c r="O1203" s="37"/>
      <c r="P1203" s="37"/>
      <c r="Q1203" s="37"/>
      <c r="R1203" s="37"/>
      <c r="S1203" s="37"/>
      <c r="T1203" s="37"/>
      <c r="U1203" s="37"/>
      <c r="V1203" s="37"/>
      <c r="W1203" s="37"/>
      <c r="X1203" s="37"/>
      <c r="Y1203" s="37"/>
      <c r="Z1203" s="37"/>
      <c r="AA1203" s="37"/>
      <c r="AB1203" s="37"/>
      <c r="AC1203" s="37"/>
      <c r="AD1203" s="37"/>
    </row>
    <row r="1204">
      <c r="A1204" s="37"/>
      <c r="B1204" s="37"/>
      <c r="C1204" s="37"/>
      <c r="D1204" s="37"/>
      <c r="E1204" s="37"/>
      <c r="F1204" s="37"/>
      <c r="G1204" s="37"/>
      <c r="H1204" s="37"/>
      <c r="I1204" s="37"/>
      <c r="J1204" s="37"/>
      <c r="K1204" s="37"/>
      <c r="L1204" s="37"/>
      <c r="M1204" s="37"/>
      <c r="N1204" s="37"/>
      <c r="O1204" s="37"/>
      <c r="P1204" s="37"/>
      <c r="Q1204" s="37"/>
      <c r="R1204" s="37"/>
      <c r="S1204" s="37"/>
      <c r="T1204" s="37"/>
      <c r="U1204" s="37"/>
      <c r="V1204" s="37"/>
      <c r="W1204" s="37"/>
      <c r="X1204" s="37"/>
      <c r="Y1204" s="37"/>
      <c r="Z1204" s="37"/>
      <c r="AA1204" s="37"/>
      <c r="AB1204" s="37"/>
      <c r="AC1204" s="37"/>
      <c r="AD1204" s="37"/>
    </row>
    <row r="1205">
      <c r="A1205" s="37"/>
      <c r="B1205" s="37"/>
      <c r="C1205" s="37"/>
      <c r="D1205" s="37"/>
      <c r="E1205" s="37"/>
      <c r="F1205" s="37"/>
      <c r="G1205" s="37"/>
      <c r="H1205" s="37"/>
      <c r="I1205" s="37"/>
      <c r="J1205" s="37"/>
      <c r="K1205" s="37"/>
      <c r="L1205" s="37"/>
      <c r="M1205" s="37"/>
      <c r="N1205" s="37"/>
      <c r="O1205" s="37"/>
      <c r="P1205" s="37"/>
      <c r="Q1205" s="37"/>
      <c r="R1205" s="37"/>
      <c r="S1205" s="37"/>
      <c r="T1205" s="37"/>
      <c r="U1205" s="37"/>
      <c r="V1205" s="37"/>
      <c r="W1205" s="37"/>
      <c r="X1205" s="37"/>
      <c r="Y1205" s="37"/>
      <c r="Z1205" s="37"/>
      <c r="AA1205" s="37"/>
      <c r="AB1205" s="37"/>
      <c r="AC1205" s="37"/>
      <c r="AD1205" s="37"/>
    </row>
    <row r="1206">
      <c r="A1206" s="37"/>
      <c r="B1206" s="37"/>
      <c r="C1206" s="37"/>
      <c r="D1206" s="37"/>
      <c r="E1206" s="37"/>
      <c r="F1206" s="37"/>
      <c r="G1206" s="37"/>
      <c r="H1206" s="37"/>
      <c r="I1206" s="37"/>
      <c r="J1206" s="37"/>
      <c r="K1206" s="37"/>
      <c r="L1206" s="37"/>
      <c r="M1206" s="37"/>
      <c r="N1206" s="37"/>
      <c r="O1206" s="37"/>
      <c r="P1206" s="37"/>
      <c r="Q1206" s="37"/>
      <c r="R1206" s="37"/>
      <c r="S1206" s="37"/>
      <c r="T1206" s="37"/>
      <c r="U1206" s="37"/>
      <c r="V1206" s="37"/>
      <c r="W1206" s="37"/>
      <c r="X1206" s="37"/>
      <c r="Y1206" s="37"/>
      <c r="Z1206" s="37"/>
      <c r="AA1206" s="37"/>
      <c r="AB1206" s="37"/>
      <c r="AC1206" s="37"/>
      <c r="AD1206" s="37"/>
    </row>
    <row r="1207">
      <c r="A1207" s="37"/>
      <c r="B1207" s="37"/>
      <c r="C1207" s="37"/>
      <c r="D1207" s="37"/>
      <c r="E1207" s="37"/>
      <c r="F1207" s="37"/>
      <c r="G1207" s="37"/>
      <c r="H1207" s="37"/>
      <c r="I1207" s="37"/>
      <c r="J1207" s="37"/>
      <c r="K1207" s="37"/>
      <c r="L1207" s="37"/>
      <c r="M1207" s="37"/>
      <c r="N1207" s="37"/>
      <c r="O1207" s="37"/>
      <c r="P1207" s="37"/>
      <c r="Q1207" s="37"/>
      <c r="R1207" s="37"/>
      <c r="S1207" s="37"/>
      <c r="T1207" s="37"/>
      <c r="U1207" s="37"/>
      <c r="V1207" s="37"/>
      <c r="W1207" s="37"/>
      <c r="X1207" s="37"/>
      <c r="Y1207" s="37"/>
      <c r="Z1207" s="37"/>
      <c r="AA1207" s="37"/>
      <c r="AB1207" s="37"/>
      <c r="AC1207" s="37"/>
      <c r="AD1207" s="37"/>
    </row>
    <row r="1208">
      <c r="A1208" s="37"/>
      <c r="B1208" s="37"/>
      <c r="C1208" s="37"/>
      <c r="D1208" s="37"/>
      <c r="E1208" s="37"/>
      <c r="F1208" s="37"/>
      <c r="G1208" s="37"/>
      <c r="H1208" s="37"/>
      <c r="I1208" s="37"/>
      <c r="J1208" s="37"/>
      <c r="K1208" s="37"/>
      <c r="L1208" s="37"/>
      <c r="M1208" s="37"/>
      <c r="N1208" s="37"/>
      <c r="O1208" s="37"/>
      <c r="P1208" s="37"/>
      <c r="Q1208" s="37"/>
      <c r="R1208" s="37"/>
      <c r="S1208" s="37"/>
      <c r="T1208" s="37"/>
      <c r="U1208" s="37"/>
      <c r="V1208" s="37"/>
      <c r="W1208" s="37"/>
      <c r="X1208" s="37"/>
      <c r="Y1208" s="37"/>
      <c r="Z1208" s="37"/>
      <c r="AA1208" s="37"/>
      <c r="AB1208" s="37"/>
      <c r="AC1208" s="37"/>
      <c r="AD1208" s="37"/>
    </row>
    <row r="1209">
      <c r="A1209" s="37"/>
      <c r="B1209" s="37"/>
      <c r="C1209" s="37"/>
      <c r="D1209" s="37"/>
      <c r="E1209" s="37"/>
      <c r="F1209" s="37"/>
      <c r="G1209" s="37"/>
      <c r="H1209" s="37"/>
      <c r="I1209" s="37"/>
      <c r="J1209" s="37"/>
      <c r="K1209" s="37"/>
      <c r="L1209" s="37"/>
      <c r="M1209" s="37"/>
      <c r="N1209" s="37"/>
      <c r="O1209" s="37"/>
      <c r="P1209" s="37"/>
      <c r="Q1209" s="37"/>
      <c r="R1209" s="37"/>
      <c r="S1209" s="37"/>
      <c r="T1209" s="37"/>
      <c r="U1209" s="37"/>
      <c r="V1209" s="37"/>
      <c r="W1209" s="37"/>
      <c r="X1209" s="37"/>
      <c r="Y1209" s="37"/>
      <c r="Z1209" s="37"/>
      <c r="AA1209" s="37"/>
      <c r="AB1209" s="37"/>
      <c r="AC1209" s="37"/>
      <c r="AD1209" s="37"/>
    </row>
    <row r="1210">
      <c r="A1210" s="37"/>
      <c r="B1210" s="37"/>
      <c r="C1210" s="37"/>
      <c r="D1210" s="37"/>
      <c r="E1210" s="37"/>
      <c r="F1210" s="37"/>
      <c r="G1210" s="37"/>
      <c r="H1210" s="37"/>
      <c r="I1210" s="37"/>
      <c r="J1210" s="37"/>
      <c r="K1210" s="37"/>
      <c r="L1210" s="37"/>
      <c r="M1210" s="37"/>
      <c r="N1210" s="37"/>
      <c r="O1210" s="37"/>
      <c r="P1210" s="37"/>
      <c r="Q1210" s="37"/>
      <c r="R1210" s="37"/>
      <c r="S1210" s="37"/>
      <c r="T1210" s="37"/>
      <c r="U1210" s="37"/>
      <c r="V1210" s="37"/>
      <c r="W1210" s="37"/>
      <c r="X1210" s="37"/>
      <c r="Y1210" s="37"/>
      <c r="Z1210" s="37"/>
      <c r="AA1210" s="37"/>
      <c r="AB1210" s="37"/>
      <c r="AC1210" s="37"/>
      <c r="AD1210" s="37"/>
    </row>
    <row r="1211">
      <c r="A1211" s="37"/>
      <c r="B1211" s="37"/>
      <c r="C1211" s="37"/>
      <c r="D1211" s="37"/>
      <c r="E1211" s="37"/>
      <c r="F1211" s="37"/>
      <c r="G1211" s="37"/>
      <c r="H1211" s="37"/>
      <c r="I1211" s="37"/>
      <c r="J1211" s="37"/>
      <c r="K1211" s="37"/>
      <c r="L1211" s="37"/>
      <c r="M1211" s="37"/>
      <c r="N1211" s="37"/>
      <c r="O1211" s="37"/>
      <c r="P1211" s="37"/>
      <c r="Q1211" s="37"/>
      <c r="R1211" s="37"/>
      <c r="S1211" s="37"/>
      <c r="T1211" s="37"/>
      <c r="U1211" s="37"/>
      <c r="V1211" s="37"/>
      <c r="W1211" s="37"/>
      <c r="X1211" s="37"/>
      <c r="Y1211" s="37"/>
      <c r="Z1211" s="37"/>
      <c r="AA1211" s="37"/>
      <c r="AB1211" s="37"/>
      <c r="AC1211" s="37"/>
      <c r="AD1211" s="37"/>
    </row>
    <row r="1212">
      <c r="A1212" s="37"/>
      <c r="B1212" s="37"/>
      <c r="C1212" s="37"/>
      <c r="D1212" s="37"/>
      <c r="E1212" s="37"/>
      <c r="F1212" s="37"/>
      <c r="G1212" s="37"/>
      <c r="H1212" s="37"/>
      <c r="I1212" s="37"/>
      <c r="J1212" s="37"/>
      <c r="K1212" s="37"/>
      <c r="L1212" s="37"/>
      <c r="M1212" s="37"/>
      <c r="N1212" s="37"/>
      <c r="O1212" s="37"/>
      <c r="P1212" s="37"/>
      <c r="Q1212" s="37"/>
      <c r="R1212" s="37"/>
      <c r="S1212" s="37"/>
      <c r="T1212" s="37"/>
      <c r="U1212" s="37"/>
      <c r="V1212" s="37"/>
      <c r="W1212" s="37"/>
      <c r="X1212" s="37"/>
      <c r="Y1212" s="37"/>
      <c r="Z1212" s="37"/>
      <c r="AA1212" s="37"/>
      <c r="AB1212" s="37"/>
      <c r="AC1212" s="37"/>
      <c r="AD1212" s="37"/>
    </row>
    <row r="1213">
      <c r="A1213" s="37"/>
      <c r="B1213" s="37"/>
      <c r="C1213" s="37"/>
      <c r="D1213" s="37"/>
      <c r="E1213" s="37"/>
      <c r="F1213" s="37"/>
      <c r="G1213" s="37"/>
      <c r="H1213" s="37"/>
      <c r="I1213" s="37"/>
      <c r="J1213" s="37"/>
      <c r="K1213" s="37"/>
      <c r="L1213" s="37"/>
      <c r="M1213" s="37"/>
      <c r="N1213" s="37"/>
      <c r="O1213" s="37"/>
      <c r="P1213" s="37"/>
      <c r="Q1213" s="37"/>
      <c r="R1213" s="37"/>
      <c r="S1213" s="37"/>
      <c r="T1213" s="37"/>
      <c r="U1213" s="37"/>
      <c r="V1213" s="37"/>
      <c r="W1213" s="37"/>
      <c r="X1213" s="37"/>
      <c r="Y1213" s="37"/>
      <c r="Z1213" s="37"/>
      <c r="AA1213" s="37"/>
      <c r="AB1213" s="37"/>
      <c r="AC1213" s="37"/>
      <c r="AD1213" s="37"/>
    </row>
    <row r="1214">
      <c r="A1214" s="37"/>
      <c r="B1214" s="37"/>
      <c r="C1214" s="37"/>
      <c r="D1214" s="37"/>
      <c r="E1214" s="37"/>
      <c r="F1214" s="37"/>
      <c r="G1214" s="37"/>
      <c r="H1214" s="37"/>
      <c r="I1214" s="37"/>
      <c r="J1214" s="37"/>
      <c r="K1214" s="37"/>
      <c r="L1214" s="37"/>
      <c r="M1214" s="37"/>
      <c r="N1214" s="37"/>
      <c r="O1214" s="37"/>
      <c r="P1214" s="37"/>
      <c r="Q1214" s="37"/>
      <c r="R1214" s="37"/>
      <c r="S1214" s="37"/>
      <c r="T1214" s="37"/>
      <c r="U1214" s="37"/>
      <c r="V1214" s="37"/>
      <c r="W1214" s="37"/>
      <c r="X1214" s="37"/>
      <c r="Y1214" s="37"/>
      <c r="Z1214" s="37"/>
      <c r="AA1214" s="37"/>
      <c r="AB1214" s="37"/>
      <c r="AC1214" s="37"/>
      <c r="AD1214" s="37"/>
    </row>
    <row r="1215">
      <c r="A1215" s="37"/>
      <c r="B1215" s="37"/>
      <c r="C1215" s="37"/>
      <c r="D1215" s="37"/>
      <c r="E1215" s="37"/>
      <c r="F1215" s="37"/>
      <c r="G1215" s="37"/>
      <c r="H1215" s="37"/>
      <c r="I1215" s="37"/>
      <c r="J1215" s="37"/>
      <c r="K1215" s="37"/>
      <c r="L1215" s="37"/>
      <c r="M1215" s="37"/>
      <c r="N1215" s="37"/>
      <c r="O1215" s="37"/>
      <c r="P1215" s="37"/>
      <c r="Q1215" s="37"/>
      <c r="R1215" s="37"/>
      <c r="S1215" s="37"/>
      <c r="T1215" s="37"/>
      <c r="U1215" s="37"/>
      <c r="V1215" s="37"/>
      <c r="W1215" s="37"/>
      <c r="X1215" s="37"/>
      <c r="Y1215" s="37"/>
      <c r="Z1215" s="37"/>
      <c r="AA1215" s="37"/>
      <c r="AB1215" s="37"/>
      <c r="AC1215" s="37"/>
      <c r="AD1215" s="37"/>
    </row>
    <row r="1216">
      <c r="A1216" s="37"/>
      <c r="B1216" s="37"/>
      <c r="C1216" s="37"/>
      <c r="D1216" s="37"/>
      <c r="E1216" s="37"/>
      <c r="F1216" s="37"/>
      <c r="G1216" s="37"/>
      <c r="H1216" s="37"/>
      <c r="I1216" s="37"/>
      <c r="J1216" s="37"/>
      <c r="K1216" s="37"/>
      <c r="L1216" s="37"/>
      <c r="M1216" s="37"/>
      <c r="N1216" s="37"/>
      <c r="O1216" s="37"/>
      <c r="P1216" s="37"/>
      <c r="Q1216" s="37"/>
      <c r="R1216" s="37"/>
      <c r="S1216" s="37"/>
      <c r="T1216" s="37"/>
      <c r="U1216" s="37"/>
      <c r="V1216" s="37"/>
      <c r="W1216" s="37"/>
      <c r="X1216" s="37"/>
      <c r="Y1216" s="37"/>
      <c r="Z1216" s="37"/>
      <c r="AA1216" s="37"/>
      <c r="AB1216" s="37"/>
      <c r="AC1216" s="37"/>
      <c r="AD1216" s="37"/>
    </row>
    <row r="1217">
      <c r="A1217" s="37"/>
      <c r="B1217" s="37"/>
      <c r="C1217" s="37"/>
      <c r="D1217" s="37"/>
      <c r="E1217" s="37"/>
      <c r="F1217" s="37"/>
      <c r="G1217" s="37"/>
      <c r="H1217" s="37"/>
      <c r="I1217" s="37"/>
      <c r="J1217" s="37"/>
      <c r="K1217" s="37"/>
      <c r="L1217" s="37"/>
      <c r="M1217" s="37"/>
      <c r="N1217" s="37"/>
      <c r="O1217" s="37"/>
      <c r="P1217" s="37"/>
      <c r="Q1217" s="37"/>
      <c r="R1217" s="37"/>
      <c r="S1217" s="37"/>
      <c r="T1217" s="37"/>
      <c r="U1217" s="37"/>
      <c r="V1217" s="37"/>
      <c r="W1217" s="37"/>
      <c r="X1217" s="37"/>
      <c r="Y1217" s="37"/>
      <c r="Z1217" s="37"/>
      <c r="AA1217" s="37"/>
      <c r="AB1217" s="37"/>
      <c r="AC1217" s="37"/>
      <c r="AD1217" s="37"/>
    </row>
    <row r="1218">
      <c r="A1218" s="37"/>
      <c r="B1218" s="37"/>
      <c r="C1218" s="37"/>
      <c r="D1218" s="37"/>
      <c r="E1218" s="37"/>
      <c r="F1218" s="37"/>
      <c r="G1218" s="37"/>
      <c r="H1218" s="37"/>
      <c r="I1218" s="37"/>
      <c r="J1218" s="37"/>
      <c r="K1218" s="37"/>
      <c r="L1218" s="37"/>
      <c r="M1218" s="37"/>
      <c r="N1218" s="37"/>
      <c r="O1218" s="37"/>
      <c r="P1218" s="37"/>
      <c r="Q1218" s="37"/>
      <c r="R1218" s="37"/>
      <c r="S1218" s="37"/>
      <c r="T1218" s="37"/>
      <c r="U1218" s="37"/>
      <c r="V1218" s="37"/>
      <c r="W1218" s="37"/>
      <c r="X1218" s="37"/>
      <c r="Y1218" s="37"/>
      <c r="Z1218" s="37"/>
      <c r="AA1218" s="37"/>
      <c r="AB1218" s="37"/>
      <c r="AC1218" s="37"/>
      <c r="AD1218" s="37"/>
    </row>
    <row r="1219">
      <c r="A1219" s="37"/>
      <c r="B1219" s="37"/>
      <c r="C1219" s="37"/>
      <c r="D1219" s="37"/>
      <c r="E1219" s="37"/>
      <c r="F1219" s="37"/>
      <c r="G1219" s="37"/>
      <c r="H1219" s="37"/>
      <c r="I1219" s="37"/>
      <c r="J1219" s="37"/>
      <c r="K1219" s="37"/>
      <c r="L1219" s="37"/>
      <c r="M1219" s="37"/>
      <c r="N1219" s="37"/>
      <c r="O1219" s="37"/>
      <c r="P1219" s="37"/>
      <c r="Q1219" s="37"/>
      <c r="R1219" s="37"/>
      <c r="S1219" s="37"/>
      <c r="T1219" s="37"/>
      <c r="U1219" s="37"/>
      <c r="V1219" s="37"/>
      <c r="W1219" s="37"/>
      <c r="X1219" s="37"/>
      <c r="Y1219" s="37"/>
      <c r="Z1219" s="37"/>
      <c r="AA1219" s="37"/>
      <c r="AB1219" s="37"/>
      <c r="AC1219" s="37"/>
      <c r="AD1219" s="37"/>
    </row>
    <row r="1220">
      <c r="A1220" s="37"/>
      <c r="B1220" s="37"/>
      <c r="C1220" s="37"/>
      <c r="D1220" s="37"/>
      <c r="E1220" s="37"/>
      <c r="F1220" s="37"/>
      <c r="G1220" s="37"/>
      <c r="H1220" s="37"/>
      <c r="I1220" s="37"/>
      <c r="J1220" s="37"/>
      <c r="K1220" s="37"/>
      <c r="L1220" s="37"/>
      <c r="M1220" s="37"/>
      <c r="N1220" s="37"/>
      <c r="O1220" s="37"/>
      <c r="P1220" s="37"/>
      <c r="Q1220" s="37"/>
      <c r="R1220" s="37"/>
      <c r="S1220" s="37"/>
      <c r="T1220" s="37"/>
      <c r="U1220" s="37"/>
      <c r="V1220" s="37"/>
      <c r="W1220" s="37"/>
      <c r="X1220" s="37"/>
      <c r="Y1220" s="37"/>
      <c r="Z1220" s="37"/>
      <c r="AA1220" s="37"/>
      <c r="AB1220" s="37"/>
      <c r="AC1220" s="37"/>
      <c r="AD1220" s="37"/>
    </row>
    <row r="1221">
      <c r="A1221" s="37"/>
      <c r="B1221" s="37"/>
      <c r="C1221" s="37"/>
      <c r="D1221" s="37"/>
      <c r="E1221" s="37"/>
      <c r="F1221" s="37"/>
      <c r="G1221" s="37"/>
      <c r="H1221" s="37"/>
      <c r="I1221" s="37"/>
      <c r="J1221" s="37"/>
      <c r="K1221" s="37"/>
      <c r="L1221" s="37"/>
      <c r="M1221" s="37"/>
      <c r="N1221" s="37"/>
      <c r="O1221" s="37"/>
      <c r="P1221" s="37"/>
      <c r="Q1221" s="37"/>
      <c r="R1221" s="37"/>
      <c r="S1221" s="37"/>
      <c r="T1221" s="37"/>
      <c r="U1221" s="37"/>
      <c r="V1221" s="37"/>
      <c r="W1221" s="37"/>
      <c r="X1221" s="37"/>
      <c r="Y1221" s="37"/>
      <c r="Z1221" s="37"/>
      <c r="AA1221" s="37"/>
      <c r="AB1221" s="37"/>
      <c r="AC1221" s="37"/>
      <c r="AD1221" s="37"/>
    </row>
    <row r="1222">
      <c r="A1222" s="37"/>
      <c r="B1222" s="37"/>
      <c r="C1222" s="37"/>
      <c r="D1222" s="37"/>
      <c r="E1222" s="37"/>
      <c r="F1222" s="37"/>
      <c r="G1222" s="37"/>
      <c r="H1222" s="37"/>
      <c r="I1222" s="37"/>
      <c r="J1222" s="37"/>
      <c r="K1222" s="37"/>
      <c r="L1222" s="37"/>
      <c r="M1222" s="37"/>
      <c r="N1222" s="37"/>
      <c r="O1222" s="37"/>
      <c r="P1222" s="37"/>
      <c r="Q1222" s="37"/>
      <c r="R1222" s="37"/>
      <c r="S1222" s="37"/>
      <c r="T1222" s="37"/>
      <c r="U1222" s="37"/>
      <c r="V1222" s="37"/>
      <c r="W1222" s="37"/>
      <c r="X1222" s="37"/>
      <c r="Y1222" s="37"/>
      <c r="Z1222" s="37"/>
      <c r="AA1222" s="37"/>
      <c r="AB1222" s="37"/>
      <c r="AC1222" s="37"/>
      <c r="AD1222" s="37"/>
    </row>
    <row r="1223">
      <c r="A1223" s="37"/>
      <c r="B1223" s="37"/>
      <c r="C1223" s="37"/>
      <c r="D1223" s="37"/>
      <c r="E1223" s="37"/>
      <c r="F1223" s="37"/>
      <c r="G1223" s="37"/>
      <c r="H1223" s="37"/>
      <c r="I1223" s="37"/>
      <c r="J1223" s="37"/>
      <c r="K1223" s="37"/>
      <c r="L1223" s="37"/>
      <c r="M1223" s="37"/>
      <c r="N1223" s="37"/>
      <c r="O1223" s="37"/>
      <c r="P1223" s="37"/>
      <c r="Q1223" s="37"/>
      <c r="R1223" s="37"/>
      <c r="S1223" s="37"/>
      <c r="T1223" s="37"/>
      <c r="U1223" s="37"/>
      <c r="V1223" s="37"/>
      <c r="W1223" s="37"/>
      <c r="X1223" s="37"/>
      <c r="Y1223" s="37"/>
      <c r="Z1223" s="37"/>
      <c r="AA1223" s="37"/>
      <c r="AB1223" s="37"/>
      <c r="AC1223" s="37"/>
      <c r="AD1223" s="37"/>
    </row>
    <row r="1224">
      <c r="A1224" s="37"/>
      <c r="B1224" s="37"/>
      <c r="C1224" s="37"/>
      <c r="D1224" s="37"/>
      <c r="E1224" s="37"/>
      <c r="F1224" s="37"/>
      <c r="G1224" s="37"/>
      <c r="H1224" s="37"/>
      <c r="I1224" s="37"/>
      <c r="J1224" s="37"/>
      <c r="K1224" s="37"/>
      <c r="L1224" s="37"/>
      <c r="M1224" s="37"/>
      <c r="N1224" s="37"/>
      <c r="O1224" s="37"/>
      <c r="P1224" s="37"/>
      <c r="Q1224" s="37"/>
      <c r="R1224" s="37"/>
      <c r="S1224" s="37"/>
      <c r="T1224" s="37"/>
      <c r="U1224" s="37"/>
      <c r="V1224" s="37"/>
      <c r="W1224" s="37"/>
      <c r="X1224" s="37"/>
      <c r="Y1224" s="37"/>
      <c r="Z1224" s="37"/>
      <c r="AA1224" s="37"/>
      <c r="AB1224" s="37"/>
      <c r="AC1224" s="37"/>
      <c r="AD1224" s="37"/>
    </row>
    <row r="1225">
      <c r="A1225" s="37"/>
      <c r="B1225" s="37"/>
      <c r="C1225" s="37"/>
      <c r="D1225" s="37"/>
      <c r="E1225" s="37"/>
      <c r="F1225" s="37"/>
      <c r="G1225" s="37"/>
      <c r="H1225" s="37"/>
      <c r="I1225" s="37"/>
      <c r="J1225" s="37"/>
      <c r="K1225" s="37"/>
      <c r="L1225" s="37"/>
      <c r="M1225" s="37"/>
      <c r="N1225" s="37"/>
      <c r="O1225" s="37"/>
      <c r="P1225" s="37"/>
      <c r="Q1225" s="37"/>
      <c r="R1225" s="37"/>
      <c r="S1225" s="37"/>
      <c r="T1225" s="37"/>
      <c r="U1225" s="37"/>
      <c r="V1225" s="37"/>
      <c r="W1225" s="37"/>
      <c r="X1225" s="37"/>
      <c r="Y1225" s="37"/>
      <c r="Z1225" s="37"/>
      <c r="AA1225" s="37"/>
      <c r="AB1225" s="37"/>
      <c r="AC1225" s="37"/>
      <c r="AD1225" s="37"/>
    </row>
    <row r="1226">
      <c r="A1226" s="37"/>
      <c r="B1226" s="37"/>
      <c r="C1226" s="37"/>
      <c r="D1226" s="37"/>
      <c r="E1226" s="37"/>
      <c r="F1226" s="37"/>
      <c r="G1226" s="37"/>
      <c r="H1226" s="37"/>
      <c r="I1226" s="37"/>
      <c r="J1226" s="37"/>
      <c r="K1226" s="37"/>
      <c r="L1226" s="37"/>
      <c r="M1226" s="37"/>
      <c r="N1226" s="37"/>
      <c r="O1226" s="37"/>
      <c r="P1226" s="37"/>
      <c r="Q1226" s="37"/>
      <c r="R1226" s="37"/>
      <c r="S1226" s="37"/>
      <c r="T1226" s="37"/>
      <c r="U1226" s="37"/>
      <c r="V1226" s="37"/>
      <c r="W1226" s="37"/>
      <c r="X1226" s="37"/>
      <c r="Y1226" s="37"/>
      <c r="Z1226" s="37"/>
      <c r="AA1226" s="37"/>
      <c r="AB1226" s="37"/>
      <c r="AC1226" s="37"/>
      <c r="AD1226" s="37"/>
    </row>
    <row r="1227">
      <c r="A1227" s="37"/>
      <c r="B1227" s="37"/>
      <c r="C1227" s="37"/>
      <c r="D1227" s="37"/>
      <c r="E1227" s="37"/>
      <c r="F1227" s="37"/>
      <c r="G1227" s="37"/>
      <c r="H1227" s="37"/>
      <c r="I1227" s="37"/>
      <c r="J1227" s="37"/>
      <c r="K1227" s="37"/>
      <c r="L1227" s="37"/>
      <c r="M1227" s="37"/>
      <c r="N1227" s="37"/>
      <c r="O1227" s="37"/>
      <c r="P1227" s="37"/>
      <c r="Q1227" s="37"/>
      <c r="R1227" s="37"/>
      <c r="S1227" s="37"/>
      <c r="T1227" s="37"/>
      <c r="U1227" s="37"/>
      <c r="V1227" s="37"/>
      <c r="W1227" s="37"/>
      <c r="X1227" s="37"/>
      <c r="Y1227" s="37"/>
      <c r="Z1227" s="37"/>
      <c r="AA1227" s="37"/>
      <c r="AB1227" s="37"/>
      <c r="AC1227" s="37"/>
      <c r="AD1227" s="37"/>
    </row>
    <row r="1228">
      <c r="A1228" s="37"/>
      <c r="B1228" s="37"/>
      <c r="C1228" s="37"/>
      <c r="D1228" s="37"/>
      <c r="E1228" s="37"/>
      <c r="F1228" s="37"/>
      <c r="G1228" s="37"/>
      <c r="H1228" s="37"/>
      <c r="I1228" s="37"/>
      <c r="J1228" s="37"/>
      <c r="K1228" s="37"/>
      <c r="L1228" s="37"/>
      <c r="M1228" s="37"/>
      <c r="N1228" s="37"/>
      <c r="O1228" s="37"/>
      <c r="P1228" s="37"/>
      <c r="Q1228" s="37"/>
      <c r="R1228" s="37"/>
      <c r="S1228" s="37"/>
      <c r="T1228" s="37"/>
      <c r="U1228" s="37"/>
      <c r="V1228" s="37"/>
      <c r="W1228" s="37"/>
      <c r="X1228" s="37"/>
      <c r="Y1228" s="37"/>
      <c r="Z1228" s="37"/>
      <c r="AA1228" s="37"/>
      <c r="AB1228" s="37"/>
      <c r="AC1228" s="37"/>
      <c r="AD1228" s="37"/>
    </row>
    <row r="1229">
      <c r="A1229" s="37"/>
      <c r="B1229" s="37"/>
      <c r="C1229" s="37"/>
      <c r="D1229" s="37"/>
      <c r="E1229" s="37"/>
      <c r="F1229" s="37"/>
      <c r="G1229" s="37"/>
      <c r="H1229" s="37"/>
      <c r="I1229" s="37"/>
      <c r="J1229" s="37"/>
      <c r="K1229" s="37"/>
      <c r="L1229" s="37"/>
      <c r="M1229" s="37"/>
      <c r="N1229" s="37"/>
      <c r="O1229" s="37"/>
      <c r="P1229" s="37"/>
      <c r="Q1229" s="37"/>
      <c r="R1229" s="37"/>
      <c r="S1229" s="37"/>
      <c r="T1229" s="37"/>
      <c r="U1229" s="37"/>
      <c r="V1229" s="37"/>
      <c r="W1229" s="37"/>
      <c r="X1229" s="37"/>
      <c r="Y1229" s="37"/>
      <c r="Z1229" s="37"/>
      <c r="AA1229" s="37"/>
      <c r="AB1229" s="37"/>
      <c r="AC1229" s="37"/>
      <c r="AD1229" s="37"/>
    </row>
    <row r="1230">
      <c r="A1230" s="37"/>
      <c r="B1230" s="37"/>
      <c r="C1230" s="37"/>
      <c r="D1230" s="37"/>
      <c r="E1230" s="37"/>
      <c r="F1230" s="37"/>
      <c r="G1230" s="37"/>
      <c r="H1230" s="37"/>
      <c r="I1230" s="37"/>
      <c r="J1230" s="37"/>
      <c r="K1230" s="37"/>
      <c r="L1230" s="37"/>
      <c r="M1230" s="37"/>
      <c r="N1230" s="37"/>
      <c r="O1230" s="37"/>
      <c r="P1230" s="37"/>
      <c r="Q1230" s="37"/>
      <c r="R1230" s="37"/>
      <c r="S1230" s="37"/>
      <c r="T1230" s="37"/>
      <c r="U1230" s="37"/>
      <c r="V1230" s="37"/>
      <c r="W1230" s="37"/>
      <c r="X1230" s="37"/>
      <c r="Y1230" s="37"/>
      <c r="Z1230" s="37"/>
      <c r="AA1230" s="37"/>
      <c r="AB1230" s="37"/>
      <c r="AC1230" s="37"/>
      <c r="AD1230" s="37"/>
    </row>
    <row r="1231">
      <c r="A1231" s="37"/>
      <c r="B1231" s="37"/>
      <c r="C1231" s="37"/>
      <c r="D1231" s="37"/>
      <c r="E1231" s="37"/>
      <c r="F1231" s="37"/>
      <c r="G1231" s="37"/>
      <c r="H1231" s="37"/>
      <c r="I1231" s="37"/>
      <c r="J1231" s="37"/>
      <c r="K1231" s="37"/>
      <c r="L1231" s="37"/>
      <c r="M1231" s="37"/>
      <c r="N1231" s="37"/>
      <c r="O1231" s="37"/>
      <c r="P1231" s="37"/>
      <c r="Q1231" s="37"/>
      <c r="R1231" s="37"/>
      <c r="S1231" s="37"/>
      <c r="T1231" s="37"/>
      <c r="U1231" s="37"/>
      <c r="V1231" s="37"/>
      <c r="W1231" s="37"/>
      <c r="X1231" s="37"/>
      <c r="Y1231" s="37"/>
      <c r="Z1231" s="37"/>
      <c r="AA1231" s="37"/>
      <c r="AB1231" s="37"/>
      <c r="AC1231" s="37"/>
      <c r="AD1231" s="37"/>
    </row>
    <row r="1232">
      <c r="A1232" s="37"/>
      <c r="B1232" s="37"/>
      <c r="C1232" s="37"/>
      <c r="D1232" s="37"/>
      <c r="E1232" s="37"/>
      <c r="F1232" s="37"/>
      <c r="G1232" s="37"/>
      <c r="H1232" s="37"/>
      <c r="I1232" s="37"/>
      <c r="J1232" s="37"/>
      <c r="K1232" s="37"/>
      <c r="L1232" s="37"/>
      <c r="M1232" s="37"/>
      <c r="N1232" s="37"/>
      <c r="O1232" s="37"/>
      <c r="P1232" s="37"/>
      <c r="Q1232" s="37"/>
      <c r="R1232" s="37"/>
      <c r="S1232" s="37"/>
      <c r="T1232" s="37"/>
      <c r="U1232" s="37"/>
      <c r="V1232" s="37"/>
      <c r="W1232" s="37"/>
      <c r="X1232" s="37"/>
      <c r="Y1232" s="37"/>
      <c r="Z1232" s="37"/>
      <c r="AA1232" s="37"/>
      <c r="AB1232" s="37"/>
      <c r="AC1232" s="37"/>
      <c r="AD1232" s="37"/>
    </row>
    <row r="1233">
      <c r="A1233" s="37"/>
      <c r="B1233" s="37"/>
      <c r="C1233" s="37"/>
      <c r="D1233" s="37"/>
      <c r="E1233" s="37"/>
      <c r="F1233" s="37"/>
      <c r="G1233" s="37"/>
      <c r="H1233" s="37"/>
      <c r="I1233" s="37"/>
      <c r="J1233" s="37"/>
      <c r="K1233" s="37"/>
      <c r="L1233" s="37"/>
      <c r="M1233" s="37"/>
      <c r="N1233" s="37"/>
      <c r="O1233" s="37"/>
      <c r="P1233" s="37"/>
      <c r="Q1233" s="37"/>
      <c r="R1233" s="37"/>
      <c r="S1233" s="37"/>
      <c r="T1233" s="37"/>
      <c r="U1233" s="37"/>
      <c r="V1233" s="37"/>
      <c r="W1233" s="37"/>
      <c r="X1233" s="37"/>
      <c r="Y1233" s="37"/>
      <c r="Z1233" s="37"/>
      <c r="AA1233" s="37"/>
      <c r="AB1233" s="37"/>
      <c r="AC1233" s="37"/>
      <c r="AD1233" s="37"/>
    </row>
    <row r="1234">
      <c r="A1234" s="37"/>
      <c r="B1234" s="37"/>
      <c r="C1234" s="37"/>
      <c r="D1234" s="37"/>
      <c r="E1234" s="37"/>
      <c r="F1234" s="37"/>
      <c r="G1234" s="37"/>
      <c r="H1234" s="37"/>
      <c r="I1234" s="37"/>
      <c r="J1234" s="37"/>
      <c r="K1234" s="37"/>
      <c r="L1234" s="37"/>
      <c r="M1234" s="37"/>
      <c r="N1234" s="37"/>
      <c r="O1234" s="37"/>
      <c r="P1234" s="37"/>
      <c r="Q1234" s="37"/>
      <c r="R1234" s="37"/>
      <c r="S1234" s="37"/>
      <c r="T1234" s="37"/>
      <c r="U1234" s="37"/>
      <c r="V1234" s="37"/>
      <c r="W1234" s="37"/>
      <c r="X1234" s="37"/>
      <c r="Y1234" s="37"/>
      <c r="Z1234" s="37"/>
      <c r="AA1234" s="37"/>
      <c r="AB1234" s="37"/>
      <c r="AC1234" s="37"/>
      <c r="AD1234" s="37"/>
    </row>
    <row r="1235">
      <c r="A1235" s="37"/>
      <c r="B1235" s="37"/>
      <c r="C1235" s="37"/>
      <c r="D1235" s="37"/>
      <c r="E1235" s="37"/>
      <c r="F1235" s="37"/>
      <c r="G1235" s="37"/>
      <c r="H1235" s="37"/>
      <c r="I1235" s="37"/>
      <c r="J1235" s="37"/>
      <c r="K1235" s="37"/>
      <c r="L1235" s="37"/>
      <c r="M1235" s="37"/>
      <c r="N1235" s="37"/>
      <c r="O1235" s="37"/>
      <c r="P1235" s="37"/>
      <c r="Q1235" s="37"/>
      <c r="R1235" s="37"/>
      <c r="S1235" s="37"/>
      <c r="T1235" s="37"/>
      <c r="U1235" s="37"/>
      <c r="V1235" s="37"/>
      <c r="W1235" s="37"/>
      <c r="X1235" s="37"/>
      <c r="Y1235" s="37"/>
      <c r="Z1235" s="37"/>
      <c r="AA1235" s="37"/>
      <c r="AB1235" s="37"/>
      <c r="AC1235" s="37"/>
      <c r="AD1235" s="37"/>
    </row>
    <row r="1236">
      <c r="A1236" s="37"/>
      <c r="B1236" s="37"/>
      <c r="C1236" s="37"/>
      <c r="D1236" s="37"/>
      <c r="E1236" s="37"/>
      <c r="F1236" s="37"/>
      <c r="G1236" s="37"/>
      <c r="H1236" s="37"/>
      <c r="I1236" s="37"/>
      <c r="J1236" s="37"/>
      <c r="K1236" s="37"/>
      <c r="L1236" s="37"/>
      <c r="M1236" s="37"/>
      <c r="N1236" s="37"/>
      <c r="O1236" s="37"/>
      <c r="P1236" s="37"/>
      <c r="Q1236" s="37"/>
      <c r="R1236" s="37"/>
      <c r="S1236" s="37"/>
      <c r="T1236" s="37"/>
      <c r="U1236" s="37"/>
      <c r="V1236" s="37"/>
      <c r="W1236" s="37"/>
      <c r="X1236" s="37"/>
      <c r="Y1236" s="37"/>
      <c r="Z1236" s="37"/>
      <c r="AA1236" s="37"/>
      <c r="AB1236" s="37"/>
      <c r="AC1236" s="37"/>
      <c r="AD1236" s="37"/>
    </row>
    <row r="1237">
      <c r="A1237" s="37"/>
      <c r="B1237" s="37"/>
      <c r="C1237" s="37"/>
      <c r="D1237" s="37"/>
      <c r="E1237" s="37"/>
      <c r="F1237" s="37"/>
      <c r="G1237" s="37"/>
      <c r="H1237" s="37"/>
      <c r="I1237" s="37"/>
      <c r="J1237" s="37"/>
      <c r="K1237" s="37"/>
      <c r="L1237" s="37"/>
      <c r="M1237" s="37"/>
      <c r="N1237" s="37"/>
      <c r="O1237" s="37"/>
      <c r="P1237" s="37"/>
      <c r="Q1237" s="37"/>
      <c r="R1237" s="37"/>
      <c r="S1237" s="37"/>
      <c r="T1237" s="37"/>
      <c r="U1237" s="37"/>
      <c r="V1237" s="37"/>
      <c r="W1237" s="37"/>
      <c r="X1237" s="37"/>
      <c r="Y1237" s="37"/>
      <c r="Z1237" s="37"/>
      <c r="AA1237" s="37"/>
      <c r="AB1237" s="37"/>
      <c r="AC1237" s="37"/>
      <c r="AD1237" s="37"/>
    </row>
    <row r="1238">
      <c r="A1238" s="37"/>
      <c r="B1238" s="37"/>
      <c r="C1238" s="37"/>
      <c r="D1238" s="37"/>
      <c r="E1238" s="37"/>
      <c r="F1238" s="37"/>
      <c r="G1238" s="37"/>
      <c r="H1238" s="37"/>
      <c r="I1238" s="37"/>
      <c r="J1238" s="37"/>
      <c r="K1238" s="37"/>
      <c r="L1238" s="37"/>
      <c r="M1238" s="37"/>
      <c r="N1238" s="37"/>
      <c r="O1238" s="37"/>
      <c r="P1238" s="37"/>
      <c r="Q1238" s="37"/>
      <c r="R1238" s="37"/>
      <c r="S1238" s="37"/>
      <c r="T1238" s="37"/>
      <c r="U1238" s="37"/>
      <c r="V1238" s="37"/>
      <c r="W1238" s="37"/>
      <c r="X1238" s="37"/>
      <c r="Y1238" s="37"/>
      <c r="Z1238" s="37"/>
      <c r="AA1238" s="37"/>
      <c r="AB1238" s="37"/>
      <c r="AC1238" s="37"/>
      <c r="AD1238" s="37"/>
    </row>
    <row r="1239">
      <c r="A1239" s="37"/>
      <c r="B1239" s="37"/>
      <c r="C1239" s="37"/>
      <c r="D1239" s="37"/>
      <c r="E1239" s="37"/>
      <c r="F1239" s="37"/>
      <c r="G1239" s="37"/>
      <c r="H1239" s="37"/>
      <c r="I1239" s="37"/>
      <c r="J1239" s="37"/>
      <c r="K1239" s="37"/>
      <c r="L1239" s="37"/>
      <c r="M1239" s="37"/>
      <c r="N1239" s="37"/>
      <c r="O1239" s="37"/>
      <c r="P1239" s="37"/>
      <c r="Q1239" s="37"/>
      <c r="R1239" s="37"/>
      <c r="S1239" s="37"/>
      <c r="T1239" s="37"/>
      <c r="U1239" s="37"/>
      <c r="V1239" s="37"/>
      <c r="W1239" s="37"/>
      <c r="X1239" s="37"/>
      <c r="Y1239" s="37"/>
      <c r="Z1239" s="37"/>
      <c r="AA1239" s="37"/>
      <c r="AB1239" s="37"/>
      <c r="AC1239" s="37"/>
      <c r="AD1239" s="37"/>
    </row>
    <row r="1240">
      <c r="A1240" s="37"/>
      <c r="B1240" s="37"/>
      <c r="C1240" s="37"/>
      <c r="D1240" s="37"/>
      <c r="E1240" s="37"/>
      <c r="F1240" s="37"/>
      <c r="G1240" s="37"/>
      <c r="H1240" s="37"/>
      <c r="I1240" s="37"/>
      <c r="J1240" s="37"/>
      <c r="K1240" s="37"/>
      <c r="L1240" s="37"/>
      <c r="M1240" s="37"/>
      <c r="N1240" s="37"/>
      <c r="O1240" s="37"/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37"/>
      <c r="AA1240" s="37"/>
      <c r="AB1240" s="37"/>
      <c r="AC1240" s="37"/>
      <c r="AD1240" s="37"/>
    </row>
    <row r="1241">
      <c r="A1241" s="37"/>
      <c r="B1241" s="37"/>
      <c r="C1241" s="37"/>
      <c r="D1241" s="37"/>
      <c r="E1241" s="37"/>
      <c r="F1241" s="37"/>
      <c r="G1241" s="37"/>
      <c r="H1241" s="37"/>
      <c r="I1241" s="37"/>
      <c r="J1241" s="37"/>
      <c r="K1241" s="37"/>
      <c r="L1241" s="37"/>
      <c r="M1241" s="37"/>
      <c r="N1241" s="37"/>
      <c r="O1241" s="37"/>
      <c r="P1241" s="37"/>
      <c r="Q1241" s="37"/>
      <c r="R1241" s="37"/>
      <c r="S1241" s="37"/>
      <c r="T1241" s="37"/>
      <c r="U1241" s="37"/>
      <c r="V1241" s="37"/>
      <c r="W1241" s="37"/>
      <c r="X1241" s="37"/>
      <c r="Y1241" s="37"/>
      <c r="Z1241" s="37"/>
      <c r="AA1241" s="37"/>
      <c r="AB1241" s="37"/>
      <c r="AC1241" s="37"/>
      <c r="AD1241" s="37"/>
    </row>
    <row r="1242">
      <c r="A1242" s="37"/>
      <c r="B1242" s="37"/>
      <c r="C1242" s="37"/>
      <c r="D1242" s="37"/>
      <c r="E1242" s="37"/>
      <c r="F1242" s="37"/>
      <c r="G1242" s="37"/>
      <c r="H1242" s="37"/>
      <c r="I1242" s="37"/>
      <c r="J1242" s="37"/>
      <c r="K1242" s="37"/>
      <c r="L1242" s="37"/>
      <c r="M1242" s="37"/>
      <c r="N1242" s="37"/>
      <c r="O1242" s="37"/>
      <c r="P1242" s="37"/>
      <c r="Q1242" s="37"/>
      <c r="R1242" s="37"/>
      <c r="S1242" s="37"/>
      <c r="T1242" s="37"/>
      <c r="U1242" s="37"/>
      <c r="V1242" s="37"/>
      <c r="W1242" s="37"/>
      <c r="X1242" s="37"/>
      <c r="Y1242" s="37"/>
      <c r="Z1242" s="37"/>
      <c r="AA1242" s="37"/>
      <c r="AB1242" s="37"/>
      <c r="AC1242" s="37"/>
      <c r="AD1242" s="37"/>
    </row>
    <row r="1243">
      <c r="A1243" s="37"/>
      <c r="B1243" s="37"/>
      <c r="C1243" s="37"/>
      <c r="D1243" s="37"/>
      <c r="E1243" s="37"/>
      <c r="F1243" s="37"/>
      <c r="G1243" s="37"/>
      <c r="H1243" s="37"/>
      <c r="I1243" s="37"/>
      <c r="J1243" s="37"/>
      <c r="K1243" s="37"/>
      <c r="L1243" s="37"/>
      <c r="M1243" s="37"/>
      <c r="N1243" s="37"/>
      <c r="O1243" s="37"/>
      <c r="P1243" s="37"/>
      <c r="Q1243" s="37"/>
      <c r="R1243" s="37"/>
      <c r="S1243" s="37"/>
      <c r="T1243" s="37"/>
      <c r="U1243" s="37"/>
      <c r="V1243" s="37"/>
      <c r="W1243" s="37"/>
      <c r="X1243" s="37"/>
      <c r="Y1243" s="37"/>
      <c r="Z1243" s="37"/>
      <c r="AA1243" s="37"/>
      <c r="AB1243" s="37"/>
      <c r="AC1243" s="37"/>
      <c r="AD1243" s="37"/>
    </row>
    <row r="1244">
      <c r="A1244" s="37"/>
      <c r="B1244" s="37"/>
      <c r="C1244" s="37"/>
      <c r="D1244" s="37"/>
      <c r="E1244" s="37"/>
      <c r="F1244" s="37"/>
      <c r="G1244" s="37"/>
      <c r="H1244" s="37"/>
      <c r="I1244" s="37"/>
      <c r="J1244" s="37"/>
      <c r="K1244" s="37"/>
      <c r="L1244" s="37"/>
      <c r="M1244" s="37"/>
      <c r="N1244" s="37"/>
      <c r="O1244" s="37"/>
      <c r="P1244" s="37"/>
      <c r="Q1244" s="37"/>
      <c r="R1244" s="37"/>
      <c r="S1244" s="37"/>
      <c r="T1244" s="37"/>
      <c r="U1244" s="37"/>
      <c r="V1244" s="37"/>
      <c r="W1244" s="37"/>
      <c r="X1244" s="37"/>
      <c r="Y1244" s="37"/>
      <c r="Z1244" s="37"/>
      <c r="AA1244" s="37"/>
      <c r="AB1244" s="37"/>
      <c r="AC1244" s="37"/>
      <c r="AD1244" s="37"/>
    </row>
    <row r="1245">
      <c r="A1245" s="37"/>
      <c r="B1245" s="37"/>
      <c r="C1245" s="37"/>
      <c r="D1245" s="37"/>
      <c r="E1245" s="37"/>
      <c r="F1245" s="37"/>
      <c r="G1245" s="37"/>
      <c r="H1245" s="37"/>
      <c r="I1245" s="37"/>
      <c r="J1245" s="37"/>
      <c r="K1245" s="37"/>
      <c r="L1245" s="37"/>
      <c r="M1245" s="37"/>
      <c r="N1245" s="37"/>
      <c r="O1245" s="37"/>
      <c r="P1245" s="37"/>
      <c r="Q1245" s="37"/>
      <c r="R1245" s="37"/>
      <c r="S1245" s="37"/>
      <c r="T1245" s="37"/>
      <c r="U1245" s="37"/>
      <c r="V1245" s="37"/>
      <c r="W1245" s="37"/>
      <c r="X1245" s="37"/>
      <c r="Y1245" s="37"/>
      <c r="Z1245" s="37"/>
      <c r="AA1245" s="37"/>
      <c r="AB1245" s="37"/>
      <c r="AC1245" s="37"/>
      <c r="AD1245" s="37"/>
    </row>
    <row r="1246">
      <c r="A1246" s="37"/>
      <c r="B1246" s="37"/>
      <c r="C1246" s="37"/>
      <c r="D1246" s="37"/>
      <c r="E1246" s="37"/>
      <c r="F1246" s="37"/>
      <c r="G1246" s="37"/>
      <c r="H1246" s="37"/>
      <c r="I1246" s="37"/>
      <c r="J1246" s="37"/>
      <c r="K1246" s="37"/>
      <c r="L1246" s="37"/>
      <c r="M1246" s="37"/>
      <c r="N1246" s="37"/>
      <c r="O1246" s="37"/>
      <c r="P1246" s="37"/>
      <c r="Q1246" s="37"/>
      <c r="R1246" s="37"/>
      <c r="S1246" s="37"/>
      <c r="T1246" s="37"/>
      <c r="U1246" s="37"/>
      <c r="V1246" s="37"/>
      <c r="W1246" s="37"/>
      <c r="X1246" s="37"/>
      <c r="Y1246" s="37"/>
      <c r="Z1246" s="37"/>
      <c r="AA1246" s="37"/>
      <c r="AB1246" s="37"/>
      <c r="AC1246" s="37"/>
      <c r="AD1246" s="37"/>
    </row>
    <row r="1247">
      <c r="A1247" s="37"/>
      <c r="B1247" s="37"/>
      <c r="C1247" s="37"/>
      <c r="D1247" s="37"/>
      <c r="E1247" s="37"/>
      <c r="F1247" s="37"/>
      <c r="G1247" s="37"/>
      <c r="H1247" s="37"/>
      <c r="I1247" s="37"/>
      <c r="J1247" s="37"/>
      <c r="K1247" s="37"/>
      <c r="L1247" s="37"/>
      <c r="M1247" s="37"/>
      <c r="N1247" s="37"/>
      <c r="O1247" s="37"/>
      <c r="P1247" s="37"/>
      <c r="Q1247" s="37"/>
      <c r="R1247" s="37"/>
      <c r="S1247" s="37"/>
      <c r="T1247" s="37"/>
      <c r="U1247" s="37"/>
      <c r="V1247" s="37"/>
      <c r="W1247" s="37"/>
      <c r="X1247" s="37"/>
      <c r="Y1247" s="37"/>
      <c r="Z1247" s="37"/>
      <c r="AA1247" s="37"/>
      <c r="AB1247" s="37"/>
      <c r="AC1247" s="37"/>
      <c r="AD1247" s="37"/>
    </row>
    <row r="1248">
      <c r="A1248" s="37"/>
      <c r="B1248" s="37"/>
      <c r="C1248" s="37"/>
      <c r="D1248" s="37"/>
      <c r="E1248" s="37"/>
      <c r="F1248" s="37"/>
      <c r="G1248" s="37"/>
      <c r="H1248" s="37"/>
      <c r="I1248" s="37"/>
      <c r="J1248" s="37"/>
      <c r="K1248" s="37"/>
      <c r="L1248" s="37"/>
      <c r="M1248" s="37"/>
      <c r="N1248" s="37"/>
      <c r="O1248" s="37"/>
      <c r="P1248" s="37"/>
      <c r="Q1248" s="37"/>
      <c r="R1248" s="37"/>
      <c r="S1248" s="37"/>
      <c r="T1248" s="37"/>
      <c r="U1248" s="37"/>
      <c r="V1248" s="37"/>
      <c r="W1248" s="37"/>
      <c r="X1248" s="37"/>
      <c r="Y1248" s="37"/>
      <c r="Z1248" s="37"/>
      <c r="AA1248" s="37"/>
      <c r="AB1248" s="37"/>
      <c r="AC1248" s="37"/>
      <c r="AD1248" s="37"/>
    </row>
    <row r="1249">
      <c r="A1249" s="37"/>
      <c r="B1249" s="37"/>
      <c r="C1249" s="37"/>
      <c r="D1249" s="37"/>
      <c r="E1249" s="37"/>
      <c r="F1249" s="37"/>
      <c r="G1249" s="37"/>
      <c r="H1249" s="37"/>
      <c r="I1249" s="37"/>
      <c r="J1249" s="37"/>
      <c r="K1249" s="37"/>
      <c r="L1249" s="37"/>
      <c r="M1249" s="37"/>
      <c r="N1249" s="37"/>
      <c r="O1249" s="37"/>
      <c r="P1249" s="37"/>
      <c r="Q1249" s="37"/>
      <c r="R1249" s="37"/>
      <c r="S1249" s="37"/>
      <c r="T1249" s="37"/>
      <c r="U1249" s="37"/>
      <c r="V1249" s="37"/>
      <c r="W1249" s="37"/>
      <c r="X1249" s="37"/>
      <c r="Y1249" s="37"/>
      <c r="Z1249" s="37"/>
      <c r="AA1249" s="37"/>
      <c r="AB1249" s="37"/>
      <c r="AC1249" s="37"/>
      <c r="AD1249" s="37"/>
    </row>
    <row r="1250">
      <c r="A1250" s="37"/>
      <c r="B1250" s="37"/>
      <c r="C1250" s="37"/>
      <c r="D1250" s="37"/>
      <c r="E1250" s="37"/>
      <c r="F1250" s="37"/>
      <c r="G1250" s="37"/>
      <c r="H1250" s="37"/>
      <c r="I1250" s="37"/>
      <c r="J1250" s="37"/>
      <c r="K1250" s="37"/>
      <c r="L1250" s="37"/>
      <c r="M1250" s="37"/>
      <c r="N1250" s="37"/>
      <c r="O1250" s="37"/>
      <c r="P1250" s="37"/>
      <c r="Q1250" s="37"/>
      <c r="R1250" s="37"/>
      <c r="S1250" s="37"/>
      <c r="T1250" s="37"/>
      <c r="U1250" s="37"/>
      <c r="V1250" s="37"/>
      <c r="W1250" s="37"/>
      <c r="X1250" s="37"/>
      <c r="Y1250" s="37"/>
      <c r="Z1250" s="37"/>
      <c r="AA1250" s="37"/>
      <c r="AB1250" s="37"/>
      <c r="AC1250" s="37"/>
      <c r="AD1250" s="37"/>
    </row>
    <row r="1251">
      <c r="A1251" s="37"/>
      <c r="B1251" s="37"/>
      <c r="C1251" s="37"/>
      <c r="D1251" s="37"/>
      <c r="E1251" s="37"/>
      <c r="F1251" s="37"/>
      <c r="G1251" s="37"/>
      <c r="H1251" s="37"/>
      <c r="I1251" s="37"/>
      <c r="J1251" s="37"/>
      <c r="K1251" s="37"/>
      <c r="L1251" s="37"/>
      <c r="M1251" s="37"/>
      <c r="N1251" s="37"/>
      <c r="O1251" s="37"/>
      <c r="P1251" s="37"/>
      <c r="Q1251" s="37"/>
      <c r="R1251" s="37"/>
      <c r="S1251" s="37"/>
      <c r="T1251" s="37"/>
      <c r="U1251" s="37"/>
      <c r="V1251" s="37"/>
      <c r="W1251" s="37"/>
      <c r="X1251" s="37"/>
      <c r="Y1251" s="37"/>
      <c r="Z1251" s="37"/>
      <c r="AA1251" s="37"/>
      <c r="AB1251" s="37"/>
      <c r="AC1251" s="37"/>
      <c r="AD1251" s="37"/>
    </row>
    <row r="1252">
      <c r="A1252" s="37"/>
      <c r="B1252" s="37"/>
      <c r="C1252" s="37"/>
      <c r="D1252" s="37"/>
      <c r="E1252" s="37"/>
      <c r="F1252" s="37"/>
      <c r="G1252" s="37"/>
      <c r="H1252" s="37"/>
      <c r="I1252" s="37"/>
      <c r="J1252" s="37"/>
      <c r="K1252" s="37"/>
      <c r="L1252" s="37"/>
      <c r="M1252" s="37"/>
      <c r="N1252" s="37"/>
      <c r="O1252" s="37"/>
      <c r="P1252" s="37"/>
      <c r="Q1252" s="37"/>
      <c r="R1252" s="37"/>
      <c r="S1252" s="37"/>
      <c r="T1252" s="37"/>
      <c r="U1252" s="37"/>
      <c r="V1252" s="37"/>
      <c r="W1252" s="37"/>
      <c r="X1252" s="37"/>
      <c r="Y1252" s="37"/>
      <c r="Z1252" s="37"/>
      <c r="AA1252" s="37"/>
      <c r="AB1252" s="37"/>
      <c r="AC1252" s="37"/>
      <c r="AD1252" s="37"/>
    </row>
    <row r="1253">
      <c r="A1253" s="37"/>
      <c r="B1253" s="37"/>
      <c r="C1253" s="37"/>
      <c r="D1253" s="37"/>
      <c r="E1253" s="37"/>
      <c r="F1253" s="37"/>
      <c r="G1253" s="37"/>
      <c r="H1253" s="37"/>
      <c r="I1253" s="37"/>
      <c r="J1253" s="37"/>
      <c r="K1253" s="37"/>
      <c r="L1253" s="37"/>
      <c r="M1253" s="37"/>
      <c r="N1253" s="37"/>
      <c r="O1253" s="37"/>
      <c r="P1253" s="37"/>
      <c r="Q1253" s="37"/>
      <c r="R1253" s="37"/>
      <c r="S1253" s="37"/>
      <c r="T1253" s="37"/>
      <c r="U1253" s="37"/>
      <c r="V1253" s="37"/>
      <c r="W1253" s="37"/>
      <c r="X1253" s="37"/>
      <c r="Y1253" s="37"/>
      <c r="Z1253" s="37"/>
      <c r="AA1253" s="37"/>
      <c r="AB1253" s="37"/>
      <c r="AC1253" s="37"/>
      <c r="AD1253" s="37"/>
    </row>
    <row r="1254">
      <c r="A1254" s="37"/>
      <c r="B1254" s="37"/>
      <c r="C1254" s="37"/>
      <c r="D1254" s="37"/>
      <c r="E1254" s="37"/>
      <c r="F1254" s="37"/>
      <c r="G1254" s="37"/>
      <c r="H1254" s="37"/>
      <c r="I1254" s="37"/>
      <c r="J1254" s="37"/>
      <c r="K1254" s="37"/>
      <c r="L1254" s="37"/>
      <c r="M1254" s="37"/>
      <c r="N1254" s="37"/>
      <c r="O1254" s="37"/>
      <c r="P1254" s="37"/>
      <c r="Q1254" s="37"/>
      <c r="R1254" s="37"/>
      <c r="S1254" s="37"/>
      <c r="T1254" s="37"/>
      <c r="U1254" s="37"/>
      <c r="V1254" s="37"/>
      <c r="W1254" s="37"/>
      <c r="X1254" s="37"/>
      <c r="Y1254" s="37"/>
      <c r="Z1254" s="37"/>
      <c r="AA1254" s="37"/>
      <c r="AB1254" s="37"/>
      <c r="AC1254" s="37"/>
      <c r="AD1254" s="37"/>
    </row>
    <row r="1255">
      <c r="A1255" s="37"/>
      <c r="B1255" s="37"/>
      <c r="C1255" s="37"/>
      <c r="D1255" s="37"/>
      <c r="E1255" s="37"/>
      <c r="F1255" s="37"/>
      <c r="G1255" s="37"/>
      <c r="H1255" s="37"/>
      <c r="I1255" s="37"/>
      <c r="J1255" s="37"/>
      <c r="K1255" s="37"/>
      <c r="L1255" s="37"/>
      <c r="M1255" s="37"/>
      <c r="N1255" s="37"/>
      <c r="O1255" s="37"/>
      <c r="P1255" s="37"/>
      <c r="Q1255" s="37"/>
      <c r="R1255" s="37"/>
      <c r="S1255" s="37"/>
      <c r="T1255" s="37"/>
      <c r="U1255" s="37"/>
      <c r="V1255" s="37"/>
      <c r="W1255" s="37"/>
      <c r="X1255" s="37"/>
      <c r="Y1255" s="37"/>
      <c r="Z1255" s="37"/>
      <c r="AA1255" s="37"/>
      <c r="AB1255" s="37"/>
      <c r="AC1255" s="37"/>
      <c r="AD1255" s="37"/>
    </row>
    <row r="1256">
      <c r="A1256" s="37"/>
      <c r="B1256" s="37"/>
      <c r="C1256" s="37"/>
      <c r="D1256" s="37"/>
      <c r="E1256" s="37"/>
      <c r="F1256" s="37"/>
      <c r="G1256" s="37"/>
      <c r="H1256" s="37"/>
      <c r="I1256" s="37"/>
      <c r="J1256" s="37"/>
      <c r="K1256" s="37"/>
      <c r="L1256" s="37"/>
      <c r="M1256" s="37"/>
      <c r="N1256" s="37"/>
      <c r="O1256" s="37"/>
      <c r="P1256" s="37"/>
      <c r="Q1256" s="37"/>
      <c r="R1256" s="37"/>
      <c r="S1256" s="37"/>
      <c r="T1256" s="37"/>
      <c r="U1256" s="37"/>
      <c r="V1256" s="37"/>
      <c r="W1256" s="37"/>
      <c r="X1256" s="37"/>
      <c r="Y1256" s="37"/>
      <c r="Z1256" s="37"/>
      <c r="AA1256" s="37"/>
      <c r="AB1256" s="37"/>
      <c r="AC1256" s="37"/>
      <c r="AD1256" s="37"/>
    </row>
    <row r="1257">
      <c r="A1257" s="37"/>
      <c r="B1257" s="37"/>
      <c r="C1257" s="37"/>
      <c r="D1257" s="37"/>
      <c r="E1257" s="37"/>
      <c r="F1257" s="37"/>
      <c r="G1257" s="37"/>
      <c r="H1257" s="37"/>
      <c r="I1257" s="37"/>
      <c r="J1257" s="37"/>
      <c r="K1257" s="37"/>
      <c r="L1257" s="37"/>
      <c r="M1257" s="37"/>
      <c r="N1257" s="37"/>
      <c r="O1257" s="37"/>
      <c r="P1257" s="37"/>
      <c r="Q1257" s="37"/>
      <c r="R1257" s="37"/>
      <c r="S1257" s="37"/>
      <c r="T1257" s="37"/>
      <c r="U1257" s="37"/>
      <c r="V1257" s="37"/>
      <c r="W1257" s="37"/>
      <c r="X1257" s="37"/>
      <c r="Y1257" s="37"/>
      <c r="Z1257" s="37"/>
      <c r="AA1257" s="37"/>
      <c r="AB1257" s="37"/>
      <c r="AC1257" s="37"/>
      <c r="AD1257" s="37"/>
    </row>
    <row r="1258">
      <c r="A1258" s="37"/>
      <c r="B1258" s="37"/>
      <c r="C1258" s="37"/>
      <c r="D1258" s="37"/>
      <c r="E1258" s="37"/>
      <c r="F1258" s="37"/>
      <c r="G1258" s="37"/>
      <c r="H1258" s="37"/>
      <c r="I1258" s="37"/>
      <c r="J1258" s="37"/>
      <c r="K1258" s="37"/>
      <c r="L1258" s="37"/>
      <c r="M1258" s="37"/>
      <c r="N1258" s="37"/>
      <c r="O1258" s="37"/>
      <c r="P1258" s="37"/>
      <c r="Q1258" s="37"/>
      <c r="R1258" s="37"/>
      <c r="S1258" s="37"/>
      <c r="T1258" s="37"/>
      <c r="U1258" s="37"/>
      <c r="V1258" s="37"/>
      <c r="W1258" s="37"/>
      <c r="X1258" s="37"/>
      <c r="Y1258" s="37"/>
      <c r="Z1258" s="37"/>
      <c r="AA1258" s="37"/>
      <c r="AB1258" s="37"/>
      <c r="AC1258" s="37"/>
      <c r="AD1258" s="37"/>
    </row>
    <row r="1259">
      <c r="A1259" s="37"/>
      <c r="B1259" s="37"/>
      <c r="C1259" s="37"/>
      <c r="D1259" s="37"/>
      <c r="E1259" s="37"/>
      <c r="F1259" s="37"/>
      <c r="G1259" s="37"/>
      <c r="H1259" s="37"/>
      <c r="I1259" s="37"/>
      <c r="J1259" s="37"/>
      <c r="K1259" s="37"/>
      <c r="L1259" s="37"/>
      <c r="M1259" s="37"/>
      <c r="N1259" s="37"/>
      <c r="O1259" s="37"/>
      <c r="P1259" s="37"/>
      <c r="Q1259" s="37"/>
      <c r="R1259" s="37"/>
      <c r="S1259" s="37"/>
      <c r="T1259" s="37"/>
      <c r="U1259" s="37"/>
      <c r="V1259" s="37"/>
      <c r="W1259" s="37"/>
      <c r="X1259" s="37"/>
      <c r="Y1259" s="37"/>
      <c r="Z1259" s="37"/>
      <c r="AA1259" s="37"/>
      <c r="AB1259" s="37"/>
      <c r="AC1259" s="37"/>
      <c r="AD1259" s="37"/>
    </row>
    <row r="1260">
      <c r="A1260" s="37"/>
      <c r="B1260" s="37"/>
      <c r="C1260" s="37"/>
      <c r="D1260" s="37"/>
      <c r="E1260" s="37"/>
      <c r="F1260" s="37"/>
      <c r="G1260" s="37"/>
      <c r="H1260" s="37"/>
      <c r="I1260" s="37"/>
      <c r="J1260" s="37"/>
      <c r="K1260" s="37"/>
      <c r="L1260" s="37"/>
      <c r="M1260" s="37"/>
      <c r="N1260" s="37"/>
      <c r="O1260" s="37"/>
      <c r="P1260" s="37"/>
      <c r="Q1260" s="37"/>
      <c r="R1260" s="37"/>
      <c r="S1260" s="37"/>
      <c r="T1260" s="37"/>
      <c r="U1260" s="37"/>
      <c r="V1260" s="37"/>
      <c r="W1260" s="37"/>
      <c r="X1260" s="37"/>
      <c r="Y1260" s="37"/>
      <c r="Z1260" s="37"/>
      <c r="AA1260" s="37"/>
      <c r="AB1260" s="37"/>
      <c r="AC1260" s="37"/>
      <c r="AD1260" s="37"/>
    </row>
    <row r="1261">
      <c r="A1261" s="37"/>
      <c r="B1261" s="37"/>
      <c r="C1261" s="37"/>
      <c r="D1261" s="37"/>
      <c r="E1261" s="37"/>
      <c r="F1261" s="37"/>
      <c r="G1261" s="37"/>
      <c r="H1261" s="37"/>
      <c r="I1261" s="37"/>
      <c r="J1261" s="37"/>
      <c r="K1261" s="37"/>
      <c r="L1261" s="37"/>
      <c r="M1261" s="37"/>
      <c r="N1261" s="37"/>
      <c r="O1261" s="37"/>
      <c r="P1261" s="37"/>
      <c r="Q1261" s="37"/>
      <c r="R1261" s="37"/>
      <c r="S1261" s="37"/>
      <c r="T1261" s="37"/>
      <c r="U1261" s="37"/>
      <c r="V1261" s="37"/>
      <c r="W1261" s="37"/>
      <c r="X1261" s="37"/>
      <c r="Y1261" s="37"/>
      <c r="Z1261" s="37"/>
      <c r="AA1261" s="37"/>
      <c r="AB1261" s="37"/>
      <c r="AC1261" s="37"/>
      <c r="AD1261" s="37"/>
    </row>
    <row r="1262">
      <c r="A1262" s="37"/>
      <c r="B1262" s="37"/>
      <c r="C1262" s="37"/>
      <c r="D1262" s="37"/>
      <c r="E1262" s="37"/>
      <c r="F1262" s="37"/>
      <c r="G1262" s="37"/>
      <c r="H1262" s="37"/>
      <c r="I1262" s="37"/>
      <c r="J1262" s="37"/>
      <c r="K1262" s="37"/>
      <c r="L1262" s="37"/>
      <c r="M1262" s="37"/>
      <c r="N1262" s="37"/>
      <c r="O1262" s="37"/>
      <c r="P1262" s="37"/>
      <c r="Q1262" s="37"/>
      <c r="R1262" s="37"/>
      <c r="S1262" s="37"/>
      <c r="T1262" s="37"/>
      <c r="U1262" s="37"/>
      <c r="V1262" s="37"/>
      <c r="W1262" s="37"/>
      <c r="X1262" s="37"/>
      <c r="Y1262" s="37"/>
      <c r="Z1262" s="37"/>
      <c r="AA1262" s="37"/>
      <c r="AB1262" s="37"/>
      <c r="AC1262" s="37"/>
      <c r="AD1262" s="37"/>
    </row>
    <row r="1263">
      <c r="A1263" s="37"/>
      <c r="B1263" s="37"/>
      <c r="C1263" s="37"/>
      <c r="D1263" s="37"/>
      <c r="E1263" s="37"/>
      <c r="F1263" s="37"/>
      <c r="G1263" s="37"/>
      <c r="H1263" s="37"/>
      <c r="I1263" s="37"/>
      <c r="J1263" s="37"/>
      <c r="K1263" s="37"/>
      <c r="L1263" s="37"/>
      <c r="M1263" s="37"/>
      <c r="N1263" s="37"/>
      <c r="O1263" s="37"/>
      <c r="P1263" s="37"/>
      <c r="Q1263" s="37"/>
      <c r="R1263" s="37"/>
      <c r="S1263" s="37"/>
      <c r="T1263" s="37"/>
      <c r="U1263" s="37"/>
      <c r="V1263" s="37"/>
      <c r="W1263" s="37"/>
      <c r="X1263" s="37"/>
      <c r="Y1263" s="37"/>
      <c r="Z1263" s="37"/>
      <c r="AA1263" s="37"/>
      <c r="AB1263" s="37"/>
      <c r="AC1263" s="37"/>
      <c r="AD1263" s="37"/>
    </row>
    <row r="1264">
      <c r="A1264" s="37"/>
      <c r="B1264" s="37"/>
      <c r="C1264" s="37"/>
      <c r="D1264" s="37"/>
      <c r="E1264" s="37"/>
      <c r="F1264" s="37"/>
      <c r="G1264" s="37"/>
      <c r="H1264" s="37"/>
      <c r="I1264" s="37"/>
      <c r="J1264" s="37"/>
      <c r="K1264" s="37"/>
      <c r="L1264" s="37"/>
      <c r="M1264" s="37"/>
      <c r="N1264" s="37"/>
      <c r="O1264" s="37"/>
      <c r="P1264" s="37"/>
      <c r="Q1264" s="37"/>
      <c r="R1264" s="37"/>
      <c r="S1264" s="37"/>
      <c r="T1264" s="37"/>
      <c r="U1264" s="37"/>
      <c r="V1264" s="37"/>
      <c r="W1264" s="37"/>
      <c r="X1264" s="37"/>
      <c r="Y1264" s="37"/>
      <c r="Z1264" s="37"/>
      <c r="AA1264" s="37"/>
      <c r="AB1264" s="37"/>
      <c r="AC1264" s="37"/>
      <c r="AD1264" s="37"/>
    </row>
    <row r="1265">
      <c r="A1265" s="37"/>
      <c r="B1265" s="37"/>
      <c r="C1265" s="37"/>
      <c r="D1265" s="37"/>
      <c r="E1265" s="37"/>
      <c r="F1265" s="37"/>
      <c r="G1265" s="37"/>
      <c r="H1265" s="37"/>
      <c r="I1265" s="37"/>
      <c r="J1265" s="37"/>
      <c r="K1265" s="37"/>
      <c r="L1265" s="37"/>
      <c r="M1265" s="37"/>
      <c r="N1265" s="37"/>
      <c r="O1265" s="37"/>
      <c r="P1265" s="37"/>
      <c r="Q1265" s="37"/>
      <c r="R1265" s="37"/>
      <c r="S1265" s="37"/>
      <c r="T1265" s="37"/>
      <c r="U1265" s="37"/>
      <c r="V1265" s="37"/>
      <c r="W1265" s="37"/>
      <c r="X1265" s="37"/>
      <c r="Y1265" s="37"/>
      <c r="Z1265" s="37"/>
      <c r="AA1265" s="37"/>
      <c r="AB1265" s="37"/>
      <c r="AC1265" s="37"/>
      <c r="AD1265" s="37"/>
    </row>
    <row r="1266">
      <c r="A1266" s="37"/>
      <c r="B1266" s="37"/>
      <c r="C1266" s="37"/>
      <c r="D1266" s="37"/>
      <c r="E1266" s="37"/>
      <c r="F1266" s="37"/>
      <c r="G1266" s="37"/>
      <c r="H1266" s="37"/>
      <c r="I1266" s="37"/>
      <c r="J1266" s="37"/>
      <c r="K1266" s="37"/>
      <c r="L1266" s="37"/>
      <c r="M1266" s="37"/>
      <c r="N1266" s="37"/>
      <c r="O1266" s="37"/>
      <c r="P1266" s="37"/>
      <c r="Q1266" s="37"/>
      <c r="R1266" s="37"/>
      <c r="S1266" s="37"/>
      <c r="T1266" s="37"/>
      <c r="U1266" s="37"/>
      <c r="V1266" s="37"/>
      <c r="W1266" s="37"/>
      <c r="X1266" s="37"/>
      <c r="Y1266" s="37"/>
      <c r="Z1266" s="37"/>
      <c r="AA1266" s="37"/>
      <c r="AB1266" s="37"/>
      <c r="AC1266" s="37"/>
      <c r="AD1266" s="37"/>
    </row>
    <row r="1267">
      <c r="A1267" s="37"/>
      <c r="B1267" s="37"/>
      <c r="C1267" s="37"/>
      <c r="D1267" s="37"/>
      <c r="E1267" s="37"/>
      <c r="F1267" s="37"/>
      <c r="G1267" s="37"/>
      <c r="H1267" s="37"/>
      <c r="I1267" s="37"/>
      <c r="J1267" s="37"/>
      <c r="K1267" s="37"/>
      <c r="L1267" s="37"/>
      <c r="M1267" s="37"/>
      <c r="N1267" s="37"/>
      <c r="O1267" s="37"/>
      <c r="P1267" s="37"/>
      <c r="Q1267" s="37"/>
      <c r="R1267" s="37"/>
      <c r="S1267" s="37"/>
      <c r="T1267" s="37"/>
      <c r="U1267" s="37"/>
      <c r="V1267" s="37"/>
      <c r="W1267" s="37"/>
      <c r="X1267" s="37"/>
      <c r="Y1267" s="37"/>
      <c r="Z1267" s="37"/>
      <c r="AA1267" s="37"/>
      <c r="AB1267" s="37"/>
      <c r="AC1267" s="37"/>
      <c r="AD1267" s="37"/>
    </row>
    <row r="1268">
      <c r="A1268" s="37"/>
      <c r="B1268" s="37"/>
      <c r="C1268" s="37"/>
      <c r="D1268" s="37"/>
      <c r="E1268" s="37"/>
      <c r="F1268" s="37"/>
      <c r="G1268" s="37"/>
      <c r="H1268" s="37"/>
      <c r="I1268" s="37"/>
      <c r="J1268" s="37"/>
      <c r="K1268" s="37"/>
      <c r="L1268" s="37"/>
      <c r="M1268" s="37"/>
      <c r="N1268" s="37"/>
      <c r="O1268" s="37"/>
      <c r="P1268" s="37"/>
      <c r="Q1268" s="37"/>
      <c r="R1268" s="37"/>
      <c r="S1268" s="37"/>
      <c r="T1268" s="37"/>
      <c r="U1268" s="37"/>
      <c r="V1268" s="37"/>
      <c r="W1268" s="37"/>
      <c r="X1268" s="37"/>
      <c r="Y1268" s="37"/>
      <c r="Z1268" s="37"/>
      <c r="AA1268" s="37"/>
      <c r="AB1268" s="37"/>
      <c r="AC1268" s="37"/>
      <c r="AD1268" s="37"/>
    </row>
    <row r="1269">
      <c r="A1269" s="37"/>
      <c r="B1269" s="37"/>
      <c r="C1269" s="37"/>
      <c r="D1269" s="37"/>
      <c r="E1269" s="37"/>
      <c r="F1269" s="37"/>
      <c r="G1269" s="37"/>
      <c r="H1269" s="37"/>
      <c r="I1269" s="37"/>
      <c r="J1269" s="37"/>
      <c r="K1269" s="37"/>
      <c r="L1269" s="37"/>
      <c r="M1269" s="37"/>
      <c r="N1269" s="37"/>
      <c r="O1269" s="37"/>
      <c r="P1269" s="37"/>
      <c r="Q1269" s="37"/>
      <c r="R1269" s="37"/>
      <c r="S1269" s="37"/>
      <c r="T1269" s="37"/>
      <c r="U1269" s="37"/>
      <c r="V1269" s="37"/>
      <c r="W1269" s="37"/>
      <c r="X1269" s="37"/>
      <c r="Y1269" s="37"/>
      <c r="Z1269" s="37"/>
      <c r="AA1269" s="37"/>
      <c r="AB1269" s="37"/>
      <c r="AC1269" s="37"/>
      <c r="AD1269" s="37"/>
    </row>
    <row r="1270">
      <c r="A1270" s="37"/>
      <c r="B1270" s="37"/>
      <c r="C1270" s="37"/>
      <c r="D1270" s="37"/>
      <c r="E1270" s="37"/>
      <c r="F1270" s="37"/>
      <c r="G1270" s="37"/>
      <c r="H1270" s="37"/>
      <c r="I1270" s="37"/>
      <c r="J1270" s="37"/>
      <c r="K1270" s="37"/>
      <c r="L1270" s="37"/>
      <c r="M1270" s="37"/>
      <c r="N1270" s="37"/>
      <c r="O1270" s="37"/>
      <c r="P1270" s="37"/>
      <c r="Q1270" s="37"/>
      <c r="R1270" s="37"/>
      <c r="S1270" s="37"/>
      <c r="T1270" s="37"/>
      <c r="U1270" s="37"/>
      <c r="V1270" s="37"/>
      <c r="W1270" s="37"/>
      <c r="X1270" s="37"/>
      <c r="Y1270" s="37"/>
      <c r="Z1270" s="37"/>
      <c r="AA1270" s="37"/>
      <c r="AB1270" s="37"/>
      <c r="AC1270" s="37"/>
      <c r="AD1270" s="37"/>
    </row>
    <row r="1271">
      <c r="A1271" s="37"/>
      <c r="B1271" s="37"/>
      <c r="C1271" s="37"/>
      <c r="D1271" s="37"/>
      <c r="E1271" s="37"/>
      <c r="F1271" s="37"/>
      <c r="G1271" s="37"/>
      <c r="H1271" s="37"/>
      <c r="I1271" s="37"/>
      <c r="J1271" s="37"/>
      <c r="K1271" s="37"/>
      <c r="L1271" s="37"/>
      <c r="M1271" s="37"/>
      <c r="N1271" s="37"/>
      <c r="O1271" s="37"/>
      <c r="P1271" s="37"/>
      <c r="Q1271" s="37"/>
      <c r="R1271" s="37"/>
      <c r="S1271" s="37"/>
      <c r="T1271" s="37"/>
      <c r="U1271" s="37"/>
      <c r="V1271" s="37"/>
      <c r="W1271" s="37"/>
      <c r="X1271" s="37"/>
      <c r="Y1271" s="37"/>
      <c r="Z1271" s="37"/>
      <c r="AA1271" s="37"/>
      <c r="AB1271" s="37"/>
      <c r="AC1271" s="37"/>
      <c r="AD1271" s="37"/>
    </row>
    <row r="1272">
      <c r="A1272" s="37"/>
      <c r="B1272" s="37"/>
      <c r="C1272" s="37"/>
      <c r="D1272" s="37"/>
      <c r="E1272" s="37"/>
      <c r="F1272" s="37"/>
      <c r="G1272" s="37"/>
      <c r="H1272" s="37"/>
      <c r="I1272" s="37"/>
      <c r="J1272" s="37"/>
      <c r="K1272" s="37"/>
      <c r="L1272" s="37"/>
      <c r="M1272" s="37"/>
      <c r="N1272" s="37"/>
      <c r="O1272" s="37"/>
      <c r="P1272" s="37"/>
      <c r="Q1272" s="37"/>
      <c r="R1272" s="37"/>
      <c r="S1272" s="37"/>
      <c r="T1272" s="37"/>
      <c r="U1272" s="37"/>
      <c r="V1272" s="37"/>
      <c r="W1272" s="37"/>
      <c r="X1272" s="37"/>
      <c r="Y1272" s="37"/>
      <c r="Z1272" s="37"/>
      <c r="AA1272" s="37"/>
      <c r="AB1272" s="37"/>
      <c r="AC1272" s="37"/>
      <c r="AD1272" s="37"/>
    </row>
    <row r="1273">
      <c r="A1273" s="37"/>
      <c r="B1273" s="37"/>
      <c r="C1273" s="37"/>
      <c r="D1273" s="37"/>
      <c r="E1273" s="37"/>
      <c r="F1273" s="37"/>
      <c r="G1273" s="37"/>
      <c r="H1273" s="37"/>
      <c r="I1273" s="37"/>
      <c r="J1273" s="37"/>
      <c r="K1273" s="37"/>
      <c r="L1273" s="37"/>
      <c r="M1273" s="37"/>
      <c r="N1273" s="37"/>
      <c r="O1273" s="37"/>
      <c r="P1273" s="37"/>
      <c r="Q1273" s="37"/>
      <c r="R1273" s="37"/>
      <c r="S1273" s="37"/>
      <c r="T1273" s="37"/>
      <c r="U1273" s="37"/>
      <c r="V1273" s="37"/>
      <c r="W1273" s="37"/>
      <c r="X1273" s="37"/>
      <c r="Y1273" s="37"/>
      <c r="Z1273" s="37"/>
      <c r="AA1273" s="37"/>
      <c r="AB1273" s="37"/>
      <c r="AC1273" s="37"/>
      <c r="AD1273" s="37"/>
    </row>
    <row r="1274">
      <c r="A1274" s="37"/>
      <c r="B1274" s="37"/>
      <c r="C1274" s="37"/>
      <c r="D1274" s="37"/>
      <c r="E1274" s="37"/>
      <c r="F1274" s="37"/>
      <c r="G1274" s="37"/>
      <c r="H1274" s="37"/>
      <c r="I1274" s="37"/>
      <c r="J1274" s="37"/>
      <c r="K1274" s="37"/>
      <c r="L1274" s="37"/>
      <c r="M1274" s="37"/>
      <c r="N1274" s="37"/>
      <c r="O1274" s="37"/>
      <c r="P1274" s="37"/>
      <c r="Q1274" s="37"/>
      <c r="R1274" s="37"/>
      <c r="S1274" s="37"/>
      <c r="T1274" s="37"/>
      <c r="U1274" s="37"/>
      <c r="V1274" s="37"/>
      <c r="W1274" s="37"/>
      <c r="X1274" s="37"/>
      <c r="Y1274" s="37"/>
      <c r="Z1274" s="37"/>
      <c r="AA1274" s="37"/>
      <c r="AB1274" s="37"/>
      <c r="AC1274" s="37"/>
      <c r="AD1274" s="37"/>
    </row>
    <row r="1275">
      <c r="A1275" s="37"/>
      <c r="B1275" s="37"/>
      <c r="C1275" s="37"/>
      <c r="D1275" s="37"/>
      <c r="E1275" s="37"/>
      <c r="F1275" s="37"/>
      <c r="G1275" s="37"/>
      <c r="H1275" s="37"/>
      <c r="I1275" s="37"/>
      <c r="J1275" s="37"/>
      <c r="K1275" s="37"/>
      <c r="L1275" s="37"/>
      <c r="M1275" s="37"/>
      <c r="N1275" s="37"/>
      <c r="O1275" s="37"/>
      <c r="P1275" s="37"/>
      <c r="Q1275" s="37"/>
      <c r="R1275" s="37"/>
      <c r="S1275" s="37"/>
      <c r="T1275" s="37"/>
      <c r="U1275" s="37"/>
      <c r="V1275" s="37"/>
      <c r="W1275" s="37"/>
      <c r="X1275" s="37"/>
      <c r="Y1275" s="37"/>
      <c r="Z1275" s="37"/>
      <c r="AA1275" s="37"/>
      <c r="AB1275" s="37"/>
      <c r="AC1275" s="37"/>
      <c r="AD1275" s="37"/>
    </row>
    <row r="1276">
      <c r="A1276" s="37"/>
      <c r="B1276" s="37"/>
      <c r="C1276" s="37"/>
      <c r="D1276" s="37"/>
      <c r="E1276" s="37"/>
      <c r="F1276" s="37"/>
      <c r="G1276" s="37"/>
      <c r="H1276" s="37"/>
      <c r="I1276" s="37"/>
      <c r="J1276" s="37"/>
      <c r="K1276" s="37"/>
      <c r="L1276" s="37"/>
      <c r="M1276" s="37"/>
      <c r="N1276" s="37"/>
      <c r="O1276" s="37"/>
      <c r="P1276" s="37"/>
      <c r="Q1276" s="37"/>
      <c r="R1276" s="37"/>
      <c r="S1276" s="37"/>
      <c r="T1276" s="37"/>
      <c r="U1276" s="37"/>
      <c r="V1276" s="37"/>
      <c r="W1276" s="37"/>
      <c r="X1276" s="37"/>
      <c r="Y1276" s="37"/>
      <c r="Z1276" s="37"/>
      <c r="AA1276" s="37"/>
      <c r="AB1276" s="37"/>
      <c r="AC1276" s="37"/>
      <c r="AD1276" s="37"/>
    </row>
    <row r="1277">
      <c r="A1277" s="37"/>
      <c r="B1277" s="37"/>
      <c r="C1277" s="37"/>
      <c r="D1277" s="37"/>
      <c r="E1277" s="37"/>
      <c r="F1277" s="37"/>
      <c r="G1277" s="37"/>
      <c r="H1277" s="37"/>
      <c r="I1277" s="37"/>
      <c r="J1277" s="37"/>
      <c r="K1277" s="37"/>
      <c r="L1277" s="37"/>
      <c r="M1277" s="37"/>
      <c r="N1277" s="37"/>
      <c r="O1277" s="37"/>
      <c r="P1277" s="37"/>
      <c r="Q1277" s="37"/>
      <c r="R1277" s="37"/>
      <c r="S1277" s="37"/>
      <c r="T1277" s="37"/>
      <c r="U1277" s="37"/>
      <c r="V1277" s="37"/>
      <c r="W1277" s="37"/>
      <c r="X1277" s="37"/>
      <c r="Y1277" s="37"/>
      <c r="Z1277" s="37"/>
      <c r="AA1277" s="37"/>
      <c r="AB1277" s="37"/>
      <c r="AC1277" s="37"/>
      <c r="AD1277" s="37"/>
    </row>
    <row r="1278">
      <c r="A1278" s="37"/>
      <c r="B1278" s="37"/>
      <c r="C1278" s="37"/>
      <c r="D1278" s="37"/>
      <c r="E1278" s="37"/>
      <c r="F1278" s="37"/>
      <c r="G1278" s="37"/>
      <c r="H1278" s="37"/>
      <c r="I1278" s="37"/>
      <c r="J1278" s="37"/>
      <c r="K1278" s="37"/>
      <c r="L1278" s="37"/>
      <c r="M1278" s="37"/>
      <c r="N1278" s="37"/>
      <c r="O1278" s="37"/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37"/>
      <c r="AA1278" s="37"/>
      <c r="AB1278" s="37"/>
      <c r="AC1278" s="37"/>
      <c r="AD1278" s="37"/>
    </row>
    <row r="1279">
      <c r="A1279" s="37"/>
      <c r="B1279" s="37"/>
      <c r="C1279" s="37"/>
      <c r="D1279" s="37"/>
      <c r="E1279" s="37"/>
      <c r="F1279" s="37"/>
      <c r="G1279" s="37"/>
      <c r="H1279" s="37"/>
      <c r="I1279" s="37"/>
      <c r="J1279" s="37"/>
      <c r="K1279" s="37"/>
      <c r="L1279" s="37"/>
      <c r="M1279" s="37"/>
      <c r="N1279" s="37"/>
      <c r="O1279" s="37"/>
      <c r="P1279" s="37"/>
      <c r="Q1279" s="37"/>
      <c r="R1279" s="37"/>
      <c r="S1279" s="37"/>
      <c r="T1279" s="37"/>
      <c r="U1279" s="37"/>
      <c r="V1279" s="37"/>
      <c r="W1279" s="37"/>
      <c r="X1279" s="37"/>
      <c r="Y1279" s="37"/>
      <c r="Z1279" s="37"/>
      <c r="AA1279" s="37"/>
      <c r="AB1279" s="37"/>
      <c r="AC1279" s="37"/>
      <c r="AD1279" s="37"/>
    </row>
    <row r="1280">
      <c r="A1280" s="37"/>
      <c r="B1280" s="37"/>
      <c r="C1280" s="37"/>
      <c r="D1280" s="37"/>
      <c r="E1280" s="37"/>
      <c r="F1280" s="37"/>
      <c r="G1280" s="37"/>
      <c r="H1280" s="37"/>
      <c r="I1280" s="37"/>
      <c r="J1280" s="37"/>
      <c r="K1280" s="37"/>
      <c r="L1280" s="37"/>
      <c r="M1280" s="37"/>
      <c r="N1280" s="37"/>
      <c r="O1280" s="37"/>
      <c r="P1280" s="37"/>
      <c r="Q1280" s="37"/>
      <c r="R1280" s="37"/>
      <c r="S1280" s="37"/>
      <c r="T1280" s="37"/>
      <c r="U1280" s="37"/>
      <c r="V1280" s="37"/>
      <c r="W1280" s="37"/>
      <c r="X1280" s="37"/>
      <c r="Y1280" s="37"/>
      <c r="Z1280" s="37"/>
      <c r="AA1280" s="37"/>
      <c r="AB1280" s="37"/>
      <c r="AC1280" s="37"/>
      <c r="AD1280" s="37"/>
    </row>
    <row r="1281">
      <c r="A1281" s="37"/>
      <c r="B1281" s="37"/>
      <c r="C1281" s="37"/>
      <c r="D1281" s="37"/>
      <c r="E1281" s="37"/>
      <c r="F1281" s="37"/>
      <c r="G1281" s="37"/>
      <c r="H1281" s="37"/>
      <c r="I1281" s="37"/>
      <c r="J1281" s="37"/>
      <c r="K1281" s="37"/>
      <c r="L1281" s="37"/>
      <c r="M1281" s="37"/>
      <c r="N1281" s="37"/>
      <c r="O1281" s="37"/>
      <c r="P1281" s="37"/>
      <c r="Q1281" s="37"/>
      <c r="R1281" s="37"/>
      <c r="S1281" s="37"/>
      <c r="T1281" s="37"/>
      <c r="U1281" s="37"/>
      <c r="V1281" s="37"/>
      <c r="W1281" s="37"/>
      <c r="X1281" s="37"/>
      <c r="Y1281" s="37"/>
      <c r="Z1281" s="37"/>
      <c r="AA1281" s="37"/>
      <c r="AB1281" s="37"/>
      <c r="AC1281" s="37"/>
      <c r="AD1281" s="37"/>
    </row>
    <row r="1282">
      <c r="A1282" s="37"/>
      <c r="B1282" s="37"/>
      <c r="C1282" s="37"/>
      <c r="D1282" s="37"/>
      <c r="E1282" s="37"/>
      <c r="F1282" s="37"/>
      <c r="G1282" s="37"/>
      <c r="H1282" s="37"/>
      <c r="I1282" s="37"/>
      <c r="J1282" s="37"/>
      <c r="K1282" s="37"/>
      <c r="L1282" s="37"/>
      <c r="M1282" s="37"/>
      <c r="N1282" s="37"/>
      <c r="O1282" s="37"/>
      <c r="P1282" s="37"/>
      <c r="Q1282" s="37"/>
      <c r="R1282" s="37"/>
      <c r="S1282" s="37"/>
      <c r="T1282" s="37"/>
      <c r="U1282" s="37"/>
      <c r="V1282" s="37"/>
      <c r="W1282" s="37"/>
      <c r="X1282" s="37"/>
      <c r="Y1282" s="37"/>
      <c r="Z1282" s="37"/>
      <c r="AA1282" s="37"/>
      <c r="AB1282" s="37"/>
      <c r="AC1282" s="37"/>
      <c r="AD1282" s="37"/>
    </row>
    <row r="1283">
      <c r="A1283" s="37"/>
      <c r="B1283" s="37"/>
      <c r="C1283" s="37"/>
      <c r="D1283" s="37"/>
      <c r="E1283" s="37"/>
      <c r="F1283" s="37"/>
      <c r="G1283" s="37"/>
      <c r="H1283" s="37"/>
      <c r="I1283" s="37"/>
      <c r="J1283" s="37"/>
      <c r="K1283" s="37"/>
      <c r="L1283" s="37"/>
      <c r="M1283" s="37"/>
      <c r="N1283" s="37"/>
      <c r="O1283" s="37"/>
      <c r="P1283" s="37"/>
      <c r="Q1283" s="37"/>
      <c r="R1283" s="37"/>
      <c r="S1283" s="37"/>
      <c r="T1283" s="37"/>
      <c r="U1283" s="37"/>
      <c r="V1283" s="37"/>
      <c r="W1283" s="37"/>
      <c r="X1283" s="37"/>
      <c r="Y1283" s="37"/>
      <c r="Z1283" s="37"/>
      <c r="AA1283" s="37"/>
      <c r="AB1283" s="37"/>
      <c r="AC1283" s="37"/>
      <c r="AD1283" s="37"/>
    </row>
    <row r="1284">
      <c r="A1284" s="37"/>
      <c r="B1284" s="37"/>
      <c r="C1284" s="37"/>
      <c r="D1284" s="37"/>
      <c r="E1284" s="37"/>
      <c r="F1284" s="37"/>
      <c r="G1284" s="37"/>
      <c r="H1284" s="37"/>
      <c r="I1284" s="37"/>
      <c r="J1284" s="37"/>
      <c r="K1284" s="37"/>
      <c r="L1284" s="37"/>
      <c r="M1284" s="37"/>
      <c r="N1284" s="37"/>
      <c r="O1284" s="37"/>
      <c r="P1284" s="37"/>
      <c r="Q1284" s="37"/>
      <c r="R1284" s="37"/>
      <c r="S1284" s="37"/>
      <c r="T1284" s="37"/>
      <c r="U1284" s="37"/>
      <c r="V1284" s="37"/>
      <c r="W1284" s="37"/>
      <c r="X1284" s="37"/>
      <c r="Y1284" s="37"/>
      <c r="Z1284" s="37"/>
      <c r="AA1284" s="37"/>
      <c r="AB1284" s="37"/>
      <c r="AC1284" s="37"/>
      <c r="AD1284" s="37"/>
    </row>
    <row r="1285">
      <c r="A1285" s="37"/>
      <c r="B1285" s="37"/>
      <c r="C1285" s="37"/>
      <c r="D1285" s="37"/>
      <c r="E1285" s="37"/>
      <c r="F1285" s="37"/>
      <c r="G1285" s="37"/>
      <c r="H1285" s="37"/>
      <c r="I1285" s="37"/>
      <c r="J1285" s="37"/>
      <c r="K1285" s="37"/>
      <c r="L1285" s="37"/>
      <c r="M1285" s="37"/>
      <c r="N1285" s="37"/>
      <c r="O1285" s="37"/>
      <c r="P1285" s="37"/>
      <c r="Q1285" s="37"/>
      <c r="R1285" s="37"/>
      <c r="S1285" s="37"/>
      <c r="T1285" s="37"/>
      <c r="U1285" s="37"/>
      <c r="V1285" s="37"/>
      <c r="W1285" s="37"/>
      <c r="X1285" s="37"/>
      <c r="Y1285" s="37"/>
      <c r="Z1285" s="37"/>
      <c r="AA1285" s="37"/>
      <c r="AB1285" s="37"/>
      <c r="AC1285" s="37"/>
      <c r="AD1285" s="37"/>
    </row>
    <row r="1286">
      <c r="A1286" s="37"/>
      <c r="B1286" s="37"/>
      <c r="C1286" s="37"/>
      <c r="D1286" s="37"/>
      <c r="E1286" s="37"/>
      <c r="F1286" s="37"/>
      <c r="G1286" s="37"/>
      <c r="H1286" s="37"/>
      <c r="I1286" s="37"/>
      <c r="J1286" s="37"/>
      <c r="K1286" s="37"/>
      <c r="L1286" s="37"/>
      <c r="M1286" s="37"/>
      <c r="N1286" s="37"/>
      <c r="O1286" s="37"/>
      <c r="P1286" s="37"/>
      <c r="Q1286" s="37"/>
      <c r="R1286" s="37"/>
      <c r="S1286" s="37"/>
      <c r="T1286" s="37"/>
      <c r="U1286" s="37"/>
      <c r="V1286" s="37"/>
      <c r="W1286" s="37"/>
      <c r="X1286" s="37"/>
      <c r="Y1286" s="37"/>
      <c r="Z1286" s="37"/>
      <c r="AA1286" s="37"/>
      <c r="AB1286" s="37"/>
      <c r="AC1286" s="37"/>
      <c r="AD1286" s="37"/>
    </row>
    <row r="1287">
      <c r="A1287" s="37"/>
      <c r="B1287" s="37"/>
      <c r="C1287" s="37"/>
      <c r="D1287" s="37"/>
      <c r="E1287" s="37"/>
      <c r="F1287" s="37"/>
      <c r="G1287" s="37"/>
      <c r="H1287" s="37"/>
      <c r="I1287" s="37"/>
      <c r="J1287" s="37"/>
      <c r="K1287" s="37"/>
      <c r="L1287" s="37"/>
      <c r="M1287" s="37"/>
      <c r="N1287" s="37"/>
      <c r="O1287" s="37"/>
      <c r="P1287" s="37"/>
      <c r="Q1287" s="37"/>
      <c r="R1287" s="37"/>
      <c r="S1287" s="37"/>
      <c r="T1287" s="37"/>
      <c r="U1287" s="37"/>
      <c r="V1287" s="37"/>
      <c r="W1287" s="37"/>
      <c r="X1287" s="37"/>
      <c r="Y1287" s="37"/>
      <c r="Z1287" s="37"/>
      <c r="AA1287" s="37"/>
      <c r="AB1287" s="37"/>
      <c r="AC1287" s="37"/>
      <c r="AD1287" s="37"/>
    </row>
    <row r="1288">
      <c r="A1288" s="37"/>
      <c r="B1288" s="37"/>
      <c r="C1288" s="37"/>
      <c r="D1288" s="37"/>
      <c r="E1288" s="37"/>
      <c r="F1288" s="37"/>
      <c r="G1288" s="37"/>
      <c r="H1288" s="37"/>
      <c r="I1288" s="37"/>
      <c r="J1288" s="37"/>
      <c r="K1288" s="37"/>
      <c r="L1288" s="37"/>
      <c r="M1288" s="37"/>
      <c r="N1288" s="37"/>
      <c r="O1288" s="37"/>
      <c r="P1288" s="37"/>
      <c r="Q1288" s="37"/>
      <c r="R1288" s="37"/>
      <c r="S1288" s="37"/>
      <c r="T1288" s="37"/>
      <c r="U1288" s="37"/>
      <c r="V1288" s="37"/>
      <c r="W1288" s="37"/>
      <c r="X1288" s="37"/>
      <c r="Y1288" s="37"/>
      <c r="Z1288" s="37"/>
      <c r="AA1288" s="37"/>
      <c r="AB1288" s="37"/>
      <c r="AC1288" s="37"/>
      <c r="AD1288" s="37"/>
    </row>
    <row r="1289">
      <c r="A1289" s="37"/>
      <c r="B1289" s="37"/>
      <c r="C1289" s="37"/>
      <c r="D1289" s="37"/>
      <c r="E1289" s="37"/>
      <c r="F1289" s="37"/>
      <c r="G1289" s="37"/>
      <c r="H1289" s="37"/>
      <c r="I1289" s="37"/>
      <c r="J1289" s="37"/>
      <c r="K1289" s="37"/>
      <c r="L1289" s="37"/>
      <c r="M1289" s="37"/>
      <c r="N1289" s="37"/>
      <c r="O1289" s="37"/>
      <c r="P1289" s="37"/>
      <c r="Q1289" s="37"/>
      <c r="R1289" s="37"/>
      <c r="S1289" s="37"/>
      <c r="T1289" s="37"/>
      <c r="U1289" s="37"/>
      <c r="V1289" s="37"/>
      <c r="W1289" s="37"/>
      <c r="X1289" s="37"/>
      <c r="Y1289" s="37"/>
      <c r="Z1289" s="37"/>
      <c r="AA1289" s="37"/>
      <c r="AB1289" s="37"/>
      <c r="AC1289" s="37"/>
      <c r="AD1289" s="37"/>
    </row>
    <row r="1290">
      <c r="A1290" s="37"/>
      <c r="B1290" s="37"/>
      <c r="C1290" s="37"/>
      <c r="D1290" s="37"/>
      <c r="E1290" s="37"/>
      <c r="F1290" s="37"/>
      <c r="G1290" s="37"/>
      <c r="H1290" s="37"/>
      <c r="I1290" s="37"/>
      <c r="J1290" s="37"/>
      <c r="K1290" s="37"/>
      <c r="L1290" s="37"/>
      <c r="M1290" s="37"/>
      <c r="N1290" s="37"/>
      <c r="O1290" s="37"/>
      <c r="P1290" s="37"/>
      <c r="Q1290" s="37"/>
      <c r="R1290" s="37"/>
      <c r="S1290" s="37"/>
      <c r="T1290" s="37"/>
      <c r="U1290" s="37"/>
      <c r="V1290" s="37"/>
      <c r="W1290" s="37"/>
      <c r="X1290" s="37"/>
      <c r="Y1290" s="37"/>
      <c r="Z1290" s="37"/>
      <c r="AA1290" s="37"/>
      <c r="AB1290" s="37"/>
      <c r="AC1290" s="37"/>
      <c r="AD1290" s="37"/>
    </row>
    <row r="1291">
      <c r="A1291" s="37"/>
      <c r="B1291" s="37"/>
      <c r="C1291" s="37"/>
      <c r="D1291" s="37"/>
      <c r="E1291" s="37"/>
      <c r="F1291" s="37"/>
      <c r="G1291" s="37"/>
      <c r="H1291" s="37"/>
      <c r="I1291" s="37"/>
      <c r="J1291" s="37"/>
      <c r="K1291" s="37"/>
      <c r="L1291" s="37"/>
      <c r="M1291" s="37"/>
      <c r="N1291" s="37"/>
      <c r="O1291" s="37"/>
      <c r="P1291" s="37"/>
      <c r="Q1291" s="37"/>
      <c r="R1291" s="37"/>
      <c r="S1291" s="37"/>
      <c r="T1291" s="37"/>
      <c r="U1291" s="37"/>
      <c r="V1291" s="37"/>
      <c r="W1291" s="37"/>
      <c r="X1291" s="37"/>
      <c r="Y1291" s="37"/>
      <c r="Z1291" s="37"/>
      <c r="AA1291" s="37"/>
      <c r="AB1291" s="37"/>
      <c r="AC1291" s="37"/>
      <c r="AD1291" s="37"/>
    </row>
    <row r="1292">
      <c r="A1292" s="37"/>
      <c r="B1292" s="37"/>
      <c r="C1292" s="37"/>
      <c r="D1292" s="37"/>
      <c r="E1292" s="37"/>
      <c r="F1292" s="37"/>
      <c r="G1292" s="37"/>
      <c r="H1292" s="37"/>
      <c r="I1292" s="37"/>
      <c r="J1292" s="37"/>
      <c r="K1292" s="37"/>
      <c r="L1292" s="37"/>
      <c r="M1292" s="37"/>
      <c r="N1292" s="37"/>
      <c r="O1292" s="37"/>
      <c r="P1292" s="37"/>
      <c r="Q1292" s="37"/>
      <c r="R1292" s="37"/>
      <c r="S1292" s="37"/>
      <c r="T1292" s="37"/>
      <c r="U1292" s="37"/>
      <c r="V1292" s="37"/>
      <c r="W1292" s="37"/>
      <c r="X1292" s="37"/>
      <c r="Y1292" s="37"/>
      <c r="Z1292" s="37"/>
      <c r="AA1292" s="37"/>
      <c r="AB1292" s="37"/>
      <c r="AC1292" s="37"/>
      <c r="AD1292" s="37"/>
    </row>
    <row r="1293">
      <c r="A1293" s="37"/>
      <c r="B1293" s="37"/>
      <c r="C1293" s="37"/>
      <c r="D1293" s="37"/>
      <c r="E1293" s="37"/>
      <c r="F1293" s="37"/>
      <c r="G1293" s="37"/>
      <c r="H1293" s="37"/>
      <c r="I1293" s="37"/>
      <c r="J1293" s="37"/>
      <c r="K1293" s="37"/>
      <c r="L1293" s="37"/>
      <c r="M1293" s="37"/>
      <c r="N1293" s="37"/>
      <c r="O1293" s="37"/>
      <c r="P1293" s="37"/>
      <c r="Q1293" s="37"/>
      <c r="R1293" s="37"/>
      <c r="S1293" s="37"/>
      <c r="T1293" s="37"/>
      <c r="U1293" s="37"/>
      <c r="V1293" s="37"/>
      <c r="W1293" s="37"/>
      <c r="X1293" s="37"/>
      <c r="Y1293" s="37"/>
      <c r="Z1293" s="37"/>
      <c r="AA1293" s="37"/>
      <c r="AB1293" s="37"/>
      <c r="AC1293" s="37"/>
      <c r="AD1293" s="37"/>
    </row>
    <row r="1294">
      <c r="A1294" s="37"/>
      <c r="B1294" s="37"/>
      <c r="C1294" s="37"/>
      <c r="D1294" s="37"/>
      <c r="E1294" s="37"/>
      <c r="F1294" s="37"/>
      <c r="G1294" s="37"/>
      <c r="H1294" s="37"/>
      <c r="I1294" s="37"/>
      <c r="J1294" s="37"/>
      <c r="K1294" s="37"/>
      <c r="L1294" s="37"/>
      <c r="M1294" s="37"/>
      <c r="N1294" s="37"/>
      <c r="O1294" s="37"/>
      <c r="P1294" s="37"/>
      <c r="Q1294" s="37"/>
      <c r="R1294" s="37"/>
      <c r="S1294" s="37"/>
      <c r="T1294" s="37"/>
      <c r="U1294" s="37"/>
      <c r="V1294" s="37"/>
      <c r="W1294" s="37"/>
      <c r="X1294" s="37"/>
      <c r="Y1294" s="37"/>
      <c r="Z1294" s="37"/>
      <c r="AA1294" s="37"/>
      <c r="AB1294" s="37"/>
      <c r="AC1294" s="37"/>
      <c r="AD1294" s="37"/>
    </row>
    <row r="1295">
      <c r="A1295" s="37"/>
      <c r="B1295" s="37"/>
      <c r="C1295" s="37"/>
      <c r="D1295" s="37"/>
      <c r="E1295" s="37"/>
      <c r="F1295" s="37"/>
      <c r="G1295" s="37"/>
      <c r="H1295" s="37"/>
      <c r="I1295" s="37"/>
      <c r="J1295" s="37"/>
      <c r="K1295" s="37"/>
      <c r="L1295" s="37"/>
      <c r="M1295" s="37"/>
      <c r="N1295" s="37"/>
      <c r="O1295" s="37"/>
      <c r="P1295" s="37"/>
      <c r="Q1295" s="37"/>
      <c r="R1295" s="37"/>
      <c r="S1295" s="37"/>
      <c r="T1295" s="37"/>
      <c r="U1295" s="37"/>
      <c r="V1295" s="37"/>
      <c r="W1295" s="37"/>
      <c r="X1295" s="37"/>
      <c r="Y1295" s="37"/>
      <c r="Z1295" s="37"/>
      <c r="AA1295" s="37"/>
      <c r="AB1295" s="37"/>
      <c r="AC1295" s="37"/>
      <c r="AD1295" s="37"/>
    </row>
    <row r="1296">
      <c r="A1296" s="37"/>
      <c r="B1296" s="37"/>
      <c r="C1296" s="37"/>
      <c r="D1296" s="37"/>
      <c r="E1296" s="37"/>
      <c r="F1296" s="37"/>
      <c r="G1296" s="37"/>
      <c r="H1296" s="37"/>
      <c r="I1296" s="37"/>
      <c r="J1296" s="37"/>
      <c r="K1296" s="37"/>
      <c r="L1296" s="37"/>
      <c r="M1296" s="37"/>
      <c r="N1296" s="37"/>
      <c r="O1296" s="37"/>
      <c r="P1296" s="37"/>
      <c r="Q1296" s="37"/>
      <c r="R1296" s="37"/>
      <c r="S1296" s="37"/>
      <c r="T1296" s="37"/>
      <c r="U1296" s="37"/>
      <c r="V1296" s="37"/>
      <c r="W1296" s="37"/>
      <c r="X1296" s="37"/>
      <c r="Y1296" s="37"/>
      <c r="Z1296" s="37"/>
      <c r="AA1296" s="37"/>
      <c r="AB1296" s="37"/>
      <c r="AC1296" s="37"/>
      <c r="AD1296" s="37"/>
    </row>
    <row r="1297">
      <c r="A1297" s="37"/>
      <c r="B1297" s="37"/>
      <c r="C1297" s="37"/>
      <c r="D1297" s="37"/>
      <c r="E1297" s="37"/>
      <c r="F1297" s="37"/>
      <c r="G1297" s="37"/>
      <c r="H1297" s="37"/>
      <c r="I1297" s="37"/>
      <c r="J1297" s="37"/>
      <c r="K1297" s="37"/>
      <c r="L1297" s="37"/>
      <c r="M1297" s="37"/>
      <c r="N1297" s="37"/>
      <c r="O1297" s="37"/>
      <c r="P1297" s="37"/>
      <c r="Q1297" s="37"/>
      <c r="R1297" s="37"/>
      <c r="S1297" s="37"/>
      <c r="T1297" s="37"/>
      <c r="U1297" s="37"/>
      <c r="V1297" s="37"/>
      <c r="W1297" s="37"/>
      <c r="X1297" s="37"/>
      <c r="Y1297" s="37"/>
      <c r="Z1297" s="37"/>
      <c r="AA1297" s="37"/>
      <c r="AB1297" s="37"/>
      <c r="AC1297" s="37"/>
      <c r="AD1297" s="37"/>
    </row>
    <row r="1298">
      <c r="A1298" s="37"/>
      <c r="B1298" s="37"/>
      <c r="C1298" s="37"/>
      <c r="D1298" s="37"/>
      <c r="E1298" s="37"/>
      <c r="F1298" s="37"/>
      <c r="G1298" s="37"/>
      <c r="H1298" s="37"/>
      <c r="I1298" s="37"/>
      <c r="J1298" s="37"/>
      <c r="K1298" s="37"/>
      <c r="L1298" s="37"/>
      <c r="M1298" s="37"/>
      <c r="N1298" s="37"/>
      <c r="O1298" s="37"/>
      <c r="P1298" s="37"/>
      <c r="Q1298" s="37"/>
      <c r="R1298" s="37"/>
      <c r="S1298" s="37"/>
      <c r="T1298" s="37"/>
      <c r="U1298" s="37"/>
      <c r="V1298" s="37"/>
      <c r="W1298" s="37"/>
      <c r="X1298" s="37"/>
      <c r="Y1298" s="37"/>
      <c r="Z1298" s="37"/>
      <c r="AA1298" s="37"/>
      <c r="AB1298" s="37"/>
      <c r="AC1298" s="37"/>
      <c r="AD1298" s="37"/>
    </row>
    <row r="1299">
      <c r="A1299" s="37"/>
      <c r="B1299" s="37"/>
      <c r="C1299" s="37"/>
      <c r="D1299" s="37"/>
      <c r="E1299" s="37"/>
      <c r="F1299" s="37"/>
      <c r="G1299" s="37"/>
      <c r="H1299" s="37"/>
      <c r="I1299" s="37"/>
      <c r="J1299" s="37"/>
      <c r="K1299" s="37"/>
      <c r="L1299" s="37"/>
      <c r="M1299" s="37"/>
      <c r="N1299" s="37"/>
      <c r="O1299" s="37"/>
      <c r="P1299" s="37"/>
      <c r="Q1299" s="37"/>
      <c r="R1299" s="37"/>
      <c r="S1299" s="37"/>
      <c r="T1299" s="37"/>
      <c r="U1299" s="37"/>
      <c r="V1299" s="37"/>
      <c r="W1299" s="37"/>
      <c r="X1299" s="37"/>
      <c r="Y1299" s="37"/>
      <c r="Z1299" s="37"/>
      <c r="AA1299" s="37"/>
      <c r="AB1299" s="37"/>
      <c r="AC1299" s="37"/>
      <c r="AD1299" s="37"/>
    </row>
    <row r="1300">
      <c r="A1300" s="37"/>
      <c r="B1300" s="37"/>
      <c r="C1300" s="37"/>
      <c r="D1300" s="37"/>
      <c r="E1300" s="37"/>
      <c r="F1300" s="37"/>
      <c r="G1300" s="37"/>
      <c r="H1300" s="37"/>
      <c r="I1300" s="37"/>
      <c r="J1300" s="37"/>
      <c r="K1300" s="37"/>
      <c r="L1300" s="37"/>
      <c r="M1300" s="37"/>
      <c r="N1300" s="37"/>
      <c r="O1300" s="37"/>
      <c r="P1300" s="37"/>
      <c r="Q1300" s="37"/>
      <c r="R1300" s="37"/>
      <c r="S1300" s="37"/>
      <c r="T1300" s="37"/>
      <c r="U1300" s="37"/>
      <c r="V1300" s="37"/>
      <c r="W1300" s="37"/>
      <c r="X1300" s="37"/>
      <c r="Y1300" s="37"/>
      <c r="Z1300" s="37"/>
      <c r="AA1300" s="37"/>
      <c r="AB1300" s="37"/>
      <c r="AC1300" s="37"/>
      <c r="AD1300" s="37"/>
    </row>
    <row r="1301">
      <c r="A1301" s="37"/>
      <c r="B1301" s="37"/>
      <c r="C1301" s="37"/>
      <c r="D1301" s="37"/>
      <c r="E1301" s="37"/>
      <c r="F1301" s="37"/>
      <c r="G1301" s="37"/>
      <c r="H1301" s="37"/>
      <c r="I1301" s="37"/>
      <c r="J1301" s="37"/>
      <c r="K1301" s="37"/>
      <c r="L1301" s="37"/>
      <c r="M1301" s="37"/>
      <c r="N1301" s="37"/>
      <c r="O1301" s="37"/>
      <c r="P1301" s="37"/>
      <c r="Q1301" s="37"/>
      <c r="R1301" s="37"/>
      <c r="S1301" s="37"/>
      <c r="T1301" s="37"/>
      <c r="U1301" s="37"/>
      <c r="V1301" s="37"/>
      <c r="W1301" s="37"/>
      <c r="X1301" s="37"/>
      <c r="Y1301" s="37"/>
      <c r="Z1301" s="37"/>
      <c r="AA1301" s="37"/>
      <c r="AB1301" s="37"/>
      <c r="AC1301" s="37"/>
      <c r="AD1301" s="37"/>
    </row>
    <row r="1302">
      <c r="A1302" s="37"/>
      <c r="B1302" s="37"/>
      <c r="C1302" s="37"/>
      <c r="D1302" s="37"/>
      <c r="E1302" s="37"/>
      <c r="F1302" s="37"/>
      <c r="G1302" s="37"/>
      <c r="H1302" s="37"/>
      <c r="I1302" s="37"/>
      <c r="J1302" s="37"/>
      <c r="K1302" s="37"/>
      <c r="L1302" s="37"/>
      <c r="M1302" s="37"/>
      <c r="N1302" s="37"/>
      <c r="O1302" s="37"/>
      <c r="P1302" s="37"/>
      <c r="Q1302" s="37"/>
      <c r="R1302" s="37"/>
      <c r="S1302" s="37"/>
      <c r="T1302" s="37"/>
      <c r="U1302" s="37"/>
      <c r="V1302" s="37"/>
      <c r="W1302" s="37"/>
      <c r="X1302" s="37"/>
      <c r="Y1302" s="37"/>
      <c r="Z1302" s="37"/>
      <c r="AA1302" s="37"/>
      <c r="AB1302" s="37"/>
      <c r="AC1302" s="37"/>
      <c r="AD1302" s="37"/>
    </row>
    <row r="1303">
      <c r="A1303" s="37"/>
      <c r="B1303" s="37"/>
      <c r="C1303" s="37"/>
      <c r="D1303" s="37"/>
      <c r="E1303" s="37"/>
      <c r="F1303" s="37"/>
      <c r="G1303" s="37"/>
      <c r="H1303" s="37"/>
      <c r="I1303" s="37"/>
      <c r="J1303" s="37"/>
      <c r="K1303" s="37"/>
      <c r="L1303" s="37"/>
      <c r="M1303" s="37"/>
      <c r="N1303" s="37"/>
      <c r="O1303" s="37"/>
      <c r="P1303" s="37"/>
      <c r="Q1303" s="37"/>
      <c r="R1303" s="37"/>
      <c r="S1303" s="37"/>
      <c r="T1303" s="37"/>
      <c r="U1303" s="37"/>
      <c r="V1303" s="37"/>
      <c r="W1303" s="37"/>
      <c r="X1303" s="37"/>
      <c r="Y1303" s="37"/>
      <c r="Z1303" s="37"/>
      <c r="AA1303" s="37"/>
      <c r="AB1303" s="37"/>
      <c r="AC1303" s="37"/>
      <c r="AD1303" s="37"/>
    </row>
    <row r="1304">
      <c r="A1304" s="37"/>
      <c r="B1304" s="37"/>
      <c r="C1304" s="37"/>
      <c r="D1304" s="37"/>
      <c r="E1304" s="37"/>
      <c r="F1304" s="37"/>
      <c r="G1304" s="37"/>
      <c r="H1304" s="37"/>
      <c r="I1304" s="37"/>
      <c r="J1304" s="37"/>
      <c r="K1304" s="37"/>
      <c r="L1304" s="37"/>
      <c r="M1304" s="37"/>
      <c r="N1304" s="37"/>
      <c r="O1304" s="37"/>
      <c r="P1304" s="37"/>
      <c r="Q1304" s="37"/>
      <c r="R1304" s="37"/>
      <c r="S1304" s="37"/>
      <c r="T1304" s="37"/>
      <c r="U1304" s="37"/>
      <c r="V1304" s="37"/>
      <c r="W1304" s="37"/>
      <c r="X1304" s="37"/>
      <c r="Y1304" s="37"/>
      <c r="Z1304" s="37"/>
      <c r="AA1304" s="37"/>
      <c r="AB1304" s="37"/>
      <c r="AC1304" s="37"/>
      <c r="AD1304" s="37"/>
    </row>
    <row r="1305">
      <c r="A1305" s="37"/>
      <c r="B1305" s="37"/>
      <c r="C1305" s="37"/>
      <c r="D1305" s="37"/>
      <c r="E1305" s="37"/>
      <c r="F1305" s="37"/>
      <c r="G1305" s="37"/>
      <c r="H1305" s="37"/>
      <c r="I1305" s="37"/>
      <c r="J1305" s="37"/>
      <c r="K1305" s="37"/>
      <c r="L1305" s="37"/>
      <c r="M1305" s="37"/>
      <c r="N1305" s="37"/>
      <c r="O1305" s="37"/>
      <c r="P1305" s="37"/>
      <c r="Q1305" s="37"/>
      <c r="R1305" s="37"/>
      <c r="S1305" s="37"/>
      <c r="T1305" s="37"/>
      <c r="U1305" s="37"/>
      <c r="V1305" s="37"/>
      <c r="W1305" s="37"/>
      <c r="X1305" s="37"/>
      <c r="Y1305" s="37"/>
      <c r="Z1305" s="37"/>
      <c r="AA1305" s="37"/>
      <c r="AB1305" s="37"/>
      <c r="AC1305" s="37"/>
      <c r="AD1305" s="37"/>
    </row>
    <row r="1306">
      <c r="A1306" s="37"/>
      <c r="B1306" s="37"/>
      <c r="C1306" s="37"/>
      <c r="D1306" s="37"/>
      <c r="E1306" s="37"/>
      <c r="F1306" s="37"/>
      <c r="G1306" s="37"/>
      <c r="H1306" s="37"/>
      <c r="I1306" s="37"/>
      <c r="J1306" s="37"/>
      <c r="K1306" s="37"/>
      <c r="L1306" s="37"/>
      <c r="M1306" s="37"/>
      <c r="N1306" s="37"/>
      <c r="O1306" s="37"/>
      <c r="P1306" s="37"/>
      <c r="Q1306" s="37"/>
      <c r="R1306" s="37"/>
      <c r="S1306" s="37"/>
      <c r="T1306" s="37"/>
      <c r="U1306" s="37"/>
      <c r="V1306" s="37"/>
      <c r="W1306" s="37"/>
      <c r="X1306" s="37"/>
      <c r="Y1306" s="37"/>
      <c r="Z1306" s="37"/>
      <c r="AA1306" s="37"/>
      <c r="AB1306" s="37"/>
      <c r="AC1306" s="37"/>
      <c r="AD1306" s="37"/>
    </row>
    <row r="1307">
      <c r="A1307" s="37"/>
      <c r="B1307" s="37"/>
      <c r="C1307" s="37"/>
      <c r="D1307" s="37"/>
      <c r="E1307" s="37"/>
      <c r="F1307" s="37"/>
      <c r="G1307" s="37"/>
      <c r="H1307" s="37"/>
      <c r="I1307" s="37"/>
      <c r="J1307" s="37"/>
      <c r="K1307" s="37"/>
      <c r="L1307" s="37"/>
      <c r="M1307" s="37"/>
      <c r="N1307" s="37"/>
      <c r="O1307" s="37"/>
      <c r="P1307" s="37"/>
      <c r="Q1307" s="37"/>
      <c r="R1307" s="37"/>
      <c r="S1307" s="37"/>
      <c r="T1307" s="37"/>
      <c r="U1307" s="37"/>
      <c r="V1307" s="37"/>
      <c r="W1307" s="37"/>
      <c r="X1307" s="37"/>
      <c r="Y1307" s="37"/>
      <c r="Z1307" s="37"/>
      <c r="AA1307" s="37"/>
      <c r="AB1307" s="37"/>
      <c r="AC1307" s="37"/>
      <c r="AD1307" s="37"/>
    </row>
    <row r="1308">
      <c r="A1308" s="37"/>
      <c r="B1308" s="37"/>
      <c r="C1308" s="37"/>
      <c r="D1308" s="37"/>
      <c r="E1308" s="37"/>
      <c r="F1308" s="37"/>
      <c r="G1308" s="37"/>
      <c r="H1308" s="37"/>
      <c r="I1308" s="37"/>
      <c r="J1308" s="37"/>
      <c r="K1308" s="37"/>
      <c r="L1308" s="37"/>
      <c r="M1308" s="37"/>
      <c r="N1308" s="37"/>
      <c r="O1308" s="37"/>
      <c r="P1308" s="37"/>
      <c r="Q1308" s="37"/>
      <c r="R1308" s="37"/>
      <c r="S1308" s="37"/>
      <c r="T1308" s="37"/>
      <c r="U1308" s="37"/>
      <c r="V1308" s="37"/>
      <c r="W1308" s="37"/>
      <c r="X1308" s="37"/>
      <c r="Y1308" s="37"/>
      <c r="Z1308" s="37"/>
      <c r="AA1308" s="37"/>
      <c r="AB1308" s="37"/>
      <c r="AC1308" s="37"/>
      <c r="AD1308" s="37"/>
    </row>
    <row r="1309">
      <c r="A1309" s="37"/>
      <c r="B1309" s="37"/>
      <c r="C1309" s="37"/>
      <c r="D1309" s="37"/>
      <c r="E1309" s="37"/>
      <c r="F1309" s="37"/>
      <c r="G1309" s="37"/>
      <c r="H1309" s="37"/>
      <c r="I1309" s="37"/>
      <c r="J1309" s="37"/>
      <c r="K1309" s="37"/>
      <c r="L1309" s="37"/>
      <c r="M1309" s="37"/>
      <c r="N1309" s="37"/>
      <c r="O1309" s="37"/>
      <c r="P1309" s="37"/>
      <c r="Q1309" s="37"/>
      <c r="R1309" s="37"/>
      <c r="S1309" s="37"/>
      <c r="T1309" s="37"/>
      <c r="U1309" s="37"/>
      <c r="V1309" s="37"/>
      <c r="W1309" s="37"/>
      <c r="X1309" s="37"/>
      <c r="Y1309" s="37"/>
      <c r="Z1309" s="37"/>
      <c r="AA1309" s="37"/>
      <c r="AB1309" s="37"/>
      <c r="AC1309" s="37"/>
      <c r="AD1309" s="37"/>
    </row>
    <row r="1310">
      <c r="A1310" s="37"/>
      <c r="B1310" s="37"/>
      <c r="C1310" s="37"/>
      <c r="D1310" s="37"/>
      <c r="E1310" s="37"/>
      <c r="F1310" s="37"/>
      <c r="G1310" s="37"/>
      <c r="H1310" s="37"/>
      <c r="I1310" s="37"/>
      <c r="J1310" s="37"/>
      <c r="K1310" s="37"/>
      <c r="L1310" s="37"/>
      <c r="M1310" s="37"/>
      <c r="N1310" s="37"/>
      <c r="O1310" s="37"/>
      <c r="P1310" s="37"/>
      <c r="Q1310" s="37"/>
      <c r="R1310" s="37"/>
      <c r="S1310" s="37"/>
      <c r="T1310" s="37"/>
      <c r="U1310" s="37"/>
      <c r="V1310" s="37"/>
      <c r="W1310" s="37"/>
      <c r="X1310" s="37"/>
      <c r="Y1310" s="37"/>
      <c r="Z1310" s="37"/>
      <c r="AA1310" s="37"/>
      <c r="AB1310" s="37"/>
      <c r="AC1310" s="37"/>
      <c r="AD1310" s="37"/>
    </row>
    <row r="1311">
      <c r="A1311" s="37"/>
      <c r="B1311" s="37"/>
      <c r="C1311" s="37"/>
      <c r="D1311" s="37"/>
      <c r="E1311" s="37"/>
      <c r="F1311" s="37"/>
      <c r="G1311" s="37"/>
      <c r="H1311" s="37"/>
      <c r="I1311" s="37"/>
      <c r="J1311" s="37"/>
      <c r="K1311" s="37"/>
      <c r="L1311" s="37"/>
      <c r="M1311" s="37"/>
      <c r="N1311" s="37"/>
      <c r="O1311" s="37"/>
      <c r="P1311" s="37"/>
      <c r="Q1311" s="37"/>
      <c r="R1311" s="37"/>
      <c r="S1311" s="37"/>
      <c r="T1311" s="37"/>
      <c r="U1311" s="37"/>
      <c r="V1311" s="37"/>
      <c r="W1311" s="37"/>
      <c r="X1311" s="37"/>
      <c r="Y1311" s="37"/>
      <c r="Z1311" s="37"/>
      <c r="AA1311" s="37"/>
      <c r="AB1311" s="37"/>
      <c r="AC1311" s="37"/>
      <c r="AD1311" s="37"/>
    </row>
    <row r="1312">
      <c r="A1312" s="37"/>
      <c r="B1312" s="37"/>
      <c r="C1312" s="37"/>
      <c r="D1312" s="37"/>
      <c r="E1312" s="37"/>
      <c r="F1312" s="37"/>
      <c r="G1312" s="37"/>
      <c r="H1312" s="37"/>
      <c r="I1312" s="37"/>
      <c r="J1312" s="37"/>
      <c r="K1312" s="37"/>
      <c r="L1312" s="37"/>
      <c r="M1312" s="37"/>
      <c r="N1312" s="37"/>
      <c r="O1312" s="37"/>
      <c r="P1312" s="37"/>
      <c r="Q1312" s="37"/>
      <c r="R1312" s="37"/>
      <c r="S1312" s="37"/>
      <c r="T1312" s="37"/>
      <c r="U1312" s="37"/>
      <c r="V1312" s="37"/>
      <c r="W1312" s="37"/>
      <c r="X1312" s="37"/>
      <c r="Y1312" s="37"/>
      <c r="Z1312" s="37"/>
      <c r="AA1312" s="37"/>
      <c r="AB1312" s="37"/>
      <c r="AC1312" s="37"/>
      <c r="AD1312" s="37"/>
    </row>
    <row r="1313">
      <c r="A1313" s="37"/>
      <c r="B1313" s="37"/>
      <c r="C1313" s="37"/>
      <c r="D1313" s="37"/>
      <c r="E1313" s="37"/>
      <c r="F1313" s="37"/>
      <c r="G1313" s="37"/>
      <c r="H1313" s="37"/>
      <c r="I1313" s="37"/>
      <c r="J1313" s="37"/>
      <c r="K1313" s="37"/>
      <c r="L1313" s="37"/>
      <c r="M1313" s="37"/>
      <c r="N1313" s="37"/>
      <c r="O1313" s="37"/>
      <c r="P1313" s="37"/>
      <c r="Q1313" s="37"/>
      <c r="R1313" s="37"/>
      <c r="S1313" s="37"/>
      <c r="T1313" s="37"/>
      <c r="U1313" s="37"/>
      <c r="V1313" s="37"/>
      <c r="W1313" s="37"/>
      <c r="X1313" s="37"/>
      <c r="Y1313" s="37"/>
      <c r="Z1313" s="37"/>
      <c r="AA1313" s="37"/>
      <c r="AB1313" s="37"/>
      <c r="AC1313" s="37"/>
      <c r="AD1313" s="37"/>
    </row>
    <row r="1314">
      <c r="A1314" s="37"/>
      <c r="B1314" s="37"/>
      <c r="C1314" s="37"/>
      <c r="D1314" s="37"/>
      <c r="E1314" s="37"/>
      <c r="F1314" s="37"/>
      <c r="G1314" s="37"/>
      <c r="H1314" s="37"/>
      <c r="I1314" s="37"/>
      <c r="J1314" s="37"/>
      <c r="K1314" s="37"/>
      <c r="L1314" s="37"/>
      <c r="M1314" s="37"/>
      <c r="N1314" s="37"/>
      <c r="O1314" s="37"/>
      <c r="P1314" s="37"/>
      <c r="Q1314" s="37"/>
      <c r="R1314" s="37"/>
      <c r="S1314" s="37"/>
      <c r="T1314" s="37"/>
      <c r="U1314" s="37"/>
      <c r="V1314" s="37"/>
      <c r="W1314" s="37"/>
      <c r="X1314" s="37"/>
      <c r="Y1314" s="37"/>
      <c r="Z1314" s="37"/>
      <c r="AA1314" s="37"/>
      <c r="AB1314" s="37"/>
      <c r="AC1314" s="37"/>
      <c r="AD1314" s="37"/>
    </row>
    <row r="1315">
      <c r="A1315" s="37"/>
      <c r="B1315" s="37"/>
      <c r="C1315" s="37"/>
      <c r="D1315" s="37"/>
      <c r="E1315" s="37"/>
      <c r="F1315" s="37"/>
      <c r="G1315" s="37"/>
      <c r="H1315" s="37"/>
      <c r="I1315" s="37"/>
      <c r="J1315" s="37"/>
      <c r="K1315" s="37"/>
      <c r="L1315" s="37"/>
      <c r="M1315" s="37"/>
      <c r="N1315" s="37"/>
      <c r="O1315" s="37"/>
      <c r="P1315" s="37"/>
      <c r="Q1315" s="37"/>
      <c r="R1315" s="37"/>
      <c r="S1315" s="37"/>
      <c r="T1315" s="37"/>
      <c r="U1315" s="37"/>
      <c r="V1315" s="37"/>
      <c r="W1315" s="37"/>
      <c r="X1315" s="37"/>
      <c r="Y1315" s="37"/>
      <c r="Z1315" s="37"/>
      <c r="AA1315" s="37"/>
      <c r="AB1315" s="37"/>
      <c r="AC1315" s="37"/>
      <c r="AD1315" s="37"/>
    </row>
    <row r="1316">
      <c r="A1316" s="37"/>
      <c r="B1316" s="37"/>
      <c r="C1316" s="37"/>
      <c r="D1316" s="37"/>
      <c r="E1316" s="37"/>
      <c r="F1316" s="37"/>
      <c r="G1316" s="37"/>
      <c r="H1316" s="37"/>
      <c r="I1316" s="37"/>
      <c r="J1316" s="37"/>
      <c r="K1316" s="37"/>
      <c r="L1316" s="37"/>
      <c r="M1316" s="37"/>
      <c r="N1316" s="37"/>
      <c r="O1316" s="37"/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37"/>
      <c r="AA1316" s="37"/>
      <c r="AB1316" s="37"/>
      <c r="AC1316" s="37"/>
      <c r="AD1316" s="37"/>
    </row>
    <row r="1317">
      <c r="A1317" s="37"/>
      <c r="B1317" s="37"/>
      <c r="C1317" s="37"/>
      <c r="D1317" s="37"/>
      <c r="E1317" s="37"/>
      <c r="F1317" s="37"/>
      <c r="G1317" s="37"/>
      <c r="H1317" s="37"/>
      <c r="I1317" s="37"/>
      <c r="J1317" s="37"/>
      <c r="K1317" s="37"/>
      <c r="L1317" s="37"/>
      <c r="M1317" s="37"/>
      <c r="N1317" s="37"/>
      <c r="O1317" s="37"/>
      <c r="P1317" s="37"/>
      <c r="Q1317" s="37"/>
      <c r="R1317" s="37"/>
      <c r="S1317" s="37"/>
      <c r="T1317" s="37"/>
      <c r="U1317" s="37"/>
      <c r="V1317" s="37"/>
      <c r="W1317" s="37"/>
      <c r="X1317" s="37"/>
      <c r="Y1317" s="37"/>
      <c r="Z1317" s="37"/>
      <c r="AA1317" s="37"/>
      <c r="AB1317" s="37"/>
      <c r="AC1317" s="37"/>
      <c r="AD1317" s="37"/>
    </row>
    <row r="1318">
      <c r="A1318" s="37"/>
      <c r="B1318" s="37"/>
      <c r="C1318" s="37"/>
      <c r="D1318" s="37"/>
      <c r="E1318" s="37"/>
      <c r="F1318" s="37"/>
      <c r="G1318" s="37"/>
      <c r="H1318" s="37"/>
      <c r="I1318" s="37"/>
      <c r="J1318" s="37"/>
      <c r="K1318" s="37"/>
      <c r="L1318" s="37"/>
      <c r="M1318" s="37"/>
      <c r="N1318" s="37"/>
      <c r="O1318" s="37"/>
      <c r="P1318" s="37"/>
      <c r="Q1318" s="37"/>
      <c r="R1318" s="37"/>
      <c r="S1318" s="37"/>
      <c r="T1318" s="37"/>
      <c r="U1318" s="37"/>
      <c r="V1318" s="37"/>
      <c r="W1318" s="37"/>
      <c r="X1318" s="37"/>
      <c r="Y1318" s="37"/>
      <c r="Z1318" s="37"/>
      <c r="AA1318" s="37"/>
      <c r="AB1318" s="37"/>
      <c r="AC1318" s="37"/>
      <c r="AD1318" s="37"/>
    </row>
    <row r="1319">
      <c r="A1319" s="37"/>
      <c r="B1319" s="37"/>
      <c r="C1319" s="37"/>
      <c r="D1319" s="37"/>
      <c r="E1319" s="37"/>
      <c r="F1319" s="37"/>
      <c r="G1319" s="37"/>
      <c r="H1319" s="37"/>
      <c r="I1319" s="37"/>
      <c r="J1319" s="37"/>
      <c r="K1319" s="37"/>
      <c r="L1319" s="37"/>
      <c r="M1319" s="37"/>
      <c r="N1319" s="37"/>
      <c r="O1319" s="37"/>
      <c r="P1319" s="37"/>
      <c r="Q1319" s="37"/>
      <c r="R1319" s="37"/>
      <c r="S1319" s="37"/>
      <c r="T1319" s="37"/>
      <c r="U1319" s="37"/>
      <c r="V1319" s="37"/>
      <c r="W1319" s="37"/>
      <c r="X1319" s="37"/>
      <c r="Y1319" s="37"/>
      <c r="Z1319" s="37"/>
      <c r="AA1319" s="37"/>
      <c r="AB1319" s="37"/>
      <c r="AC1319" s="37"/>
      <c r="AD1319" s="37"/>
    </row>
    <row r="1320">
      <c r="A1320" s="37"/>
      <c r="B1320" s="37"/>
      <c r="C1320" s="37"/>
      <c r="D1320" s="37"/>
      <c r="E1320" s="37"/>
      <c r="F1320" s="37"/>
      <c r="G1320" s="37"/>
      <c r="H1320" s="37"/>
      <c r="I1320" s="37"/>
      <c r="J1320" s="37"/>
      <c r="K1320" s="37"/>
      <c r="L1320" s="37"/>
      <c r="M1320" s="37"/>
      <c r="N1320" s="37"/>
      <c r="O1320" s="37"/>
      <c r="P1320" s="37"/>
      <c r="Q1320" s="37"/>
      <c r="R1320" s="37"/>
      <c r="S1320" s="37"/>
      <c r="T1320" s="37"/>
      <c r="U1320" s="37"/>
      <c r="V1320" s="37"/>
      <c r="W1320" s="37"/>
      <c r="X1320" s="37"/>
      <c r="Y1320" s="37"/>
      <c r="Z1320" s="37"/>
      <c r="AA1320" s="37"/>
      <c r="AB1320" s="37"/>
      <c r="AC1320" s="37"/>
      <c r="AD1320" s="37"/>
    </row>
    <row r="1321">
      <c r="A1321" s="37"/>
      <c r="B1321" s="37"/>
      <c r="C1321" s="37"/>
      <c r="D1321" s="37"/>
      <c r="E1321" s="37"/>
      <c r="F1321" s="37"/>
      <c r="G1321" s="37"/>
      <c r="H1321" s="37"/>
      <c r="I1321" s="37"/>
      <c r="J1321" s="37"/>
      <c r="K1321" s="37"/>
      <c r="L1321" s="37"/>
      <c r="M1321" s="37"/>
      <c r="N1321" s="37"/>
      <c r="O1321" s="37"/>
      <c r="P1321" s="37"/>
      <c r="Q1321" s="37"/>
      <c r="R1321" s="37"/>
      <c r="S1321" s="37"/>
      <c r="T1321" s="37"/>
      <c r="U1321" s="37"/>
      <c r="V1321" s="37"/>
      <c r="W1321" s="37"/>
      <c r="X1321" s="37"/>
      <c r="Y1321" s="37"/>
      <c r="Z1321" s="37"/>
      <c r="AA1321" s="37"/>
      <c r="AB1321" s="37"/>
      <c r="AC1321" s="37"/>
      <c r="AD1321" s="37"/>
    </row>
    <row r="1322">
      <c r="A1322" s="37"/>
      <c r="B1322" s="37"/>
      <c r="C1322" s="37"/>
      <c r="D1322" s="37"/>
      <c r="E1322" s="37"/>
      <c r="F1322" s="37"/>
      <c r="G1322" s="37"/>
      <c r="H1322" s="37"/>
      <c r="I1322" s="37"/>
      <c r="J1322" s="37"/>
      <c r="K1322" s="37"/>
      <c r="L1322" s="37"/>
      <c r="M1322" s="37"/>
      <c r="N1322" s="37"/>
      <c r="O1322" s="37"/>
      <c r="P1322" s="37"/>
      <c r="Q1322" s="37"/>
      <c r="R1322" s="37"/>
      <c r="S1322" s="37"/>
      <c r="T1322" s="37"/>
      <c r="U1322" s="37"/>
      <c r="V1322" s="37"/>
      <c r="W1322" s="37"/>
      <c r="X1322" s="37"/>
      <c r="Y1322" s="37"/>
      <c r="Z1322" s="37"/>
      <c r="AA1322" s="37"/>
      <c r="AB1322" s="37"/>
      <c r="AC1322" s="37"/>
      <c r="AD1322" s="37"/>
    </row>
    <row r="1323">
      <c r="A1323" s="37"/>
      <c r="B1323" s="37"/>
      <c r="C1323" s="37"/>
      <c r="D1323" s="37"/>
      <c r="E1323" s="37"/>
      <c r="F1323" s="37"/>
      <c r="G1323" s="37"/>
      <c r="H1323" s="37"/>
      <c r="I1323" s="37"/>
      <c r="J1323" s="37"/>
      <c r="K1323" s="37"/>
      <c r="L1323" s="37"/>
      <c r="M1323" s="37"/>
      <c r="N1323" s="37"/>
      <c r="O1323" s="37"/>
      <c r="P1323" s="37"/>
      <c r="Q1323" s="37"/>
      <c r="R1323" s="37"/>
      <c r="S1323" s="37"/>
      <c r="T1323" s="37"/>
      <c r="U1323" s="37"/>
      <c r="V1323" s="37"/>
      <c r="W1323" s="37"/>
      <c r="X1323" s="37"/>
      <c r="Y1323" s="37"/>
      <c r="Z1323" s="37"/>
      <c r="AA1323" s="37"/>
      <c r="AB1323" s="37"/>
      <c r="AC1323" s="37"/>
      <c r="AD1323" s="37"/>
    </row>
    <row r="1324">
      <c r="A1324" s="37"/>
      <c r="B1324" s="37"/>
      <c r="C1324" s="37"/>
      <c r="D1324" s="37"/>
      <c r="E1324" s="37"/>
      <c r="F1324" s="37"/>
      <c r="G1324" s="37"/>
      <c r="H1324" s="37"/>
      <c r="I1324" s="37"/>
      <c r="J1324" s="37"/>
      <c r="K1324" s="37"/>
      <c r="L1324" s="37"/>
      <c r="M1324" s="37"/>
      <c r="N1324" s="37"/>
      <c r="O1324" s="37"/>
      <c r="P1324" s="37"/>
      <c r="Q1324" s="37"/>
      <c r="R1324" s="37"/>
      <c r="S1324" s="37"/>
      <c r="T1324" s="37"/>
      <c r="U1324" s="37"/>
      <c r="V1324" s="37"/>
      <c r="W1324" s="37"/>
      <c r="X1324" s="37"/>
      <c r="Y1324" s="37"/>
      <c r="Z1324" s="37"/>
      <c r="AA1324" s="37"/>
      <c r="AB1324" s="37"/>
      <c r="AC1324" s="37"/>
      <c r="AD1324" s="37"/>
    </row>
    <row r="1325">
      <c r="A1325" s="37"/>
      <c r="B1325" s="37"/>
      <c r="C1325" s="37"/>
      <c r="D1325" s="37"/>
      <c r="E1325" s="37"/>
      <c r="F1325" s="37"/>
      <c r="G1325" s="37"/>
      <c r="H1325" s="37"/>
      <c r="I1325" s="37"/>
      <c r="J1325" s="37"/>
      <c r="K1325" s="37"/>
      <c r="L1325" s="37"/>
      <c r="M1325" s="37"/>
      <c r="N1325" s="37"/>
      <c r="O1325" s="37"/>
      <c r="P1325" s="37"/>
      <c r="Q1325" s="37"/>
      <c r="R1325" s="37"/>
      <c r="S1325" s="37"/>
      <c r="T1325" s="37"/>
      <c r="U1325" s="37"/>
      <c r="V1325" s="37"/>
      <c r="W1325" s="37"/>
      <c r="X1325" s="37"/>
      <c r="Y1325" s="37"/>
      <c r="Z1325" s="37"/>
      <c r="AA1325" s="37"/>
      <c r="AB1325" s="37"/>
      <c r="AC1325" s="37"/>
      <c r="AD1325" s="37"/>
    </row>
    <row r="1326">
      <c r="A1326" s="37"/>
      <c r="B1326" s="37"/>
      <c r="C1326" s="37"/>
      <c r="D1326" s="37"/>
      <c r="E1326" s="37"/>
      <c r="F1326" s="37"/>
      <c r="G1326" s="37"/>
      <c r="H1326" s="37"/>
      <c r="I1326" s="37"/>
      <c r="J1326" s="37"/>
      <c r="K1326" s="37"/>
      <c r="L1326" s="37"/>
      <c r="M1326" s="37"/>
      <c r="N1326" s="37"/>
      <c r="O1326" s="37"/>
      <c r="P1326" s="37"/>
      <c r="Q1326" s="37"/>
      <c r="R1326" s="37"/>
      <c r="S1326" s="37"/>
      <c r="T1326" s="37"/>
      <c r="U1326" s="37"/>
      <c r="V1326" s="37"/>
      <c r="W1326" s="37"/>
      <c r="X1326" s="37"/>
      <c r="Y1326" s="37"/>
      <c r="Z1326" s="37"/>
      <c r="AA1326" s="37"/>
      <c r="AB1326" s="37"/>
      <c r="AC1326" s="37"/>
      <c r="AD1326" s="37"/>
    </row>
    <row r="1327">
      <c r="A1327" s="37"/>
      <c r="B1327" s="37"/>
      <c r="C1327" s="37"/>
      <c r="D1327" s="37"/>
      <c r="E1327" s="37"/>
      <c r="F1327" s="37"/>
      <c r="G1327" s="37"/>
      <c r="H1327" s="37"/>
      <c r="I1327" s="37"/>
      <c r="J1327" s="37"/>
      <c r="K1327" s="37"/>
      <c r="L1327" s="37"/>
      <c r="M1327" s="37"/>
      <c r="N1327" s="37"/>
      <c r="O1327" s="37"/>
      <c r="P1327" s="37"/>
      <c r="Q1327" s="37"/>
      <c r="R1327" s="37"/>
      <c r="S1327" s="37"/>
      <c r="T1327" s="37"/>
      <c r="U1327" s="37"/>
      <c r="V1327" s="37"/>
      <c r="W1327" s="37"/>
      <c r="X1327" s="37"/>
      <c r="Y1327" s="37"/>
      <c r="Z1327" s="37"/>
      <c r="AA1327" s="37"/>
      <c r="AB1327" s="37"/>
      <c r="AC1327" s="37"/>
      <c r="AD1327" s="37"/>
    </row>
    <row r="1328">
      <c r="A1328" s="37"/>
      <c r="B1328" s="37"/>
      <c r="C1328" s="37"/>
      <c r="D1328" s="37"/>
      <c r="E1328" s="37"/>
      <c r="F1328" s="37"/>
      <c r="G1328" s="37"/>
      <c r="H1328" s="37"/>
      <c r="I1328" s="37"/>
      <c r="J1328" s="37"/>
      <c r="K1328" s="37"/>
      <c r="L1328" s="37"/>
      <c r="M1328" s="37"/>
      <c r="N1328" s="37"/>
      <c r="O1328" s="37"/>
      <c r="P1328" s="37"/>
      <c r="Q1328" s="37"/>
      <c r="R1328" s="37"/>
      <c r="S1328" s="37"/>
      <c r="T1328" s="37"/>
      <c r="U1328" s="37"/>
      <c r="V1328" s="37"/>
      <c r="W1328" s="37"/>
      <c r="X1328" s="37"/>
      <c r="Y1328" s="37"/>
      <c r="Z1328" s="37"/>
      <c r="AA1328" s="37"/>
      <c r="AB1328" s="37"/>
      <c r="AC1328" s="37"/>
      <c r="AD1328" s="37"/>
    </row>
    <row r="1329">
      <c r="A1329" s="37"/>
      <c r="B1329" s="37"/>
      <c r="C1329" s="37"/>
      <c r="D1329" s="37"/>
      <c r="E1329" s="37"/>
      <c r="F1329" s="37"/>
      <c r="G1329" s="37"/>
      <c r="H1329" s="37"/>
      <c r="I1329" s="37"/>
      <c r="J1329" s="37"/>
      <c r="K1329" s="37"/>
      <c r="L1329" s="37"/>
      <c r="M1329" s="37"/>
      <c r="N1329" s="37"/>
      <c r="O1329" s="37"/>
      <c r="P1329" s="37"/>
      <c r="Q1329" s="37"/>
      <c r="R1329" s="37"/>
      <c r="S1329" s="37"/>
      <c r="T1329" s="37"/>
      <c r="U1329" s="37"/>
      <c r="V1329" s="37"/>
      <c r="W1329" s="37"/>
      <c r="X1329" s="37"/>
      <c r="Y1329" s="37"/>
      <c r="Z1329" s="37"/>
      <c r="AA1329" s="37"/>
      <c r="AB1329" s="37"/>
      <c r="AC1329" s="37"/>
      <c r="AD1329" s="37"/>
    </row>
    <row r="1330">
      <c r="A1330" s="37"/>
      <c r="B1330" s="37"/>
      <c r="C1330" s="37"/>
      <c r="D1330" s="37"/>
      <c r="E1330" s="37"/>
      <c r="F1330" s="37"/>
      <c r="G1330" s="37"/>
      <c r="H1330" s="37"/>
      <c r="I1330" s="37"/>
      <c r="J1330" s="37"/>
      <c r="K1330" s="37"/>
      <c r="L1330" s="37"/>
      <c r="M1330" s="37"/>
      <c r="N1330" s="37"/>
      <c r="O1330" s="37"/>
      <c r="P1330" s="37"/>
      <c r="Q1330" s="37"/>
      <c r="R1330" s="37"/>
      <c r="S1330" s="37"/>
      <c r="T1330" s="37"/>
      <c r="U1330" s="37"/>
      <c r="V1330" s="37"/>
      <c r="W1330" s="37"/>
      <c r="X1330" s="37"/>
      <c r="Y1330" s="37"/>
      <c r="Z1330" s="37"/>
      <c r="AA1330" s="37"/>
      <c r="AB1330" s="37"/>
      <c r="AC1330" s="37"/>
      <c r="AD1330" s="37"/>
    </row>
    <row r="1331">
      <c r="A1331" s="37"/>
      <c r="B1331" s="37"/>
      <c r="C1331" s="37"/>
      <c r="D1331" s="37"/>
      <c r="E1331" s="37"/>
      <c r="F1331" s="37"/>
      <c r="G1331" s="37"/>
      <c r="H1331" s="37"/>
      <c r="I1331" s="37"/>
      <c r="J1331" s="37"/>
      <c r="K1331" s="37"/>
      <c r="L1331" s="37"/>
      <c r="M1331" s="37"/>
      <c r="N1331" s="37"/>
      <c r="O1331" s="37"/>
      <c r="P1331" s="37"/>
      <c r="Q1331" s="37"/>
      <c r="R1331" s="37"/>
      <c r="S1331" s="37"/>
      <c r="T1331" s="37"/>
      <c r="U1331" s="37"/>
      <c r="V1331" s="37"/>
      <c r="W1331" s="37"/>
      <c r="X1331" s="37"/>
      <c r="Y1331" s="37"/>
      <c r="Z1331" s="37"/>
      <c r="AA1331" s="37"/>
      <c r="AB1331" s="37"/>
      <c r="AC1331" s="37"/>
      <c r="AD1331" s="37"/>
    </row>
    <row r="1332">
      <c r="A1332" s="37"/>
      <c r="B1332" s="37"/>
      <c r="C1332" s="37"/>
      <c r="D1332" s="37"/>
      <c r="E1332" s="37"/>
      <c r="F1332" s="37"/>
      <c r="G1332" s="37"/>
      <c r="H1332" s="37"/>
      <c r="I1332" s="37"/>
      <c r="J1332" s="37"/>
      <c r="K1332" s="37"/>
      <c r="L1332" s="37"/>
      <c r="M1332" s="37"/>
      <c r="N1332" s="37"/>
      <c r="O1332" s="37"/>
      <c r="P1332" s="37"/>
      <c r="Q1332" s="37"/>
      <c r="R1332" s="37"/>
      <c r="S1332" s="37"/>
      <c r="T1332" s="37"/>
      <c r="U1332" s="37"/>
      <c r="V1332" s="37"/>
      <c r="W1332" s="37"/>
      <c r="X1332" s="37"/>
      <c r="Y1332" s="37"/>
      <c r="Z1332" s="37"/>
      <c r="AA1332" s="37"/>
      <c r="AB1332" s="37"/>
      <c r="AC1332" s="37"/>
      <c r="AD1332" s="37"/>
    </row>
    <row r="1333">
      <c r="A1333" s="37"/>
      <c r="B1333" s="37"/>
      <c r="C1333" s="37"/>
      <c r="D1333" s="37"/>
      <c r="E1333" s="37"/>
      <c r="F1333" s="37"/>
      <c r="G1333" s="37"/>
      <c r="H1333" s="37"/>
      <c r="I1333" s="37"/>
      <c r="J1333" s="37"/>
      <c r="K1333" s="37"/>
      <c r="L1333" s="37"/>
      <c r="M1333" s="37"/>
      <c r="N1333" s="37"/>
      <c r="O1333" s="37"/>
      <c r="P1333" s="37"/>
      <c r="Q1333" s="37"/>
      <c r="R1333" s="37"/>
      <c r="S1333" s="37"/>
      <c r="T1333" s="37"/>
      <c r="U1333" s="37"/>
      <c r="V1333" s="37"/>
      <c r="W1333" s="37"/>
      <c r="X1333" s="37"/>
      <c r="Y1333" s="37"/>
      <c r="Z1333" s="37"/>
      <c r="AA1333" s="37"/>
      <c r="AB1333" s="37"/>
      <c r="AC1333" s="37"/>
      <c r="AD1333" s="37"/>
    </row>
    <row r="1334">
      <c r="A1334" s="37"/>
      <c r="B1334" s="37"/>
      <c r="C1334" s="37"/>
      <c r="D1334" s="37"/>
      <c r="E1334" s="37"/>
      <c r="F1334" s="37"/>
      <c r="G1334" s="37"/>
      <c r="H1334" s="37"/>
      <c r="I1334" s="37"/>
      <c r="J1334" s="37"/>
      <c r="K1334" s="37"/>
      <c r="L1334" s="37"/>
      <c r="M1334" s="37"/>
      <c r="N1334" s="37"/>
      <c r="O1334" s="37"/>
      <c r="P1334" s="37"/>
      <c r="Q1334" s="37"/>
      <c r="R1334" s="37"/>
      <c r="S1334" s="37"/>
      <c r="T1334" s="37"/>
      <c r="U1334" s="37"/>
      <c r="V1334" s="37"/>
      <c r="W1334" s="37"/>
      <c r="X1334" s="37"/>
      <c r="Y1334" s="37"/>
      <c r="Z1334" s="37"/>
      <c r="AA1334" s="37"/>
      <c r="AB1334" s="37"/>
      <c r="AC1334" s="37"/>
      <c r="AD1334" s="37"/>
    </row>
    <row r="1335">
      <c r="A1335" s="37"/>
      <c r="B1335" s="37"/>
      <c r="C1335" s="37"/>
      <c r="D1335" s="37"/>
      <c r="E1335" s="37"/>
      <c r="F1335" s="37"/>
      <c r="G1335" s="37"/>
      <c r="H1335" s="37"/>
      <c r="I1335" s="37"/>
      <c r="J1335" s="37"/>
      <c r="K1335" s="37"/>
      <c r="L1335" s="37"/>
      <c r="M1335" s="37"/>
      <c r="N1335" s="37"/>
      <c r="O1335" s="37"/>
      <c r="P1335" s="37"/>
      <c r="Q1335" s="37"/>
      <c r="R1335" s="37"/>
      <c r="S1335" s="37"/>
      <c r="T1335" s="37"/>
      <c r="U1335" s="37"/>
      <c r="V1335" s="37"/>
      <c r="W1335" s="37"/>
      <c r="X1335" s="37"/>
      <c r="Y1335" s="37"/>
      <c r="Z1335" s="37"/>
      <c r="AA1335" s="37"/>
      <c r="AB1335" s="37"/>
      <c r="AC1335" s="37"/>
      <c r="AD1335" s="37"/>
    </row>
    <row r="1336">
      <c r="A1336" s="37"/>
      <c r="B1336" s="37"/>
      <c r="C1336" s="37"/>
      <c r="D1336" s="37"/>
      <c r="E1336" s="37"/>
      <c r="F1336" s="37"/>
      <c r="G1336" s="37"/>
      <c r="H1336" s="37"/>
      <c r="I1336" s="37"/>
      <c r="J1336" s="37"/>
      <c r="K1336" s="37"/>
      <c r="L1336" s="37"/>
      <c r="M1336" s="37"/>
      <c r="N1336" s="37"/>
      <c r="O1336" s="37"/>
      <c r="P1336" s="37"/>
      <c r="Q1336" s="37"/>
      <c r="R1336" s="37"/>
      <c r="S1336" s="37"/>
      <c r="T1336" s="37"/>
      <c r="U1336" s="37"/>
      <c r="V1336" s="37"/>
      <c r="W1336" s="37"/>
      <c r="X1336" s="37"/>
      <c r="Y1336" s="37"/>
      <c r="Z1336" s="37"/>
      <c r="AA1336" s="37"/>
      <c r="AB1336" s="37"/>
      <c r="AC1336" s="37"/>
      <c r="AD1336" s="37"/>
    </row>
    <row r="1337">
      <c r="A1337" s="37"/>
      <c r="B1337" s="37"/>
      <c r="C1337" s="37"/>
      <c r="D1337" s="37"/>
      <c r="E1337" s="37"/>
      <c r="F1337" s="37"/>
      <c r="G1337" s="37"/>
      <c r="H1337" s="37"/>
      <c r="I1337" s="37"/>
      <c r="J1337" s="37"/>
      <c r="K1337" s="37"/>
      <c r="L1337" s="37"/>
      <c r="M1337" s="37"/>
      <c r="N1337" s="37"/>
      <c r="O1337" s="37"/>
      <c r="P1337" s="37"/>
      <c r="Q1337" s="37"/>
      <c r="R1337" s="37"/>
      <c r="S1337" s="37"/>
      <c r="T1337" s="37"/>
      <c r="U1337" s="37"/>
      <c r="V1337" s="37"/>
      <c r="W1337" s="37"/>
      <c r="X1337" s="37"/>
      <c r="Y1337" s="37"/>
      <c r="Z1337" s="37"/>
      <c r="AA1337" s="37"/>
      <c r="AB1337" s="37"/>
      <c r="AC1337" s="37"/>
      <c r="AD1337" s="37"/>
    </row>
    <row r="1338">
      <c r="A1338" s="37"/>
      <c r="B1338" s="37"/>
      <c r="C1338" s="37"/>
      <c r="D1338" s="37"/>
      <c r="E1338" s="37"/>
      <c r="F1338" s="37"/>
      <c r="G1338" s="37"/>
      <c r="H1338" s="37"/>
      <c r="I1338" s="37"/>
      <c r="J1338" s="37"/>
      <c r="K1338" s="37"/>
      <c r="L1338" s="37"/>
      <c r="M1338" s="37"/>
      <c r="N1338" s="37"/>
      <c r="O1338" s="37"/>
      <c r="P1338" s="37"/>
      <c r="Q1338" s="37"/>
      <c r="R1338" s="37"/>
      <c r="S1338" s="37"/>
      <c r="T1338" s="37"/>
      <c r="U1338" s="37"/>
      <c r="V1338" s="37"/>
      <c r="W1338" s="37"/>
      <c r="X1338" s="37"/>
      <c r="Y1338" s="37"/>
      <c r="Z1338" s="37"/>
      <c r="AA1338" s="37"/>
      <c r="AB1338" s="37"/>
      <c r="AC1338" s="37"/>
      <c r="AD1338" s="37"/>
    </row>
    <row r="1339">
      <c r="A1339" s="37"/>
      <c r="B1339" s="37"/>
      <c r="C1339" s="37"/>
      <c r="D1339" s="37"/>
      <c r="E1339" s="37"/>
      <c r="F1339" s="37"/>
      <c r="G1339" s="37"/>
      <c r="H1339" s="37"/>
      <c r="I1339" s="37"/>
      <c r="J1339" s="37"/>
      <c r="K1339" s="37"/>
      <c r="L1339" s="37"/>
      <c r="M1339" s="37"/>
      <c r="N1339" s="37"/>
      <c r="O1339" s="37"/>
      <c r="P1339" s="37"/>
      <c r="Q1339" s="37"/>
      <c r="R1339" s="37"/>
      <c r="S1339" s="37"/>
      <c r="T1339" s="37"/>
      <c r="U1339" s="37"/>
      <c r="V1339" s="37"/>
      <c r="W1339" s="37"/>
      <c r="X1339" s="37"/>
      <c r="Y1339" s="37"/>
      <c r="Z1339" s="37"/>
      <c r="AA1339" s="37"/>
      <c r="AB1339" s="37"/>
      <c r="AC1339" s="37"/>
      <c r="AD1339" s="37"/>
    </row>
    <row r="1340">
      <c r="A1340" s="37"/>
      <c r="B1340" s="37"/>
      <c r="C1340" s="37"/>
      <c r="D1340" s="37"/>
      <c r="E1340" s="37"/>
      <c r="F1340" s="37"/>
      <c r="G1340" s="37"/>
      <c r="H1340" s="37"/>
      <c r="I1340" s="37"/>
      <c r="J1340" s="37"/>
      <c r="K1340" s="37"/>
      <c r="L1340" s="37"/>
      <c r="M1340" s="37"/>
      <c r="N1340" s="37"/>
      <c r="O1340" s="37"/>
      <c r="P1340" s="37"/>
      <c r="Q1340" s="37"/>
      <c r="R1340" s="37"/>
      <c r="S1340" s="37"/>
      <c r="T1340" s="37"/>
      <c r="U1340" s="37"/>
      <c r="V1340" s="37"/>
      <c r="W1340" s="37"/>
      <c r="X1340" s="37"/>
      <c r="Y1340" s="37"/>
      <c r="Z1340" s="37"/>
      <c r="AA1340" s="37"/>
      <c r="AB1340" s="37"/>
      <c r="AC1340" s="37"/>
      <c r="AD1340" s="37"/>
    </row>
    <row r="1341">
      <c r="A1341" s="37"/>
      <c r="B1341" s="37"/>
      <c r="C1341" s="37"/>
      <c r="D1341" s="37"/>
      <c r="E1341" s="37"/>
      <c r="F1341" s="37"/>
      <c r="G1341" s="37"/>
      <c r="H1341" s="37"/>
      <c r="I1341" s="37"/>
      <c r="J1341" s="37"/>
      <c r="K1341" s="37"/>
      <c r="L1341" s="37"/>
      <c r="M1341" s="37"/>
      <c r="N1341" s="37"/>
      <c r="O1341" s="37"/>
      <c r="P1341" s="37"/>
      <c r="Q1341" s="37"/>
      <c r="R1341" s="37"/>
      <c r="S1341" s="37"/>
      <c r="T1341" s="37"/>
      <c r="U1341" s="37"/>
      <c r="V1341" s="37"/>
      <c r="W1341" s="37"/>
      <c r="X1341" s="37"/>
      <c r="Y1341" s="37"/>
      <c r="Z1341" s="37"/>
      <c r="AA1341" s="37"/>
      <c r="AB1341" s="37"/>
      <c r="AC1341" s="37"/>
      <c r="AD1341" s="37"/>
    </row>
    <row r="1342">
      <c r="A1342" s="37"/>
      <c r="B1342" s="37"/>
      <c r="C1342" s="37"/>
      <c r="D1342" s="37"/>
      <c r="E1342" s="37"/>
      <c r="F1342" s="37"/>
      <c r="G1342" s="37"/>
      <c r="H1342" s="37"/>
      <c r="I1342" s="37"/>
      <c r="J1342" s="37"/>
      <c r="K1342" s="37"/>
      <c r="L1342" s="37"/>
      <c r="M1342" s="37"/>
      <c r="N1342" s="37"/>
      <c r="O1342" s="37"/>
      <c r="P1342" s="37"/>
      <c r="Q1342" s="37"/>
      <c r="R1342" s="37"/>
      <c r="S1342" s="37"/>
      <c r="T1342" s="37"/>
      <c r="U1342" s="37"/>
      <c r="V1342" s="37"/>
      <c r="W1342" s="37"/>
      <c r="X1342" s="37"/>
      <c r="Y1342" s="37"/>
      <c r="Z1342" s="37"/>
      <c r="AA1342" s="37"/>
      <c r="AB1342" s="37"/>
      <c r="AC1342" s="37"/>
      <c r="AD1342" s="37"/>
    </row>
    <row r="1343">
      <c r="A1343" s="37"/>
      <c r="B1343" s="37"/>
      <c r="C1343" s="37"/>
      <c r="D1343" s="37"/>
      <c r="E1343" s="37"/>
      <c r="F1343" s="37"/>
      <c r="G1343" s="37"/>
      <c r="H1343" s="37"/>
      <c r="I1343" s="37"/>
      <c r="J1343" s="37"/>
      <c r="K1343" s="37"/>
      <c r="L1343" s="37"/>
      <c r="M1343" s="37"/>
      <c r="N1343" s="37"/>
      <c r="O1343" s="37"/>
      <c r="P1343" s="37"/>
      <c r="Q1343" s="37"/>
      <c r="R1343" s="37"/>
      <c r="S1343" s="37"/>
      <c r="T1343" s="37"/>
      <c r="U1343" s="37"/>
      <c r="V1343" s="37"/>
      <c r="W1343" s="37"/>
      <c r="X1343" s="37"/>
      <c r="Y1343" s="37"/>
      <c r="Z1343" s="37"/>
      <c r="AA1343" s="37"/>
      <c r="AB1343" s="37"/>
      <c r="AC1343" s="37"/>
      <c r="AD1343" s="37"/>
    </row>
    <row r="1344">
      <c r="A1344" s="37"/>
      <c r="B1344" s="37"/>
      <c r="C1344" s="37"/>
      <c r="D1344" s="37"/>
      <c r="E1344" s="37"/>
      <c r="F1344" s="37"/>
      <c r="G1344" s="37"/>
      <c r="H1344" s="37"/>
      <c r="I1344" s="37"/>
      <c r="J1344" s="37"/>
      <c r="K1344" s="37"/>
      <c r="L1344" s="37"/>
      <c r="M1344" s="37"/>
      <c r="N1344" s="37"/>
      <c r="O1344" s="37"/>
      <c r="P1344" s="37"/>
      <c r="Q1344" s="37"/>
      <c r="R1344" s="37"/>
      <c r="S1344" s="37"/>
      <c r="T1344" s="37"/>
      <c r="U1344" s="37"/>
      <c r="V1344" s="37"/>
      <c r="W1344" s="37"/>
      <c r="X1344" s="37"/>
      <c r="Y1344" s="37"/>
      <c r="Z1344" s="37"/>
      <c r="AA1344" s="37"/>
      <c r="AB1344" s="37"/>
      <c r="AC1344" s="37"/>
      <c r="AD1344" s="37"/>
    </row>
    <row r="1345">
      <c r="A1345" s="37"/>
      <c r="B1345" s="37"/>
      <c r="C1345" s="37"/>
      <c r="D1345" s="37"/>
      <c r="E1345" s="37"/>
      <c r="F1345" s="37"/>
      <c r="G1345" s="37"/>
      <c r="H1345" s="37"/>
      <c r="I1345" s="37"/>
      <c r="J1345" s="37"/>
      <c r="K1345" s="37"/>
      <c r="L1345" s="37"/>
      <c r="M1345" s="37"/>
      <c r="N1345" s="37"/>
      <c r="O1345" s="37"/>
      <c r="P1345" s="37"/>
      <c r="Q1345" s="37"/>
      <c r="R1345" s="37"/>
      <c r="S1345" s="37"/>
      <c r="T1345" s="37"/>
      <c r="U1345" s="37"/>
      <c r="V1345" s="37"/>
      <c r="W1345" s="37"/>
      <c r="X1345" s="37"/>
      <c r="Y1345" s="37"/>
      <c r="Z1345" s="37"/>
      <c r="AA1345" s="37"/>
      <c r="AB1345" s="37"/>
      <c r="AC1345" s="37"/>
      <c r="AD1345" s="37"/>
    </row>
    <row r="1346">
      <c r="A1346" s="37"/>
      <c r="B1346" s="37"/>
      <c r="C1346" s="37"/>
      <c r="D1346" s="37"/>
      <c r="E1346" s="37"/>
      <c r="F1346" s="37"/>
      <c r="G1346" s="37"/>
      <c r="H1346" s="37"/>
      <c r="I1346" s="37"/>
      <c r="J1346" s="37"/>
      <c r="K1346" s="37"/>
      <c r="L1346" s="37"/>
      <c r="M1346" s="37"/>
      <c r="N1346" s="37"/>
      <c r="O1346" s="37"/>
      <c r="P1346" s="37"/>
      <c r="Q1346" s="37"/>
      <c r="R1346" s="37"/>
      <c r="S1346" s="37"/>
      <c r="T1346" s="37"/>
      <c r="U1346" s="37"/>
      <c r="V1346" s="37"/>
      <c r="W1346" s="37"/>
      <c r="X1346" s="37"/>
      <c r="Y1346" s="37"/>
      <c r="Z1346" s="37"/>
      <c r="AA1346" s="37"/>
      <c r="AB1346" s="37"/>
      <c r="AC1346" s="37"/>
      <c r="AD1346" s="37"/>
    </row>
    <row r="1347">
      <c r="A1347" s="37"/>
      <c r="B1347" s="37"/>
      <c r="C1347" s="37"/>
      <c r="D1347" s="37"/>
      <c r="E1347" s="37"/>
      <c r="F1347" s="37"/>
      <c r="G1347" s="37"/>
      <c r="H1347" s="37"/>
      <c r="I1347" s="37"/>
      <c r="J1347" s="37"/>
      <c r="K1347" s="37"/>
      <c r="L1347" s="37"/>
      <c r="M1347" s="37"/>
      <c r="N1347" s="37"/>
      <c r="O1347" s="37"/>
      <c r="P1347" s="37"/>
      <c r="Q1347" s="37"/>
      <c r="R1347" s="37"/>
      <c r="S1347" s="37"/>
      <c r="T1347" s="37"/>
      <c r="U1347" s="37"/>
      <c r="V1347" s="37"/>
      <c r="W1347" s="37"/>
      <c r="X1347" s="37"/>
      <c r="Y1347" s="37"/>
      <c r="Z1347" s="37"/>
      <c r="AA1347" s="37"/>
      <c r="AB1347" s="37"/>
      <c r="AC1347" s="37"/>
      <c r="AD1347" s="37"/>
    </row>
    <row r="1348">
      <c r="A1348" s="37"/>
      <c r="B1348" s="37"/>
      <c r="C1348" s="37"/>
      <c r="D1348" s="37"/>
      <c r="E1348" s="37"/>
      <c r="F1348" s="37"/>
      <c r="G1348" s="37"/>
      <c r="H1348" s="37"/>
      <c r="I1348" s="37"/>
      <c r="J1348" s="37"/>
      <c r="K1348" s="37"/>
      <c r="L1348" s="37"/>
      <c r="M1348" s="37"/>
      <c r="N1348" s="37"/>
      <c r="O1348" s="37"/>
      <c r="P1348" s="37"/>
      <c r="Q1348" s="37"/>
      <c r="R1348" s="37"/>
      <c r="S1348" s="37"/>
      <c r="T1348" s="37"/>
      <c r="U1348" s="37"/>
      <c r="V1348" s="37"/>
      <c r="W1348" s="37"/>
      <c r="X1348" s="37"/>
      <c r="Y1348" s="37"/>
      <c r="Z1348" s="37"/>
      <c r="AA1348" s="37"/>
      <c r="AB1348" s="37"/>
      <c r="AC1348" s="37"/>
      <c r="AD1348" s="37"/>
    </row>
    <row r="1349">
      <c r="A1349" s="37"/>
      <c r="B1349" s="37"/>
      <c r="C1349" s="37"/>
      <c r="D1349" s="37"/>
      <c r="E1349" s="37"/>
      <c r="F1349" s="37"/>
      <c r="G1349" s="37"/>
      <c r="H1349" s="37"/>
      <c r="I1349" s="37"/>
      <c r="J1349" s="37"/>
      <c r="K1349" s="37"/>
      <c r="L1349" s="37"/>
      <c r="M1349" s="37"/>
      <c r="N1349" s="37"/>
      <c r="O1349" s="37"/>
      <c r="P1349" s="37"/>
      <c r="Q1349" s="37"/>
      <c r="R1349" s="37"/>
      <c r="S1349" s="37"/>
      <c r="T1349" s="37"/>
      <c r="U1349" s="37"/>
      <c r="V1349" s="37"/>
      <c r="W1349" s="37"/>
      <c r="X1349" s="37"/>
      <c r="Y1349" s="37"/>
      <c r="Z1349" s="37"/>
      <c r="AA1349" s="37"/>
      <c r="AB1349" s="37"/>
      <c r="AC1349" s="37"/>
      <c r="AD1349" s="37"/>
    </row>
    <row r="1350">
      <c r="A1350" s="37"/>
      <c r="B1350" s="37"/>
      <c r="C1350" s="37"/>
      <c r="D1350" s="37"/>
      <c r="E1350" s="37"/>
      <c r="F1350" s="37"/>
      <c r="G1350" s="37"/>
      <c r="H1350" s="37"/>
      <c r="I1350" s="37"/>
      <c r="J1350" s="37"/>
      <c r="K1350" s="37"/>
      <c r="L1350" s="37"/>
      <c r="M1350" s="37"/>
      <c r="N1350" s="37"/>
      <c r="O1350" s="37"/>
      <c r="P1350" s="37"/>
      <c r="Q1350" s="37"/>
      <c r="R1350" s="37"/>
      <c r="S1350" s="37"/>
      <c r="T1350" s="37"/>
      <c r="U1350" s="37"/>
      <c r="V1350" s="37"/>
      <c r="W1350" s="37"/>
      <c r="X1350" s="37"/>
      <c r="Y1350" s="37"/>
      <c r="Z1350" s="37"/>
      <c r="AA1350" s="37"/>
      <c r="AB1350" s="37"/>
      <c r="AC1350" s="37"/>
      <c r="AD1350" s="37"/>
    </row>
    <row r="1351">
      <c r="A1351" s="37"/>
      <c r="B1351" s="37"/>
      <c r="C1351" s="37"/>
      <c r="D1351" s="37"/>
      <c r="E1351" s="37"/>
      <c r="F1351" s="37"/>
      <c r="G1351" s="37"/>
      <c r="H1351" s="37"/>
      <c r="I1351" s="37"/>
      <c r="J1351" s="37"/>
      <c r="K1351" s="37"/>
      <c r="L1351" s="37"/>
      <c r="M1351" s="37"/>
      <c r="N1351" s="37"/>
      <c r="O1351" s="37"/>
      <c r="P1351" s="37"/>
      <c r="Q1351" s="37"/>
      <c r="R1351" s="37"/>
      <c r="S1351" s="37"/>
      <c r="T1351" s="37"/>
      <c r="U1351" s="37"/>
      <c r="V1351" s="37"/>
      <c r="W1351" s="37"/>
      <c r="X1351" s="37"/>
      <c r="Y1351" s="37"/>
      <c r="Z1351" s="37"/>
      <c r="AA1351" s="37"/>
      <c r="AB1351" s="37"/>
      <c r="AC1351" s="37"/>
      <c r="AD1351" s="37"/>
    </row>
    <row r="1352">
      <c r="A1352" s="37"/>
      <c r="B1352" s="37"/>
      <c r="C1352" s="37"/>
      <c r="D1352" s="37"/>
      <c r="E1352" s="37"/>
      <c r="F1352" s="37"/>
      <c r="G1352" s="37"/>
      <c r="H1352" s="37"/>
      <c r="I1352" s="37"/>
      <c r="J1352" s="37"/>
      <c r="K1352" s="37"/>
      <c r="L1352" s="37"/>
      <c r="M1352" s="37"/>
      <c r="N1352" s="37"/>
      <c r="O1352" s="37"/>
      <c r="P1352" s="37"/>
      <c r="Q1352" s="37"/>
      <c r="R1352" s="37"/>
      <c r="S1352" s="37"/>
      <c r="T1352" s="37"/>
      <c r="U1352" s="37"/>
      <c r="V1352" s="37"/>
      <c r="W1352" s="37"/>
      <c r="X1352" s="37"/>
      <c r="Y1352" s="37"/>
      <c r="Z1352" s="37"/>
      <c r="AA1352" s="37"/>
      <c r="AB1352" s="37"/>
      <c r="AC1352" s="37"/>
      <c r="AD1352" s="37"/>
    </row>
    <row r="1353">
      <c r="A1353" s="37"/>
      <c r="B1353" s="37"/>
      <c r="C1353" s="37"/>
      <c r="D1353" s="37"/>
      <c r="E1353" s="37"/>
      <c r="F1353" s="37"/>
      <c r="G1353" s="37"/>
      <c r="H1353" s="37"/>
      <c r="I1353" s="37"/>
      <c r="J1353" s="37"/>
      <c r="K1353" s="37"/>
      <c r="L1353" s="37"/>
      <c r="M1353" s="37"/>
      <c r="N1353" s="37"/>
      <c r="O1353" s="37"/>
      <c r="P1353" s="37"/>
      <c r="Q1353" s="37"/>
      <c r="R1353" s="37"/>
      <c r="S1353" s="37"/>
      <c r="T1353" s="37"/>
      <c r="U1353" s="37"/>
      <c r="V1353" s="37"/>
      <c r="W1353" s="37"/>
      <c r="X1353" s="37"/>
      <c r="Y1353" s="37"/>
      <c r="Z1353" s="37"/>
      <c r="AA1353" s="37"/>
      <c r="AB1353" s="37"/>
      <c r="AC1353" s="37"/>
      <c r="AD1353" s="37"/>
    </row>
    <row r="1354">
      <c r="A1354" s="37"/>
      <c r="B1354" s="37"/>
      <c r="C1354" s="37"/>
      <c r="D1354" s="37"/>
      <c r="E1354" s="37"/>
      <c r="F1354" s="37"/>
      <c r="G1354" s="37"/>
      <c r="H1354" s="37"/>
      <c r="I1354" s="37"/>
      <c r="J1354" s="37"/>
      <c r="K1354" s="37"/>
      <c r="L1354" s="37"/>
      <c r="M1354" s="37"/>
      <c r="N1354" s="37"/>
      <c r="O1354" s="37"/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37"/>
      <c r="AA1354" s="37"/>
      <c r="AB1354" s="37"/>
      <c r="AC1354" s="37"/>
      <c r="AD1354" s="37"/>
    </row>
    <row r="1355">
      <c r="A1355" s="37"/>
      <c r="B1355" s="37"/>
      <c r="C1355" s="37"/>
      <c r="D1355" s="37"/>
      <c r="E1355" s="37"/>
      <c r="F1355" s="37"/>
      <c r="G1355" s="37"/>
      <c r="H1355" s="37"/>
      <c r="I1355" s="37"/>
      <c r="J1355" s="37"/>
      <c r="K1355" s="37"/>
      <c r="L1355" s="37"/>
      <c r="M1355" s="37"/>
      <c r="N1355" s="37"/>
      <c r="O1355" s="37"/>
      <c r="P1355" s="37"/>
      <c r="Q1355" s="37"/>
      <c r="R1355" s="37"/>
      <c r="S1355" s="37"/>
      <c r="T1355" s="37"/>
      <c r="U1355" s="37"/>
      <c r="V1355" s="37"/>
      <c r="W1355" s="37"/>
      <c r="X1355" s="37"/>
      <c r="Y1355" s="37"/>
      <c r="Z1355" s="37"/>
      <c r="AA1355" s="37"/>
      <c r="AB1355" s="37"/>
      <c r="AC1355" s="37"/>
      <c r="AD1355" s="37"/>
    </row>
    <row r="1356">
      <c r="A1356" s="37"/>
      <c r="B1356" s="37"/>
      <c r="C1356" s="37"/>
      <c r="D1356" s="37"/>
      <c r="E1356" s="37"/>
      <c r="F1356" s="37"/>
      <c r="G1356" s="37"/>
      <c r="H1356" s="37"/>
      <c r="I1356" s="37"/>
      <c r="J1356" s="37"/>
      <c r="K1356" s="37"/>
      <c r="L1356" s="37"/>
      <c r="M1356" s="37"/>
      <c r="N1356" s="37"/>
      <c r="O1356" s="37"/>
      <c r="P1356" s="37"/>
      <c r="Q1356" s="37"/>
      <c r="R1356" s="37"/>
      <c r="S1356" s="37"/>
      <c r="T1356" s="37"/>
      <c r="U1356" s="37"/>
      <c r="V1356" s="37"/>
      <c r="W1356" s="37"/>
      <c r="X1356" s="37"/>
      <c r="Y1356" s="37"/>
      <c r="Z1356" s="37"/>
      <c r="AA1356" s="37"/>
      <c r="AB1356" s="37"/>
      <c r="AC1356" s="37"/>
      <c r="AD1356" s="37"/>
    </row>
    <row r="1357">
      <c r="A1357" s="37"/>
      <c r="B1357" s="37"/>
      <c r="C1357" s="37"/>
      <c r="D1357" s="37"/>
      <c r="E1357" s="37"/>
      <c r="F1357" s="37"/>
      <c r="G1357" s="37"/>
      <c r="H1357" s="37"/>
      <c r="I1357" s="37"/>
      <c r="J1357" s="37"/>
      <c r="K1357" s="37"/>
      <c r="L1357" s="37"/>
      <c r="M1357" s="37"/>
      <c r="N1357" s="37"/>
      <c r="O1357" s="37"/>
      <c r="P1357" s="37"/>
      <c r="Q1357" s="37"/>
      <c r="R1357" s="37"/>
      <c r="S1357" s="37"/>
      <c r="T1357" s="37"/>
      <c r="U1357" s="37"/>
      <c r="V1357" s="37"/>
      <c r="W1357" s="37"/>
      <c r="X1357" s="37"/>
      <c r="Y1357" s="37"/>
      <c r="Z1357" s="37"/>
      <c r="AA1357" s="37"/>
      <c r="AB1357" s="37"/>
      <c r="AC1357" s="37"/>
      <c r="AD1357" s="37"/>
    </row>
    <row r="1358">
      <c r="A1358" s="37"/>
      <c r="B1358" s="37"/>
      <c r="C1358" s="37"/>
      <c r="D1358" s="37"/>
      <c r="E1358" s="37"/>
      <c r="F1358" s="37"/>
      <c r="G1358" s="37"/>
      <c r="H1358" s="37"/>
      <c r="I1358" s="37"/>
      <c r="J1358" s="37"/>
      <c r="K1358" s="37"/>
      <c r="L1358" s="37"/>
      <c r="M1358" s="37"/>
      <c r="N1358" s="37"/>
      <c r="O1358" s="37"/>
      <c r="P1358" s="37"/>
      <c r="Q1358" s="37"/>
      <c r="R1358" s="37"/>
      <c r="S1358" s="37"/>
      <c r="T1358" s="37"/>
      <c r="U1358" s="37"/>
      <c r="V1358" s="37"/>
      <c r="W1358" s="37"/>
      <c r="X1358" s="37"/>
      <c r="Y1358" s="37"/>
      <c r="Z1358" s="37"/>
      <c r="AA1358" s="37"/>
      <c r="AB1358" s="37"/>
      <c r="AC1358" s="37"/>
      <c r="AD1358" s="37"/>
    </row>
    <row r="1359">
      <c r="A1359" s="37"/>
      <c r="B1359" s="37"/>
      <c r="C1359" s="37"/>
      <c r="D1359" s="37"/>
      <c r="E1359" s="37"/>
      <c r="F1359" s="37"/>
      <c r="G1359" s="37"/>
      <c r="H1359" s="37"/>
      <c r="I1359" s="37"/>
      <c r="J1359" s="37"/>
      <c r="K1359" s="37"/>
      <c r="L1359" s="37"/>
      <c r="M1359" s="37"/>
      <c r="N1359" s="37"/>
      <c r="O1359" s="37"/>
      <c r="P1359" s="37"/>
      <c r="Q1359" s="37"/>
      <c r="R1359" s="37"/>
      <c r="S1359" s="37"/>
      <c r="T1359" s="37"/>
      <c r="U1359" s="37"/>
      <c r="V1359" s="37"/>
      <c r="W1359" s="37"/>
      <c r="X1359" s="37"/>
      <c r="Y1359" s="37"/>
      <c r="Z1359" s="37"/>
      <c r="AA1359" s="37"/>
      <c r="AB1359" s="37"/>
      <c r="AC1359" s="37"/>
      <c r="AD1359" s="37"/>
    </row>
    <row r="1360">
      <c r="A1360" s="37"/>
      <c r="B1360" s="37"/>
      <c r="C1360" s="37"/>
      <c r="D1360" s="37"/>
      <c r="E1360" s="37"/>
      <c r="F1360" s="37"/>
      <c r="G1360" s="37"/>
      <c r="H1360" s="37"/>
      <c r="I1360" s="37"/>
      <c r="J1360" s="37"/>
      <c r="K1360" s="37"/>
      <c r="L1360" s="37"/>
      <c r="M1360" s="37"/>
      <c r="N1360" s="37"/>
      <c r="O1360" s="37"/>
      <c r="P1360" s="37"/>
      <c r="Q1360" s="37"/>
      <c r="R1360" s="37"/>
      <c r="S1360" s="37"/>
      <c r="T1360" s="37"/>
      <c r="U1360" s="37"/>
      <c r="V1360" s="37"/>
      <c r="W1360" s="37"/>
      <c r="X1360" s="37"/>
      <c r="Y1360" s="37"/>
      <c r="Z1360" s="37"/>
      <c r="AA1360" s="37"/>
      <c r="AB1360" s="37"/>
      <c r="AC1360" s="37"/>
      <c r="AD1360" s="37"/>
    </row>
    <row r="1361">
      <c r="A1361" s="37"/>
      <c r="B1361" s="37"/>
      <c r="C1361" s="37"/>
      <c r="D1361" s="37"/>
      <c r="E1361" s="37"/>
      <c r="F1361" s="37"/>
      <c r="G1361" s="37"/>
      <c r="H1361" s="37"/>
      <c r="I1361" s="37"/>
      <c r="J1361" s="37"/>
      <c r="K1361" s="37"/>
      <c r="L1361" s="37"/>
      <c r="M1361" s="37"/>
      <c r="N1361" s="37"/>
      <c r="O1361" s="37"/>
      <c r="P1361" s="37"/>
      <c r="Q1361" s="37"/>
      <c r="R1361" s="37"/>
      <c r="S1361" s="37"/>
      <c r="T1361" s="37"/>
      <c r="U1361" s="37"/>
      <c r="V1361" s="37"/>
      <c r="W1361" s="37"/>
      <c r="X1361" s="37"/>
      <c r="Y1361" s="37"/>
      <c r="Z1361" s="37"/>
      <c r="AA1361" s="37"/>
      <c r="AB1361" s="37"/>
      <c r="AC1361" s="37"/>
      <c r="AD1361" s="37"/>
    </row>
    <row r="1362">
      <c r="A1362" s="37"/>
      <c r="B1362" s="37"/>
      <c r="C1362" s="37"/>
      <c r="D1362" s="37"/>
      <c r="E1362" s="37"/>
      <c r="F1362" s="37"/>
      <c r="G1362" s="37"/>
      <c r="H1362" s="37"/>
      <c r="I1362" s="37"/>
      <c r="J1362" s="37"/>
      <c r="K1362" s="37"/>
      <c r="L1362" s="37"/>
      <c r="M1362" s="37"/>
      <c r="N1362" s="37"/>
      <c r="O1362" s="37"/>
      <c r="P1362" s="37"/>
      <c r="Q1362" s="37"/>
      <c r="R1362" s="37"/>
      <c r="S1362" s="37"/>
      <c r="T1362" s="37"/>
      <c r="U1362" s="37"/>
      <c r="V1362" s="37"/>
      <c r="W1362" s="37"/>
      <c r="X1362" s="37"/>
      <c r="Y1362" s="37"/>
      <c r="Z1362" s="37"/>
      <c r="AA1362" s="37"/>
      <c r="AB1362" s="37"/>
      <c r="AC1362" s="37"/>
      <c r="AD1362" s="37"/>
    </row>
    <row r="1363">
      <c r="A1363" s="37"/>
      <c r="B1363" s="37"/>
      <c r="C1363" s="37"/>
      <c r="D1363" s="37"/>
      <c r="E1363" s="37"/>
      <c r="F1363" s="37"/>
      <c r="G1363" s="37"/>
      <c r="H1363" s="37"/>
      <c r="I1363" s="37"/>
      <c r="J1363" s="37"/>
      <c r="K1363" s="37"/>
      <c r="L1363" s="37"/>
      <c r="M1363" s="37"/>
      <c r="N1363" s="37"/>
      <c r="O1363" s="37"/>
      <c r="P1363" s="37"/>
      <c r="Q1363" s="37"/>
      <c r="R1363" s="37"/>
      <c r="S1363" s="37"/>
      <c r="T1363" s="37"/>
      <c r="U1363" s="37"/>
      <c r="V1363" s="37"/>
      <c r="W1363" s="37"/>
      <c r="X1363" s="37"/>
      <c r="Y1363" s="37"/>
      <c r="Z1363" s="37"/>
      <c r="AA1363" s="37"/>
      <c r="AB1363" s="37"/>
      <c r="AC1363" s="37"/>
      <c r="AD1363" s="37"/>
    </row>
    <row r="1364">
      <c r="A1364" s="37"/>
      <c r="B1364" s="37"/>
      <c r="C1364" s="37"/>
      <c r="D1364" s="37"/>
      <c r="E1364" s="37"/>
      <c r="F1364" s="37"/>
      <c r="G1364" s="37"/>
      <c r="H1364" s="37"/>
      <c r="I1364" s="37"/>
      <c r="J1364" s="37"/>
      <c r="K1364" s="37"/>
      <c r="L1364" s="37"/>
      <c r="M1364" s="37"/>
      <c r="N1364" s="37"/>
      <c r="O1364" s="37"/>
      <c r="P1364" s="37"/>
      <c r="Q1364" s="37"/>
      <c r="R1364" s="37"/>
      <c r="S1364" s="37"/>
      <c r="T1364" s="37"/>
      <c r="U1364" s="37"/>
      <c r="V1364" s="37"/>
      <c r="W1364" s="37"/>
      <c r="X1364" s="37"/>
      <c r="Y1364" s="37"/>
      <c r="Z1364" s="37"/>
      <c r="AA1364" s="37"/>
      <c r="AB1364" s="37"/>
      <c r="AC1364" s="37"/>
      <c r="AD1364" s="37"/>
    </row>
    <row r="1365">
      <c r="A1365" s="37"/>
      <c r="B1365" s="37"/>
      <c r="C1365" s="37"/>
      <c r="D1365" s="37"/>
      <c r="E1365" s="37"/>
      <c r="F1365" s="37"/>
      <c r="G1365" s="37"/>
      <c r="H1365" s="37"/>
      <c r="I1365" s="37"/>
      <c r="J1365" s="37"/>
      <c r="K1365" s="37"/>
      <c r="L1365" s="37"/>
      <c r="M1365" s="37"/>
      <c r="N1365" s="37"/>
      <c r="O1365" s="37"/>
      <c r="P1365" s="37"/>
      <c r="Q1365" s="37"/>
      <c r="R1365" s="37"/>
      <c r="S1365" s="37"/>
      <c r="T1365" s="37"/>
      <c r="U1365" s="37"/>
      <c r="V1365" s="37"/>
      <c r="W1365" s="37"/>
      <c r="X1365" s="37"/>
      <c r="Y1365" s="37"/>
      <c r="Z1365" s="37"/>
      <c r="AA1365" s="37"/>
      <c r="AB1365" s="37"/>
      <c r="AC1365" s="37"/>
      <c r="AD1365" s="37"/>
    </row>
    <row r="1366">
      <c r="A1366" s="37"/>
      <c r="B1366" s="37"/>
      <c r="C1366" s="37"/>
      <c r="D1366" s="37"/>
      <c r="E1366" s="37"/>
      <c r="F1366" s="37"/>
      <c r="G1366" s="37"/>
      <c r="H1366" s="37"/>
      <c r="I1366" s="37"/>
      <c r="J1366" s="37"/>
      <c r="K1366" s="37"/>
      <c r="L1366" s="37"/>
      <c r="M1366" s="37"/>
      <c r="N1366" s="37"/>
      <c r="O1366" s="37"/>
      <c r="P1366" s="37"/>
      <c r="Q1366" s="37"/>
      <c r="R1366" s="37"/>
      <c r="S1366" s="37"/>
      <c r="T1366" s="37"/>
      <c r="U1366" s="37"/>
      <c r="V1366" s="37"/>
      <c r="W1366" s="37"/>
      <c r="X1366" s="37"/>
      <c r="Y1366" s="37"/>
      <c r="Z1366" s="37"/>
      <c r="AA1366" s="37"/>
      <c r="AB1366" s="37"/>
      <c r="AC1366" s="37"/>
      <c r="AD1366" s="37"/>
    </row>
    <row r="1367">
      <c r="A1367" s="37"/>
      <c r="B1367" s="37"/>
      <c r="C1367" s="37"/>
      <c r="D1367" s="37"/>
      <c r="E1367" s="37"/>
      <c r="F1367" s="37"/>
      <c r="G1367" s="37"/>
      <c r="H1367" s="37"/>
      <c r="I1367" s="37"/>
      <c r="J1367" s="37"/>
      <c r="K1367" s="37"/>
      <c r="L1367" s="37"/>
      <c r="M1367" s="37"/>
      <c r="N1367" s="37"/>
      <c r="O1367" s="37"/>
      <c r="P1367" s="37"/>
      <c r="Q1367" s="37"/>
      <c r="R1367" s="37"/>
      <c r="S1367" s="37"/>
      <c r="T1367" s="37"/>
      <c r="U1367" s="37"/>
      <c r="V1367" s="37"/>
      <c r="W1367" s="37"/>
      <c r="X1367" s="37"/>
      <c r="Y1367" s="37"/>
      <c r="Z1367" s="37"/>
      <c r="AA1367" s="37"/>
      <c r="AB1367" s="37"/>
      <c r="AC1367" s="37"/>
      <c r="AD1367" s="37"/>
    </row>
    <row r="1368">
      <c r="A1368" s="37"/>
      <c r="B1368" s="37"/>
      <c r="C1368" s="37"/>
      <c r="D1368" s="37"/>
      <c r="E1368" s="37"/>
      <c r="F1368" s="37"/>
      <c r="G1368" s="37"/>
      <c r="H1368" s="37"/>
      <c r="I1368" s="37"/>
      <c r="J1368" s="37"/>
      <c r="K1368" s="37"/>
      <c r="L1368" s="37"/>
      <c r="M1368" s="37"/>
      <c r="N1368" s="37"/>
      <c r="O1368" s="37"/>
      <c r="P1368" s="37"/>
      <c r="Q1368" s="37"/>
      <c r="R1368" s="37"/>
      <c r="S1368" s="37"/>
      <c r="T1368" s="37"/>
      <c r="U1368" s="37"/>
      <c r="V1368" s="37"/>
      <c r="W1368" s="37"/>
      <c r="X1368" s="37"/>
      <c r="Y1368" s="37"/>
      <c r="Z1368" s="37"/>
      <c r="AA1368" s="37"/>
      <c r="AB1368" s="37"/>
      <c r="AC1368" s="37"/>
      <c r="AD1368" s="37"/>
    </row>
    <row r="1369">
      <c r="A1369" s="37"/>
      <c r="B1369" s="37"/>
      <c r="C1369" s="37"/>
      <c r="D1369" s="37"/>
      <c r="E1369" s="37"/>
      <c r="F1369" s="37"/>
      <c r="G1369" s="37"/>
      <c r="H1369" s="37"/>
      <c r="I1369" s="37"/>
      <c r="J1369" s="37"/>
      <c r="K1369" s="37"/>
      <c r="L1369" s="37"/>
      <c r="M1369" s="37"/>
      <c r="N1369" s="37"/>
      <c r="O1369" s="37"/>
      <c r="P1369" s="37"/>
      <c r="Q1369" s="37"/>
      <c r="R1369" s="37"/>
      <c r="S1369" s="37"/>
      <c r="T1369" s="37"/>
      <c r="U1369" s="37"/>
      <c r="V1369" s="37"/>
      <c r="W1369" s="37"/>
      <c r="X1369" s="37"/>
      <c r="Y1369" s="37"/>
      <c r="Z1369" s="37"/>
      <c r="AA1369" s="37"/>
      <c r="AB1369" s="37"/>
      <c r="AC1369" s="37"/>
      <c r="AD1369" s="37"/>
    </row>
    <row r="1370">
      <c r="A1370" s="37"/>
      <c r="B1370" s="37"/>
      <c r="C1370" s="37"/>
      <c r="D1370" s="37"/>
      <c r="E1370" s="37"/>
      <c r="F1370" s="37"/>
      <c r="G1370" s="37"/>
      <c r="H1370" s="37"/>
      <c r="I1370" s="37"/>
      <c r="J1370" s="37"/>
      <c r="K1370" s="37"/>
      <c r="L1370" s="37"/>
      <c r="M1370" s="37"/>
      <c r="N1370" s="37"/>
      <c r="O1370" s="37"/>
      <c r="P1370" s="37"/>
      <c r="Q1370" s="37"/>
      <c r="R1370" s="37"/>
      <c r="S1370" s="37"/>
      <c r="T1370" s="37"/>
      <c r="U1370" s="37"/>
      <c r="V1370" s="37"/>
      <c r="W1370" s="37"/>
      <c r="X1370" s="37"/>
      <c r="Y1370" s="37"/>
      <c r="Z1370" s="37"/>
      <c r="AA1370" s="37"/>
      <c r="AB1370" s="37"/>
      <c r="AC1370" s="37"/>
      <c r="AD1370" s="37"/>
    </row>
    <row r="1371">
      <c r="A1371" s="37"/>
      <c r="B1371" s="37"/>
      <c r="C1371" s="37"/>
      <c r="D1371" s="37"/>
      <c r="E1371" s="37"/>
      <c r="F1371" s="37"/>
      <c r="G1371" s="37"/>
      <c r="H1371" s="37"/>
      <c r="I1371" s="37"/>
      <c r="J1371" s="37"/>
      <c r="K1371" s="37"/>
      <c r="L1371" s="37"/>
      <c r="M1371" s="37"/>
      <c r="N1371" s="37"/>
      <c r="O1371" s="37"/>
      <c r="P1371" s="37"/>
      <c r="Q1371" s="37"/>
      <c r="R1371" s="37"/>
      <c r="S1371" s="37"/>
      <c r="T1371" s="37"/>
      <c r="U1371" s="37"/>
      <c r="V1371" s="37"/>
      <c r="W1371" s="37"/>
      <c r="X1371" s="37"/>
      <c r="Y1371" s="37"/>
      <c r="Z1371" s="37"/>
      <c r="AA1371" s="37"/>
      <c r="AB1371" s="37"/>
      <c r="AC1371" s="37"/>
      <c r="AD1371" s="37"/>
    </row>
    <row r="1372">
      <c r="A1372" s="37"/>
      <c r="B1372" s="37"/>
      <c r="C1372" s="37"/>
      <c r="D1372" s="37"/>
      <c r="E1372" s="37"/>
      <c r="F1372" s="37"/>
      <c r="G1372" s="37"/>
      <c r="H1372" s="37"/>
      <c r="I1372" s="37"/>
      <c r="J1372" s="37"/>
      <c r="K1372" s="37"/>
      <c r="L1372" s="37"/>
      <c r="M1372" s="37"/>
      <c r="N1372" s="37"/>
      <c r="O1372" s="37"/>
      <c r="P1372" s="37"/>
      <c r="Q1372" s="37"/>
      <c r="R1372" s="37"/>
      <c r="S1372" s="37"/>
      <c r="T1372" s="37"/>
      <c r="U1372" s="37"/>
      <c r="V1372" s="37"/>
      <c r="W1372" s="37"/>
      <c r="X1372" s="37"/>
      <c r="Y1372" s="37"/>
      <c r="Z1372" s="37"/>
      <c r="AA1372" s="37"/>
      <c r="AB1372" s="37"/>
      <c r="AC1372" s="37"/>
      <c r="AD1372" s="37"/>
    </row>
    <row r="1373">
      <c r="A1373" s="37"/>
      <c r="B1373" s="37"/>
      <c r="C1373" s="37"/>
      <c r="D1373" s="37"/>
      <c r="E1373" s="37"/>
      <c r="F1373" s="37"/>
      <c r="G1373" s="37"/>
      <c r="H1373" s="37"/>
      <c r="I1373" s="37"/>
      <c r="J1373" s="37"/>
      <c r="K1373" s="37"/>
      <c r="L1373" s="37"/>
      <c r="M1373" s="37"/>
      <c r="N1373" s="37"/>
      <c r="O1373" s="37"/>
      <c r="P1373" s="37"/>
      <c r="Q1373" s="37"/>
      <c r="R1373" s="37"/>
      <c r="S1373" s="37"/>
      <c r="T1373" s="37"/>
      <c r="U1373" s="37"/>
      <c r="V1373" s="37"/>
      <c r="W1373" s="37"/>
      <c r="X1373" s="37"/>
      <c r="Y1373" s="37"/>
      <c r="Z1373" s="37"/>
      <c r="AA1373" s="37"/>
      <c r="AB1373" s="37"/>
      <c r="AC1373" s="37"/>
      <c r="AD1373" s="37"/>
    </row>
    <row r="1374">
      <c r="A1374" s="37"/>
      <c r="B1374" s="37"/>
      <c r="C1374" s="37"/>
      <c r="D1374" s="37"/>
      <c r="E1374" s="37"/>
      <c r="F1374" s="37"/>
      <c r="G1374" s="37"/>
      <c r="H1374" s="37"/>
      <c r="I1374" s="37"/>
      <c r="J1374" s="37"/>
      <c r="K1374" s="37"/>
      <c r="L1374" s="37"/>
      <c r="M1374" s="37"/>
      <c r="N1374" s="37"/>
      <c r="O1374" s="37"/>
      <c r="P1374" s="37"/>
      <c r="Q1374" s="37"/>
      <c r="R1374" s="37"/>
      <c r="S1374" s="37"/>
      <c r="T1374" s="37"/>
      <c r="U1374" s="37"/>
      <c r="V1374" s="37"/>
      <c r="W1374" s="37"/>
      <c r="X1374" s="37"/>
      <c r="Y1374" s="37"/>
      <c r="Z1374" s="37"/>
      <c r="AA1374" s="37"/>
      <c r="AB1374" s="37"/>
      <c r="AC1374" s="37"/>
      <c r="AD1374" s="37"/>
    </row>
    <row r="1375">
      <c r="A1375" s="37"/>
      <c r="B1375" s="37"/>
      <c r="C1375" s="37"/>
      <c r="D1375" s="37"/>
      <c r="E1375" s="37"/>
      <c r="F1375" s="37"/>
      <c r="G1375" s="37"/>
      <c r="H1375" s="37"/>
      <c r="I1375" s="37"/>
      <c r="J1375" s="37"/>
      <c r="K1375" s="37"/>
      <c r="L1375" s="37"/>
      <c r="M1375" s="37"/>
      <c r="N1375" s="37"/>
      <c r="O1375" s="37"/>
      <c r="P1375" s="37"/>
      <c r="Q1375" s="37"/>
      <c r="R1375" s="37"/>
      <c r="S1375" s="37"/>
      <c r="T1375" s="37"/>
      <c r="U1375" s="37"/>
      <c r="V1375" s="37"/>
      <c r="W1375" s="37"/>
      <c r="X1375" s="37"/>
      <c r="Y1375" s="37"/>
      <c r="Z1375" s="37"/>
      <c r="AA1375" s="37"/>
      <c r="AB1375" s="37"/>
      <c r="AC1375" s="37"/>
      <c r="AD1375" s="37"/>
    </row>
    <row r="1376">
      <c r="A1376" s="37"/>
      <c r="B1376" s="37"/>
      <c r="C1376" s="37"/>
      <c r="D1376" s="37"/>
      <c r="E1376" s="37"/>
      <c r="F1376" s="37"/>
      <c r="G1376" s="37"/>
      <c r="H1376" s="37"/>
      <c r="I1376" s="37"/>
      <c r="J1376" s="37"/>
      <c r="K1376" s="37"/>
      <c r="L1376" s="37"/>
      <c r="M1376" s="37"/>
      <c r="N1376" s="37"/>
      <c r="O1376" s="37"/>
      <c r="P1376" s="37"/>
      <c r="Q1376" s="37"/>
      <c r="R1376" s="37"/>
      <c r="S1376" s="37"/>
      <c r="T1376" s="37"/>
      <c r="U1376" s="37"/>
      <c r="V1376" s="37"/>
      <c r="W1376" s="37"/>
      <c r="X1376" s="37"/>
      <c r="Y1376" s="37"/>
      <c r="Z1376" s="37"/>
      <c r="AA1376" s="37"/>
      <c r="AB1376" s="37"/>
      <c r="AC1376" s="37"/>
      <c r="AD1376" s="37"/>
    </row>
    <row r="1377">
      <c r="A1377" s="37"/>
      <c r="B1377" s="37"/>
      <c r="C1377" s="37"/>
      <c r="D1377" s="37"/>
      <c r="E1377" s="37"/>
      <c r="F1377" s="37"/>
      <c r="G1377" s="37"/>
      <c r="H1377" s="37"/>
      <c r="I1377" s="37"/>
      <c r="J1377" s="37"/>
      <c r="K1377" s="37"/>
      <c r="L1377" s="37"/>
      <c r="M1377" s="37"/>
      <c r="N1377" s="37"/>
      <c r="O1377" s="37"/>
      <c r="P1377" s="37"/>
      <c r="Q1377" s="37"/>
      <c r="R1377" s="37"/>
      <c r="S1377" s="37"/>
      <c r="T1377" s="37"/>
      <c r="U1377" s="37"/>
      <c r="V1377" s="37"/>
      <c r="W1377" s="37"/>
      <c r="X1377" s="37"/>
      <c r="Y1377" s="37"/>
      <c r="Z1377" s="37"/>
      <c r="AA1377" s="37"/>
      <c r="AB1377" s="37"/>
      <c r="AC1377" s="37"/>
      <c r="AD1377" s="37"/>
    </row>
    <row r="1378">
      <c r="A1378" s="37"/>
      <c r="B1378" s="37"/>
      <c r="C1378" s="37"/>
      <c r="D1378" s="37"/>
      <c r="E1378" s="37"/>
      <c r="F1378" s="37"/>
      <c r="G1378" s="37"/>
      <c r="H1378" s="37"/>
      <c r="I1378" s="37"/>
      <c r="J1378" s="37"/>
      <c r="K1378" s="37"/>
      <c r="L1378" s="37"/>
      <c r="M1378" s="37"/>
      <c r="N1378" s="37"/>
      <c r="O1378" s="37"/>
      <c r="P1378" s="37"/>
      <c r="Q1378" s="37"/>
      <c r="R1378" s="37"/>
      <c r="S1378" s="37"/>
      <c r="T1378" s="37"/>
      <c r="U1378" s="37"/>
      <c r="V1378" s="37"/>
      <c r="W1378" s="37"/>
      <c r="X1378" s="37"/>
      <c r="Y1378" s="37"/>
      <c r="Z1378" s="37"/>
      <c r="AA1378" s="37"/>
      <c r="AB1378" s="37"/>
      <c r="AC1378" s="37"/>
      <c r="AD1378" s="37"/>
    </row>
    <row r="1379">
      <c r="A1379" s="37"/>
      <c r="B1379" s="37"/>
      <c r="C1379" s="37"/>
      <c r="D1379" s="37"/>
      <c r="E1379" s="37"/>
      <c r="F1379" s="37"/>
      <c r="G1379" s="37"/>
      <c r="H1379" s="37"/>
      <c r="I1379" s="37"/>
      <c r="J1379" s="37"/>
      <c r="K1379" s="37"/>
      <c r="L1379" s="37"/>
      <c r="M1379" s="37"/>
      <c r="N1379" s="37"/>
      <c r="O1379" s="37"/>
      <c r="P1379" s="37"/>
      <c r="Q1379" s="37"/>
      <c r="R1379" s="37"/>
      <c r="S1379" s="37"/>
      <c r="T1379" s="37"/>
      <c r="U1379" s="37"/>
      <c r="V1379" s="37"/>
      <c r="W1379" s="37"/>
      <c r="X1379" s="37"/>
      <c r="Y1379" s="37"/>
      <c r="Z1379" s="37"/>
      <c r="AA1379" s="37"/>
      <c r="AB1379" s="37"/>
      <c r="AC1379" s="37"/>
      <c r="AD1379" s="37"/>
    </row>
    <row r="1380">
      <c r="A1380" s="37"/>
      <c r="B1380" s="37"/>
      <c r="C1380" s="37"/>
      <c r="D1380" s="37"/>
      <c r="E1380" s="37"/>
      <c r="F1380" s="37"/>
      <c r="G1380" s="37"/>
      <c r="H1380" s="37"/>
      <c r="I1380" s="37"/>
      <c r="J1380" s="37"/>
      <c r="K1380" s="37"/>
      <c r="L1380" s="37"/>
      <c r="M1380" s="37"/>
      <c r="N1380" s="37"/>
      <c r="O1380" s="37"/>
      <c r="P1380" s="37"/>
      <c r="Q1380" s="37"/>
      <c r="R1380" s="37"/>
      <c r="S1380" s="37"/>
      <c r="T1380" s="37"/>
      <c r="U1380" s="37"/>
      <c r="V1380" s="37"/>
      <c r="W1380" s="37"/>
      <c r="X1380" s="37"/>
      <c r="Y1380" s="37"/>
      <c r="Z1380" s="37"/>
      <c r="AA1380" s="37"/>
      <c r="AB1380" s="37"/>
      <c r="AC1380" s="37"/>
      <c r="AD1380" s="37"/>
    </row>
    <row r="1381">
      <c r="A1381" s="37"/>
      <c r="B1381" s="37"/>
      <c r="C1381" s="37"/>
      <c r="D1381" s="37"/>
      <c r="E1381" s="37"/>
      <c r="F1381" s="37"/>
      <c r="G1381" s="37"/>
      <c r="H1381" s="37"/>
      <c r="I1381" s="37"/>
      <c r="J1381" s="37"/>
      <c r="K1381" s="37"/>
      <c r="L1381" s="37"/>
      <c r="M1381" s="37"/>
      <c r="N1381" s="37"/>
      <c r="O1381" s="37"/>
      <c r="P1381" s="37"/>
      <c r="Q1381" s="37"/>
      <c r="R1381" s="37"/>
      <c r="S1381" s="37"/>
      <c r="T1381" s="37"/>
      <c r="U1381" s="37"/>
      <c r="V1381" s="37"/>
      <c r="W1381" s="37"/>
      <c r="X1381" s="37"/>
      <c r="Y1381" s="37"/>
      <c r="Z1381" s="37"/>
      <c r="AA1381" s="37"/>
      <c r="AB1381" s="37"/>
      <c r="AC1381" s="37"/>
      <c r="AD1381" s="37"/>
    </row>
    <row r="1382">
      <c r="A1382" s="37"/>
      <c r="B1382" s="37"/>
      <c r="C1382" s="37"/>
      <c r="D1382" s="37"/>
      <c r="E1382" s="37"/>
      <c r="F1382" s="37"/>
      <c r="G1382" s="37"/>
      <c r="H1382" s="37"/>
      <c r="I1382" s="37"/>
      <c r="J1382" s="37"/>
      <c r="K1382" s="37"/>
      <c r="L1382" s="37"/>
      <c r="M1382" s="37"/>
      <c r="N1382" s="37"/>
      <c r="O1382" s="37"/>
      <c r="P1382" s="37"/>
      <c r="Q1382" s="37"/>
      <c r="R1382" s="37"/>
      <c r="S1382" s="37"/>
      <c r="T1382" s="37"/>
      <c r="U1382" s="37"/>
      <c r="V1382" s="37"/>
      <c r="W1382" s="37"/>
      <c r="X1382" s="37"/>
      <c r="Y1382" s="37"/>
      <c r="Z1382" s="37"/>
      <c r="AA1382" s="37"/>
      <c r="AB1382" s="37"/>
      <c r="AC1382" s="37"/>
      <c r="AD1382" s="37"/>
    </row>
    <row r="1383">
      <c r="A1383" s="37"/>
      <c r="B1383" s="37"/>
      <c r="C1383" s="37"/>
      <c r="D1383" s="37"/>
      <c r="E1383" s="37"/>
      <c r="F1383" s="37"/>
      <c r="G1383" s="37"/>
      <c r="H1383" s="37"/>
      <c r="I1383" s="37"/>
      <c r="J1383" s="37"/>
      <c r="K1383" s="37"/>
      <c r="L1383" s="37"/>
      <c r="M1383" s="37"/>
      <c r="N1383" s="37"/>
      <c r="O1383" s="37"/>
      <c r="P1383" s="37"/>
      <c r="Q1383" s="37"/>
      <c r="R1383" s="37"/>
      <c r="S1383" s="37"/>
      <c r="T1383" s="37"/>
      <c r="U1383" s="37"/>
      <c r="V1383" s="37"/>
      <c r="W1383" s="37"/>
      <c r="X1383" s="37"/>
      <c r="Y1383" s="37"/>
      <c r="Z1383" s="37"/>
      <c r="AA1383" s="37"/>
      <c r="AB1383" s="37"/>
      <c r="AC1383" s="37"/>
      <c r="AD1383" s="37"/>
    </row>
    <row r="1384">
      <c r="A1384" s="37"/>
      <c r="B1384" s="37"/>
      <c r="C1384" s="37"/>
      <c r="D1384" s="37"/>
      <c r="E1384" s="37"/>
      <c r="F1384" s="37"/>
      <c r="G1384" s="37"/>
      <c r="H1384" s="37"/>
      <c r="I1384" s="37"/>
      <c r="J1384" s="37"/>
      <c r="K1384" s="37"/>
      <c r="L1384" s="37"/>
      <c r="M1384" s="37"/>
      <c r="N1384" s="37"/>
      <c r="O1384" s="37"/>
      <c r="P1384" s="37"/>
      <c r="Q1384" s="37"/>
      <c r="R1384" s="37"/>
      <c r="S1384" s="37"/>
      <c r="T1384" s="37"/>
      <c r="U1384" s="37"/>
      <c r="V1384" s="37"/>
      <c r="W1384" s="37"/>
      <c r="X1384" s="37"/>
      <c r="Y1384" s="37"/>
      <c r="Z1384" s="37"/>
      <c r="AA1384" s="37"/>
      <c r="AB1384" s="37"/>
      <c r="AC1384" s="37"/>
      <c r="AD1384" s="37"/>
    </row>
    <row r="1385">
      <c r="A1385" s="37"/>
      <c r="B1385" s="37"/>
      <c r="C1385" s="37"/>
      <c r="D1385" s="37"/>
      <c r="E1385" s="37"/>
      <c r="F1385" s="37"/>
      <c r="G1385" s="37"/>
      <c r="H1385" s="37"/>
      <c r="I1385" s="37"/>
      <c r="J1385" s="37"/>
      <c r="K1385" s="37"/>
      <c r="L1385" s="37"/>
      <c r="M1385" s="37"/>
      <c r="N1385" s="37"/>
      <c r="O1385" s="37"/>
      <c r="P1385" s="37"/>
      <c r="Q1385" s="37"/>
      <c r="R1385" s="37"/>
      <c r="S1385" s="37"/>
      <c r="T1385" s="37"/>
      <c r="U1385" s="37"/>
      <c r="V1385" s="37"/>
      <c r="W1385" s="37"/>
      <c r="X1385" s="37"/>
      <c r="Y1385" s="37"/>
      <c r="Z1385" s="37"/>
      <c r="AA1385" s="37"/>
      <c r="AB1385" s="37"/>
      <c r="AC1385" s="37"/>
      <c r="AD1385" s="37"/>
    </row>
    <row r="1386">
      <c r="A1386" s="37"/>
      <c r="B1386" s="37"/>
      <c r="C1386" s="37"/>
      <c r="D1386" s="37"/>
      <c r="E1386" s="37"/>
      <c r="F1386" s="37"/>
      <c r="G1386" s="37"/>
      <c r="H1386" s="37"/>
      <c r="I1386" s="37"/>
      <c r="J1386" s="37"/>
      <c r="K1386" s="37"/>
      <c r="L1386" s="37"/>
      <c r="M1386" s="37"/>
      <c r="N1386" s="37"/>
      <c r="O1386" s="37"/>
      <c r="P1386" s="37"/>
      <c r="Q1386" s="37"/>
      <c r="R1386" s="37"/>
      <c r="S1386" s="37"/>
      <c r="T1386" s="37"/>
      <c r="U1386" s="37"/>
      <c r="V1386" s="37"/>
      <c r="W1386" s="37"/>
      <c r="X1386" s="37"/>
      <c r="Y1386" s="37"/>
      <c r="Z1386" s="37"/>
      <c r="AA1386" s="37"/>
      <c r="AB1386" s="37"/>
      <c r="AC1386" s="37"/>
      <c r="AD1386" s="37"/>
    </row>
    <row r="1387">
      <c r="A1387" s="37"/>
      <c r="B1387" s="37"/>
      <c r="C1387" s="37"/>
      <c r="D1387" s="37"/>
      <c r="E1387" s="37"/>
      <c r="F1387" s="37"/>
      <c r="G1387" s="37"/>
      <c r="H1387" s="37"/>
      <c r="I1387" s="37"/>
      <c r="J1387" s="37"/>
      <c r="K1387" s="37"/>
      <c r="L1387" s="37"/>
      <c r="M1387" s="37"/>
      <c r="N1387" s="37"/>
      <c r="O1387" s="37"/>
      <c r="P1387" s="37"/>
      <c r="Q1387" s="37"/>
      <c r="R1387" s="37"/>
      <c r="S1387" s="37"/>
      <c r="T1387" s="37"/>
      <c r="U1387" s="37"/>
      <c r="V1387" s="37"/>
      <c r="W1387" s="37"/>
      <c r="X1387" s="37"/>
      <c r="Y1387" s="37"/>
      <c r="Z1387" s="37"/>
      <c r="AA1387" s="37"/>
      <c r="AB1387" s="37"/>
      <c r="AC1387" s="37"/>
      <c r="AD1387" s="37"/>
    </row>
    <row r="1388">
      <c r="A1388" s="37"/>
      <c r="B1388" s="37"/>
      <c r="C1388" s="37"/>
      <c r="D1388" s="37"/>
      <c r="E1388" s="37"/>
      <c r="F1388" s="37"/>
      <c r="G1388" s="37"/>
      <c r="H1388" s="37"/>
      <c r="I1388" s="37"/>
      <c r="J1388" s="37"/>
      <c r="K1388" s="37"/>
      <c r="L1388" s="37"/>
      <c r="M1388" s="37"/>
      <c r="N1388" s="37"/>
      <c r="O1388" s="37"/>
      <c r="P1388" s="37"/>
      <c r="Q1388" s="37"/>
      <c r="R1388" s="37"/>
      <c r="S1388" s="37"/>
      <c r="T1388" s="37"/>
      <c r="U1388" s="37"/>
      <c r="V1388" s="37"/>
      <c r="W1388" s="37"/>
      <c r="X1388" s="37"/>
      <c r="Y1388" s="37"/>
      <c r="Z1388" s="37"/>
      <c r="AA1388" s="37"/>
      <c r="AB1388" s="37"/>
      <c r="AC1388" s="37"/>
      <c r="AD1388" s="37"/>
    </row>
    <row r="1389">
      <c r="A1389" s="37"/>
      <c r="B1389" s="37"/>
      <c r="C1389" s="37"/>
      <c r="D1389" s="37"/>
      <c r="E1389" s="37"/>
      <c r="F1389" s="37"/>
      <c r="G1389" s="37"/>
      <c r="H1389" s="37"/>
      <c r="I1389" s="37"/>
      <c r="J1389" s="37"/>
      <c r="K1389" s="37"/>
      <c r="L1389" s="37"/>
      <c r="M1389" s="37"/>
      <c r="N1389" s="37"/>
      <c r="O1389" s="37"/>
      <c r="P1389" s="37"/>
      <c r="Q1389" s="37"/>
      <c r="R1389" s="37"/>
      <c r="S1389" s="37"/>
      <c r="T1389" s="37"/>
      <c r="U1389" s="37"/>
      <c r="V1389" s="37"/>
      <c r="W1389" s="37"/>
      <c r="X1389" s="37"/>
      <c r="Y1389" s="37"/>
      <c r="Z1389" s="37"/>
      <c r="AA1389" s="37"/>
      <c r="AB1389" s="37"/>
      <c r="AC1389" s="37"/>
      <c r="AD1389" s="37"/>
    </row>
    <row r="1390">
      <c r="A1390" s="37"/>
      <c r="B1390" s="37"/>
      <c r="C1390" s="37"/>
      <c r="D1390" s="37"/>
      <c r="E1390" s="37"/>
      <c r="F1390" s="37"/>
      <c r="G1390" s="37"/>
      <c r="H1390" s="37"/>
      <c r="I1390" s="37"/>
      <c r="J1390" s="37"/>
      <c r="K1390" s="37"/>
      <c r="L1390" s="37"/>
      <c r="M1390" s="37"/>
      <c r="N1390" s="37"/>
      <c r="O1390" s="37"/>
      <c r="P1390" s="37"/>
      <c r="Q1390" s="37"/>
      <c r="R1390" s="37"/>
      <c r="S1390" s="37"/>
      <c r="T1390" s="37"/>
      <c r="U1390" s="37"/>
      <c r="V1390" s="37"/>
      <c r="W1390" s="37"/>
      <c r="X1390" s="37"/>
      <c r="Y1390" s="37"/>
      <c r="Z1390" s="37"/>
      <c r="AA1390" s="37"/>
      <c r="AB1390" s="37"/>
      <c r="AC1390" s="37"/>
      <c r="AD1390" s="37"/>
    </row>
    <row r="1391">
      <c r="A1391" s="37"/>
      <c r="B1391" s="37"/>
      <c r="C1391" s="37"/>
      <c r="D1391" s="37"/>
      <c r="E1391" s="37"/>
      <c r="F1391" s="37"/>
      <c r="G1391" s="37"/>
      <c r="H1391" s="37"/>
      <c r="I1391" s="37"/>
      <c r="J1391" s="37"/>
      <c r="K1391" s="37"/>
      <c r="L1391" s="37"/>
      <c r="M1391" s="37"/>
      <c r="N1391" s="37"/>
      <c r="O1391" s="37"/>
      <c r="P1391" s="37"/>
      <c r="Q1391" s="37"/>
      <c r="R1391" s="37"/>
      <c r="S1391" s="37"/>
      <c r="T1391" s="37"/>
      <c r="U1391" s="37"/>
      <c r="V1391" s="37"/>
      <c r="W1391" s="37"/>
      <c r="X1391" s="37"/>
      <c r="Y1391" s="37"/>
      <c r="Z1391" s="37"/>
      <c r="AA1391" s="37"/>
      <c r="AB1391" s="37"/>
      <c r="AC1391" s="37"/>
      <c r="AD1391" s="37"/>
    </row>
    <row r="1392">
      <c r="A1392" s="37"/>
      <c r="B1392" s="37"/>
      <c r="C1392" s="37"/>
      <c r="D1392" s="37"/>
      <c r="E1392" s="37"/>
      <c r="F1392" s="37"/>
      <c r="G1392" s="37"/>
      <c r="H1392" s="37"/>
      <c r="I1392" s="37"/>
      <c r="J1392" s="37"/>
      <c r="K1392" s="37"/>
      <c r="L1392" s="37"/>
      <c r="M1392" s="37"/>
      <c r="N1392" s="37"/>
      <c r="O1392" s="37"/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37"/>
      <c r="AA1392" s="37"/>
      <c r="AB1392" s="37"/>
      <c r="AC1392" s="37"/>
      <c r="AD1392" s="37"/>
    </row>
    <row r="1393">
      <c r="A1393" s="37"/>
      <c r="B1393" s="37"/>
      <c r="C1393" s="37"/>
      <c r="D1393" s="37"/>
      <c r="E1393" s="37"/>
      <c r="F1393" s="37"/>
      <c r="G1393" s="37"/>
      <c r="H1393" s="37"/>
      <c r="I1393" s="37"/>
      <c r="J1393" s="37"/>
      <c r="K1393" s="37"/>
      <c r="L1393" s="37"/>
      <c r="M1393" s="37"/>
      <c r="N1393" s="37"/>
      <c r="O1393" s="37"/>
      <c r="P1393" s="37"/>
      <c r="Q1393" s="37"/>
      <c r="R1393" s="37"/>
      <c r="S1393" s="37"/>
      <c r="T1393" s="37"/>
      <c r="U1393" s="37"/>
      <c r="V1393" s="37"/>
      <c r="W1393" s="37"/>
      <c r="X1393" s="37"/>
      <c r="Y1393" s="37"/>
      <c r="Z1393" s="37"/>
      <c r="AA1393" s="37"/>
      <c r="AB1393" s="37"/>
      <c r="AC1393" s="37"/>
      <c r="AD1393" s="37"/>
    </row>
    <row r="1394">
      <c r="A1394" s="37"/>
      <c r="B1394" s="37"/>
      <c r="C1394" s="37"/>
      <c r="D1394" s="37"/>
      <c r="E1394" s="37"/>
      <c r="F1394" s="37"/>
      <c r="G1394" s="37"/>
      <c r="H1394" s="37"/>
      <c r="I1394" s="37"/>
      <c r="J1394" s="37"/>
      <c r="K1394" s="37"/>
      <c r="L1394" s="37"/>
      <c r="M1394" s="37"/>
      <c r="N1394" s="37"/>
      <c r="O1394" s="37"/>
      <c r="P1394" s="37"/>
      <c r="Q1394" s="37"/>
      <c r="R1394" s="37"/>
      <c r="S1394" s="37"/>
      <c r="T1394" s="37"/>
      <c r="U1394" s="37"/>
      <c r="V1394" s="37"/>
      <c r="W1394" s="37"/>
      <c r="X1394" s="37"/>
      <c r="Y1394" s="37"/>
      <c r="Z1394" s="37"/>
      <c r="AA1394" s="37"/>
      <c r="AB1394" s="37"/>
      <c r="AC1394" s="37"/>
      <c r="AD1394" s="37"/>
    </row>
    <row r="1395">
      <c r="A1395" s="37"/>
      <c r="B1395" s="37"/>
      <c r="C1395" s="37"/>
      <c r="D1395" s="37"/>
      <c r="E1395" s="37"/>
      <c r="F1395" s="37"/>
      <c r="G1395" s="37"/>
      <c r="H1395" s="37"/>
      <c r="I1395" s="37"/>
      <c r="J1395" s="37"/>
      <c r="K1395" s="37"/>
      <c r="L1395" s="37"/>
      <c r="M1395" s="37"/>
      <c r="N1395" s="37"/>
      <c r="O1395" s="37"/>
      <c r="P1395" s="37"/>
      <c r="Q1395" s="37"/>
      <c r="R1395" s="37"/>
      <c r="S1395" s="37"/>
      <c r="T1395" s="37"/>
      <c r="U1395" s="37"/>
      <c r="V1395" s="37"/>
      <c r="W1395" s="37"/>
      <c r="X1395" s="37"/>
      <c r="Y1395" s="37"/>
      <c r="Z1395" s="37"/>
      <c r="AA1395" s="37"/>
      <c r="AB1395" s="37"/>
      <c r="AC1395" s="37"/>
      <c r="AD1395" s="37"/>
    </row>
    <row r="1396">
      <c r="A1396" s="37"/>
      <c r="B1396" s="37"/>
      <c r="C1396" s="37"/>
      <c r="D1396" s="37"/>
      <c r="E1396" s="37"/>
      <c r="F1396" s="37"/>
      <c r="G1396" s="37"/>
      <c r="H1396" s="37"/>
      <c r="I1396" s="37"/>
      <c r="J1396" s="37"/>
      <c r="K1396" s="37"/>
      <c r="L1396" s="37"/>
      <c r="M1396" s="37"/>
      <c r="N1396" s="37"/>
      <c r="O1396" s="37"/>
      <c r="P1396" s="37"/>
      <c r="Q1396" s="37"/>
      <c r="R1396" s="37"/>
      <c r="S1396" s="37"/>
      <c r="T1396" s="37"/>
      <c r="U1396" s="37"/>
      <c r="V1396" s="37"/>
      <c r="W1396" s="37"/>
      <c r="X1396" s="37"/>
      <c r="Y1396" s="37"/>
      <c r="Z1396" s="37"/>
      <c r="AA1396" s="37"/>
      <c r="AB1396" s="37"/>
      <c r="AC1396" s="37"/>
      <c r="AD1396" s="37"/>
    </row>
    <row r="1397">
      <c r="A1397" s="37"/>
      <c r="B1397" s="37"/>
      <c r="C1397" s="37"/>
      <c r="D1397" s="37"/>
      <c r="E1397" s="37"/>
      <c r="F1397" s="37"/>
      <c r="G1397" s="37"/>
      <c r="H1397" s="37"/>
      <c r="I1397" s="37"/>
      <c r="J1397" s="37"/>
      <c r="K1397" s="37"/>
      <c r="L1397" s="37"/>
      <c r="M1397" s="37"/>
      <c r="N1397" s="37"/>
      <c r="O1397" s="37"/>
      <c r="P1397" s="37"/>
      <c r="Q1397" s="37"/>
      <c r="R1397" s="37"/>
      <c r="S1397" s="37"/>
      <c r="T1397" s="37"/>
      <c r="U1397" s="37"/>
      <c r="V1397" s="37"/>
      <c r="W1397" s="37"/>
      <c r="X1397" s="37"/>
      <c r="Y1397" s="37"/>
      <c r="Z1397" s="37"/>
      <c r="AA1397" s="37"/>
      <c r="AB1397" s="37"/>
      <c r="AC1397" s="37"/>
      <c r="AD1397" s="37"/>
    </row>
    <row r="1398">
      <c r="A1398" s="37"/>
      <c r="B1398" s="37"/>
      <c r="C1398" s="37"/>
      <c r="D1398" s="37"/>
      <c r="E1398" s="37"/>
      <c r="F1398" s="37"/>
      <c r="G1398" s="37"/>
      <c r="H1398" s="37"/>
      <c r="I1398" s="37"/>
      <c r="J1398" s="37"/>
      <c r="K1398" s="37"/>
      <c r="L1398" s="37"/>
      <c r="M1398" s="37"/>
      <c r="N1398" s="37"/>
      <c r="O1398" s="37"/>
      <c r="P1398" s="37"/>
      <c r="Q1398" s="37"/>
      <c r="R1398" s="37"/>
      <c r="S1398" s="37"/>
      <c r="T1398" s="37"/>
      <c r="U1398" s="37"/>
      <c r="V1398" s="37"/>
      <c r="W1398" s="37"/>
      <c r="X1398" s="37"/>
      <c r="Y1398" s="37"/>
      <c r="Z1398" s="37"/>
      <c r="AA1398" s="37"/>
      <c r="AB1398" s="37"/>
      <c r="AC1398" s="37"/>
      <c r="AD1398" s="37"/>
    </row>
    <row r="1399">
      <c r="A1399" s="37"/>
      <c r="B1399" s="37"/>
      <c r="C1399" s="37"/>
      <c r="D1399" s="37"/>
      <c r="E1399" s="37"/>
      <c r="F1399" s="37"/>
      <c r="G1399" s="37"/>
      <c r="H1399" s="37"/>
      <c r="I1399" s="37"/>
      <c r="J1399" s="37"/>
      <c r="K1399" s="37"/>
      <c r="L1399" s="37"/>
      <c r="M1399" s="37"/>
      <c r="N1399" s="37"/>
      <c r="O1399" s="37"/>
      <c r="P1399" s="37"/>
      <c r="Q1399" s="37"/>
      <c r="R1399" s="37"/>
      <c r="S1399" s="37"/>
      <c r="T1399" s="37"/>
      <c r="U1399" s="37"/>
      <c r="V1399" s="37"/>
      <c r="W1399" s="37"/>
      <c r="X1399" s="37"/>
      <c r="Y1399" s="37"/>
      <c r="Z1399" s="37"/>
      <c r="AA1399" s="37"/>
      <c r="AB1399" s="37"/>
      <c r="AC1399" s="37"/>
      <c r="AD1399" s="37"/>
    </row>
    <row r="1400">
      <c r="A1400" s="37"/>
      <c r="B1400" s="37"/>
      <c r="C1400" s="37"/>
      <c r="D1400" s="37"/>
      <c r="E1400" s="37"/>
      <c r="F1400" s="37"/>
      <c r="G1400" s="37"/>
      <c r="H1400" s="37"/>
      <c r="I1400" s="37"/>
      <c r="J1400" s="37"/>
      <c r="K1400" s="37"/>
      <c r="L1400" s="37"/>
      <c r="M1400" s="37"/>
      <c r="N1400" s="37"/>
      <c r="O1400" s="37"/>
      <c r="P1400" s="37"/>
      <c r="Q1400" s="37"/>
      <c r="R1400" s="37"/>
      <c r="S1400" s="37"/>
      <c r="T1400" s="37"/>
      <c r="U1400" s="37"/>
      <c r="V1400" s="37"/>
      <c r="W1400" s="37"/>
      <c r="X1400" s="37"/>
      <c r="Y1400" s="37"/>
      <c r="Z1400" s="37"/>
      <c r="AA1400" s="37"/>
      <c r="AB1400" s="37"/>
      <c r="AC1400" s="37"/>
      <c r="AD1400" s="37"/>
    </row>
    <row r="1401">
      <c r="A1401" s="37"/>
      <c r="B1401" s="37"/>
      <c r="C1401" s="37"/>
      <c r="D1401" s="37"/>
      <c r="E1401" s="37"/>
      <c r="F1401" s="37"/>
      <c r="G1401" s="37"/>
      <c r="H1401" s="37"/>
      <c r="I1401" s="37"/>
      <c r="J1401" s="37"/>
      <c r="K1401" s="37"/>
      <c r="L1401" s="37"/>
      <c r="M1401" s="37"/>
      <c r="N1401" s="37"/>
      <c r="O1401" s="37"/>
      <c r="P1401" s="37"/>
      <c r="Q1401" s="37"/>
      <c r="R1401" s="37"/>
      <c r="S1401" s="37"/>
      <c r="T1401" s="37"/>
      <c r="U1401" s="37"/>
      <c r="V1401" s="37"/>
      <c r="W1401" s="37"/>
      <c r="X1401" s="37"/>
      <c r="Y1401" s="37"/>
      <c r="Z1401" s="37"/>
      <c r="AA1401" s="37"/>
      <c r="AB1401" s="37"/>
      <c r="AC1401" s="37"/>
      <c r="AD1401" s="37"/>
    </row>
    <row r="1402">
      <c r="A1402" s="37"/>
      <c r="B1402" s="37"/>
      <c r="C1402" s="37"/>
      <c r="D1402" s="37"/>
      <c r="E1402" s="37"/>
      <c r="F1402" s="37"/>
      <c r="G1402" s="37"/>
      <c r="H1402" s="37"/>
      <c r="I1402" s="37"/>
      <c r="J1402" s="37"/>
      <c r="K1402" s="37"/>
      <c r="L1402" s="37"/>
      <c r="M1402" s="37"/>
      <c r="N1402" s="37"/>
      <c r="O1402" s="37"/>
      <c r="P1402" s="37"/>
      <c r="Q1402" s="37"/>
      <c r="R1402" s="37"/>
      <c r="S1402" s="37"/>
      <c r="T1402" s="37"/>
      <c r="U1402" s="37"/>
      <c r="V1402" s="37"/>
      <c r="W1402" s="37"/>
      <c r="X1402" s="37"/>
      <c r="Y1402" s="37"/>
      <c r="Z1402" s="37"/>
      <c r="AA1402" s="37"/>
      <c r="AB1402" s="37"/>
      <c r="AC1402" s="37"/>
      <c r="AD1402" s="37"/>
    </row>
    <row r="1403">
      <c r="A1403" s="37"/>
      <c r="B1403" s="37"/>
      <c r="C1403" s="37"/>
      <c r="D1403" s="37"/>
      <c r="E1403" s="37"/>
      <c r="F1403" s="37"/>
      <c r="G1403" s="37"/>
      <c r="H1403" s="37"/>
      <c r="I1403" s="37"/>
      <c r="J1403" s="37"/>
      <c r="K1403" s="37"/>
      <c r="L1403" s="37"/>
      <c r="M1403" s="37"/>
      <c r="N1403" s="37"/>
      <c r="O1403" s="37"/>
      <c r="P1403" s="37"/>
      <c r="Q1403" s="37"/>
      <c r="R1403" s="37"/>
      <c r="S1403" s="37"/>
      <c r="T1403" s="37"/>
      <c r="U1403" s="37"/>
      <c r="V1403" s="37"/>
      <c r="W1403" s="37"/>
      <c r="X1403" s="37"/>
      <c r="Y1403" s="37"/>
      <c r="Z1403" s="37"/>
      <c r="AA1403" s="37"/>
      <c r="AB1403" s="37"/>
      <c r="AC1403" s="37"/>
      <c r="AD1403" s="37"/>
    </row>
    <row r="1404">
      <c r="A1404" s="37"/>
      <c r="B1404" s="37"/>
      <c r="C1404" s="37"/>
      <c r="D1404" s="37"/>
      <c r="E1404" s="37"/>
      <c r="F1404" s="37"/>
      <c r="G1404" s="37"/>
      <c r="H1404" s="37"/>
      <c r="I1404" s="37"/>
      <c r="J1404" s="37"/>
      <c r="K1404" s="37"/>
      <c r="L1404" s="37"/>
      <c r="M1404" s="37"/>
      <c r="N1404" s="37"/>
      <c r="O1404" s="37"/>
      <c r="P1404" s="37"/>
      <c r="Q1404" s="37"/>
      <c r="R1404" s="37"/>
      <c r="S1404" s="37"/>
      <c r="T1404" s="37"/>
      <c r="U1404" s="37"/>
      <c r="V1404" s="37"/>
      <c r="W1404" s="37"/>
      <c r="X1404" s="37"/>
      <c r="Y1404" s="37"/>
      <c r="Z1404" s="37"/>
      <c r="AA1404" s="37"/>
      <c r="AB1404" s="37"/>
      <c r="AC1404" s="37"/>
      <c r="AD1404" s="37"/>
    </row>
    <row r="1405">
      <c r="A1405" s="37"/>
      <c r="B1405" s="37"/>
      <c r="C1405" s="37"/>
      <c r="D1405" s="37"/>
      <c r="E1405" s="37"/>
      <c r="F1405" s="37"/>
      <c r="G1405" s="37"/>
      <c r="H1405" s="37"/>
      <c r="I1405" s="37"/>
      <c r="J1405" s="37"/>
      <c r="K1405" s="37"/>
      <c r="L1405" s="37"/>
      <c r="M1405" s="37"/>
      <c r="N1405" s="37"/>
      <c r="O1405" s="37"/>
      <c r="P1405" s="37"/>
      <c r="Q1405" s="37"/>
      <c r="R1405" s="37"/>
      <c r="S1405" s="37"/>
      <c r="T1405" s="37"/>
      <c r="U1405" s="37"/>
      <c r="V1405" s="37"/>
      <c r="W1405" s="37"/>
      <c r="X1405" s="37"/>
      <c r="Y1405" s="37"/>
      <c r="Z1405" s="37"/>
      <c r="AA1405" s="37"/>
      <c r="AB1405" s="37"/>
      <c r="AC1405" s="37"/>
      <c r="AD1405" s="37"/>
    </row>
    <row r="1406">
      <c r="A1406" s="37"/>
      <c r="B1406" s="37"/>
      <c r="C1406" s="37"/>
      <c r="D1406" s="37"/>
      <c r="E1406" s="37"/>
      <c r="F1406" s="37"/>
      <c r="G1406" s="37"/>
      <c r="H1406" s="37"/>
      <c r="I1406" s="37"/>
      <c r="J1406" s="37"/>
      <c r="K1406" s="37"/>
      <c r="L1406" s="37"/>
      <c r="M1406" s="37"/>
      <c r="N1406" s="37"/>
      <c r="O1406" s="37"/>
      <c r="P1406" s="37"/>
      <c r="Q1406" s="37"/>
      <c r="R1406" s="37"/>
      <c r="S1406" s="37"/>
      <c r="T1406" s="37"/>
      <c r="U1406" s="37"/>
      <c r="V1406" s="37"/>
      <c r="W1406" s="37"/>
      <c r="X1406" s="37"/>
      <c r="Y1406" s="37"/>
      <c r="Z1406" s="37"/>
      <c r="AA1406" s="37"/>
      <c r="AB1406" s="37"/>
      <c r="AC1406" s="37"/>
      <c r="AD1406" s="37"/>
    </row>
    <row r="1407">
      <c r="A1407" s="37"/>
      <c r="B1407" s="37"/>
      <c r="C1407" s="37"/>
      <c r="D1407" s="37"/>
      <c r="E1407" s="37"/>
      <c r="F1407" s="37"/>
      <c r="G1407" s="37"/>
      <c r="H1407" s="37"/>
      <c r="I1407" s="37"/>
      <c r="J1407" s="37"/>
      <c r="K1407" s="37"/>
      <c r="L1407" s="37"/>
      <c r="M1407" s="37"/>
      <c r="N1407" s="37"/>
      <c r="O1407" s="37"/>
      <c r="P1407" s="37"/>
      <c r="Q1407" s="37"/>
      <c r="R1407" s="37"/>
      <c r="S1407" s="37"/>
      <c r="T1407" s="37"/>
      <c r="U1407" s="37"/>
      <c r="V1407" s="37"/>
      <c r="W1407" s="37"/>
      <c r="X1407" s="37"/>
      <c r="Y1407" s="37"/>
      <c r="Z1407" s="37"/>
      <c r="AA1407" s="37"/>
      <c r="AB1407" s="37"/>
      <c r="AC1407" s="37"/>
      <c r="AD1407" s="37"/>
    </row>
    <row r="1408">
      <c r="A1408" s="37"/>
      <c r="B1408" s="37"/>
      <c r="C1408" s="37"/>
      <c r="D1408" s="37"/>
      <c r="E1408" s="37"/>
      <c r="F1408" s="37"/>
      <c r="G1408" s="37"/>
      <c r="H1408" s="37"/>
      <c r="I1408" s="37"/>
      <c r="J1408" s="37"/>
      <c r="K1408" s="37"/>
      <c r="L1408" s="37"/>
      <c r="M1408" s="37"/>
      <c r="N1408" s="37"/>
      <c r="O1408" s="37"/>
      <c r="P1408" s="37"/>
      <c r="Q1408" s="37"/>
      <c r="R1408" s="37"/>
      <c r="S1408" s="37"/>
      <c r="T1408" s="37"/>
      <c r="U1408" s="37"/>
      <c r="V1408" s="37"/>
      <c r="W1408" s="37"/>
      <c r="X1408" s="37"/>
      <c r="Y1408" s="37"/>
      <c r="Z1408" s="37"/>
      <c r="AA1408" s="37"/>
      <c r="AB1408" s="37"/>
      <c r="AC1408" s="37"/>
      <c r="AD1408" s="37"/>
    </row>
    <row r="1409">
      <c r="A1409" s="37"/>
      <c r="B1409" s="37"/>
      <c r="C1409" s="37"/>
      <c r="D1409" s="37"/>
      <c r="E1409" s="37"/>
      <c r="F1409" s="37"/>
      <c r="G1409" s="37"/>
      <c r="H1409" s="37"/>
      <c r="I1409" s="37"/>
      <c r="J1409" s="37"/>
      <c r="K1409" s="37"/>
      <c r="L1409" s="37"/>
      <c r="M1409" s="37"/>
      <c r="N1409" s="37"/>
      <c r="O1409" s="37"/>
      <c r="P1409" s="37"/>
      <c r="Q1409" s="37"/>
      <c r="R1409" s="37"/>
      <c r="S1409" s="37"/>
      <c r="T1409" s="37"/>
      <c r="U1409" s="37"/>
      <c r="V1409" s="37"/>
      <c r="W1409" s="37"/>
      <c r="X1409" s="37"/>
      <c r="Y1409" s="37"/>
      <c r="Z1409" s="37"/>
      <c r="AA1409" s="37"/>
      <c r="AB1409" s="37"/>
      <c r="AC1409" s="37"/>
      <c r="AD1409" s="37"/>
    </row>
    <row r="1410">
      <c r="A1410" s="37"/>
      <c r="B1410" s="37"/>
      <c r="C1410" s="37"/>
      <c r="D1410" s="37"/>
      <c r="E1410" s="37"/>
      <c r="F1410" s="37"/>
      <c r="G1410" s="37"/>
      <c r="H1410" s="37"/>
      <c r="I1410" s="37"/>
      <c r="J1410" s="37"/>
      <c r="K1410" s="37"/>
      <c r="L1410" s="37"/>
      <c r="M1410" s="37"/>
      <c r="N1410" s="37"/>
      <c r="O1410" s="37"/>
      <c r="P1410" s="37"/>
      <c r="Q1410" s="37"/>
      <c r="R1410" s="37"/>
      <c r="S1410" s="37"/>
      <c r="T1410" s="37"/>
      <c r="U1410" s="37"/>
      <c r="V1410" s="37"/>
      <c r="W1410" s="37"/>
      <c r="X1410" s="37"/>
      <c r="Y1410" s="37"/>
      <c r="Z1410" s="37"/>
      <c r="AA1410" s="37"/>
      <c r="AB1410" s="37"/>
      <c r="AC1410" s="37"/>
      <c r="AD1410" s="37"/>
    </row>
    <row r="1411">
      <c r="A1411" s="37"/>
      <c r="B1411" s="37"/>
      <c r="C1411" s="37"/>
      <c r="D1411" s="37"/>
      <c r="E1411" s="37"/>
      <c r="F1411" s="37"/>
      <c r="G1411" s="37"/>
      <c r="H1411" s="37"/>
      <c r="I1411" s="37"/>
      <c r="J1411" s="37"/>
      <c r="K1411" s="37"/>
      <c r="L1411" s="37"/>
      <c r="M1411" s="37"/>
      <c r="N1411" s="37"/>
      <c r="O1411" s="37"/>
      <c r="P1411" s="37"/>
      <c r="Q1411" s="37"/>
      <c r="R1411" s="37"/>
      <c r="S1411" s="37"/>
      <c r="T1411" s="37"/>
      <c r="U1411" s="37"/>
      <c r="V1411" s="37"/>
      <c r="W1411" s="37"/>
      <c r="X1411" s="37"/>
      <c r="Y1411" s="37"/>
      <c r="Z1411" s="37"/>
      <c r="AA1411" s="37"/>
      <c r="AB1411" s="37"/>
      <c r="AC1411" s="37"/>
      <c r="AD1411" s="37"/>
    </row>
    <row r="1412">
      <c r="A1412" s="37"/>
      <c r="B1412" s="37"/>
      <c r="C1412" s="37"/>
      <c r="D1412" s="37"/>
      <c r="E1412" s="37"/>
      <c r="F1412" s="37"/>
      <c r="G1412" s="37"/>
      <c r="H1412" s="37"/>
      <c r="I1412" s="37"/>
      <c r="J1412" s="37"/>
      <c r="K1412" s="37"/>
      <c r="L1412" s="37"/>
      <c r="M1412" s="37"/>
      <c r="N1412" s="37"/>
      <c r="O1412" s="37"/>
      <c r="P1412" s="37"/>
      <c r="Q1412" s="37"/>
      <c r="R1412" s="37"/>
      <c r="S1412" s="37"/>
      <c r="T1412" s="37"/>
      <c r="U1412" s="37"/>
      <c r="V1412" s="37"/>
      <c r="W1412" s="37"/>
      <c r="X1412" s="37"/>
      <c r="Y1412" s="37"/>
      <c r="Z1412" s="37"/>
      <c r="AA1412" s="37"/>
      <c r="AB1412" s="37"/>
      <c r="AC1412" s="37"/>
      <c r="AD1412" s="37"/>
    </row>
    <row r="1413">
      <c r="A1413" s="37"/>
      <c r="B1413" s="37"/>
      <c r="C1413" s="37"/>
      <c r="D1413" s="37"/>
      <c r="E1413" s="37"/>
      <c r="F1413" s="37"/>
      <c r="G1413" s="37"/>
      <c r="H1413" s="37"/>
      <c r="I1413" s="37"/>
      <c r="J1413" s="37"/>
      <c r="K1413" s="37"/>
      <c r="L1413" s="37"/>
      <c r="M1413" s="37"/>
      <c r="N1413" s="37"/>
      <c r="O1413" s="37"/>
      <c r="P1413" s="37"/>
      <c r="Q1413" s="37"/>
      <c r="R1413" s="37"/>
      <c r="S1413" s="37"/>
      <c r="T1413" s="37"/>
      <c r="U1413" s="37"/>
      <c r="V1413" s="37"/>
      <c r="W1413" s="37"/>
      <c r="X1413" s="37"/>
      <c r="Y1413" s="37"/>
      <c r="Z1413" s="37"/>
      <c r="AA1413" s="37"/>
      <c r="AB1413" s="37"/>
      <c r="AC1413" s="37"/>
      <c r="AD1413" s="37"/>
    </row>
    <row r="1414">
      <c r="A1414" s="37"/>
      <c r="B1414" s="37"/>
      <c r="C1414" s="37"/>
      <c r="D1414" s="37"/>
      <c r="E1414" s="37"/>
      <c r="F1414" s="37"/>
      <c r="G1414" s="37"/>
      <c r="H1414" s="37"/>
      <c r="I1414" s="37"/>
      <c r="J1414" s="37"/>
      <c r="K1414" s="37"/>
      <c r="L1414" s="37"/>
      <c r="M1414" s="37"/>
      <c r="N1414" s="37"/>
      <c r="O1414" s="37"/>
      <c r="P1414" s="37"/>
      <c r="Q1414" s="37"/>
      <c r="R1414" s="37"/>
      <c r="S1414" s="37"/>
      <c r="T1414" s="37"/>
      <c r="U1414" s="37"/>
      <c r="V1414" s="37"/>
      <c r="W1414" s="37"/>
      <c r="X1414" s="37"/>
      <c r="Y1414" s="37"/>
      <c r="Z1414" s="37"/>
      <c r="AA1414" s="37"/>
      <c r="AB1414" s="37"/>
      <c r="AC1414" s="37"/>
      <c r="AD1414" s="37"/>
    </row>
    <row r="1415">
      <c r="A1415" s="37"/>
      <c r="B1415" s="37"/>
      <c r="C1415" s="37"/>
      <c r="D1415" s="37"/>
      <c r="E1415" s="37"/>
      <c r="F1415" s="37"/>
      <c r="G1415" s="37"/>
      <c r="H1415" s="37"/>
      <c r="I1415" s="37"/>
      <c r="J1415" s="37"/>
      <c r="K1415" s="37"/>
      <c r="L1415" s="37"/>
      <c r="M1415" s="37"/>
      <c r="N1415" s="37"/>
      <c r="O1415" s="37"/>
      <c r="P1415" s="37"/>
      <c r="Q1415" s="37"/>
      <c r="R1415" s="37"/>
      <c r="S1415" s="37"/>
      <c r="T1415" s="37"/>
      <c r="U1415" s="37"/>
      <c r="V1415" s="37"/>
      <c r="W1415" s="37"/>
      <c r="X1415" s="37"/>
      <c r="Y1415" s="37"/>
      <c r="Z1415" s="37"/>
      <c r="AA1415" s="37"/>
      <c r="AB1415" s="37"/>
      <c r="AC1415" s="37"/>
      <c r="AD1415" s="37"/>
    </row>
    <row r="1416">
      <c r="A1416" s="37"/>
      <c r="B1416" s="37"/>
      <c r="C1416" s="37"/>
      <c r="D1416" s="37"/>
      <c r="E1416" s="37"/>
      <c r="F1416" s="37"/>
      <c r="G1416" s="37"/>
      <c r="H1416" s="37"/>
      <c r="I1416" s="37"/>
      <c r="J1416" s="37"/>
      <c r="K1416" s="37"/>
      <c r="L1416" s="37"/>
      <c r="M1416" s="37"/>
      <c r="N1416" s="37"/>
      <c r="O1416" s="37"/>
      <c r="P1416" s="37"/>
      <c r="Q1416" s="37"/>
      <c r="R1416" s="37"/>
      <c r="S1416" s="37"/>
      <c r="T1416" s="37"/>
      <c r="U1416" s="37"/>
      <c r="V1416" s="37"/>
      <c r="W1416" s="37"/>
      <c r="X1416" s="37"/>
      <c r="Y1416" s="37"/>
      <c r="Z1416" s="37"/>
      <c r="AA1416" s="37"/>
      <c r="AB1416" s="37"/>
      <c r="AC1416" s="37"/>
      <c r="AD1416" s="37"/>
    </row>
    <row r="1417">
      <c r="A1417" s="37"/>
      <c r="B1417" s="37"/>
      <c r="C1417" s="37"/>
      <c r="D1417" s="37"/>
      <c r="E1417" s="37"/>
      <c r="F1417" s="37"/>
      <c r="G1417" s="37"/>
      <c r="H1417" s="37"/>
      <c r="I1417" s="37"/>
      <c r="J1417" s="37"/>
      <c r="K1417" s="37"/>
      <c r="L1417" s="37"/>
      <c r="M1417" s="37"/>
      <c r="N1417" s="37"/>
      <c r="O1417" s="37"/>
      <c r="P1417" s="37"/>
      <c r="Q1417" s="37"/>
      <c r="R1417" s="37"/>
      <c r="S1417" s="37"/>
      <c r="T1417" s="37"/>
      <c r="U1417" s="37"/>
      <c r="V1417" s="37"/>
      <c r="W1417" s="37"/>
      <c r="X1417" s="37"/>
      <c r="Y1417" s="37"/>
      <c r="Z1417" s="37"/>
      <c r="AA1417" s="37"/>
      <c r="AB1417" s="37"/>
      <c r="AC1417" s="37"/>
      <c r="AD1417" s="37"/>
    </row>
    <row r="1418">
      <c r="A1418" s="37"/>
      <c r="B1418" s="37"/>
      <c r="C1418" s="37"/>
      <c r="D1418" s="37"/>
      <c r="E1418" s="37"/>
      <c r="F1418" s="37"/>
      <c r="G1418" s="37"/>
      <c r="H1418" s="37"/>
      <c r="I1418" s="37"/>
      <c r="J1418" s="37"/>
      <c r="K1418" s="37"/>
      <c r="L1418" s="37"/>
      <c r="M1418" s="37"/>
      <c r="N1418" s="37"/>
      <c r="O1418" s="37"/>
      <c r="P1418" s="37"/>
      <c r="Q1418" s="37"/>
      <c r="R1418" s="37"/>
      <c r="S1418" s="37"/>
      <c r="T1418" s="37"/>
      <c r="U1418" s="37"/>
      <c r="V1418" s="37"/>
      <c r="W1418" s="37"/>
      <c r="X1418" s="37"/>
      <c r="Y1418" s="37"/>
      <c r="Z1418" s="37"/>
      <c r="AA1418" s="37"/>
      <c r="AB1418" s="37"/>
      <c r="AC1418" s="37"/>
      <c r="AD1418" s="37"/>
    </row>
    <row r="1419">
      <c r="A1419" s="37"/>
      <c r="B1419" s="37"/>
      <c r="C1419" s="37"/>
      <c r="D1419" s="37"/>
      <c r="E1419" s="37"/>
      <c r="F1419" s="37"/>
      <c r="G1419" s="37"/>
      <c r="H1419" s="37"/>
      <c r="I1419" s="37"/>
      <c r="J1419" s="37"/>
      <c r="K1419" s="37"/>
      <c r="L1419" s="37"/>
      <c r="M1419" s="37"/>
      <c r="N1419" s="37"/>
      <c r="O1419" s="37"/>
      <c r="P1419" s="37"/>
      <c r="Q1419" s="37"/>
      <c r="R1419" s="37"/>
      <c r="S1419" s="37"/>
      <c r="T1419" s="37"/>
      <c r="U1419" s="37"/>
      <c r="V1419" s="37"/>
      <c r="W1419" s="37"/>
      <c r="X1419" s="37"/>
      <c r="Y1419" s="37"/>
      <c r="Z1419" s="37"/>
      <c r="AA1419" s="37"/>
      <c r="AB1419" s="37"/>
      <c r="AC1419" s="37"/>
      <c r="AD1419" s="37"/>
    </row>
    <row r="1420">
      <c r="A1420" s="37"/>
      <c r="B1420" s="37"/>
      <c r="C1420" s="37"/>
      <c r="D1420" s="37"/>
      <c r="E1420" s="37"/>
      <c r="F1420" s="37"/>
      <c r="G1420" s="37"/>
      <c r="H1420" s="37"/>
      <c r="I1420" s="37"/>
      <c r="J1420" s="37"/>
      <c r="K1420" s="37"/>
      <c r="L1420" s="37"/>
      <c r="M1420" s="37"/>
      <c r="N1420" s="37"/>
      <c r="O1420" s="37"/>
      <c r="P1420" s="37"/>
      <c r="Q1420" s="37"/>
      <c r="R1420" s="37"/>
      <c r="S1420" s="37"/>
      <c r="T1420" s="37"/>
      <c r="U1420" s="37"/>
      <c r="V1420" s="37"/>
      <c r="W1420" s="37"/>
      <c r="X1420" s="37"/>
      <c r="Y1420" s="37"/>
      <c r="Z1420" s="37"/>
      <c r="AA1420" s="37"/>
      <c r="AB1420" s="37"/>
      <c r="AC1420" s="37"/>
      <c r="AD1420" s="37"/>
    </row>
    <row r="1421">
      <c r="A1421" s="37"/>
      <c r="B1421" s="37"/>
      <c r="C1421" s="37"/>
      <c r="D1421" s="37"/>
      <c r="E1421" s="37"/>
      <c r="F1421" s="37"/>
      <c r="G1421" s="37"/>
      <c r="H1421" s="37"/>
      <c r="I1421" s="37"/>
      <c r="J1421" s="37"/>
      <c r="K1421" s="37"/>
      <c r="L1421" s="37"/>
      <c r="M1421" s="37"/>
      <c r="N1421" s="37"/>
      <c r="O1421" s="37"/>
      <c r="P1421" s="37"/>
      <c r="Q1421" s="37"/>
      <c r="R1421" s="37"/>
      <c r="S1421" s="37"/>
      <c r="T1421" s="37"/>
      <c r="U1421" s="37"/>
      <c r="V1421" s="37"/>
      <c r="W1421" s="37"/>
      <c r="X1421" s="37"/>
      <c r="Y1421" s="37"/>
      <c r="Z1421" s="37"/>
      <c r="AA1421" s="37"/>
      <c r="AB1421" s="37"/>
      <c r="AC1421" s="37"/>
      <c r="AD1421" s="37"/>
    </row>
    <row r="1422">
      <c r="A1422" s="37"/>
      <c r="B1422" s="37"/>
      <c r="C1422" s="37"/>
      <c r="D1422" s="37"/>
      <c r="E1422" s="37"/>
      <c r="F1422" s="37"/>
      <c r="G1422" s="37"/>
      <c r="H1422" s="37"/>
      <c r="I1422" s="37"/>
      <c r="J1422" s="37"/>
      <c r="K1422" s="37"/>
      <c r="L1422" s="37"/>
      <c r="M1422" s="37"/>
      <c r="N1422" s="37"/>
      <c r="O1422" s="37"/>
      <c r="P1422" s="37"/>
      <c r="Q1422" s="37"/>
      <c r="R1422" s="37"/>
      <c r="S1422" s="37"/>
      <c r="T1422" s="37"/>
      <c r="U1422" s="37"/>
      <c r="V1422" s="37"/>
      <c r="W1422" s="37"/>
      <c r="X1422" s="37"/>
      <c r="Y1422" s="37"/>
      <c r="Z1422" s="37"/>
      <c r="AA1422" s="37"/>
      <c r="AB1422" s="37"/>
      <c r="AC1422" s="37"/>
      <c r="AD1422" s="37"/>
    </row>
    <row r="1423">
      <c r="A1423" s="37"/>
      <c r="B1423" s="37"/>
      <c r="C1423" s="37"/>
      <c r="D1423" s="37"/>
      <c r="E1423" s="37"/>
      <c r="F1423" s="37"/>
      <c r="G1423" s="37"/>
      <c r="H1423" s="37"/>
      <c r="I1423" s="37"/>
      <c r="J1423" s="37"/>
      <c r="K1423" s="37"/>
      <c r="L1423" s="37"/>
      <c r="M1423" s="37"/>
      <c r="N1423" s="37"/>
      <c r="O1423" s="37"/>
      <c r="P1423" s="37"/>
      <c r="Q1423" s="37"/>
      <c r="R1423" s="37"/>
      <c r="S1423" s="37"/>
      <c r="T1423" s="37"/>
      <c r="U1423" s="37"/>
      <c r="V1423" s="37"/>
      <c r="W1423" s="37"/>
      <c r="X1423" s="37"/>
      <c r="Y1423" s="37"/>
      <c r="Z1423" s="37"/>
      <c r="AA1423" s="37"/>
      <c r="AB1423" s="37"/>
      <c r="AC1423" s="37"/>
      <c r="AD1423" s="37"/>
    </row>
    <row r="1424">
      <c r="A1424" s="37"/>
      <c r="B1424" s="37"/>
      <c r="C1424" s="37"/>
      <c r="D1424" s="37"/>
      <c r="E1424" s="37"/>
      <c r="F1424" s="37"/>
      <c r="G1424" s="37"/>
      <c r="H1424" s="37"/>
      <c r="I1424" s="37"/>
      <c r="J1424" s="37"/>
      <c r="K1424" s="37"/>
      <c r="L1424" s="37"/>
      <c r="M1424" s="37"/>
      <c r="N1424" s="37"/>
      <c r="O1424" s="37"/>
      <c r="P1424" s="37"/>
      <c r="Q1424" s="37"/>
      <c r="R1424" s="37"/>
      <c r="S1424" s="37"/>
      <c r="T1424" s="37"/>
      <c r="U1424" s="37"/>
      <c r="V1424" s="37"/>
      <c r="W1424" s="37"/>
      <c r="X1424" s="37"/>
      <c r="Y1424" s="37"/>
      <c r="Z1424" s="37"/>
      <c r="AA1424" s="37"/>
      <c r="AB1424" s="37"/>
      <c r="AC1424" s="37"/>
      <c r="AD1424" s="37"/>
    </row>
    <row r="1425">
      <c r="A1425" s="37"/>
      <c r="B1425" s="37"/>
      <c r="C1425" s="37"/>
      <c r="D1425" s="37"/>
      <c r="E1425" s="37"/>
      <c r="F1425" s="37"/>
      <c r="G1425" s="37"/>
      <c r="H1425" s="37"/>
      <c r="I1425" s="37"/>
      <c r="J1425" s="37"/>
      <c r="K1425" s="37"/>
      <c r="L1425" s="37"/>
      <c r="M1425" s="37"/>
      <c r="N1425" s="37"/>
      <c r="O1425" s="37"/>
      <c r="P1425" s="37"/>
      <c r="Q1425" s="37"/>
      <c r="R1425" s="37"/>
      <c r="S1425" s="37"/>
      <c r="T1425" s="37"/>
      <c r="U1425" s="37"/>
      <c r="V1425" s="37"/>
      <c r="W1425" s="37"/>
      <c r="X1425" s="37"/>
      <c r="Y1425" s="37"/>
      <c r="Z1425" s="37"/>
      <c r="AA1425" s="37"/>
      <c r="AB1425" s="37"/>
      <c r="AC1425" s="37"/>
      <c r="AD1425" s="37"/>
    </row>
    <row r="1426">
      <c r="A1426" s="37"/>
      <c r="B1426" s="37"/>
      <c r="C1426" s="37"/>
      <c r="D1426" s="37"/>
      <c r="E1426" s="37"/>
      <c r="F1426" s="37"/>
      <c r="G1426" s="37"/>
      <c r="H1426" s="37"/>
      <c r="I1426" s="37"/>
      <c r="J1426" s="37"/>
      <c r="K1426" s="37"/>
      <c r="L1426" s="37"/>
      <c r="M1426" s="37"/>
      <c r="N1426" s="37"/>
      <c r="O1426" s="37"/>
      <c r="P1426" s="37"/>
      <c r="Q1426" s="37"/>
      <c r="R1426" s="37"/>
      <c r="S1426" s="37"/>
      <c r="T1426" s="37"/>
      <c r="U1426" s="37"/>
      <c r="V1426" s="37"/>
      <c r="W1426" s="37"/>
      <c r="X1426" s="37"/>
      <c r="Y1426" s="37"/>
      <c r="Z1426" s="37"/>
      <c r="AA1426" s="37"/>
      <c r="AB1426" s="37"/>
      <c r="AC1426" s="37"/>
      <c r="AD1426" s="37"/>
    </row>
    <row r="1427">
      <c r="A1427" s="37"/>
      <c r="B1427" s="37"/>
      <c r="C1427" s="37"/>
      <c r="D1427" s="37"/>
      <c r="E1427" s="37"/>
      <c r="F1427" s="37"/>
      <c r="G1427" s="37"/>
      <c r="H1427" s="37"/>
      <c r="I1427" s="37"/>
      <c r="J1427" s="37"/>
      <c r="K1427" s="37"/>
      <c r="L1427" s="37"/>
      <c r="M1427" s="37"/>
      <c r="N1427" s="37"/>
      <c r="O1427" s="37"/>
      <c r="P1427" s="37"/>
      <c r="Q1427" s="37"/>
      <c r="R1427" s="37"/>
      <c r="S1427" s="37"/>
      <c r="T1427" s="37"/>
      <c r="U1427" s="37"/>
      <c r="V1427" s="37"/>
      <c r="W1427" s="37"/>
      <c r="X1427" s="37"/>
      <c r="Y1427" s="37"/>
      <c r="Z1427" s="37"/>
      <c r="AA1427" s="37"/>
      <c r="AB1427" s="37"/>
      <c r="AC1427" s="37"/>
      <c r="AD1427" s="37"/>
    </row>
    <row r="1428">
      <c r="A1428" s="37"/>
      <c r="B1428" s="37"/>
      <c r="C1428" s="37"/>
      <c r="D1428" s="37"/>
      <c r="E1428" s="37"/>
      <c r="F1428" s="37"/>
      <c r="G1428" s="37"/>
      <c r="H1428" s="37"/>
      <c r="I1428" s="37"/>
      <c r="J1428" s="37"/>
      <c r="K1428" s="37"/>
      <c r="L1428" s="37"/>
      <c r="M1428" s="37"/>
      <c r="N1428" s="37"/>
      <c r="O1428" s="37"/>
      <c r="P1428" s="37"/>
      <c r="Q1428" s="37"/>
      <c r="R1428" s="37"/>
      <c r="S1428" s="37"/>
      <c r="T1428" s="37"/>
      <c r="U1428" s="37"/>
      <c r="V1428" s="37"/>
      <c r="W1428" s="37"/>
      <c r="X1428" s="37"/>
      <c r="Y1428" s="37"/>
      <c r="Z1428" s="37"/>
      <c r="AA1428" s="37"/>
      <c r="AB1428" s="37"/>
      <c r="AC1428" s="37"/>
      <c r="AD1428" s="37"/>
    </row>
    <row r="1429">
      <c r="A1429" s="37"/>
      <c r="B1429" s="37"/>
      <c r="C1429" s="37"/>
      <c r="D1429" s="37"/>
      <c r="E1429" s="37"/>
      <c r="F1429" s="37"/>
      <c r="G1429" s="37"/>
      <c r="H1429" s="37"/>
      <c r="I1429" s="37"/>
      <c r="J1429" s="37"/>
      <c r="K1429" s="37"/>
      <c r="L1429" s="37"/>
      <c r="M1429" s="37"/>
      <c r="N1429" s="37"/>
      <c r="O1429" s="37"/>
      <c r="P1429" s="37"/>
      <c r="Q1429" s="37"/>
      <c r="R1429" s="37"/>
      <c r="S1429" s="37"/>
      <c r="T1429" s="37"/>
      <c r="U1429" s="37"/>
      <c r="V1429" s="37"/>
      <c r="W1429" s="37"/>
      <c r="X1429" s="37"/>
      <c r="Y1429" s="37"/>
      <c r="Z1429" s="37"/>
      <c r="AA1429" s="37"/>
      <c r="AB1429" s="37"/>
      <c r="AC1429" s="37"/>
      <c r="AD1429" s="37"/>
    </row>
    <row r="1430">
      <c r="A1430" s="37"/>
      <c r="B1430" s="37"/>
      <c r="C1430" s="37"/>
      <c r="D1430" s="37"/>
      <c r="E1430" s="37"/>
      <c r="F1430" s="37"/>
      <c r="G1430" s="37"/>
      <c r="H1430" s="37"/>
      <c r="I1430" s="37"/>
      <c r="J1430" s="37"/>
      <c r="K1430" s="37"/>
      <c r="L1430" s="37"/>
      <c r="M1430" s="37"/>
      <c r="N1430" s="37"/>
      <c r="O1430" s="37"/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37"/>
      <c r="AA1430" s="37"/>
      <c r="AB1430" s="37"/>
      <c r="AC1430" s="37"/>
      <c r="AD1430" s="37"/>
    </row>
    <row r="1431">
      <c r="A1431" s="37"/>
      <c r="B1431" s="37"/>
      <c r="C1431" s="37"/>
      <c r="D1431" s="37"/>
      <c r="E1431" s="37"/>
      <c r="F1431" s="37"/>
      <c r="G1431" s="37"/>
      <c r="H1431" s="37"/>
      <c r="I1431" s="37"/>
      <c r="J1431" s="37"/>
      <c r="K1431" s="37"/>
      <c r="L1431" s="37"/>
      <c r="M1431" s="37"/>
      <c r="N1431" s="37"/>
      <c r="O1431" s="37"/>
      <c r="P1431" s="37"/>
      <c r="Q1431" s="37"/>
      <c r="R1431" s="37"/>
      <c r="S1431" s="37"/>
      <c r="T1431" s="37"/>
      <c r="U1431" s="37"/>
      <c r="V1431" s="37"/>
      <c r="W1431" s="37"/>
      <c r="X1431" s="37"/>
      <c r="Y1431" s="37"/>
      <c r="Z1431" s="37"/>
      <c r="AA1431" s="37"/>
      <c r="AB1431" s="37"/>
      <c r="AC1431" s="37"/>
      <c r="AD1431" s="37"/>
    </row>
    <row r="1432">
      <c r="A1432" s="37"/>
      <c r="B1432" s="37"/>
      <c r="C1432" s="37"/>
      <c r="D1432" s="37"/>
      <c r="E1432" s="37"/>
      <c r="F1432" s="37"/>
      <c r="G1432" s="37"/>
      <c r="H1432" s="37"/>
      <c r="I1432" s="37"/>
      <c r="J1432" s="37"/>
      <c r="K1432" s="37"/>
      <c r="L1432" s="37"/>
      <c r="M1432" s="37"/>
      <c r="N1432" s="37"/>
      <c r="O1432" s="37"/>
      <c r="P1432" s="37"/>
      <c r="Q1432" s="37"/>
      <c r="R1432" s="37"/>
      <c r="S1432" s="37"/>
      <c r="T1432" s="37"/>
      <c r="U1432" s="37"/>
      <c r="V1432" s="37"/>
      <c r="W1432" s="37"/>
      <c r="X1432" s="37"/>
      <c r="Y1432" s="37"/>
      <c r="Z1432" s="37"/>
      <c r="AA1432" s="37"/>
      <c r="AB1432" s="37"/>
      <c r="AC1432" s="37"/>
      <c r="AD1432" s="37"/>
    </row>
    <row r="1433">
      <c r="A1433" s="37"/>
      <c r="B1433" s="37"/>
      <c r="C1433" s="37"/>
      <c r="D1433" s="37"/>
      <c r="E1433" s="37"/>
      <c r="F1433" s="37"/>
      <c r="G1433" s="37"/>
      <c r="H1433" s="37"/>
      <c r="I1433" s="37"/>
      <c r="J1433" s="37"/>
      <c r="K1433" s="37"/>
      <c r="L1433" s="37"/>
      <c r="M1433" s="37"/>
      <c r="N1433" s="37"/>
      <c r="O1433" s="37"/>
      <c r="P1433" s="37"/>
      <c r="Q1433" s="37"/>
      <c r="R1433" s="37"/>
      <c r="S1433" s="37"/>
      <c r="T1433" s="37"/>
      <c r="U1433" s="37"/>
      <c r="V1433" s="37"/>
      <c r="W1433" s="37"/>
      <c r="X1433" s="37"/>
      <c r="Y1433" s="37"/>
      <c r="Z1433" s="37"/>
      <c r="AA1433" s="37"/>
      <c r="AB1433" s="37"/>
      <c r="AC1433" s="37"/>
      <c r="AD1433" s="37"/>
    </row>
    <row r="1434">
      <c r="A1434" s="37"/>
      <c r="B1434" s="37"/>
      <c r="C1434" s="37"/>
      <c r="D1434" s="37"/>
      <c r="E1434" s="37"/>
      <c r="F1434" s="37"/>
      <c r="G1434" s="37"/>
      <c r="H1434" s="37"/>
      <c r="I1434" s="37"/>
      <c r="J1434" s="37"/>
      <c r="K1434" s="37"/>
      <c r="L1434" s="37"/>
      <c r="M1434" s="37"/>
      <c r="N1434" s="37"/>
      <c r="O1434" s="37"/>
      <c r="P1434" s="37"/>
      <c r="Q1434" s="37"/>
      <c r="R1434" s="37"/>
      <c r="S1434" s="37"/>
      <c r="T1434" s="37"/>
      <c r="U1434" s="37"/>
      <c r="V1434" s="37"/>
      <c r="W1434" s="37"/>
      <c r="X1434" s="37"/>
      <c r="Y1434" s="37"/>
      <c r="Z1434" s="37"/>
      <c r="AA1434" s="37"/>
      <c r="AB1434" s="37"/>
      <c r="AC1434" s="37"/>
      <c r="AD1434" s="37"/>
    </row>
    <row r="1435">
      <c r="A1435" s="37"/>
      <c r="B1435" s="37"/>
      <c r="C1435" s="37"/>
      <c r="D1435" s="37"/>
      <c r="E1435" s="37"/>
      <c r="F1435" s="37"/>
      <c r="G1435" s="37"/>
      <c r="H1435" s="37"/>
      <c r="I1435" s="37"/>
      <c r="J1435" s="37"/>
      <c r="K1435" s="37"/>
      <c r="L1435" s="37"/>
      <c r="M1435" s="37"/>
      <c r="N1435" s="37"/>
      <c r="O1435" s="37"/>
      <c r="P1435" s="37"/>
      <c r="Q1435" s="37"/>
      <c r="R1435" s="37"/>
      <c r="S1435" s="37"/>
      <c r="T1435" s="37"/>
      <c r="U1435" s="37"/>
      <c r="V1435" s="37"/>
      <c r="W1435" s="37"/>
      <c r="X1435" s="37"/>
      <c r="Y1435" s="37"/>
      <c r="Z1435" s="37"/>
      <c r="AA1435" s="37"/>
      <c r="AB1435" s="37"/>
      <c r="AC1435" s="37"/>
      <c r="AD1435" s="37"/>
    </row>
    <row r="1436">
      <c r="A1436" s="37"/>
      <c r="B1436" s="37"/>
      <c r="C1436" s="37"/>
      <c r="D1436" s="37"/>
      <c r="E1436" s="37"/>
      <c r="F1436" s="37"/>
      <c r="G1436" s="37"/>
      <c r="H1436" s="37"/>
      <c r="I1436" s="37"/>
      <c r="J1436" s="37"/>
      <c r="K1436" s="37"/>
      <c r="L1436" s="37"/>
      <c r="M1436" s="37"/>
      <c r="N1436" s="37"/>
      <c r="O1436" s="37"/>
      <c r="P1436" s="37"/>
      <c r="Q1436" s="37"/>
      <c r="R1436" s="37"/>
      <c r="S1436" s="37"/>
      <c r="T1436" s="37"/>
      <c r="U1436" s="37"/>
      <c r="V1436" s="37"/>
      <c r="W1436" s="37"/>
      <c r="X1436" s="37"/>
      <c r="Y1436" s="37"/>
      <c r="Z1436" s="37"/>
      <c r="AA1436" s="37"/>
      <c r="AB1436" s="37"/>
      <c r="AC1436" s="37"/>
      <c r="AD1436" s="37"/>
    </row>
    <row r="1437">
      <c r="A1437" s="37"/>
      <c r="B1437" s="37"/>
      <c r="C1437" s="37"/>
      <c r="D1437" s="37"/>
      <c r="E1437" s="37"/>
      <c r="F1437" s="37"/>
      <c r="G1437" s="37"/>
      <c r="H1437" s="37"/>
      <c r="I1437" s="37"/>
      <c r="J1437" s="37"/>
      <c r="K1437" s="37"/>
      <c r="L1437" s="37"/>
      <c r="M1437" s="37"/>
      <c r="N1437" s="37"/>
      <c r="O1437" s="37"/>
      <c r="P1437" s="37"/>
      <c r="Q1437" s="37"/>
      <c r="R1437" s="37"/>
      <c r="S1437" s="37"/>
      <c r="T1437" s="37"/>
      <c r="U1437" s="37"/>
      <c r="V1437" s="37"/>
      <c r="W1437" s="37"/>
      <c r="X1437" s="37"/>
      <c r="Y1437" s="37"/>
      <c r="Z1437" s="37"/>
      <c r="AA1437" s="37"/>
      <c r="AB1437" s="37"/>
      <c r="AC1437" s="37"/>
      <c r="AD1437" s="37"/>
    </row>
    <row r="1438">
      <c r="A1438" s="37"/>
      <c r="B1438" s="37"/>
      <c r="C1438" s="37"/>
      <c r="D1438" s="37"/>
      <c r="E1438" s="37"/>
      <c r="F1438" s="37"/>
      <c r="G1438" s="37"/>
      <c r="H1438" s="37"/>
      <c r="I1438" s="37"/>
      <c r="J1438" s="37"/>
      <c r="K1438" s="37"/>
      <c r="L1438" s="37"/>
      <c r="M1438" s="37"/>
      <c r="N1438" s="37"/>
      <c r="O1438" s="37"/>
      <c r="P1438" s="37"/>
      <c r="Q1438" s="37"/>
      <c r="R1438" s="37"/>
      <c r="S1438" s="37"/>
      <c r="T1438" s="37"/>
      <c r="U1438" s="37"/>
      <c r="V1438" s="37"/>
      <c r="W1438" s="37"/>
      <c r="X1438" s="37"/>
      <c r="Y1438" s="37"/>
      <c r="Z1438" s="37"/>
      <c r="AA1438" s="37"/>
      <c r="AB1438" s="37"/>
      <c r="AC1438" s="37"/>
      <c r="AD1438" s="37"/>
    </row>
    <row r="1439">
      <c r="A1439" s="37"/>
      <c r="B1439" s="37"/>
      <c r="C1439" s="37"/>
      <c r="D1439" s="37"/>
      <c r="E1439" s="37"/>
      <c r="F1439" s="37"/>
      <c r="G1439" s="37"/>
      <c r="H1439" s="37"/>
      <c r="I1439" s="37"/>
      <c r="J1439" s="37"/>
      <c r="K1439" s="37"/>
      <c r="L1439" s="37"/>
      <c r="M1439" s="37"/>
      <c r="N1439" s="37"/>
      <c r="O1439" s="37"/>
      <c r="P1439" s="37"/>
      <c r="Q1439" s="37"/>
      <c r="R1439" s="37"/>
      <c r="S1439" s="37"/>
      <c r="T1439" s="37"/>
      <c r="U1439" s="37"/>
      <c r="V1439" s="37"/>
      <c r="W1439" s="37"/>
      <c r="X1439" s="37"/>
      <c r="Y1439" s="37"/>
      <c r="Z1439" s="37"/>
      <c r="AA1439" s="37"/>
      <c r="AB1439" s="37"/>
      <c r="AC1439" s="37"/>
      <c r="AD1439" s="37"/>
    </row>
    <row r="1440">
      <c r="A1440" s="37"/>
      <c r="B1440" s="37"/>
      <c r="C1440" s="37"/>
      <c r="D1440" s="37"/>
      <c r="E1440" s="37"/>
      <c r="F1440" s="37"/>
      <c r="G1440" s="37"/>
      <c r="H1440" s="37"/>
      <c r="I1440" s="37"/>
      <c r="J1440" s="37"/>
      <c r="K1440" s="37"/>
      <c r="L1440" s="37"/>
      <c r="M1440" s="37"/>
      <c r="N1440" s="37"/>
      <c r="O1440" s="37"/>
      <c r="P1440" s="37"/>
      <c r="Q1440" s="37"/>
      <c r="R1440" s="37"/>
      <c r="S1440" s="37"/>
      <c r="T1440" s="37"/>
      <c r="U1440" s="37"/>
      <c r="V1440" s="37"/>
      <c r="W1440" s="37"/>
      <c r="X1440" s="37"/>
      <c r="Y1440" s="37"/>
      <c r="Z1440" s="37"/>
      <c r="AA1440" s="37"/>
      <c r="AB1440" s="37"/>
      <c r="AC1440" s="37"/>
      <c r="AD1440" s="37"/>
    </row>
    <row r="1441">
      <c r="A1441" s="37"/>
      <c r="B1441" s="37"/>
      <c r="C1441" s="37"/>
      <c r="D1441" s="37"/>
      <c r="E1441" s="37"/>
      <c r="F1441" s="37"/>
      <c r="G1441" s="37"/>
      <c r="H1441" s="37"/>
      <c r="I1441" s="37"/>
      <c r="J1441" s="37"/>
      <c r="K1441" s="37"/>
      <c r="L1441" s="37"/>
      <c r="M1441" s="37"/>
      <c r="N1441" s="37"/>
      <c r="O1441" s="37"/>
      <c r="P1441" s="37"/>
      <c r="Q1441" s="37"/>
      <c r="R1441" s="37"/>
      <c r="S1441" s="37"/>
      <c r="T1441" s="37"/>
      <c r="U1441" s="37"/>
      <c r="V1441" s="37"/>
      <c r="W1441" s="37"/>
      <c r="X1441" s="37"/>
      <c r="Y1441" s="37"/>
      <c r="Z1441" s="37"/>
      <c r="AA1441" s="37"/>
      <c r="AB1441" s="37"/>
      <c r="AC1441" s="37"/>
      <c r="AD1441" s="37"/>
    </row>
    <row r="1442">
      <c r="A1442" s="37"/>
      <c r="B1442" s="37"/>
      <c r="C1442" s="37"/>
      <c r="D1442" s="37"/>
      <c r="E1442" s="37"/>
      <c r="F1442" s="37"/>
      <c r="G1442" s="37"/>
      <c r="H1442" s="37"/>
      <c r="I1442" s="37"/>
      <c r="J1442" s="37"/>
      <c r="K1442" s="37"/>
      <c r="L1442" s="37"/>
      <c r="M1442" s="37"/>
      <c r="N1442" s="37"/>
      <c r="O1442" s="37"/>
      <c r="P1442" s="37"/>
      <c r="Q1442" s="37"/>
      <c r="R1442" s="37"/>
      <c r="S1442" s="37"/>
      <c r="T1442" s="37"/>
      <c r="U1442" s="37"/>
      <c r="V1442" s="37"/>
      <c r="W1442" s="37"/>
      <c r="X1442" s="37"/>
      <c r="Y1442" s="37"/>
      <c r="Z1442" s="37"/>
      <c r="AA1442" s="37"/>
      <c r="AB1442" s="37"/>
      <c r="AC1442" s="37"/>
      <c r="AD1442" s="37"/>
    </row>
    <row r="1443">
      <c r="A1443" s="37"/>
      <c r="B1443" s="37"/>
      <c r="C1443" s="37"/>
      <c r="D1443" s="37"/>
      <c r="E1443" s="37"/>
      <c r="F1443" s="37"/>
      <c r="G1443" s="37"/>
      <c r="H1443" s="37"/>
      <c r="I1443" s="37"/>
      <c r="J1443" s="37"/>
      <c r="K1443" s="37"/>
      <c r="L1443" s="37"/>
      <c r="M1443" s="37"/>
      <c r="N1443" s="37"/>
      <c r="O1443" s="37"/>
      <c r="P1443" s="37"/>
      <c r="Q1443" s="37"/>
      <c r="R1443" s="37"/>
      <c r="S1443" s="37"/>
      <c r="T1443" s="37"/>
      <c r="U1443" s="37"/>
      <c r="V1443" s="37"/>
      <c r="W1443" s="37"/>
      <c r="X1443" s="37"/>
      <c r="Y1443" s="37"/>
      <c r="Z1443" s="37"/>
      <c r="AA1443" s="37"/>
      <c r="AB1443" s="37"/>
      <c r="AC1443" s="37"/>
      <c r="AD1443" s="37"/>
    </row>
    <row r="1444">
      <c r="A1444" s="37"/>
      <c r="B1444" s="37"/>
      <c r="C1444" s="37"/>
      <c r="D1444" s="37"/>
      <c r="E1444" s="37"/>
      <c r="F1444" s="37"/>
      <c r="G1444" s="37"/>
      <c r="H1444" s="37"/>
      <c r="I1444" s="37"/>
      <c r="J1444" s="37"/>
      <c r="K1444" s="37"/>
      <c r="L1444" s="37"/>
      <c r="M1444" s="37"/>
      <c r="N1444" s="37"/>
      <c r="O1444" s="37"/>
      <c r="P1444" s="37"/>
      <c r="Q1444" s="37"/>
      <c r="R1444" s="37"/>
      <c r="S1444" s="37"/>
      <c r="T1444" s="37"/>
      <c r="U1444" s="37"/>
      <c r="V1444" s="37"/>
      <c r="W1444" s="37"/>
      <c r="X1444" s="37"/>
      <c r="Y1444" s="37"/>
      <c r="Z1444" s="37"/>
      <c r="AA1444" s="37"/>
      <c r="AB1444" s="37"/>
      <c r="AC1444" s="37"/>
      <c r="AD1444" s="37"/>
    </row>
    <row r="1445">
      <c r="A1445" s="37"/>
      <c r="B1445" s="37"/>
      <c r="C1445" s="37"/>
      <c r="D1445" s="37"/>
      <c r="E1445" s="37"/>
      <c r="F1445" s="37"/>
      <c r="G1445" s="37"/>
      <c r="H1445" s="37"/>
      <c r="I1445" s="37"/>
      <c r="J1445" s="37"/>
      <c r="K1445" s="37"/>
      <c r="L1445" s="37"/>
      <c r="M1445" s="37"/>
      <c r="N1445" s="37"/>
      <c r="O1445" s="37"/>
      <c r="P1445" s="37"/>
      <c r="Q1445" s="37"/>
      <c r="R1445" s="37"/>
      <c r="S1445" s="37"/>
      <c r="T1445" s="37"/>
      <c r="U1445" s="37"/>
      <c r="V1445" s="37"/>
      <c r="W1445" s="37"/>
      <c r="X1445" s="37"/>
      <c r="Y1445" s="37"/>
      <c r="Z1445" s="37"/>
      <c r="AA1445" s="37"/>
      <c r="AB1445" s="37"/>
      <c r="AC1445" s="37"/>
      <c r="AD1445" s="37"/>
    </row>
    <row r="1446">
      <c r="A1446" s="37"/>
      <c r="B1446" s="37"/>
      <c r="C1446" s="37"/>
      <c r="D1446" s="37"/>
      <c r="E1446" s="37"/>
      <c r="F1446" s="37"/>
      <c r="G1446" s="37"/>
      <c r="H1446" s="37"/>
      <c r="I1446" s="37"/>
      <c r="J1446" s="37"/>
      <c r="K1446" s="37"/>
      <c r="L1446" s="37"/>
      <c r="M1446" s="37"/>
      <c r="N1446" s="37"/>
      <c r="O1446" s="37"/>
      <c r="P1446" s="37"/>
      <c r="Q1446" s="37"/>
      <c r="R1446" s="37"/>
      <c r="S1446" s="37"/>
      <c r="T1446" s="37"/>
      <c r="U1446" s="37"/>
      <c r="V1446" s="37"/>
      <c r="W1446" s="37"/>
      <c r="X1446" s="37"/>
      <c r="Y1446" s="37"/>
      <c r="Z1446" s="37"/>
      <c r="AA1446" s="37"/>
      <c r="AB1446" s="37"/>
      <c r="AC1446" s="37"/>
      <c r="AD1446" s="37"/>
    </row>
    <row r="1447">
      <c r="A1447" s="37"/>
      <c r="B1447" s="37"/>
      <c r="C1447" s="37"/>
      <c r="D1447" s="37"/>
      <c r="E1447" s="37"/>
      <c r="F1447" s="37"/>
      <c r="G1447" s="37"/>
      <c r="H1447" s="37"/>
      <c r="I1447" s="37"/>
      <c r="J1447" s="37"/>
      <c r="K1447" s="37"/>
      <c r="L1447" s="37"/>
      <c r="M1447" s="37"/>
      <c r="N1447" s="37"/>
      <c r="O1447" s="37"/>
      <c r="P1447" s="37"/>
      <c r="Q1447" s="37"/>
      <c r="R1447" s="37"/>
      <c r="S1447" s="37"/>
      <c r="T1447" s="37"/>
      <c r="U1447" s="37"/>
      <c r="V1447" s="37"/>
      <c r="W1447" s="37"/>
      <c r="X1447" s="37"/>
      <c r="Y1447" s="37"/>
      <c r="Z1447" s="37"/>
      <c r="AA1447" s="37"/>
      <c r="AB1447" s="37"/>
      <c r="AC1447" s="37"/>
      <c r="AD1447" s="37"/>
    </row>
    <row r="1448">
      <c r="A1448" s="37"/>
      <c r="B1448" s="37"/>
      <c r="C1448" s="37"/>
      <c r="D1448" s="37"/>
      <c r="E1448" s="37"/>
      <c r="F1448" s="37"/>
      <c r="G1448" s="37"/>
      <c r="H1448" s="37"/>
      <c r="I1448" s="37"/>
      <c r="J1448" s="37"/>
      <c r="K1448" s="37"/>
      <c r="L1448" s="37"/>
      <c r="M1448" s="37"/>
      <c r="N1448" s="37"/>
      <c r="O1448" s="37"/>
      <c r="P1448" s="37"/>
      <c r="Q1448" s="37"/>
      <c r="R1448" s="37"/>
      <c r="S1448" s="37"/>
      <c r="T1448" s="37"/>
      <c r="U1448" s="37"/>
      <c r="V1448" s="37"/>
      <c r="W1448" s="37"/>
      <c r="X1448" s="37"/>
      <c r="Y1448" s="37"/>
      <c r="Z1448" s="37"/>
      <c r="AA1448" s="37"/>
      <c r="AB1448" s="37"/>
      <c r="AC1448" s="37"/>
      <c r="AD1448" s="37"/>
    </row>
    <row r="1449">
      <c r="A1449" s="37"/>
      <c r="B1449" s="37"/>
      <c r="C1449" s="37"/>
      <c r="D1449" s="37"/>
      <c r="E1449" s="37"/>
      <c r="F1449" s="37"/>
      <c r="G1449" s="37"/>
      <c r="H1449" s="37"/>
      <c r="I1449" s="37"/>
      <c r="J1449" s="37"/>
      <c r="K1449" s="37"/>
      <c r="L1449" s="37"/>
      <c r="M1449" s="37"/>
      <c r="N1449" s="37"/>
      <c r="O1449" s="37"/>
      <c r="P1449" s="37"/>
      <c r="Q1449" s="37"/>
      <c r="R1449" s="37"/>
      <c r="S1449" s="37"/>
      <c r="T1449" s="37"/>
      <c r="U1449" s="37"/>
      <c r="V1449" s="37"/>
      <c r="W1449" s="37"/>
      <c r="X1449" s="37"/>
      <c r="Y1449" s="37"/>
      <c r="Z1449" s="37"/>
      <c r="AA1449" s="37"/>
      <c r="AB1449" s="37"/>
      <c r="AC1449" s="37"/>
      <c r="AD1449" s="37"/>
    </row>
    <row r="1450">
      <c r="A1450" s="37"/>
      <c r="B1450" s="37"/>
      <c r="C1450" s="37"/>
      <c r="D1450" s="37"/>
      <c r="E1450" s="37"/>
      <c r="F1450" s="37"/>
      <c r="G1450" s="37"/>
      <c r="H1450" s="37"/>
      <c r="I1450" s="37"/>
      <c r="J1450" s="37"/>
      <c r="K1450" s="37"/>
      <c r="L1450" s="37"/>
      <c r="M1450" s="37"/>
      <c r="N1450" s="37"/>
      <c r="O1450" s="37"/>
      <c r="P1450" s="37"/>
      <c r="Q1450" s="37"/>
      <c r="R1450" s="37"/>
      <c r="S1450" s="37"/>
      <c r="T1450" s="37"/>
      <c r="U1450" s="37"/>
      <c r="V1450" s="37"/>
      <c r="W1450" s="37"/>
      <c r="X1450" s="37"/>
      <c r="Y1450" s="37"/>
      <c r="Z1450" s="37"/>
      <c r="AA1450" s="37"/>
      <c r="AB1450" s="37"/>
      <c r="AC1450" s="37"/>
      <c r="AD1450" s="37"/>
    </row>
    <row r="1451">
      <c r="A1451" s="37"/>
      <c r="B1451" s="37"/>
      <c r="C1451" s="37"/>
      <c r="D1451" s="37"/>
      <c r="E1451" s="37"/>
      <c r="F1451" s="37"/>
      <c r="G1451" s="37"/>
      <c r="H1451" s="37"/>
      <c r="I1451" s="37"/>
      <c r="J1451" s="37"/>
      <c r="K1451" s="37"/>
      <c r="L1451" s="37"/>
      <c r="M1451" s="37"/>
      <c r="N1451" s="37"/>
      <c r="O1451" s="37"/>
      <c r="P1451" s="37"/>
      <c r="Q1451" s="37"/>
      <c r="R1451" s="37"/>
      <c r="S1451" s="37"/>
      <c r="T1451" s="37"/>
      <c r="U1451" s="37"/>
      <c r="V1451" s="37"/>
      <c r="W1451" s="37"/>
      <c r="X1451" s="37"/>
      <c r="Y1451" s="37"/>
      <c r="Z1451" s="37"/>
      <c r="AA1451" s="37"/>
      <c r="AB1451" s="37"/>
      <c r="AC1451" s="37"/>
      <c r="AD1451" s="37"/>
    </row>
    <row r="1452">
      <c r="A1452" s="37"/>
      <c r="B1452" s="37"/>
      <c r="C1452" s="37"/>
      <c r="D1452" s="37"/>
      <c r="E1452" s="37"/>
      <c r="F1452" s="37"/>
      <c r="G1452" s="37"/>
      <c r="H1452" s="37"/>
      <c r="I1452" s="37"/>
      <c r="J1452" s="37"/>
      <c r="K1452" s="37"/>
      <c r="L1452" s="37"/>
      <c r="M1452" s="37"/>
      <c r="N1452" s="37"/>
      <c r="O1452" s="37"/>
      <c r="P1452" s="37"/>
      <c r="Q1452" s="37"/>
      <c r="R1452" s="37"/>
      <c r="S1452" s="37"/>
      <c r="T1452" s="37"/>
      <c r="U1452" s="37"/>
      <c r="V1452" s="37"/>
      <c r="W1452" s="37"/>
      <c r="X1452" s="37"/>
      <c r="Y1452" s="37"/>
      <c r="Z1452" s="37"/>
      <c r="AA1452" s="37"/>
      <c r="AB1452" s="37"/>
      <c r="AC1452" s="37"/>
      <c r="AD1452" s="37"/>
    </row>
    <row r="1453">
      <c r="A1453" s="37"/>
      <c r="B1453" s="37"/>
      <c r="C1453" s="37"/>
      <c r="D1453" s="37"/>
      <c r="E1453" s="37"/>
      <c r="F1453" s="37"/>
      <c r="G1453" s="37"/>
      <c r="H1453" s="37"/>
      <c r="I1453" s="37"/>
      <c r="J1453" s="37"/>
      <c r="K1453" s="37"/>
      <c r="L1453" s="37"/>
      <c r="M1453" s="37"/>
      <c r="N1453" s="37"/>
      <c r="O1453" s="37"/>
      <c r="P1453" s="37"/>
      <c r="Q1453" s="37"/>
      <c r="R1453" s="37"/>
      <c r="S1453" s="37"/>
      <c r="T1453" s="37"/>
      <c r="U1453" s="37"/>
      <c r="V1453" s="37"/>
      <c r="W1453" s="37"/>
      <c r="X1453" s="37"/>
      <c r="Y1453" s="37"/>
      <c r="Z1453" s="37"/>
      <c r="AA1453" s="37"/>
      <c r="AB1453" s="37"/>
      <c r="AC1453" s="37"/>
      <c r="AD1453" s="37"/>
    </row>
    <row r="1454">
      <c r="A1454" s="37"/>
      <c r="B1454" s="37"/>
      <c r="C1454" s="37"/>
      <c r="D1454" s="37"/>
      <c r="E1454" s="37"/>
      <c r="F1454" s="37"/>
      <c r="G1454" s="37"/>
      <c r="H1454" s="37"/>
      <c r="I1454" s="37"/>
      <c r="J1454" s="37"/>
      <c r="K1454" s="37"/>
      <c r="L1454" s="37"/>
      <c r="M1454" s="37"/>
      <c r="N1454" s="37"/>
      <c r="O1454" s="37"/>
      <c r="P1454" s="37"/>
      <c r="Q1454" s="37"/>
      <c r="R1454" s="37"/>
      <c r="S1454" s="37"/>
      <c r="T1454" s="37"/>
      <c r="U1454" s="37"/>
      <c r="V1454" s="37"/>
      <c r="W1454" s="37"/>
      <c r="X1454" s="37"/>
      <c r="Y1454" s="37"/>
      <c r="Z1454" s="37"/>
      <c r="AA1454" s="37"/>
      <c r="AB1454" s="37"/>
      <c r="AC1454" s="37"/>
      <c r="AD1454" s="37"/>
    </row>
    <row r="1455">
      <c r="A1455" s="37"/>
      <c r="B1455" s="37"/>
      <c r="C1455" s="37"/>
      <c r="D1455" s="37"/>
      <c r="E1455" s="37"/>
      <c r="F1455" s="37"/>
      <c r="G1455" s="37"/>
      <c r="H1455" s="37"/>
      <c r="I1455" s="37"/>
      <c r="J1455" s="37"/>
      <c r="K1455" s="37"/>
      <c r="L1455" s="37"/>
      <c r="M1455" s="37"/>
      <c r="N1455" s="37"/>
      <c r="O1455" s="37"/>
      <c r="P1455" s="37"/>
      <c r="Q1455" s="37"/>
      <c r="R1455" s="37"/>
      <c r="S1455" s="37"/>
      <c r="T1455" s="37"/>
      <c r="U1455" s="37"/>
      <c r="V1455" s="37"/>
      <c r="W1455" s="37"/>
      <c r="X1455" s="37"/>
      <c r="Y1455" s="37"/>
      <c r="Z1455" s="37"/>
      <c r="AA1455" s="37"/>
      <c r="AB1455" s="37"/>
      <c r="AC1455" s="37"/>
      <c r="AD1455" s="37"/>
    </row>
    <row r="1456">
      <c r="A1456" s="37"/>
      <c r="B1456" s="37"/>
      <c r="C1456" s="37"/>
      <c r="D1456" s="37"/>
      <c r="E1456" s="37"/>
      <c r="F1456" s="37"/>
      <c r="G1456" s="37"/>
      <c r="H1456" s="37"/>
      <c r="I1456" s="37"/>
      <c r="J1456" s="37"/>
      <c r="K1456" s="37"/>
      <c r="L1456" s="37"/>
      <c r="M1456" s="37"/>
      <c r="N1456" s="37"/>
      <c r="O1456" s="37"/>
      <c r="P1456" s="37"/>
      <c r="Q1456" s="37"/>
      <c r="R1456" s="37"/>
      <c r="S1456" s="37"/>
      <c r="T1456" s="37"/>
      <c r="U1456" s="37"/>
      <c r="V1456" s="37"/>
      <c r="W1456" s="37"/>
      <c r="X1456" s="37"/>
      <c r="Y1456" s="37"/>
      <c r="Z1456" s="37"/>
      <c r="AA1456" s="37"/>
      <c r="AB1456" s="37"/>
      <c r="AC1456" s="37"/>
      <c r="AD1456" s="37"/>
    </row>
    <row r="1457">
      <c r="A1457" s="37"/>
      <c r="B1457" s="37"/>
      <c r="C1457" s="37"/>
      <c r="D1457" s="37"/>
      <c r="E1457" s="37"/>
      <c r="F1457" s="37"/>
      <c r="G1457" s="37"/>
      <c r="H1457" s="37"/>
      <c r="I1457" s="37"/>
      <c r="J1457" s="37"/>
      <c r="K1457" s="37"/>
      <c r="L1457" s="37"/>
      <c r="M1457" s="37"/>
      <c r="N1457" s="37"/>
      <c r="O1457" s="37"/>
      <c r="P1457" s="37"/>
      <c r="Q1457" s="37"/>
      <c r="R1457" s="37"/>
      <c r="S1457" s="37"/>
      <c r="T1457" s="37"/>
      <c r="U1457" s="37"/>
      <c r="V1457" s="37"/>
      <c r="W1457" s="37"/>
      <c r="X1457" s="37"/>
      <c r="Y1457" s="37"/>
      <c r="Z1457" s="37"/>
      <c r="AA1457" s="37"/>
      <c r="AB1457" s="37"/>
      <c r="AC1457" s="37"/>
      <c r="AD1457" s="37"/>
    </row>
    <row r="1458">
      <c r="A1458" s="37"/>
      <c r="B1458" s="37"/>
      <c r="C1458" s="37"/>
      <c r="D1458" s="37"/>
      <c r="E1458" s="37"/>
      <c r="F1458" s="37"/>
      <c r="G1458" s="37"/>
      <c r="H1458" s="37"/>
      <c r="I1458" s="37"/>
      <c r="J1458" s="37"/>
      <c r="K1458" s="37"/>
      <c r="L1458" s="37"/>
      <c r="M1458" s="37"/>
      <c r="N1458" s="37"/>
      <c r="O1458" s="37"/>
      <c r="P1458" s="37"/>
      <c r="Q1458" s="37"/>
      <c r="R1458" s="37"/>
      <c r="S1458" s="37"/>
      <c r="T1458" s="37"/>
      <c r="U1458" s="37"/>
      <c r="V1458" s="37"/>
      <c r="W1458" s="37"/>
      <c r="X1458" s="37"/>
      <c r="Y1458" s="37"/>
      <c r="Z1458" s="37"/>
      <c r="AA1458" s="37"/>
      <c r="AB1458" s="37"/>
      <c r="AC1458" s="37"/>
      <c r="AD1458" s="37"/>
    </row>
    <row r="1459">
      <c r="A1459" s="37"/>
      <c r="B1459" s="37"/>
      <c r="C1459" s="37"/>
      <c r="D1459" s="37"/>
      <c r="E1459" s="37"/>
      <c r="F1459" s="37"/>
      <c r="G1459" s="37"/>
      <c r="H1459" s="37"/>
      <c r="I1459" s="37"/>
      <c r="J1459" s="37"/>
      <c r="K1459" s="37"/>
      <c r="L1459" s="37"/>
      <c r="M1459" s="37"/>
      <c r="N1459" s="37"/>
      <c r="O1459" s="37"/>
      <c r="P1459" s="37"/>
      <c r="Q1459" s="37"/>
      <c r="R1459" s="37"/>
      <c r="S1459" s="37"/>
      <c r="T1459" s="37"/>
      <c r="U1459" s="37"/>
      <c r="V1459" s="37"/>
      <c r="W1459" s="37"/>
      <c r="X1459" s="37"/>
      <c r="Y1459" s="37"/>
      <c r="Z1459" s="37"/>
      <c r="AA1459" s="37"/>
      <c r="AB1459" s="37"/>
      <c r="AC1459" s="37"/>
      <c r="AD1459" s="37"/>
    </row>
    <row r="1460">
      <c r="A1460" s="37"/>
      <c r="B1460" s="37"/>
      <c r="C1460" s="37"/>
      <c r="D1460" s="37"/>
      <c r="E1460" s="37"/>
      <c r="F1460" s="37"/>
      <c r="G1460" s="37"/>
      <c r="H1460" s="37"/>
      <c r="I1460" s="37"/>
      <c r="J1460" s="37"/>
      <c r="K1460" s="37"/>
      <c r="L1460" s="37"/>
      <c r="M1460" s="37"/>
      <c r="N1460" s="37"/>
      <c r="O1460" s="37"/>
      <c r="P1460" s="37"/>
      <c r="Q1460" s="37"/>
      <c r="R1460" s="37"/>
      <c r="S1460" s="37"/>
      <c r="T1460" s="37"/>
      <c r="U1460" s="37"/>
      <c r="V1460" s="37"/>
      <c r="W1460" s="37"/>
      <c r="X1460" s="37"/>
      <c r="Y1460" s="37"/>
      <c r="Z1460" s="37"/>
      <c r="AA1460" s="37"/>
      <c r="AB1460" s="37"/>
      <c r="AC1460" s="37"/>
      <c r="AD1460" s="37"/>
    </row>
    <row r="1461">
      <c r="A1461" s="37"/>
      <c r="B1461" s="37"/>
      <c r="C1461" s="37"/>
      <c r="D1461" s="37"/>
      <c r="E1461" s="37"/>
      <c r="F1461" s="37"/>
      <c r="G1461" s="37"/>
      <c r="H1461" s="37"/>
      <c r="I1461" s="37"/>
      <c r="J1461" s="37"/>
      <c r="K1461" s="37"/>
      <c r="L1461" s="37"/>
      <c r="M1461" s="37"/>
      <c r="N1461" s="37"/>
      <c r="O1461" s="37"/>
      <c r="P1461" s="37"/>
      <c r="Q1461" s="37"/>
      <c r="R1461" s="37"/>
      <c r="S1461" s="37"/>
      <c r="T1461" s="37"/>
      <c r="U1461" s="37"/>
      <c r="V1461" s="37"/>
      <c r="W1461" s="37"/>
      <c r="X1461" s="37"/>
      <c r="Y1461" s="37"/>
      <c r="Z1461" s="37"/>
      <c r="AA1461" s="37"/>
      <c r="AB1461" s="37"/>
      <c r="AC1461" s="37"/>
      <c r="AD1461" s="37"/>
    </row>
    <row r="1462">
      <c r="A1462" s="37"/>
      <c r="B1462" s="37"/>
      <c r="C1462" s="37"/>
      <c r="D1462" s="37"/>
      <c r="E1462" s="37"/>
      <c r="F1462" s="37"/>
      <c r="G1462" s="37"/>
      <c r="H1462" s="37"/>
      <c r="I1462" s="37"/>
      <c r="J1462" s="37"/>
      <c r="K1462" s="37"/>
      <c r="L1462" s="37"/>
      <c r="M1462" s="37"/>
      <c r="N1462" s="37"/>
      <c r="O1462" s="37"/>
      <c r="P1462" s="37"/>
      <c r="Q1462" s="37"/>
      <c r="R1462" s="37"/>
      <c r="S1462" s="37"/>
      <c r="T1462" s="37"/>
      <c r="U1462" s="37"/>
      <c r="V1462" s="37"/>
      <c r="W1462" s="37"/>
      <c r="X1462" s="37"/>
      <c r="Y1462" s="37"/>
      <c r="Z1462" s="37"/>
      <c r="AA1462" s="37"/>
      <c r="AB1462" s="37"/>
      <c r="AC1462" s="37"/>
      <c r="AD1462" s="37"/>
    </row>
    <row r="1463">
      <c r="A1463" s="37"/>
      <c r="B1463" s="37"/>
      <c r="C1463" s="37"/>
      <c r="D1463" s="37"/>
      <c r="E1463" s="37"/>
      <c r="F1463" s="37"/>
      <c r="G1463" s="37"/>
      <c r="H1463" s="37"/>
      <c r="I1463" s="37"/>
      <c r="J1463" s="37"/>
      <c r="K1463" s="37"/>
      <c r="L1463" s="37"/>
      <c r="M1463" s="37"/>
      <c r="N1463" s="37"/>
      <c r="O1463" s="37"/>
      <c r="P1463" s="37"/>
      <c r="Q1463" s="37"/>
      <c r="R1463" s="37"/>
      <c r="S1463" s="37"/>
      <c r="T1463" s="37"/>
      <c r="U1463" s="37"/>
      <c r="V1463" s="37"/>
      <c r="W1463" s="37"/>
      <c r="X1463" s="37"/>
      <c r="Y1463" s="37"/>
      <c r="Z1463" s="37"/>
      <c r="AA1463" s="37"/>
      <c r="AB1463" s="37"/>
      <c r="AC1463" s="37"/>
      <c r="AD1463" s="37"/>
    </row>
    <row r="1464">
      <c r="A1464" s="37"/>
      <c r="B1464" s="37"/>
      <c r="C1464" s="37"/>
      <c r="D1464" s="37"/>
      <c r="E1464" s="37"/>
      <c r="F1464" s="37"/>
      <c r="G1464" s="37"/>
      <c r="H1464" s="37"/>
      <c r="I1464" s="37"/>
      <c r="J1464" s="37"/>
      <c r="K1464" s="37"/>
      <c r="L1464" s="37"/>
      <c r="M1464" s="37"/>
      <c r="N1464" s="37"/>
      <c r="O1464" s="37"/>
      <c r="P1464" s="37"/>
      <c r="Q1464" s="37"/>
      <c r="R1464" s="37"/>
      <c r="S1464" s="37"/>
      <c r="T1464" s="37"/>
      <c r="U1464" s="37"/>
      <c r="V1464" s="37"/>
      <c r="W1464" s="37"/>
      <c r="X1464" s="37"/>
      <c r="Y1464" s="37"/>
      <c r="Z1464" s="37"/>
      <c r="AA1464" s="37"/>
      <c r="AB1464" s="37"/>
      <c r="AC1464" s="37"/>
      <c r="AD1464" s="37"/>
    </row>
    <row r="1465">
      <c r="A1465" s="37"/>
      <c r="B1465" s="37"/>
      <c r="C1465" s="37"/>
      <c r="D1465" s="37"/>
      <c r="E1465" s="37"/>
      <c r="F1465" s="37"/>
      <c r="G1465" s="37"/>
      <c r="H1465" s="37"/>
      <c r="I1465" s="37"/>
      <c r="J1465" s="37"/>
      <c r="K1465" s="37"/>
      <c r="L1465" s="37"/>
      <c r="M1465" s="37"/>
      <c r="N1465" s="37"/>
      <c r="O1465" s="37"/>
      <c r="P1465" s="37"/>
      <c r="Q1465" s="37"/>
      <c r="R1465" s="37"/>
      <c r="S1465" s="37"/>
      <c r="T1465" s="37"/>
      <c r="U1465" s="37"/>
      <c r="V1465" s="37"/>
      <c r="W1465" s="37"/>
      <c r="X1465" s="37"/>
      <c r="Y1465" s="37"/>
      <c r="Z1465" s="37"/>
      <c r="AA1465" s="37"/>
      <c r="AB1465" s="37"/>
      <c r="AC1465" s="37"/>
      <c r="AD1465" s="37"/>
    </row>
    <row r="1466">
      <c r="A1466" s="37"/>
      <c r="B1466" s="37"/>
      <c r="C1466" s="37"/>
      <c r="D1466" s="37"/>
      <c r="E1466" s="37"/>
      <c r="F1466" s="37"/>
      <c r="G1466" s="37"/>
      <c r="H1466" s="37"/>
      <c r="I1466" s="37"/>
      <c r="J1466" s="37"/>
      <c r="K1466" s="37"/>
      <c r="L1466" s="37"/>
      <c r="M1466" s="37"/>
      <c r="N1466" s="37"/>
      <c r="O1466" s="37"/>
      <c r="P1466" s="37"/>
      <c r="Q1466" s="37"/>
      <c r="R1466" s="37"/>
      <c r="S1466" s="37"/>
      <c r="T1466" s="37"/>
      <c r="U1466" s="37"/>
      <c r="V1466" s="37"/>
      <c r="W1466" s="37"/>
      <c r="X1466" s="37"/>
      <c r="Y1466" s="37"/>
      <c r="Z1466" s="37"/>
      <c r="AA1466" s="37"/>
      <c r="AB1466" s="37"/>
      <c r="AC1466" s="37"/>
      <c r="AD1466" s="37"/>
    </row>
    <row r="1467">
      <c r="A1467" s="37"/>
      <c r="B1467" s="37"/>
      <c r="C1467" s="37"/>
      <c r="D1467" s="37"/>
      <c r="E1467" s="37"/>
      <c r="F1467" s="37"/>
      <c r="G1467" s="37"/>
      <c r="H1467" s="37"/>
      <c r="I1467" s="37"/>
      <c r="J1467" s="37"/>
      <c r="K1467" s="37"/>
      <c r="L1467" s="37"/>
      <c r="M1467" s="37"/>
      <c r="N1467" s="37"/>
      <c r="O1467" s="37"/>
      <c r="P1467" s="37"/>
      <c r="Q1467" s="37"/>
      <c r="R1467" s="37"/>
      <c r="S1467" s="37"/>
      <c r="T1467" s="37"/>
      <c r="U1467" s="37"/>
      <c r="V1467" s="37"/>
      <c r="W1467" s="37"/>
      <c r="X1467" s="37"/>
      <c r="Y1467" s="37"/>
      <c r="Z1467" s="37"/>
      <c r="AA1467" s="37"/>
      <c r="AB1467" s="37"/>
      <c r="AC1467" s="37"/>
      <c r="AD1467" s="37"/>
    </row>
    <row r="1468">
      <c r="A1468" s="37"/>
      <c r="B1468" s="37"/>
      <c r="C1468" s="37"/>
      <c r="D1468" s="37"/>
      <c r="E1468" s="37"/>
      <c r="F1468" s="37"/>
      <c r="G1468" s="37"/>
      <c r="H1468" s="37"/>
      <c r="I1468" s="37"/>
      <c r="J1468" s="37"/>
      <c r="K1468" s="37"/>
      <c r="L1468" s="37"/>
      <c r="M1468" s="37"/>
      <c r="N1468" s="37"/>
      <c r="O1468" s="37"/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37"/>
      <c r="AA1468" s="37"/>
      <c r="AB1468" s="37"/>
      <c r="AC1468" s="37"/>
      <c r="AD1468" s="37"/>
    </row>
    <row r="1469">
      <c r="A1469" s="37"/>
      <c r="B1469" s="37"/>
      <c r="C1469" s="37"/>
      <c r="D1469" s="37"/>
      <c r="E1469" s="37"/>
      <c r="F1469" s="37"/>
      <c r="G1469" s="37"/>
      <c r="H1469" s="37"/>
      <c r="I1469" s="37"/>
      <c r="J1469" s="37"/>
      <c r="K1469" s="37"/>
      <c r="L1469" s="37"/>
      <c r="M1469" s="37"/>
      <c r="N1469" s="37"/>
      <c r="O1469" s="37"/>
      <c r="P1469" s="37"/>
      <c r="Q1469" s="37"/>
      <c r="R1469" s="37"/>
      <c r="S1469" s="37"/>
      <c r="T1469" s="37"/>
      <c r="U1469" s="37"/>
      <c r="V1469" s="37"/>
      <c r="W1469" s="37"/>
      <c r="X1469" s="37"/>
      <c r="Y1469" s="37"/>
      <c r="Z1469" s="37"/>
      <c r="AA1469" s="37"/>
      <c r="AB1469" s="37"/>
      <c r="AC1469" s="37"/>
      <c r="AD1469" s="37"/>
    </row>
    <row r="1470">
      <c r="A1470" s="37"/>
      <c r="B1470" s="37"/>
      <c r="C1470" s="37"/>
      <c r="D1470" s="37"/>
      <c r="E1470" s="37"/>
      <c r="F1470" s="37"/>
      <c r="G1470" s="37"/>
      <c r="H1470" s="37"/>
      <c r="I1470" s="37"/>
      <c r="J1470" s="37"/>
      <c r="K1470" s="37"/>
      <c r="L1470" s="37"/>
      <c r="M1470" s="37"/>
      <c r="N1470" s="37"/>
      <c r="O1470" s="37"/>
      <c r="P1470" s="37"/>
      <c r="Q1470" s="37"/>
      <c r="R1470" s="37"/>
      <c r="S1470" s="37"/>
      <c r="T1470" s="37"/>
      <c r="U1470" s="37"/>
      <c r="V1470" s="37"/>
      <c r="W1470" s="37"/>
      <c r="X1470" s="37"/>
      <c r="Y1470" s="37"/>
      <c r="Z1470" s="37"/>
      <c r="AA1470" s="37"/>
      <c r="AB1470" s="37"/>
      <c r="AC1470" s="37"/>
      <c r="AD1470" s="37"/>
    </row>
    <row r="1471">
      <c r="A1471" s="37"/>
      <c r="B1471" s="37"/>
      <c r="C1471" s="37"/>
      <c r="D1471" s="37"/>
      <c r="E1471" s="37"/>
      <c r="F1471" s="37"/>
      <c r="G1471" s="37"/>
      <c r="H1471" s="37"/>
      <c r="I1471" s="37"/>
      <c r="J1471" s="37"/>
      <c r="K1471" s="37"/>
      <c r="L1471" s="37"/>
      <c r="M1471" s="37"/>
      <c r="N1471" s="37"/>
      <c r="O1471" s="37"/>
      <c r="P1471" s="37"/>
      <c r="Q1471" s="37"/>
      <c r="R1471" s="37"/>
      <c r="S1471" s="37"/>
      <c r="T1471" s="37"/>
      <c r="U1471" s="37"/>
      <c r="V1471" s="37"/>
      <c r="W1471" s="37"/>
      <c r="X1471" s="37"/>
      <c r="Y1471" s="37"/>
      <c r="Z1471" s="37"/>
      <c r="AA1471" s="37"/>
      <c r="AB1471" s="37"/>
      <c r="AC1471" s="37"/>
      <c r="AD1471" s="37"/>
    </row>
    <row r="1472">
      <c r="A1472" s="37"/>
      <c r="B1472" s="37"/>
      <c r="C1472" s="37"/>
      <c r="D1472" s="37"/>
      <c r="E1472" s="37"/>
      <c r="F1472" s="37"/>
      <c r="G1472" s="37"/>
      <c r="H1472" s="37"/>
      <c r="I1472" s="37"/>
      <c r="J1472" s="37"/>
      <c r="K1472" s="37"/>
      <c r="L1472" s="37"/>
      <c r="M1472" s="37"/>
      <c r="N1472" s="37"/>
      <c r="O1472" s="37"/>
      <c r="P1472" s="37"/>
      <c r="Q1472" s="37"/>
      <c r="R1472" s="37"/>
      <c r="S1472" s="37"/>
      <c r="T1472" s="37"/>
      <c r="U1472" s="37"/>
      <c r="V1472" s="37"/>
      <c r="W1472" s="37"/>
      <c r="X1472" s="37"/>
      <c r="Y1472" s="37"/>
      <c r="Z1472" s="37"/>
      <c r="AA1472" s="37"/>
      <c r="AB1472" s="37"/>
      <c r="AC1472" s="37"/>
      <c r="AD1472" s="37"/>
    </row>
    <row r="1473">
      <c r="A1473" s="37"/>
      <c r="B1473" s="37"/>
      <c r="C1473" s="37"/>
      <c r="D1473" s="37"/>
      <c r="E1473" s="37"/>
      <c r="F1473" s="37"/>
      <c r="G1473" s="37"/>
      <c r="H1473" s="37"/>
      <c r="I1473" s="37"/>
      <c r="J1473" s="37"/>
      <c r="K1473" s="37"/>
      <c r="L1473" s="37"/>
      <c r="M1473" s="37"/>
      <c r="N1473" s="37"/>
      <c r="O1473" s="37"/>
      <c r="P1473" s="37"/>
      <c r="Q1473" s="37"/>
      <c r="R1473" s="37"/>
      <c r="S1473" s="37"/>
      <c r="T1473" s="37"/>
      <c r="U1473" s="37"/>
      <c r="V1473" s="37"/>
      <c r="W1473" s="37"/>
      <c r="X1473" s="37"/>
      <c r="Y1473" s="37"/>
      <c r="Z1473" s="37"/>
      <c r="AA1473" s="37"/>
      <c r="AB1473" s="37"/>
      <c r="AC1473" s="37"/>
      <c r="AD1473" s="37"/>
    </row>
    <row r="1474">
      <c r="A1474" s="37"/>
      <c r="B1474" s="37"/>
      <c r="C1474" s="37"/>
      <c r="D1474" s="37"/>
      <c r="E1474" s="37"/>
      <c r="F1474" s="37"/>
      <c r="G1474" s="37"/>
      <c r="H1474" s="37"/>
      <c r="I1474" s="37"/>
      <c r="J1474" s="37"/>
      <c r="K1474" s="37"/>
      <c r="L1474" s="37"/>
      <c r="M1474" s="37"/>
      <c r="N1474" s="37"/>
      <c r="O1474" s="37"/>
      <c r="P1474" s="37"/>
      <c r="Q1474" s="37"/>
      <c r="R1474" s="37"/>
      <c r="S1474" s="37"/>
      <c r="T1474" s="37"/>
      <c r="U1474" s="37"/>
      <c r="V1474" s="37"/>
      <c r="W1474" s="37"/>
      <c r="X1474" s="37"/>
      <c r="Y1474" s="37"/>
      <c r="Z1474" s="37"/>
      <c r="AA1474" s="37"/>
      <c r="AB1474" s="37"/>
      <c r="AC1474" s="37"/>
      <c r="AD1474" s="37"/>
    </row>
    <row r="1475">
      <c r="A1475" s="37"/>
      <c r="B1475" s="37"/>
      <c r="C1475" s="37"/>
      <c r="D1475" s="37"/>
      <c r="E1475" s="37"/>
      <c r="F1475" s="37"/>
      <c r="G1475" s="37"/>
      <c r="H1475" s="37"/>
      <c r="I1475" s="37"/>
      <c r="J1475" s="37"/>
      <c r="K1475" s="37"/>
      <c r="L1475" s="37"/>
      <c r="M1475" s="37"/>
      <c r="N1475" s="37"/>
      <c r="O1475" s="37"/>
      <c r="P1475" s="37"/>
      <c r="Q1475" s="37"/>
      <c r="R1475" s="37"/>
      <c r="S1475" s="37"/>
      <c r="T1475" s="37"/>
      <c r="U1475" s="37"/>
      <c r="V1475" s="37"/>
      <c r="W1475" s="37"/>
      <c r="X1475" s="37"/>
      <c r="Y1475" s="37"/>
      <c r="Z1475" s="37"/>
      <c r="AA1475" s="37"/>
      <c r="AB1475" s="37"/>
      <c r="AC1475" s="37"/>
      <c r="AD1475" s="37"/>
    </row>
    <row r="1476">
      <c r="A1476" s="37"/>
      <c r="B1476" s="37"/>
      <c r="C1476" s="37"/>
      <c r="D1476" s="37"/>
      <c r="E1476" s="37"/>
      <c r="F1476" s="37"/>
      <c r="G1476" s="37"/>
      <c r="H1476" s="37"/>
      <c r="I1476" s="37"/>
      <c r="J1476" s="37"/>
      <c r="K1476" s="37"/>
      <c r="L1476" s="37"/>
      <c r="M1476" s="37"/>
      <c r="N1476" s="37"/>
      <c r="O1476" s="37"/>
      <c r="P1476" s="37"/>
      <c r="Q1476" s="37"/>
      <c r="R1476" s="37"/>
      <c r="S1476" s="37"/>
      <c r="T1476" s="37"/>
      <c r="U1476" s="37"/>
      <c r="V1476" s="37"/>
      <c r="W1476" s="37"/>
      <c r="X1476" s="37"/>
      <c r="Y1476" s="37"/>
      <c r="Z1476" s="37"/>
      <c r="AA1476" s="37"/>
      <c r="AB1476" s="37"/>
      <c r="AC1476" s="37"/>
      <c r="AD1476" s="37"/>
    </row>
    <row r="1477">
      <c r="A1477" s="37"/>
      <c r="B1477" s="37"/>
      <c r="C1477" s="37"/>
      <c r="D1477" s="37"/>
      <c r="E1477" s="37"/>
      <c r="F1477" s="37"/>
      <c r="G1477" s="37"/>
      <c r="H1477" s="37"/>
      <c r="I1477" s="37"/>
      <c r="J1477" s="37"/>
      <c r="K1477" s="37"/>
      <c r="L1477" s="37"/>
      <c r="M1477" s="37"/>
      <c r="N1477" s="37"/>
      <c r="O1477" s="37"/>
      <c r="P1477" s="37"/>
      <c r="Q1477" s="37"/>
      <c r="R1477" s="37"/>
      <c r="S1477" s="37"/>
      <c r="T1477" s="37"/>
      <c r="U1477" s="37"/>
      <c r="V1477" s="37"/>
      <c r="W1477" s="37"/>
      <c r="X1477" s="37"/>
      <c r="Y1477" s="37"/>
      <c r="Z1477" s="37"/>
      <c r="AA1477" s="37"/>
      <c r="AB1477" s="37"/>
      <c r="AC1477" s="37"/>
      <c r="AD1477" s="37"/>
    </row>
    <row r="1478">
      <c r="A1478" s="37"/>
      <c r="B1478" s="37"/>
      <c r="C1478" s="37"/>
      <c r="D1478" s="37"/>
      <c r="E1478" s="37"/>
      <c r="F1478" s="37"/>
      <c r="G1478" s="37"/>
      <c r="H1478" s="37"/>
      <c r="I1478" s="37"/>
      <c r="J1478" s="37"/>
      <c r="K1478" s="37"/>
      <c r="L1478" s="37"/>
      <c r="M1478" s="37"/>
      <c r="N1478" s="37"/>
      <c r="O1478" s="37"/>
      <c r="P1478" s="37"/>
      <c r="Q1478" s="37"/>
      <c r="R1478" s="37"/>
      <c r="S1478" s="37"/>
      <c r="T1478" s="37"/>
      <c r="U1478" s="37"/>
      <c r="V1478" s="37"/>
      <c r="W1478" s="37"/>
      <c r="X1478" s="37"/>
      <c r="Y1478" s="37"/>
      <c r="Z1478" s="37"/>
      <c r="AA1478" s="37"/>
      <c r="AB1478" s="37"/>
      <c r="AC1478" s="37"/>
      <c r="AD1478" s="37"/>
    </row>
    <row r="1479">
      <c r="A1479" s="37"/>
      <c r="B1479" s="37"/>
      <c r="C1479" s="37"/>
      <c r="D1479" s="37"/>
      <c r="E1479" s="37"/>
      <c r="F1479" s="37"/>
      <c r="G1479" s="37"/>
      <c r="H1479" s="37"/>
      <c r="I1479" s="37"/>
      <c r="J1479" s="37"/>
      <c r="K1479" s="37"/>
      <c r="L1479" s="37"/>
      <c r="M1479" s="37"/>
      <c r="N1479" s="37"/>
      <c r="O1479" s="37"/>
      <c r="P1479" s="37"/>
      <c r="Q1479" s="37"/>
      <c r="R1479" s="37"/>
      <c r="S1479" s="37"/>
      <c r="T1479" s="37"/>
      <c r="U1479" s="37"/>
      <c r="V1479" s="37"/>
      <c r="W1479" s="37"/>
      <c r="X1479" s="37"/>
      <c r="Y1479" s="37"/>
      <c r="Z1479" s="37"/>
      <c r="AA1479" s="37"/>
      <c r="AB1479" s="37"/>
      <c r="AC1479" s="37"/>
      <c r="AD1479" s="37"/>
    </row>
    <row r="1480">
      <c r="A1480" s="37"/>
      <c r="B1480" s="37"/>
      <c r="C1480" s="37"/>
      <c r="D1480" s="37"/>
      <c r="E1480" s="37"/>
      <c r="F1480" s="37"/>
      <c r="G1480" s="37"/>
      <c r="H1480" s="37"/>
      <c r="I1480" s="37"/>
      <c r="J1480" s="37"/>
      <c r="K1480" s="37"/>
      <c r="L1480" s="37"/>
      <c r="M1480" s="37"/>
      <c r="N1480" s="37"/>
      <c r="O1480" s="37"/>
      <c r="P1480" s="37"/>
      <c r="Q1480" s="37"/>
      <c r="R1480" s="37"/>
      <c r="S1480" s="37"/>
      <c r="T1480" s="37"/>
      <c r="U1480" s="37"/>
      <c r="V1480" s="37"/>
      <c r="W1480" s="37"/>
      <c r="X1480" s="37"/>
      <c r="Y1480" s="37"/>
      <c r="Z1480" s="37"/>
      <c r="AA1480" s="37"/>
      <c r="AB1480" s="37"/>
      <c r="AC1480" s="37"/>
      <c r="AD1480" s="37"/>
    </row>
    <row r="1481">
      <c r="A1481" s="37"/>
      <c r="B1481" s="37"/>
      <c r="C1481" s="37"/>
      <c r="D1481" s="37"/>
      <c r="E1481" s="37"/>
      <c r="F1481" s="37"/>
      <c r="G1481" s="37"/>
      <c r="H1481" s="37"/>
      <c r="I1481" s="37"/>
      <c r="J1481" s="37"/>
      <c r="K1481" s="37"/>
      <c r="L1481" s="37"/>
      <c r="M1481" s="37"/>
      <c r="N1481" s="37"/>
      <c r="O1481" s="37"/>
      <c r="P1481" s="37"/>
      <c r="Q1481" s="37"/>
      <c r="R1481" s="37"/>
      <c r="S1481" s="37"/>
      <c r="T1481" s="37"/>
      <c r="U1481" s="37"/>
      <c r="V1481" s="37"/>
      <c r="W1481" s="37"/>
      <c r="X1481" s="37"/>
      <c r="Y1481" s="37"/>
      <c r="Z1481" s="37"/>
      <c r="AA1481" s="37"/>
      <c r="AB1481" s="37"/>
      <c r="AC1481" s="37"/>
      <c r="AD1481" s="37"/>
    </row>
    <row r="1482">
      <c r="A1482" s="37"/>
      <c r="B1482" s="37"/>
      <c r="C1482" s="37"/>
      <c r="D1482" s="37"/>
      <c r="E1482" s="37"/>
      <c r="F1482" s="37"/>
      <c r="G1482" s="37"/>
      <c r="H1482" s="37"/>
      <c r="I1482" s="37"/>
      <c r="J1482" s="37"/>
      <c r="K1482" s="37"/>
      <c r="L1482" s="37"/>
      <c r="M1482" s="37"/>
      <c r="N1482" s="37"/>
      <c r="O1482" s="37"/>
      <c r="P1482" s="37"/>
      <c r="Q1482" s="37"/>
      <c r="R1482" s="37"/>
      <c r="S1482" s="37"/>
      <c r="T1482" s="37"/>
      <c r="U1482" s="37"/>
      <c r="V1482" s="37"/>
      <c r="W1482" s="37"/>
      <c r="X1482" s="37"/>
      <c r="Y1482" s="37"/>
      <c r="Z1482" s="37"/>
      <c r="AA1482" s="37"/>
      <c r="AB1482" s="37"/>
      <c r="AC1482" s="37"/>
      <c r="AD1482" s="37"/>
    </row>
    <row r="1483">
      <c r="A1483" s="37"/>
      <c r="B1483" s="37"/>
      <c r="C1483" s="37"/>
      <c r="D1483" s="37"/>
      <c r="E1483" s="37"/>
      <c r="F1483" s="37"/>
      <c r="G1483" s="37"/>
      <c r="H1483" s="37"/>
      <c r="I1483" s="37"/>
      <c r="J1483" s="37"/>
      <c r="K1483" s="37"/>
      <c r="L1483" s="37"/>
      <c r="M1483" s="37"/>
      <c r="N1483" s="37"/>
      <c r="O1483" s="37"/>
      <c r="P1483" s="37"/>
      <c r="Q1483" s="37"/>
      <c r="R1483" s="37"/>
      <c r="S1483" s="37"/>
      <c r="T1483" s="37"/>
      <c r="U1483" s="37"/>
      <c r="V1483" s="37"/>
      <c r="W1483" s="37"/>
      <c r="X1483" s="37"/>
      <c r="Y1483" s="37"/>
      <c r="Z1483" s="37"/>
      <c r="AA1483" s="37"/>
      <c r="AB1483" s="37"/>
      <c r="AC1483" s="37"/>
      <c r="AD1483" s="37"/>
    </row>
    <row r="1484">
      <c r="A1484" s="37"/>
      <c r="B1484" s="37"/>
      <c r="C1484" s="37"/>
      <c r="D1484" s="37"/>
      <c r="E1484" s="37"/>
      <c r="F1484" s="37"/>
      <c r="G1484" s="37"/>
      <c r="H1484" s="37"/>
      <c r="I1484" s="37"/>
      <c r="J1484" s="37"/>
      <c r="K1484" s="37"/>
      <c r="L1484" s="37"/>
      <c r="M1484" s="37"/>
      <c r="N1484" s="37"/>
      <c r="O1484" s="37"/>
      <c r="P1484" s="37"/>
      <c r="Q1484" s="37"/>
      <c r="R1484" s="37"/>
      <c r="S1484" s="37"/>
      <c r="T1484" s="37"/>
      <c r="U1484" s="37"/>
      <c r="V1484" s="37"/>
      <c r="W1484" s="37"/>
      <c r="X1484" s="37"/>
      <c r="Y1484" s="37"/>
      <c r="Z1484" s="37"/>
      <c r="AA1484" s="37"/>
      <c r="AB1484" s="37"/>
      <c r="AC1484" s="37"/>
      <c r="AD1484" s="37"/>
    </row>
    <row r="1485">
      <c r="A1485" s="37"/>
      <c r="B1485" s="37"/>
      <c r="C1485" s="37"/>
      <c r="D1485" s="37"/>
      <c r="E1485" s="37"/>
      <c r="F1485" s="37"/>
      <c r="G1485" s="37"/>
      <c r="H1485" s="37"/>
      <c r="I1485" s="37"/>
      <c r="J1485" s="37"/>
      <c r="K1485" s="37"/>
      <c r="L1485" s="37"/>
      <c r="M1485" s="37"/>
      <c r="N1485" s="37"/>
      <c r="O1485" s="37"/>
      <c r="P1485" s="37"/>
      <c r="Q1485" s="37"/>
      <c r="R1485" s="37"/>
      <c r="S1485" s="37"/>
      <c r="T1485" s="37"/>
      <c r="U1485" s="37"/>
      <c r="V1485" s="37"/>
      <c r="W1485" s="37"/>
      <c r="X1485" s="37"/>
      <c r="Y1485" s="37"/>
      <c r="Z1485" s="37"/>
      <c r="AA1485" s="37"/>
      <c r="AB1485" s="37"/>
      <c r="AC1485" s="37"/>
      <c r="AD1485" s="37"/>
    </row>
    <row r="1486">
      <c r="A1486" s="37"/>
      <c r="B1486" s="37"/>
      <c r="C1486" s="37"/>
      <c r="D1486" s="37"/>
      <c r="E1486" s="37"/>
      <c r="F1486" s="37"/>
      <c r="G1486" s="37"/>
      <c r="H1486" s="37"/>
      <c r="I1486" s="37"/>
      <c r="J1486" s="37"/>
      <c r="K1486" s="37"/>
      <c r="L1486" s="37"/>
      <c r="M1486" s="37"/>
      <c r="N1486" s="37"/>
      <c r="O1486" s="37"/>
      <c r="P1486" s="37"/>
      <c r="Q1486" s="37"/>
      <c r="R1486" s="37"/>
      <c r="S1486" s="37"/>
      <c r="T1486" s="37"/>
      <c r="U1486" s="37"/>
      <c r="V1486" s="37"/>
      <c r="W1486" s="37"/>
      <c r="X1486" s="37"/>
      <c r="Y1486" s="37"/>
      <c r="Z1486" s="37"/>
      <c r="AA1486" s="37"/>
      <c r="AB1486" s="37"/>
      <c r="AC1486" s="37"/>
      <c r="AD1486" s="37"/>
    </row>
    <row r="1487">
      <c r="A1487" s="37"/>
      <c r="B1487" s="37"/>
      <c r="C1487" s="37"/>
      <c r="D1487" s="37"/>
      <c r="E1487" s="37"/>
      <c r="F1487" s="37"/>
      <c r="G1487" s="37"/>
      <c r="H1487" s="37"/>
      <c r="I1487" s="37"/>
      <c r="J1487" s="37"/>
      <c r="K1487" s="37"/>
      <c r="L1487" s="37"/>
      <c r="M1487" s="37"/>
      <c r="N1487" s="37"/>
      <c r="O1487" s="37"/>
      <c r="P1487" s="37"/>
      <c r="Q1487" s="37"/>
      <c r="R1487" s="37"/>
      <c r="S1487" s="37"/>
      <c r="T1487" s="37"/>
      <c r="U1487" s="37"/>
      <c r="V1487" s="37"/>
      <c r="W1487" s="37"/>
      <c r="X1487" s="37"/>
      <c r="Y1487" s="37"/>
      <c r="Z1487" s="37"/>
      <c r="AA1487" s="37"/>
      <c r="AB1487" s="37"/>
      <c r="AC1487" s="37"/>
      <c r="AD1487" s="37"/>
    </row>
    <row r="1488">
      <c r="A1488" s="37"/>
      <c r="B1488" s="37"/>
      <c r="C1488" s="37"/>
      <c r="D1488" s="37"/>
      <c r="E1488" s="37"/>
      <c r="F1488" s="37"/>
      <c r="G1488" s="37"/>
      <c r="H1488" s="37"/>
      <c r="I1488" s="37"/>
      <c r="J1488" s="37"/>
      <c r="K1488" s="37"/>
      <c r="L1488" s="37"/>
      <c r="M1488" s="37"/>
      <c r="N1488" s="37"/>
      <c r="O1488" s="37"/>
      <c r="P1488" s="37"/>
      <c r="Q1488" s="37"/>
      <c r="R1488" s="37"/>
      <c r="S1488" s="37"/>
      <c r="T1488" s="37"/>
      <c r="U1488" s="37"/>
      <c r="V1488" s="37"/>
      <c r="W1488" s="37"/>
      <c r="X1488" s="37"/>
      <c r="Y1488" s="37"/>
      <c r="Z1488" s="37"/>
      <c r="AA1488" s="37"/>
      <c r="AB1488" s="37"/>
      <c r="AC1488" s="37"/>
      <c r="AD1488" s="37"/>
    </row>
    <row r="1489">
      <c r="A1489" s="37"/>
      <c r="B1489" s="37"/>
      <c r="C1489" s="37"/>
      <c r="D1489" s="37"/>
      <c r="E1489" s="37"/>
      <c r="F1489" s="37"/>
      <c r="G1489" s="37"/>
      <c r="H1489" s="37"/>
      <c r="I1489" s="37"/>
      <c r="J1489" s="37"/>
      <c r="K1489" s="37"/>
      <c r="L1489" s="37"/>
      <c r="M1489" s="37"/>
      <c r="N1489" s="37"/>
      <c r="O1489" s="37"/>
      <c r="P1489" s="37"/>
      <c r="Q1489" s="37"/>
      <c r="R1489" s="37"/>
      <c r="S1489" s="37"/>
      <c r="T1489" s="37"/>
      <c r="U1489" s="37"/>
      <c r="V1489" s="37"/>
      <c r="W1489" s="37"/>
      <c r="X1489" s="37"/>
      <c r="Y1489" s="37"/>
      <c r="Z1489" s="37"/>
      <c r="AA1489" s="37"/>
      <c r="AB1489" s="37"/>
      <c r="AC1489" s="37"/>
      <c r="AD1489" s="37"/>
    </row>
    <row r="1490">
      <c r="A1490" s="37"/>
      <c r="B1490" s="37"/>
      <c r="C1490" s="37"/>
      <c r="D1490" s="37"/>
      <c r="E1490" s="37"/>
      <c r="F1490" s="37"/>
      <c r="G1490" s="37"/>
      <c r="H1490" s="37"/>
      <c r="I1490" s="37"/>
      <c r="J1490" s="37"/>
      <c r="K1490" s="37"/>
      <c r="L1490" s="37"/>
      <c r="M1490" s="37"/>
      <c r="N1490" s="37"/>
      <c r="O1490" s="37"/>
      <c r="P1490" s="37"/>
      <c r="Q1490" s="37"/>
      <c r="R1490" s="37"/>
      <c r="S1490" s="37"/>
      <c r="T1490" s="37"/>
      <c r="U1490" s="37"/>
      <c r="V1490" s="37"/>
      <c r="W1490" s="37"/>
      <c r="X1490" s="37"/>
      <c r="Y1490" s="37"/>
      <c r="Z1490" s="37"/>
      <c r="AA1490" s="37"/>
      <c r="AB1490" s="37"/>
      <c r="AC1490" s="37"/>
      <c r="AD1490" s="37"/>
    </row>
    <row r="1491">
      <c r="A1491" s="37"/>
      <c r="B1491" s="37"/>
      <c r="C1491" s="37"/>
      <c r="D1491" s="37"/>
      <c r="E1491" s="37"/>
      <c r="F1491" s="37"/>
      <c r="G1491" s="37"/>
      <c r="H1491" s="37"/>
      <c r="I1491" s="37"/>
      <c r="J1491" s="37"/>
      <c r="K1491" s="37"/>
      <c r="L1491" s="37"/>
      <c r="M1491" s="37"/>
      <c r="N1491" s="37"/>
      <c r="O1491" s="37"/>
      <c r="P1491" s="37"/>
      <c r="Q1491" s="37"/>
      <c r="R1491" s="37"/>
      <c r="S1491" s="37"/>
      <c r="T1491" s="37"/>
      <c r="U1491" s="37"/>
      <c r="V1491" s="37"/>
      <c r="W1491" s="37"/>
      <c r="X1491" s="37"/>
      <c r="Y1491" s="37"/>
      <c r="Z1491" s="37"/>
      <c r="AA1491" s="37"/>
      <c r="AB1491" s="37"/>
      <c r="AC1491" s="37"/>
      <c r="AD1491" s="37"/>
    </row>
    <row r="1492">
      <c r="A1492" s="37"/>
      <c r="B1492" s="37"/>
      <c r="C1492" s="37"/>
      <c r="D1492" s="37"/>
      <c r="E1492" s="37"/>
      <c r="F1492" s="37"/>
      <c r="G1492" s="37"/>
      <c r="H1492" s="37"/>
      <c r="I1492" s="37"/>
      <c r="J1492" s="37"/>
      <c r="K1492" s="37"/>
      <c r="L1492" s="37"/>
      <c r="M1492" s="37"/>
      <c r="N1492" s="37"/>
      <c r="O1492" s="37"/>
      <c r="P1492" s="37"/>
      <c r="Q1492" s="37"/>
      <c r="R1492" s="37"/>
      <c r="S1492" s="37"/>
      <c r="T1492" s="37"/>
      <c r="U1492" s="37"/>
      <c r="V1492" s="37"/>
      <c r="W1492" s="37"/>
      <c r="X1492" s="37"/>
      <c r="Y1492" s="37"/>
      <c r="Z1492" s="37"/>
      <c r="AA1492" s="37"/>
      <c r="AB1492" s="37"/>
      <c r="AC1492" s="37"/>
      <c r="AD1492" s="37"/>
    </row>
    <row r="1493">
      <c r="A1493" s="37"/>
      <c r="B1493" s="37"/>
      <c r="C1493" s="37"/>
      <c r="D1493" s="37"/>
      <c r="E1493" s="37"/>
      <c r="F1493" s="37"/>
      <c r="G1493" s="37"/>
      <c r="H1493" s="37"/>
      <c r="I1493" s="37"/>
      <c r="J1493" s="37"/>
      <c r="K1493" s="37"/>
      <c r="L1493" s="37"/>
      <c r="M1493" s="37"/>
      <c r="N1493" s="37"/>
      <c r="O1493" s="37"/>
      <c r="P1493" s="37"/>
      <c r="Q1493" s="37"/>
      <c r="R1493" s="37"/>
      <c r="S1493" s="37"/>
      <c r="T1493" s="37"/>
      <c r="U1493" s="37"/>
      <c r="V1493" s="37"/>
      <c r="W1493" s="37"/>
      <c r="X1493" s="37"/>
      <c r="Y1493" s="37"/>
      <c r="Z1493" s="37"/>
      <c r="AA1493" s="37"/>
      <c r="AB1493" s="37"/>
      <c r="AC1493" s="37"/>
      <c r="AD1493" s="37"/>
    </row>
    <row r="1494">
      <c r="A1494" s="37"/>
      <c r="B1494" s="37"/>
      <c r="C1494" s="37"/>
      <c r="D1494" s="37"/>
      <c r="E1494" s="37"/>
      <c r="F1494" s="37"/>
      <c r="G1494" s="37"/>
      <c r="H1494" s="37"/>
      <c r="I1494" s="37"/>
      <c r="J1494" s="37"/>
      <c r="K1494" s="37"/>
      <c r="L1494" s="37"/>
      <c r="M1494" s="37"/>
      <c r="N1494" s="37"/>
      <c r="O1494" s="37"/>
      <c r="P1494" s="37"/>
      <c r="Q1494" s="37"/>
      <c r="R1494" s="37"/>
      <c r="S1494" s="37"/>
      <c r="T1494" s="37"/>
      <c r="U1494" s="37"/>
      <c r="V1494" s="37"/>
      <c r="W1494" s="37"/>
      <c r="X1494" s="37"/>
      <c r="Y1494" s="37"/>
      <c r="Z1494" s="37"/>
      <c r="AA1494" s="37"/>
      <c r="AB1494" s="37"/>
      <c r="AC1494" s="37"/>
      <c r="AD1494" s="37"/>
    </row>
    <row r="1495">
      <c r="A1495" s="37"/>
      <c r="B1495" s="37"/>
      <c r="C1495" s="37"/>
      <c r="D1495" s="37"/>
      <c r="E1495" s="37"/>
      <c r="F1495" s="37"/>
      <c r="G1495" s="37"/>
      <c r="H1495" s="37"/>
      <c r="I1495" s="37"/>
      <c r="J1495" s="37"/>
      <c r="K1495" s="37"/>
      <c r="L1495" s="37"/>
      <c r="M1495" s="37"/>
      <c r="N1495" s="37"/>
      <c r="O1495" s="37"/>
      <c r="P1495" s="37"/>
      <c r="Q1495" s="37"/>
      <c r="R1495" s="37"/>
      <c r="S1495" s="37"/>
      <c r="T1495" s="37"/>
      <c r="U1495" s="37"/>
      <c r="V1495" s="37"/>
      <c r="W1495" s="37"/>
      <c r="X1495" s="37"/>
      <c r="Y1495" s="37"/>
      <c r="Z1495" s="37"/>
      <c r="AA1495" s="37"/>
      <c r="AB1495" s="37"/>
      <c r="AC1495" s="37"/>
      <c r="AD1495" s="37"/>
    </row>
    <row r="1496">
      <c r="A1496" s="37"/>
      <c r="B1496" s="37"/>
      <c r="C1496" s="37"/>
      <c r="D1496" s="37"/>
      <c r="E1496" s="37"/>
      <c r="F1496" s="37"/>
      <c r="G1496" s="37"/>
      <c r="H1496" s="37"/>
      <c r="I1496" s="37"/>
      <c r="J1496" s="37"/>
      <c r="K1496" s="37"/>
      <c r="L1496" s="37"/>
      <c r="M1496" s="37"/>
      <c r="N1496" s="37"/>
      <c r="O1496" s="37"/>
      <c r="P1496" s="37"/>
      <c r="Q1496" s="37"/>
      <c r="R1496" s="37"/>
      <c r="S1496" s="37"/>
      <c r="T1496" s="37"/>
      <c r="U1496" s="37"/>
      <c r="V1496" s="37"/>
      <c r="W1496" s="37"/>
      <c r="X1496" s="37"/>
      <c r="Y1496" s="37"/>
      <c r="Z1496" s="37"/>
      <c r="AA1496" s="37"/>
      <c r="AB1496" s="37"/>
      <c r="AC1496" s="37"/>
      <c r="AD1496" s="37"/>
    </row>
    <row r="1497">
      <c r="A1497" s="37"/>
      <c r="B1497" s="37"/>
      <c r="C1497" s="37"/>
      <c r="D1497" s="37"/>
      <c r="E1497" s="37"/>
      <c r="F1497" s="37"/>
      <c r="G1497" s="37"/>
      <c r="H1497" s="37"/>
      <c r="I1497" s="37"/>
      <c r="J1497" s="37"/>
      <c r="K1497" s="37"/>
      <c r="L1497" s="37"/>
      <c r="M1497" s="37"/>
      <c r="N1497" s="37"/>
      <c r="O1497" s="37"/>
      <c r="P1497" s="37"/>
      <c r="Q1497" s="37"/>
      <c r="R1497" s="37"/>
      <c r="S1497" s="37"/>
      <c r="T1497" s="37"/>
      <c r="U1497" s="37"/>
      <c r="V1497" s="37"/>
      <c r="W1497" s="37"/>
      <c r="X1497" s="37"/>
      <c r="Y1497" s="37"/>
      <c r="Z1497" s="37"/>
      <c r="AA1497" s="37"/>
      <c r="AB1497" s="37"/>
      <c r="AC1497" s="37"/>
      <c r="AD1497" s="37"/>
    </row>
    <row r="1498">
      <c r="A1498" s="37"/>
      <c r="B1498" s="37"/>
      <c r="C1498" s="37"/>
      <c r="D1498" s="37"/>
      <c r="E1498" s="37"/>
      <c r="F1498" s="37"/>
      <c r="G1498" s="37"/>
      <c r="H1498" s="37"/>
      <c r="I1498" s="37"/>
      <c r="J1498" s="37"/>
      <c r="K1498" s="37"/>
      <c r="L1498" s="37"/>
      <c r="M1498" s="37"/>
      <c r="N1498" s="37"/>
      <c r="O1498" s="37"/>
      <c r="P1498" s="37"/>
      <c r="Q1498" s="37"/>
      <c r="R1498" s="37"/>
      <c r="S1498" s="37"/>
      <c r="T1498" s="37"/>
      <c r="U1498" s="37"/>
      <c r="V1498" s="37"/>
      <c r="W1498" s="37"/>
      <c r="X1498" s="37"/>
      <c r="Y1498" s="37"/>
      <c r="Z1498" s="37"/>
      <c r="AA1498" s="37"/>
      <c r="AB1498" s="37"/>
      <c r="AC1498" s="37"/>
      <c r="AD1498" s="37"/>
    </row>
    <row r="1499">
      <c r="A1499" s="37"/>
      <c r="B1499" s="37"/>
      <c r="C1499" s="37"/>
      <c r="D1499" s="37"/>
      <c r="E1499" s="37"/>
      <c r="F1499" s="37"/>
      <c r="G1499" s="37"/>
      <c r="H1499" s="37"/>
      <c r="I1499" s="37"/>
      <c r="J1499" s="37"/>
      <c r="K1499" s="37"/>
      <c r="L1499" s="37"/>
      <c r="M1499" s="37"/>
      <c r="N1499" s="37"/>
      <c r="O1499" s="37"/>
      <c r="P1499" s="37"/>
      <c r="Q1499" s="37"/>
      <c r="R1499" s="37"/>
      <c r="S1499" s="37"/>
      <c r="T1499" s="37"/>
      <c r="U1499" s="37"/>
      <c r="V1499" s="37"/>
      <c r="W1499" s="37"/>
      <c r="X1499" s="37"/>
      <c r="Y1499" s="37"/>
      <c r="Z1499" s="37"/>
      <c r="AA1499" s="37"/>
      <c r="AB1499" s="37"/>
      <c r="AC1499" s="37"/>
      <c r="AD1499" s="37"/>
    </row>
    <row r="1500">
      <c r="A1500" s="37"/>
      <c r="B1500" s="37"/>
      <c r="C1500" s="37"/>
      <c r="D1500" s="37"/>
      <c r="E1500" s="37"/>
      <c r="F1500" s="37"/>
      <c r="G1500" s="37"/>
      <c r="H1500" s="37"/>
      <c r="I1500" s="37"/>
      <c r="J1500" s="37"/>
      <c r="K1500" s="37"/>
      <c r="L1500" s="37"/>
      <c r="M1500" s="37"/>
      <c r="N1500" s="37"/>
      <c r="O1500" s="37"/>
      <c r="P1500" s="37"/>
      <c r="Q1500" s="37"/>
      <c r="R1500" s="37"/>
      <c r="S1500" s="37"/>
      <c r="T1500" s="37"/>
      <c r="U1500" s="37"/>
      <c r="V1500" s="37"/>
      <c r="W1500" s="37"/>
      <c r="X1500" s="37"/>
      <c r="Y1500" s="37"/>
      <c r="Z1500" s="37"/>
      <c r="AA1500" s="37"/>
      <c r="AB1500" s="37"/>
      <c r="AC1500" s="37"/>
      <c r="AD1500" s="37"/>
    </row>
    <row r="1501">
      <c r="A1501" s="37"/>
      <c r="B1501" s="37"/>
      <c r="C1501" s="37"/>
      <c r="D1501" s="37"/>
      <c r="E1501" s="37"/>
      <c r="F1501" s="37"/>
      <c r="G1501" s="37"/>
      <c r="H1501" s="37"/>
      <c r="I1501" s="37"/>
      <c r="J1501" s="37"/>
      <c r="K1501" s="37"/>
      <c r="L1501" s="37"/>
      <c r="M1501" s="37"/>
      <c r="N1501" s="37"/>
      <c r="O1501" s="37"/>
      <c r="P1501" s="37"/>
      <c r="Q1501" s="37"/>
      <c r="R1501" s="37"/>
      <c r="S1501" s="37"/>
      <c r="T1501" s="37"/>
      <c r="U1501" s="37"/>
      <c r="V1501" s="37"/>
      <c r="W1501" s="37"/>
      <c r="X1501" s="37"/>
      <c r="Y1501" s="37"/>
      <c r="Z1501" s="37"/>
      <c r="AA1501" s="37"/>
      <c r="AB1501" s="37"/>
      <c r="AC1501" s="37"/>
      <c r="AD1501" s="37"/>
    </row>
    <row r="1502">
      <c r="A1502" s="37"/>
      <c r="B1502" s="37"/>
      <c r="C1502" s="37"/>
      <c r="D1502" s="37"/>
      <c r="E1502" s="37"/>
      <c r="F1502" s="37"/>
      <c r="G1502" s="37"/>
      <c r="H1502" s="37"/>
      <c r="I1502" s="37"/>
      <c r="J1502" s="37"/>
      <c r="K1502" s="37"/>
      <c r="L1502" s="37"/>
      <c r="M1502" s="37"/>
      <c r="N1502" s="37"/>
      <c r="O1502" s="37"/>
      <c r="P1502" s="37"/>
      <c r="Q1502" s="37"/>
      <c r="R1502" s="37"/>
      <c r="S1502" s="37"/>
      <c r="T1502" s="37"/>
      <c r="U1502" s="37"/>
      <c r="V1502" s="37"/>
      <c r="W1502" s="37"/>
      <c r="X1502" s="37"/>
      <c r="Y1502" s="37"/>
      <c r="Z1502" s="37"/>
      <c r="AA1502" s="37"/>
      <c r="AB1502" s="37"/>
      <c r="AC1502" s="37"/>
      <c r="AD1502" s="37"/>
    </row>
    <row r="1503">
      <c r="A1503" s="37"/>
      <c r="B1503" s="37"/>
      <c r="C1503" s="37"/>
      <c r="D1503" s="37"/>
      <c r="E1503" s="37"/>
      <c r="F1503" s="37"/>
      <c r="G1503" s="37"/>
      <c r="H1503" s="37"/>
      <c r="I1503" s="37"/>
      <c r="J1503" s="37"/>
      <c r="K1503" s="37"/>
      <c r="L1503" s="37"/>
      <c r="M1503" s="37"/>
      <c r="N1503" s="37"/>
      <c r="O1503" s="37"/>
      <c r="P1503" s="37"/>
      <c r="Q1503" s="37"/>
      <c r="R1503" s="37"/>
      <c r="S1503" s="37"/>
      <c r="T1503" s="37"/>
      <c r="U1503" s="37"/>
      <c r="V1503" s="37"/>
      <c r="W1503" s="37"/>
      <c r="X1503" s="37"/>
      <c r="Y1503" s="37"/>
      <c r="Z1503" s="37"/>
      <c r="AA1503" s="37"/>
      <c r="AB1503" s="37"/>
      <c r="AC1503" s="37"/>
      <c r="AD1503" s="37"/>
    </row>
    <row r="1504">
      <c r="A1504" s="37"/>
      <c r="B1504" s="37"/>
      <c r="C1504" s="37"/>
      <c r="D1504" s="37"/>
      <c r="E1504" s="37"/>
      <c r="F1504" s="37"/>
      <c r="G1504" s="37"/>
      <c r="H1504" s="37"/>
      <c r="I1504" s="37"/>
      <c r="J1504" s="37"/>
      <c r="K1504" s="37"/>
      <c r="L1504" s="37"/>
      <c r="M1504" s="37"/>
      <c r="N1504" s="37"/>
      <c r="O1504" s="37"/>
      <c r="P1504" s="37"/>
      <c r="Q1504" s="37"/>
      <c r="R1504" s="37"/>
      <c r="S1504" s="37"/>
      <c r="T1504" s="37"/>
      <c r="U1504" s="37"/>
      <c r="V1504" s="37"/>
      <c r="W1504" s="37"/>
      <c r="X1504" s="37"/>
      <c r="Y1504" s="37"/>
      <c r="Z1504" s="37"/>
      <c r="AA1504" s="37"/>
      <c r="AB1504" s="37"/>
      <c r="AC1504" s="37"/>
      <c r="AD1504" s="37"/>
    </row>
    <row r="1505">
      <c r="A1505" s="37"/>
      <c r="B1505" s="37"/>
      <c r="C1505" s="37"/>
      <c r="D1505" s="37"/>
      <c r="E1505" s="37"/>
      <c r="F1505" s="37"/>
      <c r="G1505" s="37"/>
      <c r="H1505" s="37"/>
      <c r="I1505" s="37"/>
      <c r="J1505" s="37"/>
      <c r="K1505" s="37"/>
      <c r="L1505" s="37"/>
      <c r="M1505" s="37"/>
      <c r="N1505" s="37"/>
      <c r="O1505" s="37"/>
      <c r="P1505" s="37"/>
      <c r="Q1505" s="37"/>
      <c r="R1505" s="37"/>
      <c r="S1505" s="37"/>
      <c r="T1505" s="37"/>
      <c r="U1505" s="37"/>
      <c r="V1505" s="37"/>
      <c r="W1505" s="37"/>
      <c r="X1505" s="37"/>
      <c r="Y1505" s="37"/>
      <c r="Z1505" s="37"/>
      <c r="AA1505" s="37"/>
      <c r="AB1505" s="37"/>
      <c r="AC1505" s="37"/>
      <c r="AD1505" s="37"/>
    </row>
    <row r="1506">
      <c r="A1506" s="37"/>
      <c r="B1506" s="37"/>
      <c r="C1506" s="37"/>
      <c r="D1506" s="37"/>
      <c r="E1506" s="37"/>
      <c r="F1506" s="37"/>
      <c r="G1506" s="37"/>
      <c r="H1506" s="37"/>
      <c r="I1506" s="37"/>
      <c r="J1506" s="37"/>
      <c r="K1506" s="37"/>
      <c r="L1506" s="37"/>
      <c r="M1506" s="37"/>
      <c r="N1506" s="37"/>
      <c r="O1506" s="37"/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37"/>
      <c r="AA1506" s="37"/>
      <c r="AB1506" s="37"/>
      <c r="AC1506" s="37"/>
      <c r="AD1506" s="37"/>
    </row>
    <row r="1507">
      <c r="A1507" s="37"/>
      <c r="B1507" s="37"/>
      <c r="C1507" s="37"/>
      <c r="D1507" s="37"/>
      <c r="E1507" s="37"/>
      <c r="F1507" s="37"/>
      <c r="G1507" s="37"/>
      <c r="H1507" s="37"/>
      <c r="I1507" s="37"/>
      <c r="J1507" s="37"/>
      <c r="K1507" s="37"/>
      <c r="L1507" s="37"/>
      <c r="M1507" s="37"/>
      <c r="N1507" s="37"/>
      <c r="O1507" s="37"/>
      <c r="P1507" s="37"/>
      <c r="Q1507" s="37"/>
      <c r="R1507" s="37"/>
      <c r="S1507" s="37"/>
      <c r="T1507" s="37"/>
      <c r="U1507" s="37"/>
      <c r="V1507" s="37"/>
      <c r="W1507" s="37"/>
      <c r="X1507" s="37"/>
      <c r="Y1507" s="37"/>
      <c r="Z1507" s="37"/>
      <c r="AA1507" s="37"/>
      <c r="AB1507" s="37"/>
      <c r="AC1507" s="37"/>
      <c r="AD1507" s="37"/>
    </row>
    <row r="1508">
      <c r="A1508" s="37"/>
      <c r="B1508" s="37"/>
      <c r="C1508" s="37"/>
      <c r="D1508" s="37"/>
      <c r="E1508" s="37"/>
      <c r="F1508" s="37"/>
      <c r="G1508" s="37"/>
      <c r="H1508" s="37"/>
      <c r="I1508" s="37"/>
      <c r="J1508" s="37"/>
      <c r="K1508" s="37"/>
      <c r="L1508" s="37"/>
      <c r="M1508" s="37"/>
      <c r="N1508" s="37"/>
      <c r="O1508" s="37"/>
      <c r="P1508" s="37"/>
      <c r="Q1508" s="37"/>
      <c r="R1508" s="37"/>
      <c r="S1508" s="37"/>
      <c r="T1508" s="37"/>
      <c r="U1508" s="37"/>
      <c r="V1508" s="37"/>
      <c r="W1508" s="37"/>
      <c r="X1508" s="37"/>
      <c r="Y1508" s="37"/>
      <c r="Z1508" s="37"/>
      <c r="AA1508" s="37"/>
      <c r="AB1508" s="37"/>
      <c r="AC1508" s="37"/>
      <c r="AD1508" s="37"/>
    </row>
    <row r="1509">
      <c r="A1509" s="37"/>
      <c r="B1509" s="37"/>
      <c r="C1509" s="37"/>
      <c r="D1509" s="37"/>
      <c r="E1509" s="37"/>
      <c r="F1509" s="37"/>
      <c r="G1509" s="37"/>
      <c r="H1509" s="37"/>
      <c r="I1509" s="37"/>
      <c r="J1509" s="37"/>
      <c r="K1509" s="37"/>
      <c r="L1509" s="37"/>
      <c r="M1509" s="37"/>
      <c r="N1509" s="37"/>
      <c r="O1509" s="37"/>
      <c r="P1509" s="37"/>
      <c r="Q1509" s="37"/>
      <c r="R1509" s="37"/>
      <c r="S1509" s="37"/>
      <c r="T1509" s="37"/>
      <c r="U1509" s="37"/>
      <c r="V1509" s="37"/>
      <c r="W1509" s="37"/>
      <c r="X1509" s="37"/>
      <c r="Y1509" s="37"/>
      <c r="Z1509" s="37"/>
      <c r="AA1509" s="37"/>
      <c r="AB1509" s="37"/>
      <c r="AC1509" s="37"/>
      <c r="AD1509" s="37"/>
    </row>
    <row r="1510">
      <c r="A1510" s="37"/>
      <c r="B1510" s="37"/>
      <c r="C1510" s="37"/>
      <c r="D1510" s="37"/>
      <c r="E1510" s="37"/>
      <c r="F1510" s="37"/>
      <c r="G1510" s="37"/>
      <c r="H1510" s="37"/>
      <c r="I1510" s="37"/>
      <c r="J1510" s="37"/>
      <c r="K1510" s="37"/>
      <c r="L1510" s="37"/>
      <c r="M1510" s="37"/>
      <c r="N1510" s="37"/>
      <c r="O1510" s="37"/>
      <c r="P1510" s="37"/>
      <c r="Q1510" s="37"/>
      <c r="R1510" s="37"/>
      <c r="S1510" s="37"/>
      <c r="T1510" s="37"/>
      <c r="U1510" s="37"/>
      <c r="V1510" s="37"/>
      <c r="W1510" s="37"/>
      <c r="X1510" s="37"/>
      <c r="Y1510" s="37"/>
      <c r="Z1510" s="37"/>
      <c r="AA1510" s="37"/>
      <c r="AB1510" s="37"/>
      <c r="AC1510" s="37"/>
      <c r="AD1510" s="37"/>
    </row>
    <row r="1511">
      <c r="A1511" s="37"/>
      <c r="B1511" s="37"/>
      <c r="C1511" s="37"/>
      <c r="D1511" s="37"/>
      <c r="E1511" s="37"/>
      <c r="F1511" s="37"/>
      <c r="G1511" s="37"/>
      <c r="H1511" s="37"/>
      <c r="I1511" s="37"/>
      <c r="J1511" s="37"/>
      <c r="K1511" s="37"/>
      <c r="L1511" s="37"/>
      <c r="M1511" s="37"/>
      <c r="N1511" s="37"/>
      <c r="O1511" s="37"/>
      <c r="P1511" s="37"/>
      <c r="Q1511" s="37"/>
      <c r="R1511" s="37"/>
      <c r="S1511" s="37"/>
      <c r="T1511" s="37"/>
      <c r="U1511" s="37"/>
      <c r="V1511" s="37"/>
      <c r="W1511" s="37"/>
      <c r="X1511" s="37"/>
      <c r="Y1511" s="37"/>
      <c r="Z1511" s="37"/>
      <c r="AA1511" s="37"/>
      <c r="AB1511" s="37"/>
      <c r="AC1511" s="37"/>
      <c r="AD1511" s="37"/>
    </row>
    <row r="1512">
      <c r="A1512" s="37"/>
      <c r="B1512" s="37"/>
      <c r="C1512" s="37"/>
      <c r="D1512" s="37"/>
      <c r="E1512" s="37"/>
      <c r="F1512" s="37"/>
      <c r="G1512" s="37"/>
      <c r="H1512" s="37"/>
      <c r="I1512" s="37"/>
      <c r="J1512" s="37"/>
      <c r="K1512" s="37"/>
      <c r="L1512" s="37"/>
      <c r="M1512" s="37"/>
      <c r="N1512" s="37"/>
      <c r="O1512" s="37"/>
      <c r="P1512" s="37"/>
      <c r="Q1512" s="37"/>
      <c r="R1512" s="37"/>
      <c r="S1512" s="37"/>
      <c r="T1512" s="37"/>
      <c r="U1512" s="37"/>
      <c r="V1512" s="37"/>
      <c r="W1512" s="37"/>
      <c r="X1512" s="37"/>
      <c r="Y1512" s="37"/>
      <c r="Z1512" s="37"/>
      <c r="AA1512" s="37"/>
      <c r="AB1512" s="37"/>
      <c r="AC1512" s="37"/>
      <c r="AD1512" s="37"/>
    </row>
    <row r="1513">
      <c r="A1513" s="37"/>
      <c r="B1513" s="37"/>
      <c r="C1513" s="37"/>
      <c r="D1513" s="37"/>
      <c r="E1513" s="37"/>
      <c r="F1513" s="37"/>
      <c r="G1513" s="37"/>
      <c r="H1513" s="37"/>
      <c r="I1513" s="37"/>
      <c r="J1513" s="37"/>
      <c r="K1513" s="37"/>
      <c r="L1513" s="37"/>
      <c r="M1513" s="37"/>
      <c r="N1513" s="37"/>
      <c r="O1513" s="37"/>
      <c r="P1513" s="37"/>
      <c r="Q1513" s="37"/>
      <c r="R1513" s="37"/>
      <c r="S1513" s="37"/>
      <c r="T1513" s="37"/>
      <c r="U1513" s="37"/>
      <c r="V1513" s="37"/>
      <c r="W1513" s="37"/>
      <c r="X1513" s="37"/>
      <c r="Y1513" s="37"/>
      <c r="Z1513" s="37"/>
      <c r="AA1513" s="37"/>
      <c r="AB1513" s="37"/>
      <c r="AC1513" s="37"/>
      <c r="AD1513" s="37"/>
    </row>
    <row r="1514">
      <c r="A1514" s="37"/>
      <c r="B1514" s="37"/>
      <c r="C1514" s="37"/>
      <c r="D1514" s="37"/>
      <c r="E1514" s="37"/>
      <c r="F1514" s="37"/>
      <c r="G1514" s="37"/>
      <c r="H1514" s="37"/>
      <c r="I1514" s="37"/>
      <c r="J1514" s="37"/>
      <c r="K1514" s="37"/>
      <c r="L1514" s="37"/>
      <c r="M1514" s="37"/>
      <c r="N1514" s="37"/>
      <c r="O1514" s="37"/>
      <c r="P1514" s="37"/>
      <c r="Q1514" s="37"/>
      <c r="R1514" s="37"/>
      <c r="S1514" s="37"/>
      <c r="T1514" s="37"/>
      <c r="U1514" s="37"/>
      <c r="V1514" s="37"/>
      <c r="W1514" s="37"/>
      <c r="X1514" s="37"/>
      <c r="Y1514" s="37"/>
      <c r="Z1514" s="37"/>
      <c r="AA1514" s="37"/>
      <c r="AB1514" s="37"/>
      <c r="AC1514" s="37"/>
      <c r="AD1514" s="37"/>
    </row>
    <row r="1515">
      <c r="A1515" s="37"/>
      <c r="B1515" s="37"/>
      <c r="C1515" s="37"/>
      <c r="D1515" s="37"/>
      <c r="E1515" s="37"/>
      <c r="F1515" s="37"/>
      <c r="G1515" s="37"/>
      <c r="H1515" s="37"/>
      <c r="I1515" s="37"/>
      <c r="J1515" s="37"/>
      <c r="K1515" s="37"/>
      <c r="L1515" s="37"/>
      <c r="M1515" s="37"/>
      <c r="N1515" s="37"/>
      <c r="O1515" s="37"/>
      <c r="P1515" s="37"/>
      <c r="Q1515" s="37"/>
      <c r="R1515" s="37"/>
      <c r="S1515" s="37"/>
      <c r="T1515" s="37"/>
      <c r="U1515" s="37"/>
      <c r="V1515" s="37"/>
      <c r="W1515" s="37"/>
      <c r="X1515" s="37"/>
      <c r="Y1515" s="37"/>
      <c r="Z1515" s="37"/>
      <c r="AA1515" s="37"/>
      <c r="AB1515" s="37"/>
      <c r="AC1515" s="37"/>
      <c r="AD1515" s="37"/>
    </row>
    <row r="1516">
      <c r="A1516" s="37"/>
      <c r="B1516" s="37"/>
      <c r="C1516" s="37"/>
      <c r="D1516" s="37"/>
      <c r="E1516" s="37"/>
      <c r="F1516" s="37"/>
      <c r="G1516" s="37"/>
      <c r="H1516" s="37"/>
      <c r="I1516" s="37"/>
      <c r="J1516" s="37"/>
      <c r="K1516" s="37"/>
      <c r="L1516" s="37"/>
      <c r="M1516" s="37"/>
      <c r="N1516" s="37"/>
      <c r="O1516" s="37"/>
      <c r="P1516" s="37"/>
      <c r="Q1516" s="37"/>
      <c r="R1516" s="37"/>
      <c r="S1516" s="37"/>
      <c r="T1516" s="37"/>
      <c r="U1516" s="37"/>
      <c r="V1516" s="37"/>
      <c r="W1516" s="37"/>
      <c r="X1516" s="37"/>
      <c r="Y1516" s="37"/>
      <c r="Z1516" s="37"/>
      <c r="AA1516" s="37"/>
      <c r="AB1516" s="37"/>
      <c r="AC1516" s="37"/>
      <c r="AD1516" s="37"/>
    </row>
    <row r="1517">
      <c r="A1517" s="37"/>
      <c r="B1517" s="37"/>
      <c r="C1517" s="37"/>
      <c r="D1517" s="37"/>
      <c r="E1517" s="37"/>
      <c r="F1517" s="37"/>
      <c r="G1517" s="37"/>
      <c r="H1517" s="37"/>
      <c r="I1517" s="37"/>
      <c r="J1517" s="37"/>
      <c r="K1517" s="37"/>
      <c r="L1517" s="37"/>
      <c r="M1517" s="37"/>
      <c r="N1517" s="37"/>
      <c r="O1517" s="37"/>
      <c r="P1517" s="37"/>
      <c r="Q1517" s="37"/>
      <c r="R1517" s="37"/>
      <c r="S1517" s="37"/>
      <c r="T1517" s="37"/>
      <c r="U1517" s="37"/>
      <c r="V1517" s="37"/>
      <c r="W1517" s="37"/>
      <c r="X1517" s="37"/>
      <c r="Y1517" s="37"/>
      <c r="Z1517" s="37"/>
      <c r="AA1517" s="37"/>
      <c r="AB1517" s="37"/>
      <c r="AC1517" s="37"/>
      <c r="AD1517" s="37"/>
    </row>
    <row r="1518">
      <c r="A1518" s="37"/>
      <c r="B1518" s="37"/>
      <c r="C1518" s="37"/>
      <c r="D1518" s="37"/>
      <c r="E1518" s="37"/>
      <c r="F1518" s="37"/>
      <c r="G1518" s="37"/>
      <c r="H1518" s="37"/>
      <c r="I1518" s="37"/>
      <c r="J1518" s="37"/>
      <c r="K1518" s="37"/>
      <c r="L1518" s="37"/>
      <c r="M1518" s="37"/>
      <c r="N1518" s="37"/>
      <c r="O1518" s="37"/>
      <c r="P1518" s="37"/>
      <c r="Q1518" s="37"/>
      <c r="R1518" s="37"/>
      <c r="S1518" s="37"/>
      <c r="T1518" s="37"/>
      <c r="U1518" s="37"/>
      <c r="V1518" s="37"/>
      <c r="W1518" s="37"/>
      <c r="X1518" s="37"/>
      <c r="Y1518" s="37"/>
      <c r="Z1518" s="37"/>
      <c r="AA1518" s="37"/>
      <c r="AB1518" s="37"/>
      <c r="AC1518" s="37"/>
      <c r="AD1518" s="37"/>
    </row>
    <row r="1519">
      <c r="A1519" s="37"/>
      <c r="B1519" s="37"/>
      <c r="C1519" s="37"/>
      <c r="D1519" s="37"/>
      <c r="E1519" s="37"/>
      <c r="F1519" s="37"/>
      <c r="G1519" s="37"/>
      <c r="H1519" s="37"/>
      <c r="I1519" s="37"/>
      <c r="J1519" s="37"/>
      <c r="K1519" s="37"/>
      <c r="L1519" s="37"/>
      <c r="M1519" s="37"/>
      <c r="N1519" s="37"/>
      <c r="O1519" s="37"/>
      <c r="P1519" s="37"/>
      <c r="Q1519" s="37"/>
      <c r="R1519" s="37"/>
      <c r="S1519" s="37"/>
      <c r="T1519" s="37"/>
      <c r="U1519" s="37"/>
      <c r="V1519" s="37"/>
      <c r="W1519" s="37"/>
      <c r="X1519" s="37"/>
      <c r="Y1519" s="37"/>
      <c r="Z1519" s="37"/>
      <c r="AA1519" s="37"/>
      <c r="AB1519" s="37"/>
      <c r="AC1519" s="37"/>
      <c r="AD1519" s="37"/>
    </row>
    <row r="1520">
      <c r="A1520" s="37"/>
      <c r="B1520" s="37"/>
      <c r="C1520" s="37"/>
      <c r="D1520" s="37"/>
      <c r="E1520" s="37"/>
      <c r="F1520" s="37"/>
      <c r="G1520" s="37"/>
      <c r="H1520" s="37"/>
      <c r="I1520" s="37"/>
      <c r="J1520" s="37"/>
      <c r="K1520" s="37"/>
      <c r="L1520" s="37"/>
      <c r="M1520" s="37"/>
      <c r="N1520" s="37"/>
      <c r="O1520" s="37"/>
      <c r="P1520" s="37"/>
      <c r="Q1520" s="37"/>
      <c r="R1520" s="37"/>
      <c r="S1520" s="37"/>
      <c r="T1520" s="37"/>
      <c r="U1520" s="37"/>
      <c r="V1520" s="37"/>
      <c r="W1520" s="37"/>
      <c r="X1520" s="37"/>
      <c r="Y1520" s="37"/>
      <c r="Z1520" s="37"/>
      <c r="AA1520" s="37"/>
      <c r="AB1520" s="37"/>
      <c r="AC1520" s="37"/>
      <c r="AD1520" s="37"/>
    </row>
    <row r="1521">
      <c r="A1521" s="37"/>
      <c r="B1521" s="37"/>
      <c r="C1521" s="37"/>
      <c r="D1521" s="37"/>
      <c r="E1521" s="37"/>
      <c r="F1521" s="37"/>
      <c r="G1521" s="37"/>
      <c r="H1521" s="37"/>
      <c r="I1521" s="37"/>
      <c r="J1521" s="37"/>
      <c r="K1521" s="37"/>
      <c r="L1521" s="37"/>
      <c r="M1521" s="37"/>
      <c r="N1521" s="37"/>
      <c r="O1521" s="37"/>
      <c r="P1521" s="37"/>
      <c r="Q1521" s="37"/>
      <c r="R1521" s="37"/>
      <c r="S1521" s="37"/>
      <c r="T1521" s="37"/>
      <c r="U1521" s="37"/>
      <c r="V1521" s="37"/>
      <c r="W1521" s="37"/>
      <c r="X1521" s="37"/>
      <c r="Y1521" s="37"/>
      <c r="Z1521" s="37"/>
      <c r="AA1521" s="37"/>
      <c r="AB1521" s="37"/>
      <c r="AC1521" s="37"/>
      <c r="AD1521" s="37"/>
    </row>
    <row r="1522">
      <c r="A1522" s="37"/>
      <c r="B1522" s="37"/>
      <c r="C1522" s="37"/>
      <c r="D1522" s="37"/>
      <c r="E1522" s="37"/>
      <c r="F1522" s="37"/>
      <c r="G1522" s="37"/>
      <c r="H1522" s="37"/>
      <c r="I1522" s="37"/>
      <c r="J1522" s="37"/>
      <c r="K1522" s="37"/>
      <c r="L1522" s="37"/>
      <c r="M1522" s="37"/>
      <c r="N1522" s="37"/>
      <c r="O1522" s="37"/>
      <c r="P1522" s="37"/>
      <c r="Q1522" s="37"/>
      <c r="R1522" s="37"/>
      <c r="S1522" s="37"/>
      <c r="T1522" s="37"/>
      <c r="U1522" s="37"/>
      <c r="V1522" s="37"/>
      <c r="W1522" s="37"/>
      <c r="X1522" s="37"/>
      <c r="Y1522" s="37"/>
      <c r="Z1522" s="37"/>
      <c r="AA1522" s="37"/>
      <c r="AB1522" s="37"/>
      <c r="AC1522" s="37"/>
      <c r="AD1522" s="37"/>
    </row>
    <row r="1523">
      <c r="A1523" s="37"/>
      <c r="B1523" s="37"/>
      <c r="C1523" s="37"/>
      <c r="D1523" s="37"/>
      <c r="E1523" s="37"/>
      <c r="F1523" s="37"/>
      <c r="G1523" s="37"/>
      <c r="H1523" s="37"/>
      <c r="I1523" s="37"/>
      <c r="J1523" s="37"/>
      <c r="K1523" s="37"/>
      <c r="L1523" s="37"/>
      <c r="M1523" s="37"/>
      <c r="N1523" s="37"/>
      <c r="O1523" s="37"/>
      <c r="P1523" s="37"/>
      <c r="Q1523" s="37"/>
      <c r="R1523" s="37"/>
      <c r="S1523" s="37"/>
      <c r="T1523" s="37"/>
      <c r="U1523" s="37"/>
      <c r="V1523" s="37"/>
      <c r="W1523" s="37"/>
      <c r="X1523" s="37"/>
      <c r="Y1523" s="37"/>
      <c r="Z1523" s="37"/>
      <c r="AA1523" s="37"/>
      <c r="AB1523" s="37"/>
      <c r="AC1523" s="37"/>
      <c r="AD1523" s="37"/>
    </row>
    <row r="1524">
      <c r="A1524" s="37"/>
      <c r="B1524" s="37"/>
      <c r="C1524" s="37"/>
      <c r="D1524" s="37"/>
      <c r="E1524" s="37"/>
      <c r="F1524" s="37"/>
      <c r="G1524" s="37"/>
      <c r="H1524" s="37"/>
      <c r="I1524" s="37"/>
      <c r="J1524" s="37"/>
      <c r="K1524" s="37"/>
      <c r="L1524" s="37"/>
      <c r="M1524" s="37"/>
      <c r="N1524" s="37"/>
      <c r="O1524" s="37"/>
      <c r="P1524" s="37"/>
      <c r="Q1524" s="37"/>
      <c r="R1524" s="37"/>
      <c r="S1524" s="37"/>
      <c r="T1524" s="37"/>
      <c r="U1524" s="37"/>
      <c r="V1524" s="37"/>
      <c r="W1524" s="37"/>
      <c r="X1524" s="37"/>
      <c r="Y1524" s="37"/>
      <c r="Z1524" s="37"/>
      <c r="AA1524" s="37"/>
      <c r="AB1524" s="37"/>
      <c r="AC1524" s="37"/>
      <c r="AD1524" s="37"/>
    </row>
    <row r="1525">
      <c r="A1525" s="37"/>
      <c r="B1525" s="37"/>
      <c r="C1525" s="37"/>
      <c r="D1525" s="37"/>
      <c r="E1525" s="37"/>
      <c r="F1525" s="37"/>
      <c r="G1525" s="37"/>
      <c r="H1525" s="37"/>
      <c r="I1525" s="37"/>
      <c r="J1525" s="37"/>
      <c r="K1525" s="37"/>
      <c r="L1525" s="37"/>
      <c r="M1525" s="37"/>
      <c r="N1525" s="37"/>
      <c r="O1525" s="37"/>
      <c r="P1525" s="37"/>
      <c r="Q1525" s="37"/>
      <c r="R1525" s="37"/>
      <c r="S1525" s="37"/>
      <c r="T1525" s="37"/>
      <c r="U1525" s="37"/>
      <c r="V1525" s="37"/>
      <c r="W1525" s="37"/>
      <c r="X1525" s="37"/>
      <c r="Y1525" s="37"/>
      <c r="Z1525" s="37"/>
      <c r="AA1525" s="37"/>
      <c r="AB1525" s="37"/>
      <c r="AC1525" s="37"/>
      <c r="AD1525" s="37"/>
    </row>
    <row r="1526">
      <c r="A1526" s="37"/>
      <c r="B1526" s="37"/>
      <c r="C1526" s="37"/>
      <c r="D1526" s="37"/>
      <c r="E1526" s="37"/>
      <c r="F1526" s="37"/>
      <c r="G1526" s="37"/>
      <c r="H1526" s="37"/>
      <c r="I1526" s="37"/>
      <c r="J1526" s="37"/>
      <c r="K1526" s="37"/>
      <c r="L1526" s="37"/>
      <c r="M1526" s="37"/>
      <c r="N1526" s="37"/>
      <c r="O1526" s="37"/>
      <c r="P1526" s="37"/>
      <c r="Q1526" s="37"/>
      <c r="R1526" s="37"/>
      <c r="S1526" s="37"/>
      <c r="T1526" s="37"/>
      <c r="U1526" s="37"/>
      <c r="V1526" s="37"/>
      <c r="W1526" s="37"/>
      <c r="X1526" s="37"/>
      <c r="Y1526" s="37"/>
      <c r="Z1526" s="37"/>
      <c r="AA1526" s="37"/>
      <c r="AB1526" s="37"/>
      <c r="AC1526" s="37"/>
      <c r="AD1526" s="37"/>
    </row>
    <row r="1527">
      <c r="A1527" s="37"/>
      <c r="B1527" s="37"/>
      <c r="C1527" s="37"/>
      <c r="D1527" s="37"/>
      <c r="E1527" s="37"/>
      <c r="F1527" s="37"/>
      <c r="G1527" s="37"/>
      <c r="H1527" s="37"/>
      <c r="I1527" s="37"/>
      <c r="J1527" s="37"/>
      <c r="K1527" s="37"/>
      <c r="L1527" s="37"/>
      <c r="M1527" s="37"/>
      <c r="N1527" s="37"/>
      <c r="O1527" s="37"/>
      <c r="P1527" s="37"/>
      <c r="Q1527" s="37"/>
      <c r="R1527" s="37"/>
      <c r="S1527" s="37"/>
      <c r="T1527" s="37"/>
      <c r="U1527" s="37"/>
      <c r="V1527" s="37"/>
      <c r="W1527" s="37"/>
      <c r="X1527" s="37"/>
      <c r="Y1527" s="37"/>
      <c r="Z1527" s="37"/>
      <c r="AA1527" s="37"/>
      <c r="AB1527" s="37"/>
      <c r="AC1527" s="37"/>
      <c r="AD1527" s="37"/>
    </row>
    <row r="1528">
      <c r="A1528" s="37"/>
      <c r="B1528" s="37"/>
      <c r="C1528" s="37"/>
      <c r="D1528" s="37"/>
      <c r="E1528" s="37"/>
      <c r="F1528" s="37"/>
      <c r="G1528" s="37"/>
      <c r="H1528" s="37"/>
      <c r="I1528" s="37"/>
      <c r="J1528" s="37"/>
      <c r="K1528" s="37"/>
      <c r="L1528" s="37"/>
      <c r="M1528" s="37"/>
      <c r="N1528" s="37"/>
      <c r="O1528" s="37"/>
      <c r="P1528" s="37"/>
      <c r="Q1528" s="37"/>
      <c r="R1528" s="37"/>
      <c r="S1528" s="37"/>
      <c r="T1528" s="37"/>
      <c r="U1528" s="37"/>
      <c r="V1528" s="37"/>
      <c r="W1528" s="37"/>
      <c r="X1528" s="37"/>
      <c r="Y1528" s="37"/>
      <c r="Z1528" s="37"/>
      <c r="AA1528" s="37"/>
      <c r="AB1528" s="37"/>
      <c r="AC1528" s="37"/>
      <c r="AD1528" s="37"/>
    </row>
    <row r="1529">
      <c r="A1529" s="37"/>
      <c r="B1529" s="37"/>
      <c r="C1529" s="37"/>
      <c r="D1529" s="37"/>
      <c r="E1529" s="37"/>
      <c r="F1529" s="37"/>
      <c r="G1529" s="37"/>
      <c r="H1529" s="37"/>
      <c r="I1529" s="37"/>
      <c r="J1529" s="37"/>
      <c r="K1529" s="37"/>
      <c r="L1529" s="37"/>
      <c r="M1529" s="37"/>
      <c r="N1529" s="37"/>
      <c r="O1529" s="37"/>
      <c r="P1529" s="37"/>
      <c r="Q1529" s="37"/>
      <c r="R1529" s="37"/>
      <c r="S1529" s="37"/>
      <c r="T1529" s="37"/>
      <c r="U1529" s="37"/>
      <c r="V1529" s="37"/>
      <c r="W1529" s="37"/>
      <c r="X1529" s="37"/>
      <c r="Y1529" s="37"/>
      <c r="Z1529" s="37"/>
      <c r="AA1529" s="37"/>
      <c r="AB1529" s="37"/>
      <c r="AC1529" s="37"/>
      <c r="AD1529" s="37"/>
    </row>
    <row r="1530">
      <c r="A1530" s="37"/>
      <c r="B1530" s="37"/>
      <c r="C1530" s="37"/>
      <c r="D1530" s="37"/>
      <c r="E1530" s="37"/>
      <c r="F1530" s="37"/>
      <c r="G1530" s="37"/>
      <c r="H1530" s="37"/>
      <c r="I1530" s="37"/>
      <c r="J1530" s="37"/>
      <c r="K1530" s="37"/>
      <c r="L1530" s="37"/>
      <c r="M1530" s="37"/>
      <c r="N1530" s="37"/>
      <c r="O1530" s="37"/>
      <c r="P1530" s="37"/>
      <c r="Q1530" s="37"/>
      <c r="R1530" s="37"/>
      <c r="S1530" s="37"/>
      <c r="T1530" s="37"/>
      <c r="U1530" s="37"/>
      <c r="V1530" s="37"/>
      <c r="W1530" s="37"/>
      <c r="X1530" s="37"/>
      <c r="Y1530" s="37"/>
      <c r="Z1530" s="37"/>
      <c r="AA1530" s="37"/>
      <c r="AB1530" s="37"/>
      <c r="AC1530" s="37"/>
      <c r="AD1530" s="37"/>
    </row>
    <row r="1531">
      <c r="A1531" s="37"/>
      <c r="B1531" s="37"/>
      <c r="C1531" s="37"/>
      <c r="D1531" s="37"/>
      <c r="E1531" s="37"/>
      <c r="F1531" s="37"/>
      <c r="G1531" s="37"/>
      <c r="H1531" s="37"/>
      <c r="I1531" s="37"/>
      <c r="J1531" s="37"/>
      <c r="K1531" s="37"/>
      <c r="L1531" s="37"/>
      <c r="M1531" s="37"/>
      <c r="N1531" s="37"/>
      <c r="O1531" s="37"/>
      <c r="P1531" s="37"/>
      <c r="Q1531" s="37"/>
      <c r="R1531" s="37"/>
      <c r="S1531" s="37"/>
      <c r="T1531" s="37"/>
      <c r="U1531" s="37"/>
      <c r="V1531" s="37"/>
      <c r="W1531" s="37"/>
      <c r="X1531" s="37"/>
      <c r="Y1531" s="37"/>
      <c r="Z1531" s="37"/>
      <c r="AA1531" s="37"/>
      <c r="AB1531" s="37"/>
      <c r="AC1531" s="37"/>
      <c r="AD1531" s="37"/>
    </row>
    <row r="1532">
      <c r="A1532" s="37"/>
      <c r="B1532" s="37"/>
      <c r="C1532" s="37"/>
      <c r="D1532" s="37"/>
      <c r="E1532" s="37"/>
      <c r="F1532" s="37"/>
      <c r="G1532" s="37"/>
      <c r="H1532" s="37"/>
      <c r="I1532" s="37"/>
      <c r="J1532" s="37"/>
      <c r="K1532" s="37"/>
      <c r="L1532" s="37"/>
      <c r="M1532" s="37"/>
      <c r="N1532" s="37"/>
      <c r="O1532" s="37"/>
      <c r="P1532" s="37"/>
      <c r="Q1532" s="37"/>
      <c r="R1532" s="37"/>
      <c r="S1532" s="37"/>
      <c r="T1532" s="37"/>
      <c r="U1532" s="37"/>
      <c r="V1532" s="37"/>
      <c r="W1532" s="37"/>
      <c r="X1532" s="37"/>
      <c r="Y1532" s="37"/>
      <c r="Z1532" s="37"/>
      <c r="AA1532" s="37"/>
      <c r="AB1532" s="37"/>
      <c r="AC1532" s="37"/>
      <c r="AD1532" s="37"/>
    </row>
    <row r="1533">
      <c r="A1533" s="37"/>
      <c r="B1533" s="37"/>
      <c r="C1533" s="37"/>
      <c r="D1533" s="37"/>
      <c r="E1533" s="37"/>
      <c r="F1533" s="37"/>
      <c r="G1533" s="37"/>
      <c r="H1533" s="37"/>
      <c r="I1533" s="37"/>
      <c r="J1533" s="37"/>
      <c r="K1533" s="37"/>
      <c r="L1533" s="37"/>
      <c r="M1533" s="37"/>
      <c r="N1533" s="37"/>
      <c r="O1533" s="37"/>
      <c r="P1533" s="37"/>
      <c r="Q1533" s="37"/>
      <c r="R1533" s="37"/>
      <c r="S1533" s="37"/>
      <c r="T1533" s="37"/>
      <c r="U1533" s="37"/>
      <c r="V1533" s="37"/>
      <c r="W1533" s="37"/>
      <c r="X1533" s="37"/>
      <c r="Y1533" s="37"/>
      <c r="Z1533" s="37"/>
      <c r="AA1533" s="37"/>
      <c r="AB1533" s="37"/>
      <c r="AC1533" s="37"/>
      <c r="AD1533" s="37"/>
    </row>
    <row r="1534">
      <c r="A1534" s="37"/>
      <c r="B1534" s="37"/>
      <c r="C1534" s="37"/>
      <c r="D1534" s="37"/>
      <c r="E1534" s="37"/>
      <c r="F1534" s="37"/>
      <c r="G1534" s="37"/>
      <c r="H1534" s="37"/>
      <c r="I1534" s="37"/>
      <c r="J1534" s="37"/>
      <c r="K1534" s="37"/>
      <c r="L1534" s="37"/>
      <c r="M1534" s="37"/>
      <c r="N1534" s="37"/>
      <c r="O1534" s="37"/>
      <c r="P1534" s="37"/>
      <c r="Q1534" s="37"/>
      <c r="R1534" s="37"/>
      <c r="S1534" s="37"/>
      <c r="T1534" s="37"/>
      <c r="U1534" s="37"/>
      <c r="V1534" s="37"/>
      <c r="W1534" s="37"/>
      <c r="X1534" s="37"/>
      <c r="Y1534" s="37"/>
      <c r="Z1534" s="37"/>
      <c r="AA1534" s="37"/>
      <c r="AB1534" s="37"/>
      <c r="AC1534" s="37"/>
      <c r="AD1534" s="37"/>
    </row>
    <row r="1535">
      <c r="A1535" s="37"/>
      <c r="B1535" s="37"/>
      <c r="C1535" s="37"/>
      <c r="D1535" s="37"/>
      <c r="E1535" s="37"/>
      <c r="F1535" s="37"/>
      <c r="G1535" s="37"/>
      <c r="H1535" s="37"/>
      <c r="I1535" s="37"/>
      <c r="J1535" s="37"/>
      <c r="K1535" s="37"/>
      <c r="L1535" s="37"/>
      <c r="M1535" s="37"/>
      <c r="N1535" s="37"/>
      <c r="O1535" s="37"/>
      <c r="P1535" s="37"/>
      <c r="Q1535" s="37"/>
      <c r="R1535" s="37"/>
      <c r="S1535" s="37"/>
      <c r="T1535" s="37"/>
      <c r="U1535" s="37"/>
      <c r="V1535" s="37"/>
      <c r="W1535" s="37"/>
      <c r="X1535" s="37"/>
      <c r="Y1535" s="37"/>
      <c r="Z1535" s="37"/>
      <c r="AA1535" s="37"/>
      <c r="AB1535" s="37"/>
      <c r="AC1535" s="37"/>
      <c r="AD1535" s="37"/>
    </row>
    <row r="1536">
      <c r="A1536" s="37"/>
      <c r="B1536" s="37"/>
      <c r="C1536" s="37"/>
      <c r="D1536" s="37"/>
      <c r="E1536" s="37"/>
      <c r="F1536" s="37"/>
      <c r="G1536" s="37"/>
      <c r="H1536" s="37"/>
      <c r="I1536" s="37"/>
      <c r="J1536" s="37"/>
      <c r="K1536" s="37"/>
      <c r="L1536" s="37"/>
      <c r="M1536" s="37"/>
      <c r="N1536" s="37"/>
      <c r="O1536" s="37"/>
      <c r="P1536" s="37"/>
      <c r="Q1536" s="37"/>
      <c r="R1536" s="37"/>
      <c r="S1536" s="37"/>
      <c r="T1536" s="37"/>
      <c r="U1536" s="37"/>
      <c r="V1536" s="37"/>
      <c r="W1536" s="37"/>
      <c r="X1536" s="37"/>
      <c r="Y1536" s="37"/>
      <c r="Z1536" s="37"/>
      <c r="AA1536" s="37"/>
      <c r="AB1536" s="37"/>
      <c r="AC1536" s="37"/>
      <c r="AD1536" s="37"/>
    </row>
    <row r="1537">
      <c r="A1537" s="37"/>
      <c r="B1537" s="37"/>
      <c r="C1537" s="37"/>
      <c r="D1537" s="37"/>
      <c r="E1537" s="37"/>
      <c r="F1537" s="37"/>
      <c r="G1537" s="37"/>
      <c r="H1537" s="37"/>
      <c r="I1537" s="37"/>
      <c r="J1537" s="37"/>
      <c r="K1537" s="37"/>
      <c r="L1537" s="37"/>
      <c r="M1537" s="37"/>
      <c r="N1537" s="37"/>
      <c r="O1537" s="37"/>
      <c r="P1537" s="37"/>
      <c r="Q1537" s="37"/>
      <c r="R1537" s="37"/>
      <c r="S1537" s="37"/>
      <c r="T1537" s="37"/>
      <c r="U1537" s="37"/>
      <c r="V1537" s="37"/>
      <c r="W1537" s="37"/>
      <c r="X1537" s="37"/>
      <c r="Y1537" s="37"/>
      <c r="Z1537" s="37"/>
      <c r="AA1537" s="37"/>
      <c r="AB1537" s="37"/>
      <c r="AC1537" s="37"/>
      <c r="AD1537" s="37"/>
    </row>
    <row r="1538">
      <c r="A1538" s="37"/>
      <c r="B1538" s="37"/>
      <c r="C1538" s="37"/>
      <c r="D1538" s="37"/>
      <c r="E1538" s="37"/>
      <c r="F1538" s="37"/>
      <c r="G1538" s="37"/>
      <c r="H1538" s="37"/>
      <c r="I1538" s="37"/>
      <c r="J1538" s="37"/>
      <c r="K1538" s="37"/>
      <c r="L1538" s="37"/>
      <c r="M1538" s="37"/>
      <c r="N1538" s="37"/>
      <c r="O1538" s="37"/>
      <c r="P1538" s="37"/>
      <c r="Q1538" s="37"/>
      <c r="R1538" s="37"/>
      <c r="S1538" s="37"/>
      <c r="T1538" s="37"/>
      <c r="U1538" s="37"/>
      <c r="V1538" s="37"/>
      <c r="W1538" s="37"/>
      <c r="X1538" s="37"/>
      <c r="Y1538" s="37"/>
      <c r="Z1538" s="37"/>
      <c r="AA1538" s="37"/>
      <c r="AB1538" s="37"/>
      <c r="AC1538" s="37"/>
      <c r="AD1538" s="37"/>
    </row>
    <row r="1539">
      <c r="A1539" s="37"/>
      <c r="B1539" s="37"/>
      <c r="C1539" s="37"/>
      <c r="D1539" s="37"/>
      <c r="E1539" s="37"/>
      <c r="F1539" s="37"/>
      <c r="G1539" s="37"/>
      <c r="H1539" s="37"/>
      <c r="I1539" s="37"/>
      <c r="J1539" s="37"/>
      <c r="K1539" s="37"/>
      <c r="L1539" s="37"/>
      <c r="M1539" s="37"/>
      <c r="N1539" s="37"/>
      <c r="O1539" s="37"/>
      <c r="P1539" s="37"/>
      <c r="Q1539" s="37"/>
      <c r="R1539" s="37"/>
      <c r="S1539" s="37"/>
      <c r="T1539" s="37"/>
      <c r="U1539" s="37"/>
      <c r="V1539" s="37"/>
      <c r="W1539" s="37"/>
      <c r="X1539" s="37"/>
      <c r="Y1539" s="37"/>
      <c r="Z1539" s="37"/>
      <c r="AA1539" s="37"/>
      <c r="AB1539" s="37"/>
      <c r="AC1539" s="37"/>
      <c r="AD1539" s="37"/>
    </row>
    <row r="1540">
      <c r="A1540" s="37"/>
      <c r="B1540" s="37"/>
      <c r="C1540" s="37"/>
      <c r="D1540" s="37"/>
      <c r="E1540" s="37"/>
      <c r="F1540" s="37"/>
      <c r="G1540" s="37"/>
      <c r="H1540" s="37"/>
      <c r="I1540" s="37"/>
      <c r="J1540" s="37"/>
      <c r="K1540" s="37"/>
      <c r="L1540" s="37"/>
      <c r="M1540" s="37"/>
      <c r="N1540" s="37"/>
      <c r="O1540" s="37"/>
      <c r="P1540" s="37"/>
      <c r="Q1540" s="37"/>
      <c r="R1540" s="37"/>
      <c r="S1540" s="37"/>
      <c r="T1540" s="37"/>
      <c r="U1540" s="37"/>
      <c r="V1540" s="37"/>
      <c r="W1540" s="37"/>
      <c r="X1540" s="37"/>
      <c r="Y1540" s="37"/>
      <c r="Z1540" s="37"/>
      <c r="AA1540" s="37"/>
      <c r="AB1540" s="37"/>
      <c r="AC1540" s="37"/>
      <c r="AD1540" s="37"/>
    </row>
    <row r="1541">
      <c r="A1541" s="37"/>
      <c r="B1541" s="37"/>
      <c r="C1541" s="37"/>
      <c r="D1541" s="37"/>
      <c r="E1541" s="37"/>
      <c r="F1541" s="37"/>
      <c r="G1541" s="37"/>
      <c r="H1541" s="37"/>
      <c r="I1541" s="37"/>
      <c r="J1541" s="37"/>
      <c r="K1541" s="37"/>
      <c r="L1541" s="37"/>
      <c r="M1541" s="37"/>
      <c r="N1541" s="37"/>
      <c r="O1541" s="37"/>
      <c r="P1541" s="37"/>
      <c r="Q1541" s="37"/>
      <c r="R1541" s="37"/>
      <c r="S1541" s="37"/>
      <c r="T1541" s="37"/>
      <c r="U1541" s="37"/>
      <c r="V1541" s="37"/>
      <c r="W1541" s="37"/>
      <c r="X1541" s="37"/>
      <c r="Y1541" s="37"/>
      <c r="Z1541" s="37"/>
      <c r="AA1541" s="37"/>
      <c r="AB1541" s="37"/>
      <c r="AC1541" s="37"/>
      <c r="AD1541" s="37"/>
    </row>
    <row r="1542">
      <c r="A1542" s="37"/>
      <c r="B1542" s="37"/>
      <c r="C1542" s="37"/>
      <c r="D1542" s="37"/>
      <c r="E1542" s="37"/>
      <c r="F1542" s="37"/>
      <c r="G1542" s="37"/>
      <c r="H1542" s="37"/>
      <c r="I1542" s="37"/>
      <c r="J1542" s="37"/>
      <c r="K1542" s="37"/>
      <c r="L1542" s="37"/>
      <c r="M1542" s="37"/>
      <c r="N1542" s="37"/>
      <c r="O1542" s="37"/>
      <c r="P1542" s="37"/>
      <c r="Q1542" s="37"/>
      <c r="R1542" s="37"/>
      <c r="S1542" s="37"/>
      <c r="T1542" s="37"/>
      <c r="U1542" s="37"/>
      <c r="V1542" s="37"/>
      <c r="W1542" s="37"/>
      <c r="X1542" s="37"/>
      <c r="Y1542" s="37"/>
      <c r="Z1542" s="37"/>
      <c r="AA1542" s="37"/>
      <c r="AB1542" s="37"/>
      <c r="AC1542" s="37"/>
      <c r="AD1542" s="37"/>
    </row>
    <row r="1543">
      <c r="A1543" s="37"/>
      <c r="B1543" s="37"/>
      <c r="C1543" s="37"/>
      <c r="D1543" s="37"/>
      <c r="E1543" s="37"/>
      <c r="F1543" s="37"/>
      <c r="G1543" s="37"/>
      <c r="H1543" s="37"/>
      <c r="I1543" s="37"/>
      <c r="J1543" s="37"/>
      <c r="K1543" s="37"/>
      <c r="L1543" s="37"/>
      <c r="M1543" s="37"/>
      <c r="N1543" s="37"/>
      <c r="O1543" s="37"/>
      <c r="P1543" s="37"/>
      <c r="Q1543" s="37"/>
      <c r="R1543" s="37"/>
      <c r="S1543" s="37"/>
      <c r="T1543" s="37"/>
      <c r="U1543" s="37"/>
      <c r="V1543" s="37"/>
      <c r="W1543" s="37"/>
      <c r="X1543" s="37"/>
      <c r="Y1543" s="37"/>
      <c r="Z1543" s="37"/>
      <c r="AA1543" s="37"/>
      <c r="AB1543" s="37"/>
      <c r="AC1543" s="37"/>
      <c r="AD1543" s="37"/>
    </row>
    <row r="1544">
      <c r="A1544" s="37"/>
      <c r="B1544" s="37"/>
      <c r="C1544" s="37"/>
      <c r="D1544" s="37"/>
      <c r="E1544" s="37"/>
      <c r="F1544" s="37"/>
      <c r="G1544" s="37"/>
      <c r="H1544" s="37"/>
      <c r="I1544" s="37"/>
      <c r="J1544" s="37"/>
      <c r="K1544" s="37"/>
      <c r="L1544" s="37"/>
      <c r="M1544" s="37"/>
      <c r="N1544" s="37"/>
      <c r="O1544" s="37"/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37"/>
      <c r="AA1544" s="37"/>
      <c r="AB1544" s="37"/>
      <c r="AC1544" s="37"/>
      <c r="AD1544" s="37"/>
    </row>
    <row r="1545">
      <c r="A1545" s="37"/>
      <c r="B1545" s="37"/>
      <c r="C1545" s="37"/>
      <c r="D1545" s="37"/>
      <c r="E1545" s="37"/>
      <c r="F1545" s="37"/>
      <c r="G1545" s="37"/>
      <c r="H1545" s="37"/>
      <c r="I1545" s="37"/>
      <c r="J1545" s="37"/>
      <c r="K1545" s="37"/>
      <c r="L1545" s="37"/>
      <c r="M1545" s="37"/>
      <c r="N1545" s="37"/>
      <c r="O1545" s="37"/>
      <c r="P1545" s="37"/>
      <c r="Q1545" s="37"/>
      <c r="R1545" s="37"/>
      <c r="S1545" s="37"/>
      <c r="T1545" s="37"/>
      <c r="U1545" s="37"/>
      <c r="V1545" s="37"/>
      <c r="W1545" s="37"/>
      <c r="X1545" s="37"/>
      <c r="Y1545" s="37"/>
      <c r="Z1545" s="37"/>
      <c r="AA1545" s="37"/>
      <c r="AB1545" s="37"/>
      <c r="AC1545" s="37"/>
      <c r="AD1545" s="37"/>
    </row>
    <row r="1546">
      <c r="A1546" s="37"/>
      <c r="B1546" s="37"/>
      <c r="C1546" s="37"/>
      <c r="D1546" s="37"/>
      <c r="E1546" s="37"/>
      <c r="F1546" s="37"/>
      <c r="G1546" s="37"/>
      <c r="H1546" s="37"/>
      <c r="I1546" s="37"/>
      <c r="J1546" s="37"/>
      <c r="K1546" s="37"/>
      <c r="L1546" s="37"/>
      <c r="M1546" s="37"/>
      <c r="N1546" s="37"/>
      <c r="O1546" s="37"/>
      <c r="P1546" s="37"/>
      <c r="Q1546" s="37"/>
      <c r="R1546" s="37"/>
      <c r="S1546" s="37"/>
      <c r="T1546" s="37"/>
      <c r="U1546" s="37"/>
      <c r="V1546" s="37"/>
      <c r="W1546" s="37"/>
      <c r="X1546" s="37"/>
      <c r="Y1546" s="37"/>
      <c r="Z1546" s="37"/>
      <c r="AA1546" s="37"/>
      <c r="AB1546" s="37"/>
      <c r="AC1546" s="37"/>
      <c r="AD1546" s="37"/>
    </row>
    <row r="1547">
      <c r="A1547" s="37"/>
      <c r="B1547" s="37"/>
      <c r="C1547" s="37"/>
      <c r="D1547" s="37"/>
      <c r="E1547" s="37"/>
      <c r="F1547" s="37"/>
      <c r="G1547" s="37"/>
      <c r="H1547" s="37"/>
      <c r="I1547" s="37"/>
      <c r="J1547" s="37"/>
      <c r="K1547" s="37"/>
      <c r="L1547" s="37"/>
      <c r="M1547" s="37"/>
      <c r="N1547" s="37"/>
      <c r="O1547" s="37"/>
      <c r="P1547" s="37"/>
      <c r="Q1547" s="37"/>
      <c r="R1547" s="37"/>
      <c r="S1547" s="37"/>
      <c r="T1547" s="37"/>
      <c r="U1547" s="37"/>
      <c r="V1547" s="37"/>
      <c r="W1547" s="37"/>
      <c r="X1547" s="37"/>
      <c r="Y1547" s="37"/>
      <c r="Z1547" s="37"/>
      <c r="AA1547" s="37"/>
      <c r="AB1547" s="37"/>
      <c r="AC1547" s="37"/>
      <c r="AD1547" s="37"/>
    </row>
    <row r="1548">
      <c r="A1548" s="37"/>
      <c r="B1548" s="37"/>
      <c r="C1548" s="37"/>
      <c r="D1548" s="37"/>
      <c r="E1548" s="37"/>
      <c r="F1548" s="37"/>
      <c r="G1548" s="37"/>
      <c r="H1548" s="37"/>
      <c r="I1548" s="37"/>
      <c r="J1548" s="37"/>
      <c r="K1548" s="37"/>
      <c r="L1548" s="37"/>
      <c r="M1548" s="37"/>
      <c r="N1548" s="37"/>
      <c r="O1548" s="37"/>
      <c r="P1548" s="37"/>
      <c r="Q1548" s="37"/>
      <c r="R1548" s="37"/>
      <c r="S1548" s="37"/>
      <c r="T1548" s="37"/>
      <c r="U1548" s="37"/>
      <c r="V1548" s="37"/>
      <c r="W1548" s="37"/>
      <c r="X1548" s="37"/>
      <c r="Y1548" s="37"/>
      <c r="Z1548" s="37"/>
      <c r="AA1548" s="37"/>
      <c r="AB1548" s="37"/>
      <c r="AC1548" s="37"/>
      <c r="AD1548" s="37"/>
    </row>
    <row r="1549">
      <c r="A1549" s="37"/>
      <c r="B1549" s="37"/>
      <c r="C1549" s="37"/>
      <c r="D1549" s="37"/>
      <c r="E1549" s="37"/>
      <c r="F1549" s="37"/>
      <c r="G1549" s="37"/>
      <c r="H1549" s="37"/>
      <c r="I1549" s="37"/>
      <c r="J1549" s="37"/>
      <c r="K1549" s="37"/>
      <c r="L1549" s="37"/>
      <c r="M1549" s="37"/>
      <c r="N1549" s="37"/>
      <c r="O1549" s="37"/>
      <c r="P1549" s="37"/>
      <c r="Q1549" s="37"/>
      <c r="R1549" s="37"/>
      <c r="S1549" s="37"/>
      <c r="T1549" s="37"/>
      <c r="U1549" s="37"/>
      <c r="V1549" s="37"/>
      <c r="W1549" s="37"/>
      <c r="X1549" s="37"/>
      <c r="Y1549" s="37"/>
      <c r="Z1549" s="37"/>
      <c r="AA1549" s="37"/>
      <c r="AB1549" s="37"/>
      <c r="AC1549" s="37"/>
      <c r="AD1549" s="37"/>
    </row>
    <row r="1550">
      <c r="A1550" s="37"/>
      <c r="B1550" s="37"/>
      <c r="C1550" s="37"/>
      <c r="D1550" s="37"/>
      <c r="E1550" s="37"/>
      <c r="F1550" s="37"/>
      <c r="G1550" s="37"/>
      <c r="H1550" s="37"/>
      <c r="I1550" s="37"/>
      <c r="J1550" s="37"/>
      <c r="K1550" s="37"/>
      <c r="L1550" s="37"/>
      <c r="M1550" s="37"/>
      <c r="N1550" s="37"/>
      <c r="O1550" s="37"/>
      <c r="P1550" s="37"/>
      <c r="Q1550" s="37"/>
      <c r="R1550" s="37"/>
      <c r="S1550" s="37"/>
      <c r="T1550" s="37"/>
      <c r="U1550" s="37"/>
      <c r="V1550" s="37"/>
      <c r="W1550" s="37"/>
      <c r="X1550" s="37"/>
      <c r="Y1550" s="37"/>
      <c r="Z1550" s="37"/>
      <c r="AA1550" s="37"/>
      <c r="AB1550" s="37"/>
      <c r="AC1550" s="37"/>
      <c r="AD1550" s="37"/>
    </row>
    <row r="1551">
      <c r="A1551" s="37"/>
      <c r="B1551" s="37"/>
      <c r="C1551" s="37"/>
      <c r="D1551" s="37"/>
      <c r="E1551" s="37"/>
      <c r="F1551" s="37"/>
      <c r="G1551" s="37"/>
      <c r="H1551" s="37"/>
      <c r="I1551" s="37"/>
      <c r="J1551" s="37"/>
      <c r="K1551" s="37"/>
      <c r="L1551" s="37"/>
      <c r="M1551" s="37"/>
      <c r="N1551" s="37"/>
      <c r="O1551" s="37"/>
      <c r="P1551" s="37"/>
      <c r="Q1551" s="37"/>
      <c r="R1551" s="37"/>
      <c r="S1551" s="37"/>
      <c r="T1551" s="37"/>
      <c r="U1551" s="37"/>
      <c r="V1551" s="37"/>
      <c r="W1551" s="37"/>
      <c r="X1551" s="37"/>
      <c r="Y1551" s="37"/>
      <c r="Z1551" s="37"/>
      <c r="AA1551" s="37"/>
      <c r="AB1551" s="37"/>
      <c r="AC1551" s="37"/>
      <c r="AD1551" s="37"/>
    </row>
    <row r="1552">
      <c r="A1552" s="37"/>
      <c r="B1552" s="37"/>
      <c r="C1552" s="37"/>
      <c r="D1552" s="37"/>
      <c r="E1552" s="37"/>
      <c r="F1552" s="37"/>
      <c r="G1552" s="37"/>
      <c r="H1552" s="37"/>
      <c r="I1552" s="37"/>
      <c r="J1552" s="37"/>
      <c r="K1552" s="37"/>
      <c r="L1552" s="37"/>
      <c r="M1552" s="37"/>
      <c r="N1552" s="37"/>
      <c r="O1552" s="37"/>
      <c r="P1552" s="37"/>
      <c r="Q1552" s="37"/>
      <c r="R1552" s="37"/>
      <c r="S1552" s="37"/>
      <c r="T1552" s="37"/>
      <c r="U1552" s="37"/>
      <c r="V1552" s="37"/>
      <c r="W1552" s="37"/>
      <c r="X1552" s="37"/>
      <c r="Y1552" s="37"/>
      <c r="Z1552" s="37"/>
      <c r="AA1552" s="37"/>
      <c r="AB1552" s="37"/>
      <c r="AC1552" s="37"/>
      <c r="AD1552" s="37"/>
    </row>
    <row r="1553">
      <c r="A1553" s="37"/>
      <c r="B1553" s="37"/>
      <c r="C1553" s="37"/>
      <c r="D1553" s="37"/>
      <c r="E1553" s="37"/>
      <c r="F1553" s="37"/>
      <c r="G1553" s="37"/>
      <c r="H1553" s="37"/>
      <c r="I1553" s="37"/>
      <c r="J1553" s="37"/>
      <c r="K1553" s="37"/>
      <c r="L1553" s="37"/>
      <c r="M1553" s="37"/>
      <c r="N1553" s="37"/>
      <c r="O1553" s="37"/>
      <c r="P1553" s="37"/>
      <c r="Q1553" s="37"/>
      <c r="R1553" s="37"/>
      <c r="S1553" s="37"/>
      <c r="T1553" s="37"/>
      <c r="U1553" s="37"/>
      <c r="V1553" s="37"/>
      <c r="W1553" s="37"/>
      <c r="X1553" s="37"/>
      <c r="Y1553" s="37"/>
      <c r="Z1553" s="37"/>
      <c r="AA1553" s="37"/>
      <c r="AB1553" s="37"/>
      <c r="AC1553" s="37"/>
      <c r="AD1553" s="37"/>
    </row>
    <row r="1554">
      <c r="A1554" s="37"/>
      <c r="B1554" s="37"/>
      <c r="C1554" s="37"/>
      <c r="D1554" s="37"/>
      <c r="E1554" s="37"/>
      <c r="F1554" s="37"/>
      <c r="G1554" s="37"/>
      <c r="H1554" s="37"/>
      <c r="I1554" s="37"/>
      <c r="J1554" s="37"/>
      <c r="K1554" s="37"/>
      <c r="L1554" s="37"/>
      <c r="M1554" s="37"/>
      <c r="N1554" s="37"/>
      <c r="O1554" s="37"/>
      <c r="P1554" s="37"/>
      <c r="Q1554" s="37"/>
      <c r="R1554" s="37"/>
      <c r="S1554" s="37"/>
      <c r="T1554" s="37"/>
      <c r="U1554" s="37"/>
      <c r="V1554" s="37"/>
      <c r="W1554" s="37"/>
      <c r="X1554" s="37"/>
      <c r="Y1554" s="37"/>
      <c r="Z1554" s="37"/>
      <c r="AA1554" s="37"/>
      <c r="AB1554" s="37"/>
      <c r="AC1554" s="37"/>
      <c r="AD1554" s="37"/>
    </row>
    <row r="1555">
      <c r="A1555" s="37"/>
      <c r="B1555" s="37"/>
      <c r="C1555" s="37"/>
      <c r="D1555" s="37"/>
      <c r="E1555" s="37"/>
      <c r="F1555" s="37"/>
      <c r="G1555" s="37"/>
      <c r="H1555" s="37"/>
      <c r="I1555" s="37"/>
      <c r="J1555" s="37"/>
      <c r="K1555" s="37"/>
      <c r="L1555" s="37"/>
      <c r="M1555" s="37"/>
      <c r="N1555" s="37"/>
      <c r="O1555" s="37"/>
      <c r="P1555" s="37"/>
      <c r="Q1555" s="37"/>
      <c r="R1555" s="37"/>
      <c r="S1555" s="37"/>
      <c r="T1555" s="37"/>
      <c r="U1555" s="37"/>
      <c r="V1555" s="37"/>
      <c r="W1555" s="37"/>
      <c r="X1555" s="37"/>
      <c r="Y1555" s="37"/>
      <c r="Z1555" s="37"/>
      <c r="AA1555" s="37"/>
      <c r="AB1555" s="37"/>
      <c r="AC1555" s="37"/>
      <c r="AD1555" s="37"/>
    </row>
    <row r="1556">
      <c r="A1556" s="37"/>
      <c r="B1556" s="37"/>
      <c r="C1556" s="37"/>
      <c r="D1556" s="37"/>
      <c r="E1556" s="37"/>
      <c r="F1556" s="37"/>
      <c r="G1556" s="37"/>
      <c r="H1556" s="37"/>
      <c r="I1556" s="37"/>
      <c r="J1556" s="37"/>
      <c r="K1556" s="37"/>
      <c r="L1556" s="37"/>
      <c r="M1556" s="37"/>
      <c r="N1556" s="37"/>
      <c r="O1556" s="37"/>
      <c r="P1556" s="37"/>
      <c r="Q1556" s="37"/>
      <c r="R1556" s="37"/>
      <c r="S1556" s="37"/>
      <c r="T1556" s="37"/>
      <c r="U1556" s="37"/>
      <c r="V1556" s="37"/>
      <c r="W1556" s="37"/>
      <c r="X1556" s="37"/>
      <c r="Y1556" s="37"/>
      <c r="Z1556" s="37"/>
      <c r="AA1556" s="37"/>
      <c r="AB1556" s="37"/>
      <c r="AC1556" s="37"/>
      <c r="AD1556" s="37"/>
    </row>
    <row r="1557">
      <c r="A1557" s="37"/>
      <c r="B1557" s="37"/>
      <c r="C1557" s="37"/>
      <c r="D1557" s="37"/>
      <c r="E1557" s="37"/>
      <c r="F1557" s="37"/>
      <c r="G1557" s="37"/>
      <c r="H1557" s="37"/>
      <c r="I1557" s="37"/>
      <c r="J1557" s="37"/>
      <c r="K1557" s="37"/>
      <c r="L1557" s="37"/>
      <c r="M1557" s="37"/>
      <c r="N1557" s="37"/>
      <c r="O1557" s="37"/>
      <c r="P1557" s="37"/>
      <c r="Q1557" s="37"/>
      <c r="R1557" s="37"/>
      <c r="S1557" s="37"/>
      <c r="T1557" s="37"/>
      <c r="U1557" s="37"/>
      <c r="V1557" s="37"/>
      <c r="W1557" s="37"/>
      <c r="X1557" s="37"/>
      <c r="Y1557" s="37"/>
      <c r="Z1557" s="37"/>
      <c r="AA1557" s="37"/>
      <c r="AB1557" s="37"/>
      <c r="AC1557" s="37"/>
      <c r="AD1557" s="37"/>
    </row>
    <row r="1558">
      <c r="A1558" s="37"/>
      <c r="B1558" s="37"/>
      <c r="C1558" s="37"/>
      <c r="D1558" s="37"/>
      <c r="E1558" s="37"/>
      <c r="F1558" s="37"/>
      <c r="G1558" s="37"/>
      <c r="H1558" s="37"/>
      <c r="I1558" s="37"/>
      <c r="J1558" s="37"/>
      <c r="K1558" s="37"/>
      <c r="L1558" s="37"/>
      <c r="M1558" s="37"/>
      <c r="N1558" s="37"/>
      <c r="O1558" s="37"/>
      <c r="P1558" s="37"/>
      <c r="Q1558" s="37"/>
      <c r="R1558" s="37"/>
      <c r="S1558" s="37"/>
      <c r="T1558" s="37"/>
      <c r="U1558" s="37"/>
      <c r="V1558" s="37"/>
      <c r="W1558" s="37"/>
      <c r="X1558" s="37"/>
      <c r="Y1558" s="37"/>
      <c r="Z1558" s="37"/>
      <c r="AA1558" s="37"/>
      <c r="AB1558" s="37"/>
      <c r="AC1558" s="37"/>
      <c r="AD1558" s="37"/>
    </row>
    <row r="1559">
      <c r="A1559" s="37"/>
      <c r="B1559" s="37"/>
      <c r="C1559" s="37"/>
      <c r="D1559" s="37"/>
      <c r="E1559" s="37"/>
      <c r="F1559" s="37"/>
      <c r="G1559" s="37"/>
      <c r="H1559" s="37"/>
      <c r="I1559" s="37"/>
      <c r="J1559" s="37"/>
      <c r="K1559" s="37"/>
      <c r="L1559" s="37"/>
      <c r="M1559" s="37"/>
      <c r="N1559" s="37"/>
      <c r="O1559" s="37"/>
      <c r="P1559" s="37"/>
      <c r="Q1559" s="37"/>
      <c r="R1559" s="37"/>
      <c r="S1559" s="37"/>
      <c r="T1559" s="37"/>
      <c r="U1559" s="37"/>
      <c r="V1559" s="37"/>
      <c r="W1559" s="37"/>
      <c r="X1559" s="37"/>
      <c r="Y1559" s="37"/>
      <c r="Z1559" s="37"/>
      <c r="AA1559" s="37"/>
      <c r="AB1559" s="37"/>
      <c r="AC1559" s="37"/>
      <c r="AD1559" s="37"/>
    </row>
    <row r="1560">
      <c r="A1560" s="37"/>
      <c r="B1560" s="37"/>
      <c r="C1560" s="37"/>
      <c r="D1560" s="37"/>
      <c r="E1560" s="37"/>
      <c r="F1560" s="37"/>
      <c r="G1560" s="37"/>
      <c r="H1560" s="37"/>
      <c r="I1560" s="37"/>
      <c r="J1560" s="37"/>
      <c r="K1560" s="37"/>
      <c r="L1560" s="37"/>
      <c r="M1560" s="37"/>
      <c r="N1560" s="37"/>
      <c r="O1560" s="37"/>
      <c r="P1560" s="37"/>
      <c r="Q1560" s="37"/>
      <c r="R1560" s="37"/>
      <c r="S1560" s="37"/>
      <c r="T1560" s="37"/>
      <c r="U1560" s="37"/>
      <c r="V1560" s="37"/>
      <c r="W1560" s="37"/>
      <c r="X1560" s="37"/>
      <c r="Y1560" s="37"/>
      <c r="Z1560" s="37"/>
      <c r="AA1560" s="37"/>
      <c r="AB1560" s="37"/>
      <c r="AC1560" s="37"/>
      <c r="AD1560" s="37"/>
    </row>
    <row r="1561">
      <c r="A1561" s="37"/>
      <c r="B1561" s="37"/>
      <c r="C1561" s="37"/>
      <c r="D1561" s="37"/>
      <c r="E1561" s="37"/>
      <c r="F1561" s="37"/>
      <c r="G1561" s="37"/>
      <c r="H1561" s="37"/>
      <c r="I1561" s="37"/>
      <c r="J1561" s="37"/>
      <c r="K1561" s="37"/>
      <c r="L1561" s="37"/>
      <c r="M1561" s="37"/>
      <c r="N1561" s="37"/>
      <c r="O1561" s="37"/>
      <c r="P1561" s="37"/>
      <c r="Q1561" s="37"/>
      <c r="R1561" s="37"/>
      <c r="S1561" s="37"/>
      <c r="T1561" s="37"/>
      <c r="U1561" s="37"/>
      <c r="V1561" s="37"/>
      <c r="W1561" s="37"/>
      <c r="X1561" s="37"/>
      <c r="Y1561" s="37"/>
      <c r="Z1561" s="37"/>
      <c r="AA1561" s="37"/>
      <c r="AB1561" s="37"/>
      <c r="AC1561" s="37"/>
      <c r="AD1561" s="37"/>
    </row>
    <row r="1562">
      <c r="A1562" s="37"/>
      <c r="B1562" s="37"/>
      <c r="C1562" s="37"/>
      <c r="D1562" s="37"/>
      <c r="E1562" s="37"/>
      <c r="F1562" s="37"/>
      <c r="G1562" s="37"/>
      <c r="H1562" s="37"/>
      <c r="I1562" s="37"/>
      <c r="J1562" s="37"/>
      <c r="K1562" s="37"/>
      <c r="L1562" s="37"/>
      <c r="M1562" s="37"/>
      <c r="N1562" s="37"/>
      <c r="O1562" s="37"/>
      <c r="P1562" s="37"/>
      <c r="Q1562" s="37"/>
      <c r="R1562" s="37"/>
      <c r="S1562" s="37"/>
      <c r="T1562" s="37"/>
      <c r="U1562" s="37"/>
      <c r="V1562" s="37"/>
      <c r="W1562" s="37"/>
      <c r="X1562" s="37"/>
      <c r="Y1562" s="37"/>
      <c r="Z1562" s="37"/>
      <c r="AA1562" s="37"/>
      <c r="AB1562" s="37"/>
      <c r="AC1562" s="37"/>
      <c r="AD1562" s="37"/>
    </row>
    <row r="1563">
      <c r="A1563" s="37"/>
      <c r="B1563" s="37"/>
      <c r="C1563" s="37"/>
      <c r="D1563" s="37"/>
      <c r="E1563" s="37"/>
      <c r="F1563" s="37"/>
      <c r="G1563" s="37"/>
      <c r="H1563" s="37"/>
      <c r="I1563" s="37"/>
      <c r="J1563" s="37"/>
      <c r="K1563" s="37"/>
      <c r="L1563" s="37"/>
      <c r="M1563" s="37"/>
      <c r="N1563" s="37"/>
      <c r="O1563" s="37"/>
      <c r="P1563" s="37"/>
      <c r="Q1563" s="37"/>
      <c r="R1563" s="37"/>
      <c r="S1563" s="37"/>
      <c r="T1563" s="37"/>
      <c r="U1563" s="37"/>
      <c r="V1563" s="37"/>
      <c r="W1563" s="37"/>
      <c r="X1563" s="37"/>
      <c r="Y1563" s="37"/>
      <c r="Z1563" s="37"/>
      <c r="AA1563" s="37"/>
      <c r="AB1563" s="37"/>
      <c r="AC1563" s="37"/>
      <c r="AD1563" s="37"/>
    </row>
    <row r="1564">
      <c r="A1564" s="37"/>
      <c r="B1564" s="37"/>
      <c r="C1564" s="37"/>
      <c r="D1564" s="37"/>
      <c r="E1564" s="37"/>
      <c r="F1564" s="37"/>
      <c r="G1564" s="37"/>
      <c r="H1564" s="37"/>
      <c r="I1564" s="37"/>
      <c r="J1564" s="37"/>
      <c r="K1564" s="37"/>
      <c r="L1564" s="37"/>
      <c r="M1564" s="37"/>
      <c r="N1564" s="37"/>
      <c r="O1564" s="37"/>
      <c r="P1564" s="37"/>
      <c r="Q1564" s="37"/>
      <c r="R1564" s="37"/>
      <c r="S1564" s="37"/>
      <c r="T1564" s="37"/>
      <c r="U1564" s="37"/>
      <c r="V1564" s="37"/>
      <c r="W1564" s="37"/>
      <c r="X1564" s="37"/>
      <c r="Y1564" s="37"/>
      <c r="Z1564" s="37"/>
      <c r="AA1564" s="37"/>
      <c r="AB1564" s="37"/>
      <c r="AC1564" s="37"/>
      <c r="AD1564" s="37"/>
    </row>
    <row r="1565">
      <c r="A1565" s="37"/>
      <c r="B1565" s="37"/>
      <c r="C1565" s="37"/>
      <c r="D1565" s="37"/>
      <c r="E1565" s="37"/>
      <c r="F1565" s="37"/>
      <c r="G1565" s="37"/>
      <c r="H1565" s="37"/>
      <c r="I1565" s="37"/>
      <c r="J1565" s="37"/>
      <c r="K1565" s="37"/>
      <c r="L1565" s="37"/>
      <c r="M1565" s="37"/>
      <c r="N1565" s="37"/>
      <c r="O1565" s="37"/>
      <c r="P1565" s="37"/>
      <c r="Q1565" s="37"/>
      <c r="R1565" s="37"/>
      <c r="S1565" s="37"/>
      <c r="T1565" s="37"/>
      <c r="U1565" s="37"/>
      <c r="V1565" s="37"/>
      <c r="W1565" s="37"/>
      <c r="X1565" s="37"/>
      <c r="Y1565" s="37"/>
      <c r="Z1565" s="37"/>
      <c r="AA1565" s="37"/>
      <c r="AB1565" s="37"/>
      <c r="AC1565" s="37"/>
      <c r="AD1565" s="37"/>
    </row>
    <row r="1566">
      <c r="A1566" s="37"/>
      <c r="B1566" s="37"/>
      <c r="C1566" s="37"/>
      <c r="D1566" s="37"/>
      <c r="E1566" s="37"/>
      <c r="F1566" s="37"/>
      <c r="G1566" s="37"/>
      <c r="H1566" s="37"/>
      <c r="I1566" s="37"/>
      <c r="J1566" s="37"/>
      <c r="K1566" s="37"/>
      <c r="L1566" s="37"/>
      <c r="M1566" s="37"/>
      <c r="N1566" s="37"/>
      <c r="O1566" s="37"/>
      <c r="P1566" s="37"/>
      <c r="Q1566" s="37"/>
      <c r="R1566" s="37"/>
      <c r="S1566" s="37"/>
      <c r="T1566" s="37"/>
      <c r="U1566" s="37"/>
      <c r="V1566" s="37"/>
      <c r="W1566" s="37"/>
      <c r="X1566" s="37"/>
      <c r="Y1566" s="37"/>
      <c r="Z1566" s="37"/>
      <c r="AA1566" s="37"/>
      <c r="AB1566" s="37"/>
      <c r="AC1566" s="37"/>
      <c r="AD1566" s="37"/>
    </row>
    <row r="1567">
      <c r="A1567" s="37"/>
      <c r="B1567" s="37"/>
      <c r="C1567" s="37"/>
      <c r="D1567" s="37"/>
      <c r="E1567" s="37"/>
      <c r="F1567" s="37"/>
      <c r="G1567" s="37"/>
      <c r="H1567" s="37"/>
      <c r="I1567" s="37"/>
      <c r="J1567" s="37"/>
      <c r="K1567" s="37"/>
      <c r="L1567" s="37"/>
      <c r="M1567" s="37"/>
      <c r="N1567" s="37"/>
      <c r="O1567" s="37"/>
      <c r="P1567" s="37"/>
      <c r="Q1567" s="37"/>
      <c r="R1567" s="37"/>
      <c r="S1567" s="37"/>
      <c r="T1567" s="37"/>
      <c r="U1567" s="37"/>
      <c r="V1567" s="37"/>
      <c r="W1567" s="37"/>
      <c r="X1567" s="37"/>
      <c r="Y1567" s="37"/>
      <c r="Z1567" s="37"/>
      <c r="AA1567" s="37"/>
      <c r="AB1567" s="37"/>
      <c r="AC1567" s="37"/>
      <c r="AD1567" s="37"/>
    </row>
    <row r="1568">
      <c r="A1568" s="37"/>
      <c r="B1568" s="37"/>
      <c r="C1568" s="37"/>
      <c r="D1568" s="37"/>
      <c r="E1568" s="37"/>
      <c r="F1568" s="37"/>
      <c r="G1568" s="37"/>
      <c r="H1568" s="37"/>
      <c r="I1568" s="37"/>
      <c r="J1568" s="37"/>
      <c r="K1568" s="37"/>
      <c r="L1568" s="37"/>
      <c r="M1568" s="37"/>
      <c r="N1568" s="37"/>
      <c r="O1568" s="37"/>
      <c r="P1568" s="37"/>
      <c r="Q1568" s="37"/>
      <c r="R1568" s="37"/>
      <c r="S1568" s="37"/>
      <c r="T1568" s="37"/>
      <c r="U1568" s="37"/>
      <c r="V1568" s="37"/>
      <c r="W1568" s="37"/>
      <c r="X1568" s="37"/>
      <c r="Y1568" s="37"/>
      <c r="Z1568" s="37"/>
      <c r="AA1568" s="37"/>
      <c r="AB1568" s="37"/>
      <c r="AC1568" s="37"/>
      <c r="AD1568" s="37"/>
    </row>
    <row r="1569">
      <c r="A1569" s="37"/>
      <c r="B1569" s="37"/>
      <c r="C1569" s="37"/>
      <c r="D1569" s="37"/>
      <c r="E1569" s="37"/>
      <c r="F1569" s="37"/>
      <c r="G1569" s="37"/>
      <c r="H1569" s="37"/>
      <c r="I1569" s="37"/>
      <c r="J1569" s="37"/>
      <c r="K1569" s="37"/>
      <c r="L1569" s="37"/>
      <c r="M1569" s="37"/>
      <c r="N1569" s="37"/>
      <c r="O1569" s="37"/>
      <c r="P1569" s="37"/>
      <c r="Q1569" s="37"/>
      <c r="R1569" s="37"/>
      <c r="S1569" s="37"/>
      <c r="T1569" s="37"/>
      <c r="U1569" s="37"/>
      <c r="V1569" s="37"/>
      <c r="W1569" s="37"/>
      <c r="X1569" s="37"/>
      <c r="Y1569" s="37"/>
      <c r="Z1569" s="37"/>
      <c r="AA1569" s="37"/>
      <c r="AB1569" s="37"/>
      <c r="AC1569" s="37"/>
      <c r="AD1569" s="37"/>
    </row>
    <row r="1570">
      <c r="A1570" s="37"/>
      <c r="B1570" s="37"/>
      <c r="C1570" s="37"/>
      <c r="D1570" s="37"/>
      <c r="E1570" s="37"/>
      <c r="F1570" s="37"/>
      <c r="G1570" s="37"/>
      <c r="H1570" s="37"/>
      <c r="I1570" s="37"/>
      <c r="J1570" s="37"/>
      <c r="K1570" s="37"/>
      <c r="L1570" s="37"/>
      <c r="M1570" s="37"/>
      <c r="N1570" s="37"/>
      <c r="O1570" s="37"/>
      <c r="P1570" s="37"/>
      <c r="Q1570" s="37"/>
      <c r="R1570" s="37"/>
      <c r="S1570" s="37"/>
      <c r="T1570" s="37"/>
      <c r="U1570" s="37"/>
      <c r="V1570" s="37"/>
      <c r="W1570" s="37"/>
      <c r="X1570" s="37"/>
      <c r="Y1570" s="37"/>
      <c r="Z1570" s="37"/>
      <c r="AA1570" s="37"/>
      <c r="AB1570" s="37"/>
      <c r="AC1570" s="37"/>
      <c r="AD1570" s="37"/>
    </row>
    <row r="1571">
      <c r="A1571" s="37"/>
      <c r="B1571" s="37"/>
      <c r="C1571" s="37"/>
      <c r="D1571" s="37"/>
      <c r="E1571" s="37"/>
      <c r="F1571" s="37"/>
      <c r="G1571" s="37"/>
      <c r="H1571" s="37"/>
      <c r="I1571" s="37"/>
      <c r="J1571" s="37"/>
      <c r="K1571" s="37"/>
      <c r="L1571" s="37"/>
      <c r="M1571" s="37"/>
      <c r="N1571" s="37"/>
      <c r="O1571" s="37"/>
      <c r="P1571" s="37"/>
      <c r="Q1571" s="37"/>
      <c r="R1571" s="37"/>
      <c r="S1571" s="37"/>
      <c r="T1571" s="37"/>
      <c r="U1571" s="37"/>
      <c r="V1571" s="37"/>
      <c r="W1571" s="37"/>
      <c r="X1571" s="37"/>
      <c r="Y1571" s="37"/>
      <c r="Z1571" s="37"/>
      <c r="AA1571" s="37"/>
      <c r="AB1571" s="37"/>
      <c r="AC1571" s="37"/>
      <c r="AD1571" s="37"/>
    </row>
    <row r="1572">
      <c r="A1572" s="37"/>
      <c r="B1572" s="37"/>
      <c r="C1572" s="37"/>
      <c r="D1572" s="37"/>
      <c r="E1572" s="37"/>
      <c r="F1572" s="37"/>
      <c r="G1572" s="37"/>
      <c r="H1572" s="37"/>
      <c r="I1572" s="37"/>
      <c r="J1572" s="37"/>
      <c r="K1572" s="37"/>
      <c r="L1572" s="37"/>
      <c r="M1572" s="37"/>
      <c r="N1572" s="37"/>
      <c r="O1572" s="37"/>
      <c r="P1572" s="37"/>
      <c r="Q1572" s="37"/>
      <c r="R1572" s="37"/>
      <c r="S1572" s="37"/>
      <c r="T1572" s="37"/>
      <c r="U1572" s="37"/>
      <c r="V1572" s="37"/>
      <c r="W1572" s="37"/>
      <c r="X1572" s="37"/>
      <c r="Y1572" s="37"/>
      <c r="Z1572" s="37"/>
      <c r="AA1572" s="37"/>
      <c r="AB1572" s="37"/>
      <c r="AC1572" s="37"/>
      <c r="AD1572" s="37"/>
    </row>
    <row r="1573">
      <c r="A1573" s="37"/>
      <c r="B1573" s="37"/>
      <c r="C1573" s="37"/>
      <c r="D1573" s="37"/>
      <c r="E1573" s="37"/>
      <c r="F1573" s="37"/>
      <c r="G1573" s="37"/>
      <c r="H1573" s="37"/>
      <c r="I1573" s="37"/>
      <c r="J1573" s="37"/>
      <c r="K1573" s="37"/>
      <c r="L1573" s="37"/>
      <c r="M1573" s="37"/>
      <c r="N1573" s="37"/>
      <c r="O1573" s="37"/>
      <c r="P1573" s="37"/>
      <c r="Q1573" s="37"/>
      <c r="R1573" s="37"/>
      <c r="S1573" s="37"/>
      <c r="T1573" s="37"/>
      <c r="U1573" s="37"/>
      <c r="V1573" s="37"/>
      <c r="W1573" s="37"/>
      <c r="X1573" s="37"/>
      <c r="Y1573" s="37"/>
      <c r="Z1573" s="37"/>
      <c r="AA1573" s="37"/>
      <c r="AB1573" s="37"/>
      <c r="AC1573" s="37"/>
      <c r="AD1573" s="37"/>
    </row>
    <row r="1574">
      <c r="A1574" s="37"/>
      <c r="B1574" s="37"/>
      <c r="C1574" s="37"/>
      <c r="D1574" s="37"/>
      <c r="E1574" s="37"/>
      <c r="F1574" s="37"/>
      <c r="G1574" s="37"/>
      <c r="H1574" s="37"/>
      <c r="I1574" s="37"/>
      <c r="J1574" s="37"/>
      <c r="K1574" s="37"/>
      <c r="L1574" s="37"/>
      <c r="M1574" s="37"/>
      <c r="N1574" s="37"/>
      <c r="O1574" s="37"/>
      <c r="P1574" s="37"/>
      <c r="Q1574" s="37"/>
      <c r="R1574" s="37"/>
      <c r="S1574" s="37"/>
      <c r="T1574" s="37"/>
      <c r="U1574" s="37"/>
      <c r="V1574" s="37"/>
      <c r="W1574" s="37"/>
      <c r="X1574" s="37"/>
      <c r="Y1574" s="37"/>
      <c r="Z1574" s="37"/>
      <c r="AA1574" s="37"/>
      <c r="AB1574" s="37"/>
      <c r="AC1574" s="37"/>
      <c r="AD1574" s="37"/>
    </row>
    <row r="1575">
      <c r="A1575" s="37"/>
      <c r="B1575" s="37"/>
      <c r="C1575" s="37"/>
      <c r="D1575" s="37"/>
      <c r="E1575" s="37"/>
      <c r="F1575" s="37"/>
      <c r="G1575" s="37"/>
      <c r="H1575" s="37"/>
      <c r="I1575" s="37"/>
      <c r="J1575" s="37"/>
      <c r="K1575" s="37"/>
      <c r="L1575" s="37"/>
      <c r="M1575" s="37"/>
      <c r="N1575" s="37"/>
      <c r="O1575" s="37"/>
      <c r="P1575" s="37"/>
      <c r="Q1575" s="37"/>
      <c r="R1575" s="37"/>
      <c r="S1575" s="37"/>
      <c r="T1575" s="37"/>
      <c r="U1575" s="37"/>
      <c r="V1575" s="37"/>
      <c r="W1575" s="37"/>
      <c r="X1575" s="37"/>
      <c r="Y1575" s="37"/>
      <c r="Z1575" s="37"/>
      <c r="AA1575" s="37"/>
      <c r="AB1575" s="37"/>
      <c r="AC1575" s="37"/>
      <c r="AD1575" s="37"/>
    </row>
    <row r="1576">
      <c r="A1576" s="37"/>
      <c r="B1576" s="37"/>
      <c r="C1576" s="37"/>
      <c r="D1576" s="37"/>
      <c r="E1576" s="37"/>
      <c r="F1576" s="37"/>
      <c r="G1576" s="37"/>
      <c r="H1576" s="37"/>
      <c r="I1576" s="37"/>
      <c r="J1576" s="37"/>
      <c r="K1576" s="37"/>
      <c r="L1576" s="37"/>
      <c r="M1576" s="37"/>
      <c r="N1576" s="37"/>
      <c r="O1576" s="37"/>
      <c r="P1576" s="37"/>
      <c r="Q1576" s="37"/>
      <c r="R1576" s="37"/>
      <c r="S1576" s="37"/>
      <c r="T1576" s="37"/>
      <c r="U1576" s="37"/>
      <c r="V1576" s="37"/>
      <c r="W1576" s="37"/>
      <c r="X1576" s="37"/>
      <c r="Y1576" s="37"/>
      <c r="Z1576" s="37"/>
      <c r="AA1576" s="37"/>
      <c r="AB1576" s="37"/>
      <c r="AC1576" s="37"/>
      <c r="AD1576" s="37"/>
    </row>
    <row r="1577">
      <c r="A1577" s="37"/>
      <c r="B1577" s="37"/>
      <c r="C1577" s="37"/>
      <c r="D1577" s="37"/>
      <c r="E1577" s="37"/>
      <c r="F1577" s="37"/>
      <c r="G1577" s="37"/>
      <c r="H1577" s="37"/>
      <c r="I1577" s="37"/>
      <c r="J1577" s="37"/>
      <c r="K1577" s="37"/>
      <c r="L1577" s="37"/>
      <c r="M1577" s="37"/>
      <c r="N1577" s="37"/>
      <c r="O1577" s="37"/>
      <c r="P1577" s="37"/>
      <c r="Q1577" s="37"/>
      <c r="R1577" s="37"/>
      <c r="S1577" s="37"/>
      <c r="T1577" s="37"/>
      <c r="U1577" s="37"/>
      <c r="V1577" s="37"/>
      <c r="W1577" s="37"/>
      <c r="X1577" s="37"/>
      <c r="Y1577" s="37"/>
      <c r="Z1577" s="37"/>
      <c r="AA1577" s="37"/>
      <c r="AB1577" s="37"/>
      <c r="AC1577" s="37"/>
      <c r="AD1577" s="37"/>
    </row>
    <row r="1578">
      <c r="A1578" s="37"/>
      <c r="B1578" s="37"/>
      <c r="C1578" s="37"/>
      <c r="D1578" s="37"/>
      <c r="E1578" s="37"/>
      <c r="F1578" s="37"/>
      <c r="G1578" s="37"/>
      <c r="H1578" s="37"/>
      <c r="I1578" s="37"/>
      <c r="J1578" s="37"/>
      <c r="K1578" s="37"/>
      <c r="L1578" s="37"/>
      <c r="M1578" s="37"/>
      <c r="N1578" s="37"/>
      <c r="O1578" s="37"/>
      <c r="P1578" s="37"/>
      <c r="Q1578" s="37"/>
      <c r="R1578" s="37"/>
      <c r="S1578" s="37"/>
      <c r="T1578" s="37"/>
      <c r="U1578" s="37"/>
      <c r="V1578" s="37"/>
      <c r="W1578" s="37"/>
      <c r="X1578" s="37"/>
      <c r="Y1578" s="37"/>
      <c r="Z1578" s="37"/>
      <c r="AA1578" s="37"/>
      <c r="AB1578" s="37"/>
      <c r="AC1578" s="37"/>
      <c r="AD1578" s="37"/>
    </row>
    <row r="1579">
      <c r="A1579" s="37"/>
      <c r="B1579" s="37"/>
      <c r="C1579" s="37"/>
      <c r="D1579" s="37"/>
      <c r="E1579" s="37"/>
      <c r="F1579" s="37"/>
      <c r="G1579" s="37"/>
      <c r="H1579" s="37"/>
      <c r="I1579" s="37"/>
      <c r="J1579" s="37"/>
      <c r="K1579" s="37"/>
      <c r="L1579" s="37"/>
      <c r="M1579" s="37"/>
      <c r="N1579" s="37"/>
      <c r="O1579" s="37"/>
      <c r="P1579" s="37"/>
      <c r="Q1579" s="37"/>
      <c r="R1579" s="37"/>
      <c r="S1579" s="37"/>
      <c r="T1579" s="37"/>
      <c r="U1579" s="37"/>
      <c r="V1579" s="37"/>
      <c r="W1579" s="37"/>
      <c r="X1579" s="37"/>
      <c r="Y1579" s="37"/>
      <c r="Z1579" s="37"/>
      <c r="AA1579" s="37"/>
      <c r="AB1579" s="37"/>
      <c r="AC1579" s="37"/>
      <c r="AD1579" s="37"/>
    </row>
    <row r="1580">
      <c r="A1580" s="37"/>
      <c r="B1580" s="37"/>
      <c r="C1580" s="37"/>
      <c r="D1580" s="37"/>
      <c r="E1580" s="37"/>
      <c r="F1580" s="37"/>
      <c r="G1580" s="37"/>
      <c r="H1580" s="37"/>
      <c r="I1580" s="37"/>
      <c r="J1580" s="37"/>
      <c r="K1580" s="37"/>
      <c r="L1580" s="37"/>
      <c r="M1580" s="37"/>
      <c r="N1580" s="37"/>
      <c r="O1580" s="37"/>
      <c r="P1580" s="37"/>
      <c r="Q1580" s="37"/>
      <c r="R1580" s="37"/>
      <c r="S1580" s="37"/>
      <c r="T1580" s="37"/>
      <c r="U1580" s="37"/>
      <c r="V1580" s="37"/>
      <c r="W1580" s="37"/>
      <c r="X1580" s="37"/>
      <c r="Y1580" s="37"/>
      <c r="Z1580" s="37"/>
      <c r="AA1580" s="37"/>
      <c r="AB1580" s="37"/>
      <c r="AC1580" s="37"/>
      <c r="AD1580" s="37"/>
    </row>
    <row r="1581">
      <c r="A1581" s="37"/>
      <c r="B1581" s="37"/>
      <c r="C1581" s="37"/>
      <c r="D1581" s="37"/>
      <c r="E1581" s="37"/>
      <c r="F1581" s="37"/>
      <c r="G1581" s="37"/>
      <c r="H1581" s="37"/>
      <c r="I1581" s="37"/>
      <c r="J1581" s="37"/>
      <c r="K1581" s="37"/>
      <c r="L1581" s="37"/>
      <c r="M1581" s="37"/>
      <c r="N1581" s="37"/>
      <c r="O1581" s="37"/>
      <c r="P1581" s="37"/>
      <c r="Q1581" s="37"/>
      <c r="R1581" s="37"/>
      <c r="S1581" s="37"/>
      <c r="T1581" s="37"/>
      <c r="U1581" s="37"/>
      <c r="V1581" s="37"/>
      <c r="W1581" s="37"/>
      <c r="X1581" s="37"/>
      <c r="Y1581" s="37"/>
      <c r="Z1581" s="37"/>
      <c r="AA1581" s="37"/>
      <c r="AB1581" s="37"/>
      <c r="AC1581" s="37"/>
      <c r="AD1581" s="37"/>
    </row>
    <row r="1582">
      <c r="A1582" s="37"/>
      <c r="B1582" s="37"/>
      <c r="C1582" s="37"/>
      <c r="D1582" s="37"/>
      <c r="E1582" s="37"/>
      <c r="F1582" s="37"/>
      <c r="G1582" s="37"/>
      <c r="H1582" s="37"/>
      <c r="I1582" s="37"/>
      <c r="J1582" s="37"/>
      <c r="K1582" s="37"/>
      <c r="L1582" s="37"/>
      <c r="M1582" s="37"/>
      <c r="N1582" s="37"/>
      <c r="O1582" s="37"/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37"/>
      <c r="AA1582" s="37"/>
      <c r="AB1582" s="37"/>
      <c r="AC1582" s="37"/>
      <c r="AD1582" s="37"/>
    </row>
    <row r="1583">
      <c r="A1583" s="37"/>
      <c r="B1583" s="37"/>
      <c r="C1583" s="37"/>
      <c r="D1583" s="37"/>
      <c r="E1583" s="37"/>
      <c r="F1583" s="37"/>
      <c r="G1583" s="37"/>
      <c r="H1583" s="37"/>
      <c r="I1583" s="37"/>
      <c r="J1583" s="37"/>
      <c r="K1583" s="37"/>
      <c r="L1583" s="37"/>
      <c r="M1583" s="37"/>
      <c r="N1583" s="37"/>
      <c r="O1583" s="37"/>
      <c r="P1583" s="37"/>
      <c r="Q1583" s="37"/>
      <c r="R1583" s="37"/>
      <c r="S1583" s="37"/>
      <c r="T1583" s="37"/>
      <c r="U1583" s="37"/>
      <c r="V1583" s="37"/>
      <c r="W1583" s="37"/>
      <c r="X1583" s="37"/>
      <c r="Y1583" s="37"/>
      <c r="Z1583" s="37"/>
      <c r="AA1583" s="37"/>
      <c r="AB1583" s="37"/>
      <c r="AC1583" s="37"/>
      <c r="AD1583" s="37"/>
    </row>
    <row r="1584">
      <c r="A1584" s="37"/>
      <c r="B1584" s="37"/>
      <c r="C1584" s="37"/>
      <c r="D1584" s="37"/>
      <c r="E1584" s="37"/>
      <c r="F1584" s="37"/>
      <c r="G1584" s="37"/>
      <c r="H1584" s="37"/>
      <c r="I1584" s="37"/>
      <c r="J1584" s="37"/>
      <c r="K1584" s="37"/>
      <c r="L1584" s="37"/>
      <c r="M1584" s="37"/>
      <c r="N1584" s="37"/>
      <c r="O1584" s="37"/>
      <c r="P1584" s="37"/>
      <c r="Q1584" s="37"/>
      <c r="R1584" s="37"/>
      <c r="S1584" s="37"/>
      <c r="T1584" s="37"/>
      <c r="U1584" s="37"/>
      <c r="V1584" s="37"/>
      <c r="W1584" s="37"/>
      <c r="X1584" s="37"/>
      <c r="Y1584" s="37"/>
      <c r="Z1584" s="37"/>
      <c r="AA1584" s="37"/>
      <c r="AB1584" s="37"/>
      <c r="AC1584" s="37"/>
      <c r="AD1584" s="37"/>
    </row>
    <row r="1585">
      <c r="A1585" s="37"/>
      <c r="B1585" s="37"/>
      <c r="C1585" s="37"/>
      <c r="D1585" s="37"/>
      <c r="E1585" s="37"/>
      <c r="F1585" s="37"/>
      <c r="G1585" s="37"/>
      <c r="H1585" s="37"/>
      <c r="I1585" s="37"/>
      <c r="J1585" s="37"/>
      <c r="K1585" s="37"/>
      <c r="L1585" s="37"/>
      <c r="M1585" s="37"/>
      <c r="N1585" s="37"/>
      <c r="O1585" s="37"/>
      <c r="P1585" s="37"/>
      <c r="Q1585" s="37"/>
      <c r="R1585" s="37"/>
      <c r="S1585" s="37"/>
      <c r="T1585" s="37"/>
      <c r="U1585" s="37"/>
      <c r="V1585" s="37"/>
      <c r="W1585" s="37"/>
      <c r="X1585" s="37"/>
      <c r="Y1585" s="37"/>
      <c r="Z1585" s="37"/>
      <c r="AA1585" s="37"/>
      <c r="AB1585" s="37"/>
      <c r="AC1585" s="37"/>
      <c r="AD1585" s="37"/>
    </row>
    <row r="1586">
      <c r="A1586" s="37"/>
      <c r="B1586" s="37"/>
      <c r="C1586" s="37"/>
      <c r="D1586" s="37"/>
      <c r="E1586" s="37"/>
      <c r="F1586" s="37"/>
      <c r="G1586" s="37"/>
      <c r="H1586" s="37"/>
      <c r="I1586" s="37"/>
      <c r="J1586" s="37"/>
      <c r="K1586" s="37"/>
      <c r="L1586" s="37"/>
      <c r="M1586" s="37"/>
      <c r="N1586" s="37"/>
      <c r="O1586" s="37"/>
      <c r="P1586" s="37"/>
      <c r="Q1586" s="37"/>
      <c r="R1586" s="37"/>
      <c r="S1586" s="37"/>
      <c r="T1586" s="37"/>
      <c r="U1586" s="37"/>
      <c r="V1586" s="37"/>
      <c r="W1586" s="37"/>
      <c r="X1586" s="37"/>
      <c r="Y1586" s="37"/>
      <c r="Z1586" s="37"/>
      <c r="AA1586" s="37"/>
      <c r="AB1586" s="37"/>
      <c r="AC1586" s="37"/>
      <c r="AD1586" s="37"/>
    </row>
    <row r="1587">
      <c r="A1587" s="37"/>
      <c r="B1587" s="37"/>
      <c r="C1587" s="37"/>
      <c r="D1587" s="37"/>
      <c r="E1587" s="37"/>
      <c r="F1587" s="37"/>
      <c r="G1587" s="37"/>
      <c r="H1587" s="37"/>
      <c r="I1587" s="37"/>
      <c r="J1587" s="37"/>
      <c r="K1587" s="37"/>
      <c r="L1587" s="37"/>
      <c r="M1587" s="37"/>
      <c r="N1587" s="37"/>
      <c r="O1587" s="37"/>
      <c r="P1587" s="37"/>
      <c r="Q1587" s="37"/>
      <c r="R1587" s="37"/>
      <c r="S1587" s="37"/>
      <c r="T1587" s="37"/>
      <c r="U1587" s="37"/>
      <c r="V1587" s="37"/>
      <c r="W1587" s="37"/>
      <c r="X1587" s="37"/>
      <c r="Y1587" s="37"/>
      <c r="Z1587" s="37"/>
      <c r="AA1587" s="37"/>
      <c r="AB1587" s="37"/>
      <c r="AC1587" s="37"/>
      <c r="AD1587" s="37"/>
    </row>
    <row r="1588">
      <c r="A1588" s="37"/>
      <c r="B1588" s="37"/>
      <c r="C1588" s="37"/>
      <c r="D1588" s="37"/>
      <c r="E1588" s="37"/>
      <c r="F1588" s="37"/>
      <c r="G1588" s="37"/>
      <c r="H1588" s="37"/>
      <c r="I1588" s="37"/>
      <c r="J1588" s="37"/>
      <c r="K1588" s="37"/>
      <c r="L1588" s="37"/>
      <c r="M1588" s="37"/>
      <c r="N1588" s="37"/>
      <c r="O1588" s="37"/>
      <c r="P1588" s="37"/>
      <c r="Q1588" s="37"/>
      <c r="R1588" s="37"/>
      <c r="S1588" s="37"/>
      <c r="T1588" s="37"/>
      <c r="U1588" s="37"/>
      <c r="V1588" s="37"/>
      <c r="W1588" s="37"/>
      <c r="X1588" s="37"/>
      <c r="Y1588" s="37"/>
      <c r="Z1588" s="37"/>
      <c r="AA1588" s="37"/>
      <c r="AB1588" s="37"/>
      <c r="AC1588" s="37"/>
      <c r="AD1588" s="37"/>
    </row>
    <row r="1589">
      <c r="A1589" s="37"/>
      <c r="B1589" s="37"/>
      <c r="C1589" s="37"/>
      <c r="D1589" s="37"/>
      <c r="E1589" s="37"/>
      <c r="F1589" s="37"/>
      <c r="G1589" s="37"/>
      <c r="H1589" s="37"/>
      <c r="I1589" s="37"/>
      <c r="J1589" s="37"/>
      <c r="K1589" s="37"/>
      <c r="L1589" s="37"/>
      <c r="M1589" s="37"/>
      <c r="N1589" s="37"/>
      <c r="O1589" s="37"/>
      <c r="P1589" s="37"/>
      <c r="Q1589" s="37"/>
      <c r="R1589" s="37"/>
      <c r="S1589" s="37"/>
      <c r="T1589" s="37"/>
      <c r="U1589" s="37"/>
      <c r="V1589" s="37"/>
      <c r="W1589" s="37"/>
      <c r="X1589" s="37"/>
      <c r="Y1589" s="37"/>
      <c r="Z1589" s="37"/>
      <c r="AA1589" s="37"/>
      <c r="AB1589" s="37"/>
      <c r="AC1589" s="37"/>
      <c r="AD1589" s="37"/>
    </row>
    <row r="1590">
      <c r="A1590" s="37"/>
      <c r="B1590" s="37"/>
      <c r="C1590" s="37"/>
      <c r="D1590" s="37"/>
      <c r="E1590" s="37"/>
      <c r="F1590" s="37"/>
      <c r="G1590" s="37"/>
      <c r="H1590" s="37"/>
      <c r="I1590" s="37"/>
      <c r="J1590" s="37"/>
      <c r="K1590" s="37"/>
      <c r="L1590" s="37"/>
      <c r="M1590" s="37"/>
      <c r="N1590" s="37"/>
      <c r="O1590" s="37"/>
      <c r="P1590" s="37"/>
      <c r="Q1590" s="37"/>
      <c r="R1590" s="37"/>
      <c r="S1590" s="37"/>
      <c r="T1590" s="37"/>
      <c r="U1590" s="37"/>
      <c r="V1590" s="37"/>
      <c r="W1590" s="37"/>
      <c r="X1590" s="37"/>
      <c r="Y1590" s="37"/>
      <c r="Z1590" s="37"/>
      <c r="AA1590" s="37"/>
      <c r="AB1590" s="37"/>
      <c r="AC1590" s="37"/>
      <c r="AD1590" s="37"/>
    </row>
    <row r="1591">
      <c r="A1591" s="37"/>
      <c r="B1591" s="37"/>
      <c r="C1591" s="37"/>
      <c r="D1591" s="37"/>
      <c r="E1591" s="37"/>
      <c r="F1591" s="37"/>
      <c r="G1591" s="37"/>
      <c r="H1591" s="37"/>
      <c r="I1591" s="37"/>
      <c r="J1591" s="37"/>
      <c r="K1591" s="37"/>
      <c r="L1591" s="37"/>
      <c r="M1591" s="37"/>
      <c r="N1591" s="37"/>
      <c r="O1591" s="37"/>
      <c r="P1591" s="37"/>
      <c r="Q1591" s="37"/>
      <c r="R1591" s="37"/>
      <c r="S1591" s="37"/>
      <c r="T1591" s="37"/>
      <c r="U1591" s="37"/>
      <c r="V1591" s="37"/>
      <c r="W1591" s="37"/>
      <c r="X1591" s="37"/>
      <c r="Y1591" s="37"/>
      <c r="Z1591" s="37"/>
      <c r="AA1591" s="37"/>
      <c r="AB1591" s="37"/>
      <c r="AC1591" s="37"/>
      <c r="AD1591" s="37"/>
    </row>
    <row r="1592">
      <c r="A1592" s="37"/>
      <c r="B1592" s="37"/>
      <c r="C1592" s="37"/>
      <c r="D1592" s="37"/>
      <c r="E1592" s="37"/>
      <c r="F1592" s="37"/>
      <c r="G1592" s="37"/>
      <c r="H1592" s="37"/>
      <c r="I1592" s="37"/>
      <c r="J1592" s="37"/>
      <c r="K1592" s="37"/>
      <c r="L1592" s="37"/>
      <c r="M1592" s="37"/>
      <c r="N1592" s="37"/>
      <c r="O1592" s="37"/>
      <c r="P1592" s="37"/>
      <c r="Q1592" s="37"/>
      <c r="R1592" s="37"/>
      <c r="S1592" s="37"/>
      <c r="T1592" s="37"/>
      <c r="U1592" s="37"/>
      <c r="V1592" s="37"/>
      <c r="W1592" s="37"/>
      <c r="X1592" s="37"/>
      <c r="Y1592" s="37"/>
      <c r="Z1592" s="37"/>
      <c r="AA1592" s="37"/>
      <c r="AB1592" s="37"/>
      <c r="AC1592" s="37"/>
      <c r="AD1592" s="37"/>
    </row>
    <row r="1593">
      <c r="A1593" s="37"/>
      <c r="B1593" s="37"/>
      <c r="C1593" s="37"/>
      <c r="D1593" s="37"/>
      <c r="E1593" s="37"/>
      <c r="F1593" s="37"/>
      <c r="G1593" s="37"/>
      <c r="H1593" s="37"/>
      <c r="I1593" s="37"/>
      <c r="J1593" s="37"/>
      <c r="K1593" s="37"/>
      <c r="L1593" s="37"/>
      <c r="M1593" s="37"/>
      <c r="N1593" s="37"/>
      <c r="O1593" s="37"/>
      <c r="P1593" s="37"/>
      <c r="Q1593" s="37"/>
      <c r="R1593" s="37"/>
      <c r="S1593" s="37"/>
      <c r="T1593" s="37"/>
      <c r="U1593" s="37"/>
      <c r="V1593" s="37"/>
      <c r="W1593" s="37"/>
      <c r="X1593" s="37"/>
      <c r="Y1593" s="37"/>
      <c r="Z1593" s="37"/>
      <c r="AA1593" s="37"/>
      <c r="AB1593" s="37"/>
      <c r="AC1593" s="37"/>
      <c r="AD1593" s="37"/>
    </row>
    <row r="1594">
      <c r="A1594" s="37"/>
      <c r="B1594" s="37"/>
      <c r="C1594" s="37"/>
      <c r="D1594" s="37"/>
      <c r="E1594" s="37"/>
      <c r="F1594" s="37"/>
      <c r="G1594" s="37"/>
      <c r="H1594" s="37"/>
      <c r="I1594" s="37"/>
      <c r="J1594" s="37"/>
      <c r="K1594" s="37"/>
      <c r="L1594" s="37"/>
      <c r="M1594" s="37"/>
      <c r="N1594" s="37"/>
      <c r="O1594" s="37"/>
      <c r="P1594" s="37"/>
      <c r="Q1594" s="37"/>
      <c r="R1594" s="37"/>
      <c r="S1594" s="37"/>
      <c r="T1594" s="37"/>
      <c r="U1594" s="37"/>
      <c r="V1594" s="37"/>
      <c r="W1594" s="37"/>
      <c r="X1594" s="37"/>
      <c r="Y1594" s="37"/>
      <c r="Z1594" s="37"/>
      <c r="AA1594" s="37"/>
      <c r="AB1594" s="37"/>
      <c r="AC1594" s="37"/>
      <c r="AD1594" s="37"/>
    </row>
    <row r="1595">
      <c r="A1595" s="37"/>
      <c r="B1595" s="37"/>
      <c r="C1595" s="37"/>
      <c r="D1595" s="37"/>
      <c r="E1595" s="37"/>
      <c r="F1595" s="37"/>
      <c r="G1595" s="37"/>
      <c r="H1595" s="37"/>
      <c r="I1595" s="37"/>
      <c r="J1595" s="37"/>
      <c r="K1595" s="37"/>
      <c r="L1595" s="37"/>
      <c r="M1595" s="37"/>
      <c r="N1595" s="37"/>
      <c r="O1595" s="37"/>
      <c r="P1595" s="37"/>
      <c r="Q1595" s="37"/>
      <c r="R1595" s="37"/>
      <c r="S1595" s="37"/>
      <c r="T1595" s="37"/>
      <c r="U1595" s="37"/>
      <c r="V1595" s="37"/>
      <c r="W1595" s="37"/>
      <c r="X1595" s="37"/>
      <c r="Y1595" s="37"/>
      <c r="Z1595" s="37"/>
      <c r="AA1595" s="37"/>
      <c r="AB1595" s="37"/>
      <c r="AC1595" s="37"/>
      <c r="AD1595" s="37"/>
    </row>
    <row r="1596">
      <c r="A1596" s="37"/>
      <c r="B1596" s="37"/>
      <c r="C1596" s="37"/>
      <c r="D1596" s="37"/>
      <c r="E1596" s="37"/>
      <c r="F1596" s="37"/>
      <c r="G1596" s="37"/>
      <c r="H1596" s="37"/>
      <c r="I1596" s="37"/>
      <c r="J1596" s="37"/>
      <c r="K1596" s="37"/>
      <c r="L1596" s="37"/>
      <c r="M1596" s="37"/>
      <c r="N1596" s="37"/>
      <c r="O1596" s="37"/>
      <c r="P1596" s="37"/>
      <c r="Q1596" s="37"/>
      <c r="R1596" s="37"/>
      <c r="S1596" s="37"/>
      <c r="T1596" s="37"/>
      <c r="U1596" s="37"/>
      <c r="V1596" s="37"/>
      <c r="W1596" s="37"/>
      <c r="X1596" s="37"/>
      <c r="Y1596" s="37"/>
      <c r="Z1596" s="37"/>
      <c r="AA1596" s="37"/>
      <c r="AB1596" s="37"/>
      <c r="AC1596" s="37"/>
      <c r="AD1596" s="37"/>
    </row>
    <row r="1597">
      <c r="A1597" s="37"/>
      <c r="B1597" s="37"/>
      <c r="C1597" s="37"/>
      <c r="D1597" s="37"/>
      <c r="E1597" s="37"/>
      <c r="F1597" s="37"/>
      <c r="G1597" s="37"/>
      <c r="H1597" s="37"/>
      <c r="I1597" s="37"/>
      <c r="J1597" s="37"/>
      <c r="K1597" s="37"/>
      <c r="L1597" s="37"/>
      <c r="M1597" s="37"/>
      <c r="N1597" s="37"/>
      <c r="O1597" s="37"/>
      <c r="P1597" s="37"/>
      <c r="Q1597" s="37"/>
      <c r="R1597" s="37"/>
      <c r="S1597" s="37"/>
      <c r="T1597" s="37"/>
      <c r="U1597" s="37"/>
      <c r="V1597" s="37"/>
      <c r="W1597" s="37"/>
      <c r="X1597" s="37"/>
      <c r="Y1597" s="37"/>
      <c r="Z1597" s="37"/>
      <c r="AA1597" s="37"/>
      <c r="AB1597" s="37"/>
      <c r="AC1597" s="37"/>
      <c r="AD1597" s="37"/>
    </row>
    <row r="1598">
      <c r="A1598" s="37"/>
      <c r="B1598" s="37"/>
      <c r="C1598" s="37"/>
      <c r="D1598" s="37"/>
      <c r="E1598" s="37"/>
      <c r="F1598" s="37"/>
      <c r="G1598" s="37"/>
      <c r="H1598" s="37"/>
      <c r="I1598" s="37"/>
      <c r="J1598" s="37"/>
      <c r="K1598" s="37"/>
      <c r="L1598" s="37"/>
      <c r="M1598" s="37"/>
      <c r="N1598" s="37"/>
      <c r="O1598" s="37"/>
      <c r="P1598" s="37"/>
      <c r="Q1598" s="37"/>
      <c r="R1598" s="37"/>
      <c r="S1598" s="37"/>
      <c r="T1598" s="37"/>
      <c r="U1598" s="37"/>
      <c r="V1598" s="37"/>
      <c r="W1598" s="37"/>
      <c r="X1598" s="37"/>
      <c r="Y1598" s="37"/>
      <c r="Z1598" s="37"/>
      <c r="AA1598" s="37"/>
      <c r="AB1598" s="37"/>
      <c r="AC1598" s="37"/>
      <c r="AD1598" s="37"/>
    </row>
    <row r="1599">
      <c r="A1599" s="37"/>
      <c r="B1599" s="37"/>
      <c r="C1599" s="37"/>
      <c r="D1599" s="37"/>
      <c r="E1599" s="37"/>
      <c r="F1599" s="37"/>
      <c r="G1599" s="37"/>
      <c r="H1599" s="37"/>
      <c r="I1599" s="37"/>
      <c r="J1599" s="37"/>
      <c r="K1599" s="37"/>
      <c r="L1599" s="37"/>
      <c r="M1599" s="37"/>
      <c r="N1599" s="37"/>
      <c r="O1599" s="37"/>
      <c r="P1599" s="37"/>
      <c r="Q1599" s="37"/>
      <c r="R1599" s="37"/>
      <c r="S1599" s="37"/>
      <c r="T1599" s="37"/>
      <c r="U1599" s="37"/>
      <c r="V1599" s="37"/>
      <c r="W1599" s="37"/>
      <c r="X1599" s="37"/>
      <c r="Y1599" s="37"/>
      <c r="Z1599" s="37"/>
      <c r="AA1599" s="37"/>
      <c r="AB1599" s="37"/>
      <c r="AC1599" s="37"/>
      <c r="AD1599" s="37"/>
    </row>
    <row r="1600">
      <c r="A1600" s="37"/>
      <c r="B1600" s="37"/>
      <c r="C1600" s="37"/>
      <c r="D1600" s="37"/>
      <c r="E1600" s="37"/>
      <c r="F1600" s="37"/>
      <c r="G1600" s="37"/>
      <c r="H1600" s="37"/>
      <c r="I1600" s="37"/>
      <c r="J1600" s="37"/>
      <c r="K1600" s="37"/>
      <c r="L1600" s="37"/>
      <c r="M1600" s="37"/>
      <c r="N1600" s="37"/>
      <c r="O1600" s="37"/>
      <c r="P1600" s="37"/>
      <c r="Q1600" s="37"/>
      <c r="R1600" s="37"/>
      <c r="S1600" s="37"/>
      <c r="T1600" s="37"/>
      <c r="U1600" s="37"/>
      <c r="V1600" s="37"/>
      <c r="W1600" s="37"/>
      <c r="X1600" s="37"/>
      <c r="Y1600" s="37"/>
      <c r="Z1600" s="37"/>
      <c r="AA1600" s="37"/>
      <c r="AB1600" s="37"/>
      <c r="AC1600" s="37"/>
      <c r="AD1600" s="37"/>
    </row>
    <row r="1601">
      <c r="A1601" s="37"/>
      <c r="B1601" s="37"/>
      <c r="C1601" s="37"/>
      <c r="D1601" s="37"/>
      <c r="E1601" s="37"/>
      <c r="F1601" s="37"/>
      <c r="G1601" s="37"/>
      <c r="H1601" s="37"/>
      <c r="I1601" s="37"/>
      <c r="J1601" s="37"/>
      <c r="K1601" s="37"/>
      <c r="L1601" s="37"/>
      <c r="M1601" s="37"/>
      <c r="N1601" s="37"/>
      <c r="O1601" s="37"/>
      <c r="P1601" s="37"/>
      <c r="Q1601" s="37"/>
      <c r="R1601" s="37"/>
      <c r="S1601" s="37"/>
      <c r="T1601" s="37"/>
      <c r="U1601" s="37"/>
      <c r="V1601" s="37"/>
      <c r="W1601" s="37"/>
      <c r="X1601" s="37"/>
      <c r="Y1601" s="37"/>
      <c r="Z1601" s="37"/>
      <c r="AA1601" s="37"/>
      <c r="AB1601" s="37"/>
      <c r="AC1601" s="37"/>
      <c r="AD1601" s="37"/>
    </row>
    <row r="1602">
      <c r="A1602" s="37"/>
      <c r="B1602" s="37"/>
      <c r="C1602" s="37"/>
      <c r="D1602" s="37"/>
      <c r="E1602" s="37"/>
      <c r="F1602" s="37"/>
      <c r="G1602" s="37"/>
      <c r="H1602" s="37"/>
      <c r="I1602" s="37"/>
      <c r="J1602" s="37"/>
      <c r="K1602" s="37"/>
      <c r="L1602" s="37"/>
      <c r="M1602" s="37"/>
      <c r="N1602" s="37"/>
      <c r="O1602" s="37"/>
      <c r="P1602" s="37"/>
      <c r="Q1602" s="37"/>
      <c r="R1602" s="37"/>
      <c r="S1602" s="37"/>
      <c r="T1602" s="37"/>
      <c r="U1602" s="37"/>
      <c r="V1602" s="37"/>
      <c r="W1602" s="37"/>
      <c r="X1602" s="37"/>
      <c r="Y1602" s="37"/>
      <c r="Z1602" s="37"/>
      <c r="AA1602" s="37"/>
      <c r="AB1602" s="37"/>
      <c r="AC1602" s="37"/>
      <c r="AD1602" s="37"/>
    </row>
    <row r="1603">
      <c r="A1603" s="37"/>
      <c r="B1603" s="37"/>
      <c r="C1603" s="37"/>
      <c r="D1603" s="37"/>
      <c r="E1603" s="37"/>
      <c r="F1603" s="37"/>
      <c r="G1603" s="37"/>
      <c r="H1603" s="37"/>
      <c r="I1603" s="37"/>
      <c r="J1603" s="37"/>
      <c r="K1603" s="37"/>
      <c r="L1603" s="37"/>
      <c r="M1603" s="37"/>
      <c r="N1603" s="37"/>
      <c r="O1603" s="37"/>
      <c r="P1603" s="37"/>
      <c r="Q1603" s="37"/>
      <c r="R1603" s="37"/>
      <c r="S1603" s="37"/>
      <c r="T1603" s="37"/>
      <c r="U1603" s="37"/>
      <c r="V1603" s="37"/>
      <c r="W1603" s="37"/>
      <c r="X1603" s="37"/>
      <c r="Y1603" s="37"/>
      <c r="Z1603" s="37"/>
      <c r="AA1603" s="37"/>
      <c r="AB1603" s="37"/>
      <c r="AC1603" s="37"/>
      <c r="AD1603" s="37"/>
    </row>
    <row r="1604">
      <c r="A1604" s="37"/>
      <c r="B1604" s="37"/>
      <c r="C1604" s="37"/>
      <c r="D1604" s="37"/>
      <c r="E1604" s="37"/>
      <c r="F1604" s="37"/>
      <c r="G1604" s="37"/>
      <c r="H1604" s="37"/>
      <c r="I1604" s="37"/>
      <c r="J1604" s="37"/>
      <c r="K1604" s="37"/>
      <c r="L1604" s="37"/>
      <c r="M1604" s="37"/>
      <c r="N1604" s="37"/>
      <c r="O1604" s="37"/>
      <c r="P1604" s="37"/>
      <c r="Q1604" s="37"/>
      <c r="R1604" s="37"/>
      <c r="S1604" s="37"/>
      <c r="T1604" s="37"/>
      <c r="U1604" s="37"/>
      <c r="V1604" s="37"/>
      <c r="W1604" s="37"/>
      <c r="X1604" s="37"/>
      <c r="Y1604" s="37"/>
      <c r="Z1604" s="37"/>
      <c r="AA1604" s="37"/>
      <c r="AB1604" s="37"/>
      <c r="AC1604" s="37"/>
      <c r="AD1604" s="37"/>
    </row>
    <row r="1605">
      <c r="A1605" s="37"/>
      <c r="B1605" s="37"/>
      <c r="C1605" s="37"/>
      <c r="D1605" s="37"/>
      <c r="E1605" s="37"/>
      <c r="F1605" s="37"/>
      <c r="G1605" s="37"/>
      <c r="H1605" s="37"/>
      <c r="I1605" s="37"/>
      <c r="J1605" s="37"/>
      <c r="K1605" s="37"/>
      <c r="L1605" s="37"/>
      <c r="M1605" s="37"/>
      <c r="N1605" s="37"/>
      <c r="O1605" s="37"/>
      <c r="P1605" s="37"/>
      <c r="Q1605" s="37"/>
      <c r="R1605" s="37"/>
      <c r="S1605" s="37"/>
      <c r="T1605" s="37"/>
      <c r="U1605" s="37"/>
      <c r="V1605" s="37"/>
      <c r="W1605" s="37"/>
      <c r="X1605" s="37"/>
      <c r="Y1605" s="37"/>
      <c r="Z1605" s="37"/>
      <c r="AA1605" s="37"/>
      <c r="AB1605" s="37"/>
      <c r="AC1605" s="37"/>
      <c r="AD1605" s="37"/>
    </row>
    <row r="1606">
      <c r="A1606" s="37"/>
      <c r="B1606" s="37"/>
      <c r="C1606" s="37"/>
      <c r="D1606" s="37"/>
      <c r="E1606" s="37"/>
      <c r="F1606" s="37"/>
      <c r="G1606" s="37"/>
      <c r="H1606" s="37"/>
      <c r="I1606" s="37"/>
      <c r="J1606" s="37"/>
      <c r="K1606" s="37"/>
      <c r="L1606" s="37"/>
      <c r="M1606" s="37"/>
      <c r="N1606" s="37"/>
      <c r="O1606" s="37"/>
      <c r="P1606" s="37"/>
      <c r="Q1606" s="37"/>
      <c r="R1606" s="37"/>
      <c r="S1606" s="37"/>
      <c r="T1606" s="37"/>
      <c r="U1606" s="37"/>
      <c r="V1606" s="37"/>
      <c r="W1606" s="37"/>
      <c r="X1606" s="37"/>
      <c r="Y1606" s="37"/>
      <c r="Z1606" s="37"/>
      <c r="AA1606" s="37"/>
      <c r="AB1606" s="37"/>
      <c r="AC1606" s="37"/>
      <c r="AD1606" s="37"/>
    </row>
    <row r="1607">
      <c r="A1607" s="37"/>
      <c r="B1607" s="37"/>
      <c r="C1607" s="37"/>
      <c r="D1607" s="37"/>
      <c r="E1607" s="37"/>
      <c r="F1607" s="37"/>
      <c r="G1607" s="37"/>
      <c r="H1607" s="37"/>
      <c r="I1607" s="37"/>
      <c r="J1607" s="37"/>
      <c r="K1607" s="37"/>
      <c r="L1607" s="37"/>
      <c r="M1607" s="37"/>
      <c r="N1607" s="37"/>
      <c r="O1607" s="37"/>
      <c r="P1607" s="37"/>
      <c r="Q1607" s="37"/>
      <c r="R1607" s="37"/>
      <c r="S1607" s="37"/>
      <c r="T1607" s="37"/>
      <c r="U1607" s="37"/>
      <c r="V1607" s="37"/>
      <c r="W1607" s="37"/>
      <c r="X1607" s="37"/>
      <c r="Y1607" s="37"/>
      <c r="Z1607" s="37"/>
      <c r="AA1607" s="37"/>
      <c r="AB1607" s="37"/>
      <c r="AC1607" s="37"/>
      <c r="AD1607" s="37"/>
    </row>
    <row r="1608">
      <c r="A1608" s="37"/>
      <c r="B1608" s="37"/>
      <c r="C1608" s="37"/>
      <c r="D1608" s="37"/>
      <c r="E1608" s="37"/>
      <c r="F1608" s="37"/>
      <c r="G1608" s="37"/>
      <c r="H1608" s="37"/>
      <c r="I1608" s="37"/>
      <c r="J1608" s="37"/>
      <c r="K1608" s="37"/>
      <c r="L1608" s="37"/>
      <c r="M1608" s="37"/>
      <c r="N1608" s="37"/>
      <c r="O1608" s="37"/>
      <c r="P1608" s="37"/>
      <c r="Q1608" s="37"/>
      <c r="R1608" s="37"/>
      <c r="S1608" s="37"/>
      <c r="T1608" s="37"/>
      <c r="U1608" s="37"/>
      <c r="V1608" s="37"/>
      <c r="W1608" s="37"/>
      <c r="X1608" s="37"/>
      <c r="Y1608" s="37"/>
      <c r="Z1608" s="37"/>
      <c r="AA1608" s="37"/>
      <c r="AB1608" s="37"/>
      <c r="AC1608" s="37"/>
      <c r="AD1608" s="37"/>
    </row>
    <row r="1609">
      <c r="A1609" s="37"/>
      <c r="B1609" s="37"/>
      <c r="C1609" s="37"/>
      <c r="D1609" s="37"/>
      <c r="E1609" s="37"/>
      <c r="F1609" s="37"/>
      <c r="G1609" s="37"/>
      <c r="H1609" s="37"/>
      <c r="I1609" s="37"/>
      <c r="J1609" s="37"/>
      <c r="K1609" s="37"/>
      <c r="L1609" s="37"/>
      <c r="M1609" s="37"/>
      <c r="N1609" s="37"/>
      <c r="O1609" s="37"/>
      <c r="P1609" s="37"/>
      <c r="Q1609" s="37"/>
      <c r="R1609" s="37"/>
      <c r="S1609" s="37"/>
      <c r="T1609" s="37"/>
      <c r="U1609" s="37"/>
      <c r="V1609" s="37"/>
      <c r="W1609" s="37"/>
      <c r="X1609" s="37"/>
      <c r="Y1609" s="37"/>
      <c r="Z1609" s="37"/>
      <c r="AA1609" s="37"/>
      <c r="AB1609" s="37"/>
      <c r="AC1609" s="37"/>
      <c r="AD1609" s="37"/>
    </row>
    <row r="1610">
      <c r="A1610" s="37"/>
      <c r="B1610" s="37"/>
      <c r="C1610" s="37"/>
      <c r="D1610" s="37"/>
      <c r="E1610" s="37"/>
      <c r="F1610" s="37"/>
      <c r="G1610" s="37"/>
      <c r="H1610" s="37"/>
      <c r="I1610" s="37"/>
      <c r="J1610" s="37"/>
      <c r="K1610" s="37"/>
      <c r="L1610" s="37"/>
      <c r="M1610" s="37"/>
      <c r="N1610" s="37"/>
      <c r="O1610" s="37"/>
      <c r="P1610" s="37"/>
      <c r="Q1610" s="37"/>
      <c r="R1610" s="37"/>
      <c r="S1610" s="37"/>
      <c r="T1610" s="37"/>
      <c r="U1610" s="37"/>
      <c r="V1610" s="37"/>
      <c r="W1610" s="37"/>
      <c r="X1610" s="37"/>
      <c r="Y1610" s="37"/>
      <c r="Z1610" s="37"/>
      <c r="AA1610" s="37"/>
      <c r="AB1610" s="37"/>
      <c r="AC1610" s="37"/>
      <c r="AD1610" s="37"/>
    </row>
    <row r="1611">
      <c r="A1611" s="37"/>
      <c r="B1611" s="37"/>
      <c r="C1611" s="37"/>
      <c r="D1611" s="37"/>
      <c r="E1611" s="37"/>
      <c r="F1611" s="37"/>
      <c r="G1611" s="37"/>
      <c r="H1611" s="37"/>
      <c r="I1611" s="37"/>
      <c r="J1611" s="37"/>
      <c r="K1611" s="37"/>
      <c r="L1611" s="37"/>
      <c r="M1611" s="37"/>
      <c r="N1611" s="37"/>
      <c r="O1611" s="37"/>
      <c r="P1611" s="37"/>
      <c r="Q1611" s="37"/>
      <c r="R1611" s="37"/>
      <c r="S1611" s="37"/>
      <c r="T1611" s="37"/>
      <c r="U1611" s="37"/>
      <c r="V1611" s="37"/>
      <c r="W1611" s="37"/>
      <c r="X1611" s="37"/>
      <c r="Y1611" s="37"/>
      <c r="Z1611" s="37"/>
      <c r="AA1611" s="37"/>
      <c r="AB1611" s="37"/>
      <c r="AC1611" s="37"/>
      <c r="AD1611" s="37"/>
    </row>
    <row r="1612">
      <c r="A1612" s="37"/>
      <c r="B1612" s="37"/>
      <c r="C1612" s="37"/>
      <c r="D1612" s="37"/>
      <c r="E1612" s="37"/>
      <c r="F1612" s="37"/>
      <c r="G1612" s="37"/>
      <c r="H1612" s="37"/>
      <c r="I1612" s="37"/>
      <c r="J1612" s="37"/>
      <c r="K1612" s="37"/>
      <c r="L1612" s="37"/>
      <c r="M1612" s="37"/>
      <c r="N1612" s="37"/>
      <c r="O1612" s="37"/>
      <c r="P1612" s="37"/>
      <c r="Q1612" s="37"/>
      <c r="R1612" s="37"/>
      <c r="S1612" s="37"/>
      <c r="T1612" s="37"/>
      <c r="U1612" s="37"/>
      <c r="V1612" s="37"/>
      <c r="W1612" s="37"/>
      <c r="X1612" s="37"/>
      <c r="Y1612" s="37"/>
      <c r="Z1612" s="37"/>
      <c r="AA1612" s="37"/>
      <c r="AB1612" s="37"/>
      <c r="AC1612" s="37"/>
      <c r="AD1612" s="37"/>
    </row>
    <row r="1613">
      <c r="A1613" s="37"/>
      <c r="B1613" s="37"/>
      <c r="C1613" s="37"/>
      <c r="D1613" s="37"/>
      <c r="E1613" s="37"/>
      <c r="F1613" s="37"/>
      <c r="G1613" s="37"/>
      <c r="H1613" s="37"/>
      <c r="I1613" s="37"/>
      <c r="J1613" s="37"/>
      <c r="K1613" s="37"/>
      <c r="L1613" s="37"/>
      <c r="M1613" s="37"/>
      <c r="N1613" s="37"/>
      <c r="O1613" s="37"/>
      <c r="P1613" s="37"/>
      <c r="Q1613" s="37"/>
      <c r="R1613" s="37"/>
      <c r="S1613" s="37"/>
      <c r="T1613" s="37"/>
      <c r="U1613" s="37"/>
      <c r="V1613" s="37"/>
      <c r="W1613" s="37"/>
      <c r="X1613" s="37"/>
      <c r="Y1613" s="37"/>
      <c r="Z1613" s="37"/>
      <c r="AA1613" s="37"/>
      <c r="AB1613" s="37"/>
      <c r="AC1613" s="37"/>
      <c r="AD1613" s="37"/>
    </row>
    <row r="1614">
      <c r="A1614" s="37"/>
      <c r="B1614" s="37"/>
      <c r="C1614" s="37"/>
      <c r="D1614" s="37"/>
      <c r="E1614" s="37"/>
      <c r="F1614" s="37"/>
      <c r="G1614" s="37"/>
      <c r="H1614" s="37"/>
      <c r="I1614" s="37"/>
      <c r="J1614" s="37"/>
      <c r="K1614" s="37"/>
      <c r="L1614" s="37"/>
      <c r="M1614" s="37"/>
      <c r="N1614" s="37"/>
      <c r="O1614" s="37"/>
      <c r="P1614" s="37"/>
      <c r="Q1614" s="37"/>
      <c r="R1614" s="37"/>
      <c r="S1614" s="37"/>
      <c r="T1614" s="37"/>
      <c r="U1614" s="37"/>
      <c r="V1614" s="37"/>
      <c r="W1614" s="37"/>
      <c r="X1614" s="37"/>
      <c r="Y1614" s="37"/>
      <c r="Z1614" s="37"/>
      <c r="AA1614" s="37"/>
      <c r="AB1614" s="37"/>
      <c r="AC1614" s="37"/>
      <c r="AD1614" s="37"/>
    </row>
    <row r="1615">
      <c r="A1615" s="37"/>
      <c r="B1615" s="37"/>
      <c r="C1615" s="37"/>
      <c r="D1615" s="37"/>
      <c r="E1615" s="37"/>
      <c r="F1615" s="37"/>
      <c r="G1615" s="37"/>
      <c r="H1615" s="37"/>
      <c r="I1615" s="37"/>
      <c r="J1615" s="37"/>
      <c r="K1615" s="37"/>
      <c r="L1615" s="37"/>
      <c r="M1615" s="37"/>
      <c r="N1615" s="37"/>
      <c r="O1615" s="37"/>
      <c r="P1615" s="37"/>
      <c r="Q1615" s="37"/>
      <c r="R1615" s="37"/>
      <c r="S1615" s="37"/>
      <c r="T1615" s="37"/>
      <c r="U1615" s="37"/>
      <c r="V1615" s="37"/>
      <c r="W1615" s="37"/>
      <c r="X1615" s="37"/>
      <c r="Y1615" s="37"/>
      <c r="Z1615" s="37"/>
      <c r="AA1615" s="37"/>
      <c r="AB1615" s="37"/>
      <c r="AC1615" s="37"/>
      <c r="AD1615" s="37"/>
    </row>
    <row r="1616">
      <c r="A1616" s="37"/>
      <c r="B1616" s="37"/>
      <c r="C1616" s="37"/>
      <c r="D1616" s="37"/>
      <c r="E1616" s="37"/>
      <c r="F1616" s="37"/>
      <c r="G1616" s="37"/>
      <c r="H1616" s="37"/>
      <c r="I1616" s="37"/>
      <c r="J1616" s="37"/>
      <c r="K1616" s="37"/>
      <c r="L1616" s="37"/>
      <c r="M1616" s="37"/>
      <c r="N1616" s="37"/>
      <c r="O1616" s="37"/>
      <c r="P1616" s="37"/>
      <c r="Q1616" s="37"/>
      <c r="R1616" s="37"/>
      <c r="S1616" s="37"/>
      <c r="T1616" s="37"/>
      <c r="U1616" s="37"/>
      <c r="V1616" s="37"/>
      <c r="W1616" s="37"/>
      <c r="X1616" s="37"/>
      <c r="Y1616" s="37"/>
      <c r="Z1616" s="37"/>
      <c r="AA1616" s="37"/>
      <c r="AB1616" s="37"/>
      <c r="AC1616" s="37"/>
      <c r="AD1616" s="37"/>
    </row>
    <row r="1617">
      <c r="A1617" s="37"/>
      <c r="B1617" s="37"/>
      <c r="C1617" s="37"/>
      <c r="D1617" s="37"/>
      <c r="E1617" s="37"/>
      <c r="F1617" s="37"/>
      <c r="G1617" s="37"/>
      <c r="H1617" s="37"/>
      <c r="I1617" s="37"/>
      <c r="J1617" s="37"/>
      <c r="K1617" s="37"/>
      <c r="L1617" s="37"/>
      <c r="M1617" s="37"/>
      <c r="N1617" s="37"/>
      <c r="O1617" s="37"/>
      <c r="P1617" s="37"/>
      <c r="Q1617" s="37"/>
      <c r="R1617" s="37"/>
      <c r="S1617" s="37"/>
      <c r="T1617" s="37"/>
      <c r="U1617" s="37"/>
      <c r="V1617" s="37"/>
      <c r="W1617" s="37"/>
      <c r="X1617" s="37"/>
      <c r="Y1617" s="37"/>
      <c r="Z1617" s="37"/>
      <c r="AA1617" s="37"/>
      <c r="AB1617" s="37"/>
      <c r="AC1617" s="37"/>
      <c r="AD1617" s="37"/>
    </row>
    <row r="1618">
      <c r="A1618" s="37"/>
      <c r="B1618" s="37"/>
      <c r="C1618" s="37"/>
      <c r="D1618" s="37"/>
      <c r="E1618" s="37"/>
      <c r="F1618" s="37"/>
      <c r="G1618" s="37"/>
      <c r="H1618" s="37"/>
      <c r="I1618" s="37"/>
      <c r="J1618" s="37"/>
      <c r="K1618" s="37"/>
      <c r="L1618" s="37"/>
      <c r="M1618" s="37"/>
      <c r="N1618" s="37"/>
      <c r="O1618" s="37"/>
      <c r="P1618" s="37"/>
      <c r="Q1618" s="37"/>
      <c r="R1618" s="37"/>
      <c r="S1618" s="37"/>
      <c r="T1618" s="37"/>
      <c r="U1618" s="37"/>
      <c r="V1618" s="37"/>
      <c r="W1618" s="37"/>
      <c r="X1618" s="37"/>
      <c r="Y1618" s="37"/>
      <c r="Z1618" s="37"/>
      <c r="AA1618" s="37"/>
      <c r="AB1618" s="37"/>
      <c r="AC1618" s="37"/>
      <c r="AD1618" s="37"/>
    </row>
    <row r="1619">
      <c r="A1619" s="37"/>
      <c r="B1619" s="37"/>
      <c r="C1619" s="37"/>
      <c r="D1619" s="37"/>
      <c r="E1619" s="37"/>
      <c r="F1619" s="37"/>
      <c r="G1619" s="37"/>
      <c r="H1619" s="37"/>
      <c r="I1619" s="37"/>
      <c r="J1619" s="37"/>
      <c r="K1619" s="37"/>
      <c r="L1619" s="37"/>
      <c r="M1619" s="37"/>
      <c r="N1619" s="37"/>
      <c r="O1619" s="37"/>
      <c r="P1619" s="37"/>
      <c r="Q1619" s="37"/>
      <c r="R1619" s="37"/>
      <c r="S1619" s="37"/>
      <c r="T1619" s="37"/>
      <c r="U1619" s="37"/>
      <c r="V1619" s="37"/>
      <c r="W1619" s="37"/>
      <c r="X1619" s="37"/>
      <c r="Y1619" s="37"/>
      <c r="Z1619" s="37"/>
      <c r="AA1619" s="37"/>
      <c r="AB1619" s="37"/>
      <c r="AC1619" s="37"/>
      <c r="AD1619" s="37"/>
    </row>
    <row r="1620">
      <c r="A1620" s="37"/>
      <c r="B1620" s="37"/>
      <c r="C1620" s="37"/>
      <c r="D1620" s="37"/>
      <c r="E1620" s="37"/>
      <c r="F1620" s="37"/>
      <c r="G1620" s="37"/>
      <c r="H1620" s="37"/>
      <c r="I1620" s="37"/>
      <c r="J1620" s="37"/>
      <c r="K1620" s="37"/>
      <c r="L1620" s="37"/>
      <c r="M1620" s="37"/>
      <c r="N1620" s="37"/>
      <c r="O1620" s="37"/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37"/>
      <c r="AA1620" s="37"/>
      <c r="AB1620" s="37"/>
      <c r="AC1620" s="37"/>
      <c r="AD1620" s="37"/>
    </row>
    <row r="1621">
      <c r="A1621" s="37"/>
      <c r="B1621" s="37"/>
      <c r="C1621" s="37"/>
      <c r="D1621" s="37"/>
      <c r="E1621" s="37"/>
      <c r="F1621" s="37"/>
      <c r="G1621" s="37"/>
      <c r="H1621" s="37"/>
      <c r="I1621" s="37"/>
      <c r="J1621" s="37"/>
      <c r="K1621" s="37"/>
      <c r="L1621" s="37"/>
      <c r="M1621" s="37"/>
      <c r="N1621" s="37"/>
      <c r="O1621" s="37"/>
      <c r="P1621" s="37"/>
      <c r="Q1621" s="37"/>
      <c r="R1621" s="37"/>
      <c r="S1621" s="37"/>
      <c r="T1621" s="37"/>
      <c r="U1621" s="37"/>
      <c r="V1621" s="37"/>
      <c r="W1621" s="37"/>
      <c r="X1621" s="37"/>
      <c r="Y1621" s="37"/>
      <c r="Z1621" s="37"/>
      <c r="AA1621" s="37"/>
      <c r="AB1621" s="37"/>
      <c r="AC1621" s="37"/>
      <c r="AD1621" s="37"/>
    </row>
    <row r="1622">
      <c r="A1622" s="37"/>
      <c r="B1622" s="37"/>
      <c r="C1622" s="37"/>
      <c r="D1622" s="37"/>
      <c r="E1622" s="37"/>
      <c r="F1622" s="37"/>
      <c r="G1622" s="37"/>
      <c r="H1622" s="37"/>
      <c r="I1622" s="37"/>
      <c r="J1622" s="37"/>
      <c r="K1622" s="37"/>
      <c r="L1622" s="37"/>
      <c r="M1622" s="37"/>
      <c r="N1622" s="37"/>
      <c r="O1622" s="37"/>
      <c r="P1622" s="37"/>
      <c r="Q1622" s="37"/>
      <c r="R1622" s="37"/>
      <c r="S1622" s="37"/>
      <c r="T1622" s="37"/>
      <c r="U1622" s="37"/>
      <c r="V1622" s="37"/>
      <c r="W1622" s="37"/>
      <c r="X1622" s="37"/>
      <c r="Y1622" s="37"/>
      <c r="Z1622" s="37"/>
      <c r="AA1622" s="37"/>
      <c r="AB1622" s="37"/>
      <c r="AC1622" s="37"/>
      <c r="AD1622" s="37"/>
    </row>
    <row r="1623">
      <c r="A1623" s="37"/>
      <c r="B1623" s="37"/>
      <c r="C1623" s="37"/>
      <c r="D1623" s="37"/>
      <c r="E1623" s="37"/>
      <c r="F1623" s="37"/>
      <c r="G1623" s="37"/>
      <c r="H1623" s="37"/>
      <c r="I1623" s="37"/>
      <c r="J1623" s="37"/>
      <c r="K1623" s="37"/>
      <c r="L1623" s="37"/>
      <c r="M1623" s="37"/>
      <c r="N1623" s="37"/>
      <c r="O1623" s="37"/>
      <c r="P1623" s="37"/>
      <c r="Q1623" s="37"/>
      <c r="R1623" s="37"/>
      <c r="S1623" s="37"/>
      <c r="T1623" s="37"/>
      <c r="U1623" s="37"/>
      <c r="V1623" s="37"/>
      <c r="W1623" s="37"/>
      <c r="X1623" s="37"/>
      <c r="Y1623" s="37"/>
      <c r="Z1623" s="37"/>
      <c r="AA1623" s="37"/>
      <c r="AB1623" s="37"/>
      <c r="AC1623" s="37"/>
      <c r="AD1623" s="37"/>
    </row>
    <row r="1624">
      <c r="A1624" s="37"/>
      <c r="B1624" s="37"/>
      <c r="C1624" s="37"/>
      <c r="D1624" s="37"/>
      <c r="E1624" s="37"/>
      <c r="F1624" s="37"/>
      <c r="G1624" s="37"/>
      <c r="H1624" s="37"/>
      <c r="I1624" s="37"/>
      <c r="J1624" s="37"/>
      <c r="K1624" s="37"/>
      <c r="L1624" s="37"/>
      <c r="M1624" s="37"/>
      <c r="N1624" s="37"/>
      <c r="O1624" s="37"/>
      <c r="P1624" s="37"/>
      <c r="Q1624" s="37"/>
      <c r="R1624" s="37"/>
      <c r="S1624" s="37"/>
      <c r="T1624" s="37"/>
      <c r="U1624" s="37"/>
      <c r="V1624" s="37"/>
      <c r="W1624" s="37"/>
      <c r="X1624" s="37"/>
      <c r="Y1624" s="37"/>
      <c r="Z1624" s="37"/>
      <c r="AA1624" s="37"/>
      <c r="AB1624" s="37"/>
      <c r="AC1624" s="37"/>
      <c r="AD1624" s="37"/>
    </row>
    <row r="1625">
      <c r="A1625" s="37"/>
      <c r="B1625" s="37"/>
      <c r="C1625" s="37"/>
      <c r="D1625" s="37"/>
      <c r="E1625" s="37"/>
      <c r="F1625" s="37"/>
      <c r="G1625" s="37"/>
      <c r="H1625" s="37"/>
      <c r="I1625" s="37"/>
      <c r="J1625" s="37"/>
      <c r="K1625" s="37"/>
      <c r="L1625" s="37"/>
      <c r="M1625" s="37"/>
      <c r="N1625" s="37"/>
      <c r="O1625" s="37"/>
      <c r="P1625" s="37"/>
      <c r="Q1625" s="37"/>
      <c r="R1625" s="37"/>
      <c r="S1625" s="37"/>
      <c r="T1625" s="37"/>
      <c r="U1625" s="37"/>
      <c r="V1625" s="37"/>
      <c r="W1625" s="37"/>
      <c r="X1625" s="37"/>
      <c r="Y1625" s="37"/>
      <c r="Z1625" s="37"/>
      <c r="AA1625" s="37"/>
      <c r="AB1625" s="37"/>
      <c r="AC1625" s="37"/>
      <c r="AD1625" s="37"/>
    </row>
    <row r="1626">
      <c r="A1626" s="37"/>
      <c r="B1626" s="37"/>
      <c r="C1626" s="37"/>
      <c r="D1626" s="37"/>
      <c r="E1626" s="37"/>
      <c r="F1626" s="37"/>
      <c r="G1626" s="37"/>
      <c r="H1626" s="37"/>
      <c r="I1626" s="37"/>
      <c r="J1626" s="37"/>
      <c r="K1626" s="37"/>
      <c r="L1626" s="37"/>
      <c r="M1626" s="37"/>
      <c r="N1626" s="37"/>
      <c r="O1626" s="37"/>
      <c r="P1626" s="37"/>
      <c r="Q1626" s="37"/>
      <c r="R1626" s="37"/>
      <c r="S1626" s="37"/>
      <c r="T1626" s="37"/>
      <c r="U1626" s="37"/>
      <c r="V1626" s="37"/>
      <c r="W1626" s="37"/>
      <c r="X1626" s="37"/>
      <c r="Y1626" s="37"/>
      <c r="Z1626" s="37"/>
      <c r="AA1626" s="37"/>
      <c r="AB1626" s="37"/>
      <c r="AC1626" s="37"/>
      <c r="AD1626" s="37"/>
    </row>
    <row r="1627">
      <c r="A1627" s="37"/>
      <c r="B1627" s="37"/>
      <c r="C1627" s="37"/>
      <c r="D1627" s="37"/>
      <c r="E1627" s="37"/>
      <c r="F1627" s="37"/>
      <c r="G1627" s="37"/>
      <c r="H1627" s="37"/>
      <c r="I1627" s="37"/>
      <c r="J1627" s="37"/>
      <c r="K1627" s="37"/>
      <c r="L1627" s="37"/>
      <c r="M1627" s="37"/>
      <c r="N1627" s="37"/>
      <c r="O1627" s="37"/>
      <c r="P1627" s="37"/>
      <c r="Q1627" s="37"/>
      <c r="R1627" s="37"/>
      <c r="S1627" s="37"/>
      <c r="T1627" s="37"/>
      <c r="U1627" s="37"/>
      <c r="V1627" s="37"/>
      <c r="W1627" s="37"/>
      <c r="X1627" s="37"/>
      <c r="Y1627" s="37"/>
      <c r="Z1627" s="37"/>
      <c r="AA1627" s="37"/>
      <c r="AB1627" s="37"/>
      <c r="AC1627" s="37"/>
      <c r="AD1627" s="37"/>
    </row>
    <row r="1628">
      <c r="A1628" s="37"/>
      <c r="B1628" s="37"/>
      <c r="C1628" s="37"/>
      <c r="D1628" s="37"/>
      <c r="E1628" s="37"/>
      <c r="F1628" s="37"/>
      <c r="G1628" s="37"/>
      <c r="H1628" s="37"/>
      <c r="I1628" s="37"/>
      <c r="J1628" s="37"/>
      <c r="K1628" s="37"/>
      <c r="L1628" s="37"/>
      <c r="M1628" s="37"/>
      <c r="N1628" s="37"/>
      <c r="O1628" s="37"/>
      <c r="P1628" s="37"/>
      <c r="Q1628" s="37"/>
      <c r="R1628" s="37"/>
      <c r="S1628" s="37"/>
      <c r="T1628" s="37"/>
      <c r="U1628" s="37"/>
      <c r="V1628" s="37"/>
      <c r="W1628" s="37"/>
      <c r="X1628" s="37"/>
      <c r="Y1628" s="37"/>
      <c r="Z1628" s="37"/>
      <c r="AA1628" s="37"/>
      <c r="AB1628" s="37"/>
      <c r="AC1628" s="37"/>
      <c r="AD1628" s="37"/>
    </row>
    <row r="1629">
      <c r="A1629" s="37"/>
      <c r="B1629" s="37"/>
      <c r="C1629" s="37"/>
      <c r="D1629" s="37"/>
      <c r="E1629" s="37"/>
      <c r="F1629" s="37"/>
      <c r="G1629" s="37"/>
      <c r="H1629" s="37"/>
      <c r="I1629" s="37"/>
      <c r="J1629" s="37"/>
      <c r="K1629" s="37"/>
      <c r="L1629" s="37"/>
      <c r="M1629" s="37"/>
      <c r="N1629" s="37"/>
      <c r="O1629" s="37"/>
      <c r="P1629" s="37"/>
      <c r="Q1629" s="37"/>
      <c r="R1629" s="37"/>
      <c r="S1629" s="37"/>
      <c r="T1629" s="37"/>
      <c r="U1629" s="37"/>
      <c r="V1629" s="37"/>
      <c r="W1629" s="37"/>
      <c r="X1629" s="37"/>
      <c r="Y1629" s="37"/>
      <c r="Z1629" s="37"/>
      <c r="AA1629" s="37"/>
      <c r="AB1629" s="37"/>
      <c r="AC1629" s="37"/>
      <c r="AD1629" s="37"/>
    </row>
    <row r="1630">
      <c r="A1630" s="37"/>
      <c r="B1630" s="37"/>
      <c r="C1630" s="37"/>
      <c r="D1630" s="37"/>
      <c r="E1630" s="37"/>
      <c r="F1630" s="37"/>
      <c r="G1630" s="37"/>
      <c r="H1630" s="37"/>
      <c r="I1630" s="37"/>
      <c r="J1630" s="37"/>
      <c r="K1630" s="37"/>
      <c r="L1630" s="37"/>
      <c r="M1630" s="37"/>
      <c r="N1630" s="37"/>
      <c r="O1630" s="37"/>
      <c r="P1630" s="37"/>
      <c r="Q1630" s="37"/>
      <c r="R1630" s="37"/>
      <c r="S1630" s="37"/>
      <c r="T1630" s="37"/>
      <c r="U1630" s="37"/>
      <c r="V1630" s="37"/>
      <c r="W1630" s="37"/>
      <c r="X1630" s="37"/>
      <c r="Y1630" s="37"/>
      <c r="Z1630" s="37"/>
      <c r="AA1630" s="37"/>
      <c r="AB1630" s="37"/>
      <c r="AC1630" s="37"/>
      <c r="AD1630" s="37"/>
    </row>
    <row r="1631">
      <c r="A1631" s="37"/>
      <c r="B1631" s="37"/>
      <c r="C1631" s="37"/>
      <c r="D1631" s="37"/>
      <c r="E1631" s="37"/>
      <c r="F1631" s="37"/>
      <c r="G1631" s="37"/>
      <c r="H1631" s="37"/>
      <c r="I1631" s="37"/>
      <c r="J1631" s="37"/>
      <c r="K1631" s="37"/>
      <c r="L1631" s="37"/>
      <c r="M1631" s="37"/>
      <c r="N1631" s="37"/>
      <c r="O1631" s="37"/>
      <c r="P1631" s="37"/>
      <c r="Q1631" s="37"/>
      <c r="R1631" s="37"/>
      <c r="S1631" s="37"/>
      <c r="T1631" s="37"/>
      <c r="U1631" s="37"/>
      <c r="V1631" s="37"/>
      <c r="W1631" s="37"/>
      <c r="X1631" s="37"/>
      <c r="Y1631" s="37"/>
      <c r="Z1631" s="37"/>
      <c r="AA1631" s="37"/>
      <c r="AB1631" s="37"/>
      <c r="AC1631" s="37"/>
      <c r="AD1631" s="37"/>
    </row>
    <row r="1632">
      <c r="A1632" s="37"/>
      <c r="B1632" s="37"/>
      <c r="C1632" s="37"/>
      <c r="D1632" s="37"/>
      <c r="E1632" s="37"/>
      <c r="F1632" s="37"/>
      <c r="G1632" s="37"/>
      <c r="H1632" s="37"/>
      <c r="I1632" s="37"/>
      <c r="J1632" s="37"/>
      <c r="K1632" s="37"/>
      <c r="L1632" s="37"/>
      <c r="M1632" s="37"/>
      <c r="N1632" s="37"/>
      <c r="O1632" s="37"/>
      <c r="P1632" s="37"/>
      <c r="Q1632" s="37"/>
      <c r="R1632" s="37"/>
      <c r="S1632" s="37"/>
      <c r="T1632" s="37"/>
      <c r="U1632" s="37"/>
      <c r="V1632" s="37"/>
      <c r="W1632" s="37"/>
      <c r="X1632" s="37"/>
      <c r="Y1632" s="37"/>
      <c r="Z1632" s="37"/>
      <c r="AA1632" s="37"/>
      <c r="AB1632" s="37"/>
      <c r="AC1632" s="37"/>
      <c r="AD1632" s="37"/>
    </row>
    <row r="1633">
      <c r="A1633" s="37"/>
      <c r="B1633" s="37"/>
      <c r="C1633" s="37"/>
      <c r="D1633" s="37"/>
      <c r="E1633" s="37"/>
      <c r="F1633" s="37"/>
      <c r="G1633" s="37"/>
      <c r="H1633" s="37"/>
      <c r="I1633" s="37"/>
      <c r="J1633" s="37"/>
      <c r="K1633" s="37"/>
      <c r="L1633" s="37"/>
      <c r="M1633" s="37"/>
      <c r="N1633" s="37"/>
      <c r="O1633" s="37"/>
      <c r="P1633" s="37"/>
      <c r="Q1633" s="37"/>
      <c r="R1633" s="37"/>
      <c r="S1633" s="37"/>
      <c r="T1633" s="37"/>
      <c r="U1633" s="37"/>
      <c r="V1633" s="37"/>
      <c r="W1633" s="37"/>
      <c r="X1633" s="37"/>
      <c r="Y1633" s="37"/>
      <c r="Z1633" s="37"/>
      <c r="AA1633" s="37"/>
      <c r="AB1633" s="37"/>
      <c r="AC1633" s="37"/>
      <c r="AD1633" s="37"/>
    </row>
    <row r="1634">
      <c r="A1634" s="37"/>
      <c r="B1634" s="37"/>
      <c r="C1634" s="37"/>
      <c r="D1634" s="37"/>
      <c r="E1634" s="37"/>
      <c r="F1634" s="37"/>
      <c r="G1634" s="37"/>
      <c r="H1634" s="37"/>
      <c r="I1634" s="37"/>
      <c r="J1634" s="37"/>
      <c r="K1634" s="37"/>
      <c r="L1634" s="37"/>
      <c r="M1634" s="37"/>
      <c r="N1634" s="37"/>
      <c r="O1634" s="37"/>
      <c r="P1634" s="37"/>
      <c r="Q1634" s="37"/>
      <c r="R1634" s="37"/>
      <c r="S1634" s="37"/>
      <c r="T1634" s="37"/>
      <c r="U1634" s="37"/>
      <c r="V1634" s="37"/>
      <c r="W1634" s="37"/>
      <c r="X1634" s="37"/>
      <c r="Y1634" s="37"/>
      <c r="Z1634" s="37"/>
      <c r="AA1634" s="37"/>
      <c r="AB1634" s="37"/>
      <c r="AC1634" s="37"/>
      <c r="AD1634" s="37"/>
    </row>
    <row r="1635">
      <c r="A1635" s="37"/>
      <c r="B1635" s="37"/>
      <c r="C1635" s="37"/>
      <c r="D1635" s="37"/>
      <c r="E1635" s="37"/>
      <c r="F1635" s="37"/>
      <c r="G1635" s="37"/>
      <c r="H1635" s="37"/>
      <c r="I1635" s="37"/>
      <c r="J1635" s="37"/>
      <c r="K1635" s="37"/>
      <c r="L1635" s="37"/>
      <c r="M1635" s="37"/>
      <c r="N1635" s="37"/>
      <c r="O1635" s="37"/>
      <c r="P1635" s="37"/>
      <c r="Q1635" s="37"/>
      <c r="R1635" s="37"/>
      <c r="S1635" s="37"/>
      <c r="T1635" s="37"/>
      <c r="U1635" s="37"/>
      <c r="V1635" s="37"/>
      <c r="W1635" s="37"/>
      <c r="X1635" s="37"/>
      <c r="Y1635" s="37"/>
      <c r="Z1635" s="37"/>
      <c r="AA1635" s="37"/>
      <c r="AB1635" s="37"/>
      <c r="AC1635" s="37"/>
      <c r="AD1635" s="37"/>
    </row>
    <row r="1636">
      <c r="A1636" s="37"/>
      <c r="B1636" s="37"/>
      <c r="C1636" s="37"/>
      <c r="D1636" s="37"/>
      <c r="E1636" s="37"/>
      <c r="F1636" s="37"/>
      <c r="G1636" s="37"/>
      <c r="H1636" s="37"/>
      <c r="I1636" s="37"/>
      <c r="J1636" s="37"/>
      <c r="K1636" s="37"/>
      <c r="L1636" s="37"/>
      <c r="M1636" s="37"/>
      <c r="N1636" s="37"/>
      <c r="O1636" s="37"/>
      <c r="P1636" s="37"/>
      <c r="Q1636" s="37"/>
      <c r="R1636" s="37"/>
      <c r="S1636" s="37"/>
      <c r="T1636" s="37"/>
      <c r="U1636" s="37"/>
      <c r="V1636" s="37"/>
      <c r="W1636" s="37"/>
      <c r="X1636" s="37"/>
      <c r="Y1636" s="37"/>
      <c r="Z1636" s="37"/>
      <c r="AA1636" s="37"/>
      <c r="AB1636" s="37"/>
      <c r="AC1636" s="37"/>
      <c r="AD1636" s="37"/>
    </row>
    <row r="1637">
      <c r="A1637" s="37"/>
      <c r="B1637" s="37"/>
      <c r="C1637" s="37"/>
      <c r="D1637" s="37"/>
      <c r="E1637" s="37"/>
      <c r="F1637" s="37"/>
      <c r="G1637" s="37"/>
      <c r="H1637" s="37"/>
      <c r="I1637" s="37"/>
      <c r="J1637" s="37"/>
      <c r="K1637" s="37"/>
      <c r="L1637" s="37"/>
      <c r="M1637" s="37"/>
      <c r="N1637" s="37"/>
      <c r="O1637" s="37"/>
      <c r="P1637" s="37"/>
      <c r="Q1637" s="37"/>
      <c r="R1637" s="37"/>
      <c r="S1637" s="37"/>
      <c r="T1637" s="37"/>
      <c r="U1637" s="37"/>
      <c r="V1637" s="37"/>
      <c r="W1637" s="37"/>
      <c r="X1637" s="37"/>
      <c r="Y1637" s="37"/>
      <c r="Z1637" s="37"/>
      <c r="AA1637" s="37"/>
      <c r="AB1637" s="37"/>
      <c r="AC1637" s="37"/>
      <c r="AD1637" s="37"/>
    </row>
    <row r="1638">
      <c r="A1638" s="37"/>
      <c r="B1638" s="37"/>
      <c r="C1638" s="37"/>
      <c r="D1638" s="37"/>
      <c r="E1638" s="37"/>
      <c r="F1638" s="37"/>
      <c r="G1638" s="37"/>
      <c r="H1638" s="37"/>
      <c r="I1638" s="37"/>
      <c r="J1638" s="37"/>
      <c r="K1638" s="37"/>
      <c r="L1638" s="37"/>
      <c r="M1638" s="37"/>
      <c r="N1638" s="37"/>
      <c r="O1638" s="37"/>
      <c r="P1638" s="37"/>
      <c r="Q1638" s="37"/>
      <c r="R1638" s="37"/>
      <c r="S1638" s="37"/>
      <c r="T1638" s="37"/>
      <c r="U1638" s="37"/>
      <c r="V1638" s="37"/>
      <c r="W1638" s="37"/>
      <c r="X1638" s="37"/>
      <c r="Y1638" s="37"/>
      <c r="Z1638" s="37"/>
      <c r="AA1638" s="37"/>
      <c r="AB1638" s="37"/>
      <c r="AC1638" s="37"/>
      <c r="AD1638" s="37"/>
    </row>
    <row r="1639">
      <c r="A1639" s="37"/>
      <c r="B1639" s="37"/>
      <c r="C1639" s="37"/>
      <c r="D1639" s="37"/>
      <c r="E1639" s="37"/>
      <c r="F1639" s="37"/>
      <c r="G1639" s="37"/>
      <c r="H1639" s="37"/>
      <c r="I1639" s="37"/>
      <c r="J1639" s="37"/>
      <c r="K1639" s="37"/>
      <c r="L1639" s="37"/>
      <c r="M1639" s="37"/>
      <c r="N1639" s="37"/>
      <c r="O1639" s="37"/>
      <c r="P1639" s="37"/>
      <c r="Q1639" s="37"/>
      <c r="R1639" s="37"/>
      <c r="S1639" s="37"/>
      <c r="T1639" s="37"/>
      <c r="U1639" s="37"/>
      <c r="V1639" s="37"/>
      <c r="W1639" s="37"/>
      <c r="X1639" s="37"/>
      <c r="Y1639" s="37"/>
      <c r="Z1639" s="37"/>
      <c r="AA1639" s="37"/>
      <c r="AB1639" s="37"/>
      <c r="AC1639" s="37"/>
      <c r="AD1639" s="37"/>
    </row>
    <row r="1640">
      <c r="A1640" s="37"/>
      <c r="B1640" s="37"/>
      <c r="C1640" s="37"/>
      <c r="D1640" s="37"/>
      <c r="E1640" s="37"/>
      <c r="F1640" s="37"/>
      <c r="G1640" s="37"/>
      <c r="H1640" s="37"/>
      <c r="I1640" s="37"/>
      <c r="J1640" s="37"/>
      <c r="K1640" s="37"/>
      <c r="L1640" s="37"/>
      <c r="M1640" s="37"/>
      <c r="N1640" s="37"/>
      <c r="O1640" s="37"/>
      <c r="P1640" s="37"/>
      <c r="Q1640" s="37"/>
      <c r="R1640" s="37"/>
      <c r="S1640" s="37"/>
      <c r="T1640" s="37"/>
      <c r="U1640" s="37"/>
      <c r="V1640" s="37"/>
      <c r="W1640" s="37"/>
      <c r="X1640" s="37"/>
      <c r="Y1640" s="37"/>
      <c r="Z1640" s="37"/>
      <c r="AA1640" s="37"/>
      <c r="AB1640" s="37"/>
      <c r="AC1640" s="37"/>
      <c r="AD1640" s="37"/>
    </row>
    <row r="1641">
      <c r="A1641" s="37"/>
      <c r="B1641" s="37"/>
      <c r="C1641" s="37"/>
      <c r="D1641" s="37"/>
      <c r="E1641" s="37"/>
      <c r="F1641" s="37"/>
      <c r="G1641" s="37"/>
      <c r="H1641" s="37"/>
      <c r="I1641" s="37"/>
      <c r="J1641" s="37"/>
      <c r="K1641" s="37"/>
      <c r="L1641" s="37"/>
      <c r="M1641" s="37"/>
      <c r="N1641" s="37"/>
      <c r="O1641" s="37"/>
      <c r="P1641" s="37"/>
      <c r="Q1641" s="37"/>
      <c r="R1641" s="37"/>
      <c r="S1641" s="37"/>
      <c r="T1641" s="37"/>
      <c r="U1641" s="37"/>
      <c r="V1641" s="37"/>
      <c r="W1641" s="37"/>
      <c r="X1641" s="37"/>
      <c r="Y1641" s="37"/>
      <c r="Z1641" s="37"/>
      <c r="AA1641" s="37"/>
      <c r="AB1641" s="37"/>
      <c r="AC1641" s="37"/>
      <c r="AD1641" s="37"/>
    </row>
    <row r="1642">
      <c r="A1642" s="37"/>
      <c r="B1642" s="37"/>
      <c r="C1642" s="37"/>
      <c r="D1642" s="37"/>
      <c r="E1642" s="37"/>
      <c r="F1642" s="37"/>
      <c r="G1642" s="37"/>
      <c r="H1642" s="37"/>
      <c r="I1642" s="37"/>
      <c r="J1642" s="37"/>
      <c r="K1642" s="37"/>
      <c r="L1642" s="37"/>
      <c r="M1642" s="37"/>
      <c r="N1642" s="37"/>
      <c r="O1642" s="37"/>
      <c r="P1642" s="37"/>
      <c r="Q1642" s="37"/>
      <c r="R1642" s="37"/>
      <c r="S1642" s="37"/>
      <c r="T1642" s="37"/>
      <c r="U1642" s="37"/>
      <c r="V1642" s="37"/>
      <c r="W1642" s="37"/>
      <c r="X1642" s="37"/>
      <c r="Y1642" s="37"/>
      <c r="Z1642" s="37"/>
      <c r="AA1642" s="37"/>
      <c r="AB1642" s="37"/>
      <c r="AC1642" s="37"/>
      <c r="AD1642" s="37"/>
    </row>
    <row r="1643">
      <c r="A1643" s="37"/>
      <c r="B1643" s="37"/>
      <c r="C1643" s="37"/>
      <c r="D1643" s="37"/>
      <c r="E1643" s="37"/>
      <c r="F1643" s="37"/>
      <c r="G1643" s="37"/>
      <c r="H1643" s="37"/>
      <c r="I1643" s="37"/>
      <c r="J1643" s="37"/>
      <c r="K1643" s="37"/>
      <c r="L1643" s="37"/>
      <c r="M1643" s="37"/>
      <c r="N1643" s="37"/>
      <c r="O1643" s="37"/>
      <c r="P1643" s="37"/>
      <c r="Q1643" s="37"/>
      <c r="R1643" s="37"/>
      <c r="S1643" s="37"/>
      <c r="T1643" s="37"/>
      <c r="U1643" s="37"/>
      <c r="V1643" s="37"/>
      <c r="W1643" s="37"/>
      <c r="X1643" s="37"/>
      <c r="Y1643" s="37"/>
      <c r="Z1643" s="37"/>
      <c r="AA1643" s="37"/>
      <c r="AB1643" s="37"/>
      <c r="AC1643" s="37"/>
      <c r="AD1643" s="37"/>
    </row>
    <row r="1644">
      <c r="A1644" s="37"/>
      <c r="B1644" s="37"/>
      <c r="C1644" s="37"/>
      <c r="D1644" s="37"/>
      <c r="E1644" s="37"/>
      <c r="F1644" s="37"/>
      <c r="G1644" s="37"/>
      <c r="H1644" s="37"/>
      <c r="I1644" s="37"/>
      <c r="J1644" s="37"/>
      <c r="K1644" s="37"/>
      <c r="L1644" s="37"/>
      <c r="M1644" s="37"/>
      <c r="N1644" s="37"/>
      <c r="O1644" s="37"/>
      <c r="P1644" s="37"/>
      <c r="Q1644" s="37"/>
      <c r="R1644" s="37"/>
      <c r="S1644" s="37"/>
      <c r="T1644" s="37"/>
      <c r="U1644" s="37"/>
      <c r="V1644" s="37"/>
      <c r="W1644" s="37"/>
      <c r="X1644" s="37"/>
      <c r="Y1644" s="37"/>
      <c r="Z1644" s="37"/>
      <c r="AA1644" s="37"/>
      <c r="AB1644" s="37"/>
      <c r="AC1644" s="37"/>
      <c r="AD1644" s="37"/>
    </row>
    <row r="1645">
      <c r="A1645" s="37"/>
      <c r="B1645" s="37"/>
      <c r="C1645" s="37"/>
      <c r="D1645" s="37"/>
      <c r="E1645" s="37"/>
      <c r="F1645" s="37"/>
      <c r="G1645" s="37"/>
      <c r="H1645" s="37"/>
      <c r="I1645" s="37"/>
      <c r="J1645" s="37"/>
      <c r="K1645" s="37"/>
      <c r="L1645" s="37"/>
      <c r="M1645" s="37"/>
      <c r="N1645" s="37"/>
      <c r="O1645" s="37"/>
      <c r="P1645" s="37"/>
      <c r="Q1645" s="37"/>
      <c r="R1645" s="37"/>
      <c r="S1645" s="37"/>
      <c r="T1645" s="37"/>
      <c r="U1645" s="37"/>
      <c r="V1645" s="37"/>
      <c r="W1645" s="37"/>
      <c r="X1645" s="37"/>
      <c r="Y1645" s="37"/>
      <c r="Z1645" s="37"/>
      <c r="AA1645" s="37"/>
      <c r="AB1645" s="37"/>
      <c r="AC1645" s="37"/>
      <c r="AD1645" s="37"/>
    </row>
    <row r="1646">
      <c r="A1646" s="37"/>
      <c r="B1646" s="37"/>
      <c r="C1646" s="37"/>
      <c r="D1646" s="37"/>
      <c r="E1646" s="37"/>
      <c r="F1646" s="37"/>
      <c r="G1646" s="37"/>
      <c r="H1646" s="37"/>
      <c r="I1646" s="37"/>
      <c r="J1646" s="37"/>
      <c r="K1646" s="37"/>
      <c r="L1646" s="37"/>
      <c r="M1646" s="37"/>
      <c r="N1646" s="37"/>
      <c r="O1646" s="37"/>
      <c r="P1646" s="37"/>
      <c r="Q1646" s="37"/>
      <c r="R1646" s="37"/>
      <c r="S1646" s="37"/>
      <c r="T1646" s="37"/>
      <c r="U1646" s="37"/>
      <c r="V1646" s="37"/>
      <c r="W1646" s="37"/>
      <c r="X1646" s="37"/>
      <c r="Y1646" s="37"/>
      <c r="Z1646" s="37"/>
      <c r="AA1646" s="37"/>
      <c r="AB1646" s="37"/>
      <c r="AC1646" s="37"/>
      <c r="AD1646" s="37"/>
    </row>
    <row r="1647">
      <c r="A1647" s="37"/>
      <c r="B1647" s="37"/>
      <c r="C1647" s="37"/>
      <c r="D1647" s="37"/>
      <c r="E1647" s="37"/>
      <c r="F1647" s="37"/>
      <c r="G1647" s="37"/>
      <c r="H1647" s="37"/>
      <c r="I1647" s="37"/>
      <c r="J1647" s="37"/>
      <c r="K1647" s="37"/>
      <c r="L1647" s="37"/>
      <c r="M1647" s="37"/>
      <c r="N1647" s="37"/>
      <c r="O1647" s="37"/>
      <c r="P1647" s="37"/>
      <c r="Q1647" s="37"/>
      <c r="R1647" s="37"/>
      <c r="S1647" s="37"/>
      <c r="T1647" s="37"/>
      <c r="U1647" s="37"/>
      <c r="V1647" s="37"/>
      <c r="W1647" s="37"/>
      <c r="X1647" s="37"/>
      <c r="Y1647" s="37"/>
      <c r="Z1647" s="37"/>
      <c r="AA1647" s="37"/>
      <c r="AB1647" s="37"/>
      <c r="AC1647" s="37"/>
      <c r="AD1647" s="37"/>
    </row>
    <row r="1648">
      <c r="A1648" s="37"/>
      <c r="B1648" s="37"/>
      <c r="C1648" s="37"/>
      <c r="D1648" s="37"/>
      <c r="E1648" s="37"/>
      <c r="F1648" s="37"/>
      <c r="G1648" s="37"/>
      <c r="H1648" s="37"/>
      <c r="I1648" s="37"/>
      <c r="J1648" s="37"/>
      <c r="K1648" s="37"/>
      <c r="L1648" s="37"/>
      <c r="M1648" s="37"/>
      <c r="N1648" s="37"/>
      <c r="O1648" s="37"/>
      <c r="P1648" s="37"/>
      <c r="Q1648" s="37"/>
      <c r="R1648" s="37"/>
      <c r="S1648" s="37"/>
      <c r="T1648" s="37"/>
      <c r="U1648" s="37"/>
      <c r="V1648" s="37"/>
      <c r="W1648" s="37"/>
      <c r="X1648" s="37"/>
      <c r="Y1648" s="37"/>
      <c r="Z1648" s="37"/>
      <c r="AA1648" s="37"/>
      <c r="AB1648" s="37"/>
      <c r="AC1648" s="37"/>
      <c r="AD1648" s="37"/>
    </row>
    <row r="1649">
      <c r="A1649" s="37"/>
      <c r="B1649" s="37"/>
      <c r="C1649" s="37"/>
      <c r="D1649" s="37"/>
      <c r="E1649" s="37"/>
      <c r="F1649" s="37"/>
      <c r="G1649" s="37"/>
      <c r="H1649" s="37"/>
      <c r="I1649" s="37"/>
      <c r="J1649" s="37"/>
      <c r="K1649" s="37"/>
      <c r="L1649" s="37"/>
      <c r="M1649" s="37"/>
      <c r="N1649" s="37"/>
      <c r="O1649" s="37"/>
      <c r="P1649" s="37"/>
      <c r="Q1649" s="37"/>
      <c r="R1649" s="37"/>
      <c r="S1649" s="37"/>
      <c r="T1649" s="37"/>
      <c r="U1649" s="37"/>
      <c r="V1649" s="37"/>
      <c r="W1649" s="37"/>
      <c r="X1649" s="37"/>
      <c r="Y1649" s="37"/>
      <c r="Z1649" s="37"/>
      <c r="AA1649" s="37"/>
      <c r="AB1649" s="37"/>
      <c r="AC1649" s="37"/>
      <c r="AD1649" s="37"/>
    </row>
    <row r="1650">
      <c r="A1650" s="37"/>
      <c r="B1650" s="37"/>
      <c r="C1650" s="37"/>
      <c r="D1650" s="37"/>
      <c r="E1650" s="37"/>
      <c r="F1650" s="37"/>
      <c r="G1650" s="37"/>
      <c r="H1650" s="37"/>
      <c r="I1650" s="37"/>
      <c r="J1650" s="37"/>
      <c r="K1650" s="37"/>
      <c r="L1650" s="37"/>
      <c r="M1650" s="37"/>
      <c r="N1650" s="37"/>
      <c r="O1650" s="37"/>
      <c r="P1650" s="37"/>
      <c r="Q1650" s="37"/>
      <c r="R1650" s="37"/>
      <c r="S1650" s="37"/>
      <c r="T1650" s="37"/>
      <c r="U1650" s="37"/>
      <c r="V1650" s="37"/>
      <c r="W1650" s="37"/>
      <c r="X1650" s="37"/>
      <c r="Y1650" s="37"/>
      <c r="Z1650" s="37"/>
      <c r="AA1650" s="37"/>
      <c r="AB1650" s="37"/>
      <c r="AC1650" s="37"/>
      <c r="AD1650" s="37"/>
    </row>
    <row r="1651">
      <c r="A1651" s="37"/>
      <c r="B1651" s="37"/>
      <c r="C1651" s="37"/>
      <c r="D1651" s="37"/>
      <c r="E1651" s="37"/>
      <c r="F1651" s="37"/>
      <c r="G1651" s="37"/>
      <c r="H1651" s="37"/>
      <c r="I1651" s="37"/>
      <c r="J1651" s="37"/>
      <c r="K1651" s="37"/>
      <c r="L1651" s="37"/>
      <c r="M1651" s="37"/>
      <c r="N1651" s="37"/>
      <c r="O1651" s="37"/>
      <c r="P1651" s="37"/>
      <c r="Q1651" s="37"/>
      <c r="R1651" s="37"/>
      <c r="S1651" s="37"/>
      <c r="T1651" s="37"/>
      <c r="U1651" s="37"/>
      <c r="V1651" s="37"/>
      <c r="W1651" s="37"/>
      <c r="X1651" s="37"/>
      <c r="Y1651" s="37"/>
      <c r="Z1651" s="37"/>
      <c r="AA1651" s="37"/>
      <c r="AB1651" s="37"/>
      <c r="AC1651" s="37"/>
      <c r="AD1651" s="37"/>
    </row>
    <row r="1652">
      <c r="A1652" s="37"/>
      <c r="B1652" s="37"/>
      <c r="C1652" s="37"/>
      <c r="D1652" s="37"/>
      <c r="E1652" s="37"/>
      <c r="F1652" s="37"/>
      <c r="G1652" s="37"/>
      <c r="H1652" s="37"/>
      <c r="I1652" s="37"/>
      <c r="J1652" s="37"/>
      <c r="K1652" s="37"/>
      <c r="L1652" s="37"/>
      <c r="M1652" s="37"/>
      <c r="N1652" s="37"/>
      <c r="O1652" s="37"/>
      <c r="P1652" s="37"/>
      <c r="Q1652" s="37"/>
      <c r="R1652" s="37"/>
      <c r="S1652" s="37"/>
      <c r="T1652" s="37"/>
      <c r="U1652" s="37"/>
      <c r="V1652" s="37"/>
      <c r="W1652" s="37"/>
      <c r="X1652" s="37"/>
      <c r="Y1652" s="37"/>
      <c r="Z1652" s="37"/>
      <c r="AA1652" s="37"/>
      <c r="AB1652" s="37"/>
      <c r="AC1652" s="37"/>
      <c r="AD1652" s="37"/>
    </row>
    <row r="1653">
      <c r="A1653" s="37"/>
      <c r="B1653" s="37"/>
      <c r="C1653" s="37"/>
      <c r="D1653" s="37"/>
      <c r="E1653" s="37"/>
      <c r="F1653" s="37"/>
      <c r="G1653" s="37"/>
      <c r="H1653" s="37"/>
      <c r="I1653" s="37"/>
      <c r="J1653" s="37"/>
      <c r="K1653" s="37"/>
      <c r="L1653" s="37"/>
      <c r="M1653" s="37"/>
      <c r="N1653" s="37"/>
      <c r="O1653" s="37"/>
      <c r="P1653" s="37"/>
      <c r="Q1653" s="37"/>
      <c r="R1653" s="37"/>
      <c r="S1653" s="37"/>
      <c r="T1653" s="37"/>
      <c r="U1653" s="37"/>
      <c r="V1653" s="37"/>
      <c r="W1653" s="37"/>
      <c r="X1653" s="37"/>
      <c r="Y1653" s="37"/>
      <c r="Z1653" s="37"/>
      <c r="AA1653" s="37"/>
      <c r="AB1653" s="37"/>
      <c r="AC1653" s="37"/>
      <c r="AD1653" s="37"/>
    </row>
    <row r="1654">
      <c r="A1654" s="37"/>
      <c r="B1654" s="37"/>
      <c r="C1654" s="37"/>
      <c r="D1654" s="37"/>
      <c r="E1654" s="37"/>
      <c r="F1654" s="37"/>
      <c r="G1654" s="37"/>
      <c r="H1654" s="37"/>
      <c r="I1654" s="37"/>
      <c r="J1654" s="37"/>
      <c r="K1654" s="37"/>
      <c r="L1654" s="37"/>
      <c r="M1654" s="37"/>
      <c r="N1654" s="37"/>
      <c r="O1654" s="37"/>
      <c r="P1654" s="37"/>
      <c r="Q1654" s="37"/>
      <c r="R1654" s="37"/>
      <c r="S1654" s="37"/>
      <c r="T1654" s="37"/>
      <c r="U1654" s="37"/>
      <c r="V1654" s="37"/>
      <c r="W1654" s="37"/>
      <c r="X1654" s="37"/>
      <c r="Y1654" s="37"/>
      <c r="Z1654" s="37"/>
      <c r="AA1654" s="37"/>
      <c r="AB1654" s="37"/>
      <c r="AC1654" s="37"/>
      <c r="AD1654" s="37"/>
    </row>
    <row r="1655">
      <c r="A1655" s="37"/>
      <c r="B1655" s="37"/>
      <c r="C1655" s="37"/>
      <c r="D1655" s="37"/>
      <c r="E1655" s="37"/>
      <c r="F1655" s="37"/>
      <c r="G1655" s="37"/>
      <c r="H1655" s="37"/>
      <c r="I1655" s="37"/>
      <c r="J1655" s="37"/>
      <c r="K1655" s="37"/>
      <c r="L1655" s="37"/>
      <c r="M1655" s="37"/>
      <c r="N1655" s="37"/>
      <c r="O1655" s="37"/>
      <c r="P1655" s="37"/>
      <c r="Q1655" s="37"/>
      <c r="R1655" s="37"/>
      <c r="S1655" s="37"/>
      <c r="T1655" s="37"/>
      <c r="U1655" s="37"/>
      <c r="V1655" s="37"/>
      <c r="W1655" s="37"/>
      <c r="X1655" s="37"/>
      <c r="Y1655" s="37"/>
      <c r="Z1655" s="37"/>
      <c r="AA1655" s="37"/>
      <c r="AB1655" s="37"/>
      <c r="AC1655" s="37"/>
      <c r="AD1655" s="37"/>
    </row>
    <row r="1656">
      <c r="A1656" s="37"/>
      <c r="B1656" s="37"/>
      <c r="C1656" s="37"/>
      <c r="D1656" s="37"/>
      <c r="E1656" s="37"/>
      <c r="F1656" s="37"/>
      <c r="G1656" s="37"/>
      <c r="H1656" s="37"/>
      <c r="I1656" s="37"/>
      <c r="J1656" s="37"/>
      <c r="K1656" s="37"/>
      <c r="L1656" s="37"/>
      <c r="M1656" s="37"/>
      <c r="N1656" s="37"/>
      <c r="O1656" s="37"/>
      <c r="P1656" s="37"/>
      <c r="Q1656" s="37"/>
      <c r="R1656" s="37"/>
      <c r="S1656" s="37"/>
      <c r="T1656" s="37"/>
      <c r="U1656" s="37"/>
      <c r="V1656" s="37"/>
      <c r="W1656" s="37"/>
      <c r="X1656" s="37"/>
      <c r="Y1656" s="37"/>
      <c r="Z1656" s="37"/>
      <c r="AA1656" s="37"/>
      <c r="AB1656" s="37"/>
      <c r="AC1656" s="37"/>
      <c r="AD1656" s="37"/>
    </row>
    <row r="1657">
      <c r="A1657" s="37"/>
      <c r="B1657" s="37"/>
      <c r="C1657" s="37"/>
      <c r="D1657" s="37"/>
      <c r="E1657" s="37"/>
      <c r="F1657" s="37"/>
      <c r="G1657" s="37"/>
      <c r="H1657" s="37"/>
      <c r="I1657" s="37"/>
      <c r="J1657" s="37"/>
      <c r="K1657" s="37"/>
      <c r="L1657" s="37"/>
      <c r="M1657" s="37"/>
      <c r="N1657" s="37"/>
      <c r="O1657" s="37"/>
      <c r="P1657" s="37"/>
      <c r="Q1657" s="37"/>
      <c r="R1657" s="37"/>
      <c r="S1657" s="37"/>
      <c r="T1657" s="37"/>
      <c r="U1657" s="37"/>
      <c r="V1657" s="37"/>
      <c r="W1657" s="37"/>
      <c r="X1657" s="37"/>
      <c r="Y1657" s="37"/>
      <c r="Z1657" s="37"/>
      <c r="AA1657" s="37"/>
      <c r="AB1657" s="37"/>
      <c r="AC1657" s="37"/>
      <c r="AD1657" s="37"/>
    </row>
    <row r="1658">
      <c r="A1658" s="37"/>
      <c r="B1658" s="37"/>
      <c r="C1658" s="37"/>
      <c r="D1658" s="37"/>
      <c r="E1658" s="37"/>
      <c r="F1658" s="37"/>
      <c r="G1658" s="37"/>
      <c r="H1658" s="37"/>
      <c r="I1658" s="37"/>
      <c r="J1658" s="37"/>
      <c r="K1658" s="37"/>
      <c r="L1658" s="37"/>
      <c r="M1658" s="37"/>
      <c r="N1658" s="37"/>
      <c r="O1658" s="37"/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37"/>
      <c r="AA1658" s="37"/>
      <c r="AB1658" s="37"/>
      <c r="AC1658" s="37"/>
      <c r="AD1658" s="37"/>
    </row>
    <row r="1659">
      <c r="A1659" s="37"/>
      <c r="B1659" s="37"/>
      <c r="C1659" s="37"/>
      <c r="D1659" s="37"/>
      <c r="E1659" s="37"/>
      <c r="F1659" s="37"/>
      <c r="G1659" s="37"/>
      <c r="H1659" s="37"/>
      <c r="I1659" s="37"/>
      <c r="J1659" s="37"/>
      <c r="K1659" s="37"/>
      <c r="L1659" s="37"/>
      <c r="M1659" s="37"/>
      <c r="N1659" s="37"/>
      <c r="O1659" s="37"/>
      <c r="P1659" s="37"/>
      <c r="Q1659" s="37"/>
      <c r="R1659" s="37"/>
      <c r="S1659" s="37"/>
      <c r="T1659" s="37"/>
      <c r="U1659" s="37"/>
      <c r="V1659" s="37"/>
      <c r="W1659" s="37"/>
      <c r="X1659" s="37"/>
      <c r="Y1659" s="37"/>
      <c r="Z1659" s="37"/>
      <c r="AA1659" s="37"/>
      <c r="AB1659" s="37"/>
      <c r="AC1659" s="37"/>
      <c r="AD1659" s="37"/>
    </row>
    <row r="1660">
      <c r="A1660" s="37"/>
      <c r="B1660" s="37"/>
      <c r="C1660" s="37"/>
      <c r="D1660" s="37"/>
      <c r="E1660" s="37"/>
      <c r="F1660" s="37"/>
      <c r="G1660" s="37"/>
      <c r="H1660" s="37"/>
      <c r="I1660" s="37"/>
      <c r="J1660" s="37"/>
      <c r="K1660" s="37"/>
      <c r="L1660" s="37"/>
      <c r="M1660" s="37"/>
      <c r="N1660" s="37"/>
      <c r="O1660" s="37"/>
      <c r="P1660" s="37"/>
      <c r="Q1660" s="37"/>
      <c r="R1660" s="37"/>
      <c r="S1660" s="37"/>
      <c r="T1660" s="37"/>
      <c r="U1660" s="37"/>
      <c r="V1660" s="37"/>
      <c r="W1660" s="37"/>
      <c r="X1660" s="37"/>
      <c r="Y1660" s="37"/>
      <c r="Z1660" s="37"/>
      <c r="AA1660" s="37"/>
      <c r="AB1660" s="37"/>
      <c r="AC1660" s="37"/>
      <c r="AD1660" s="37"/>
    </row>
    <row r="1661">
      <c r="A1661" s="37"/>
      <c r="B1661" s="37"/>
      <c r="C1661" s="37"/>
      <c r="D1661" s="37"/>
      <c r="E1661" s="37"/>
      <c r="F1661" s="37"/>
      <c r="G1661" s="37"/>
      <c r="H1661" s="37"/>
      <c r="I1661" s="37"/>
      <c r="J1661" s="37"/>
      <c r="K1661" s="37"/>
      <c r="L1661" s="37"/>
      <c r="M1661" s="37"/>
      <c r="N1661" s="37"/>
      <c r="O1661" s="37"/>
      <c r="P1661" s="37"/>
      <c r="Q1661" s="37"/>
      <c r="R1661" s="37"/>
      <c r="S1661" s="37"/>
      <c r="T1661" s="37"/>
      <c r="U1661" s="37"/>
      <c r="V1661" s="37"/>
      <c r="W1661" s="37"/>
      <c r="X1661" s="37"/>
      <c r="Y1661" s="37"/>
      <c r="Z1661" s="37"/>
      <c r="AA1661" s="37"/>
      <c r="AB1661" s="37"/>
      <c r="AC1661" s="37"/>
      <c r="AD1661" s="37"/>
    </row>
    <row r="1662">
      <c r="A1662" s="37"/>
      <c r="B1662" s="37"/>
      <c r="C1662" s="37"/>
      <c r="D1662" s="37"/>
      <c r="E1662" s="37"/>
      <c r="F1662" s="37"/>
      <c r="G1662" s="37"/>
      <c r="H1662" s="37"/>
      <c r="I1662" s="37"/>
      <c r="J1662" s="37"/>
      <c r="K1662" s="37"/>
      <c r="L1662" s="37"/>
      <c r="M1662" s="37"/>
      <c r="N1662" s="37"/>
      <c r="O1662" s="37"/>
      <c r="P1662" s="37"/>
      <c r="Q1662" s="37"/>
      <c r="R1662" s="37"/>
      <c r="S1662" s="37"/>
      <c r="T1662" s="37"/>
      <c r="U1662" s="37"/>
      <c r="V1662" s="37"/>
      <c r="W1662" s="37"/>
      <c r="X1662" s="37"/>
      <c r="Y1662" s="37"/>
      <c r="Z1662" s="37"/>
      <c r="AA1662" s="37"/>
      <c r="AB1662" s="37"/>
      <c r="AC1662" s="37"/>
      <c r="AD1662" s="37"/>
    </row>
    <row r="1663">
      <c r="A1663" s="37"/>
      <c r="B1663" s="37"/>
      <c r="C1663" s="37"/>
      <c r="D1663" s="37"/>
      <c r="E1663" s="37"/>
      <c r="F1663" s="37"/>
      <c r="G1663" s="37"/>
      <c r="H1663" s="37"/>
      <c r="I1663" s="37"/>
      <c r="J1663" s="37"/>
      <c r="K1663" s="37"/>
      <c r="L1663" s="37"/>
      <c r="M1663" s="37"/>
      <c r="N1663" s="37"/>
      <c r="O1663" s="37"/>
      <c r="P1663" s="37"/>
      <c r="Q1663" s="37"/>
      <c r="R1663" s="37"/>
      <c r="S1663" s="37"/>
      <c r="T1663" s="37"/>
      <c r="U1663" s="37"/>
      <c r="V1663" s="37"/>
      <c r="W1663" s="37"/>
      <c r="X1663" s="37"/>
      <c r="Y1663" s="37"/>
      <c r="Z1663" s="37"/>
      <c r="AA1663" s="37"/>
      <c r="AB1663" s="37"/>
      <c r="AC1663" s="37"/>
      <c r="AD1663" s="37"/>
    </row>
    <row r="1664">
      <c r="A1664" s="37"/>
      <c r="B1664" s="37"/>
      <c r="C1664" s="37"/>
      <c r="D1664" s="37"/>
      <c r="E1664" s="37"/>
      <c r="F1664" s="37"/>
      <c r="G1664" s="37"/>
      <c r="H1664" s="37"/>
      <c r="I1664" s="37"/>
      <c r="J1664" s="37"/>
      <c r="K1664" s="37"/>
      <c r="L1664" s="37"/>
      <c r="M1664" s="37"/>
      <c r="N1664" s="37"/>
      <c r="O1664" s="37"/>
      <c r="P1664" s="37"/>
      <c r="Q1664" s="37"/>
      <c r="R1664" s="37"/>
      <c r="S1664" s="37"/>
      <c r="T1664" s="37"/>
      <c r="U1664" s="37"/>
      <c r="V1664" s="37"/>
      <c r="W1664" s="37"/>
      <c r="X1664" s="37"/>
      <c r="Y1664" s="37"/>
      <c r="Z1664" s="37"/>
      <c r="AA1664" s="37"/>
      <c r="AB1664" s="37"/>
      <c r="AC1664" s="37"/>
      <c r="AD1664" s="37"/>
    </row>
    <row r="1665">
      <c r="A1665" s="37"/>
      <c r="B1665" s="37"/>
      <c r="C1665" s="37"/>
      <c r="D1665" s="37"/>
      <c r="E1665" s="37"/>
      <c r="F1665" s="37"/>
      <c r="G1665" s="37"/>
      <c r="H1665" s="37"/>
      <c r="I1665" s="37"/>
      <c r="J1665" s="37"/>
      <c r="K1665" s="37"/>
      <c r="L1665" s="37"/>
      <c r="M1665" s="37"/>
      <c r="N1665" s="37"/>
      <c r="O1665" s="37"/>
      <c r="P1665" s="37"/>
      <c r="Q1665" s="37"/>
      <c r="R1665" s="37"/>
      <c r="S1665" s="37"/>
      <c r="T1665" s="37"/>
      <c r="U1665" s="37"/>
      <c r="V1665" s="37"/>
      <c r="W1665" s="37"/>
      <c r="X1665" s="37"/>
      <c r="Y1665" s="37"/>
      <c r="Z1665" s="37"/>
      <c r="AA1665" s="37"/>
      <c r="AB1665" s="37"/>
      <c r="AC1665" s="37"/>
      <c r="AD1665" s="37"/>
    </row>
    <row r="1666">
      <c r="A1666" s="37"/>
      <c r="B1666" s="37"/>
      <c r="C1666" s="37"/>
      <c r="D1666" s="37"/>
      <c r="E1666" s="37"/>
      <c r="F1666" s="37"/>
      <c r="G1666" s="37"/>
      <c r="H1666" s="37"/>
      <c r="I1666" s="37"/>
      <c r="J1666" s="37"/>
      <c r="K1666" s="37"/>
      <c r="L1666" s="37"/>
      <c r="M1666" s="37"/>
      <c r="N1666" s="37"/>
      <c r="O1666" s="37"/>
      <c r="P1666" s="37"/>
      <c r="Q1666" s="37"/>
      <c r="R1666" s="37"/>
      <c r="S1666" s="37"/>
      <c r="T1666" s="37"/>
      <c r="U1666" s="37"/>
      <c r="V1666" s="37"/>
      <c r="W1666" s="37"/>
      <c r="X1666" s="37"/>
      <c r="Y1666" s="37"/>
      <c r="Z1666" s="37"/>
      <c r="AA1666" s="37"/>
      <c r="AB1666" s="37"/>
      <c r="AC1666" s="37"/>
      <c r="AD1666" s="37"/>
    </row>
    <row r="1667">
      <c r="A1667" s="37"/>
      <c r="B1667" s="37"/>
      <c r="C1667" s="37"/>
      <c r="D1667" s="37"/>
      <c r="E1667" s="37"/>
      <c r="F1667" s="37"/>
      <c r="G1667" s="37"/>
      <c r="H1667" s="37"/>
      <c r="I1667" s="37"/>
      <c r="J1667" s="37"/>
      <c r="K1667" s="37"/>
      <c r="L1667" s="37"/>
      <c r="M1667" s="37"/>
      <c r="N1667" s="37"/>
      <c r="O1667" s="37"/>
      <c r="P1667" s="37"/>
      <c r="Q1667" s="37"/>
      <c r="R1667" s="37"/>
      <c r="S1667" s="37"/>
      <c r="T1667" s="37"/>
      <c r="U1667" s="37"/>
      <c r="V1667" s="37"/>
      <c r="W1667" s="37"/>
      <c r="X1667" s="37"/>
      <c r="Y1667" s="37"/>
      <c r="Z1667" s="37"/>
      <c r="AA1667" s="37"/>
      <c r="AB1667" s="37"/>
      <c r="AC1667" s="37"/>
      <c r="AD1667" s="37"/>
    </row>
    <row r="1668">
      <c r="A1668" s="37"/>
      <c r="B1668" s="37"/>
      <c r="C1668" s="37"/>
      <c r="D1668" s="37"/>
      <c r="E1668" s="37"/>
      <c r="F1668" s="37"/>
      <c r="G1668" s="37"/>
      <c r="H1668" s="37"/>
      <c r="I1668" s="37"/>
      <c r="J1668" s="37"/>
      <c r="K1668" s="37"/>
      <c r="L1668" s="37"/>
      <c r="M1668" s="37"/>
      <c r="N1668" s="37"/>
      <c r="O1668" s="37"/>
      <c r="P1668" s="37"/>
      <c r="Q1668" s="37"/>
      <c r="R1668" s="37"/>
      <c r="S1668" s="37"/>
      <c r="T1668" s="37"/>
      <c r="U1668" s="37"/>
      <c r="V1668" s="37"/>
      <c r="W1668" s="37"/>
      <c r="X1668" s="37"/>
      <c r="Y1668" s="37"/>
      <c r="Z1668" s="37"/>
      <c r="AA1668" s="37"/>
      <c r="AB1668" s="37"/>
      <c r="AC1668" s="37"/>
      <c r="AD1668" s="37"/>
    </row>
    <row r="1669">
      <c r="A1669" s="37"/>
      <c r="B1669" s="37"/>
      <c r="C1669" s="37"/>
      <c r="D1669" s="37"/>
      <c r="E1669" s="37"/>
      <c r="F1669" s="37"/>
      <c r="G1669" s="37"/>
      <c r="H1669" s="37"/>
      <c r="I1669" s="37"/>
      <c r="J1669" s="37"/>
      <c r="K1669" s="37"/>
      <c r="L1669" s="37"/>
      <c r="M1669" s="37"/>
      <c r="N1669" s="37"/>
      <c r="O1669" s="37"/>
      <c r="P1669" s="37"/>
      <c r="Q1669" s="37"/>
      <c r="R1669" s="37"/>
      <c r="S1669" s="37"/>
      <c r="T1669" s="37"/>
      <c r="U1669" s="37"/>
      <c r="V1669" s="37"/>
      <c r="W1669" s="37"/>
      <c r="X1669" s="37"/>
      <c r="Y1669" s="37"/>
      <c r="Z1669" s="37"/>
      <c r="AA1669" s="37"/>
      <c r="AB1669" s="37"/>
      <c r="AC1669" s="37"/>
      <c r="AD1669" s="37"/>
    </row>
    <row r="1670">
      <c r="A1670" s="37"/>
      <c r="B1670" s="37"/>
      <c r="C1670" s="37"/>
      <c r="D1670" s="37"/>
      <c r="E1670" s="37"/>
      <c r="F1670" s="37"/>
      <c r="G1670" s="37"/>
      <c r="H1670" s="37"/>
      <c r="I1670" s="37"/>
      <c r="J1670" s="37"/>
      <c r="K1670" s="37"/>
      <c r="L1670" s="37"/>
      <c r="M1670" s="37"/>
      <c r="N1670" s="37"/>
      <c r="O1670" s="37"/>
      <c r="P1670" s="37"/>
      <c r="Q1670" s="37"/>
      <c r="R1670" s="37"/>
      <c r="S1670" s="37"/>
      <c r="T1670" s="37"/>
      <c r="U1670" s="37"/>
      <c r="V1670" s="37"/>
      <c r="W1670" s="37"/>
      <c r="X1670" s="37"/>
      <c r="Y1670" s="37"/>
      <c r="Z1670" s="37"/>
      <c r="AA1670" s="37"/>
      <c r="AB1670" s="37"/>
      <c r="AC1670" s="37"/>
      <c r="AD1670" s="37"/>
    </row>
    <row r="1671">
      <c r="A1671" s="37"/>
      <c r="B1671" s="37"/>
      <c r="C1671" s="37"/>
      <c r="D1671" s="37"/>
      <c r="E1671" s="37"/>
      <c r="F1671" s="37"/>
      <c r="G1671" s="37"/>
      <c r="H1671" s="37"/>
      <c r="I1671" s="37"/>
      <c r="J1671" s="37"/>
      <c r="K1671" s="37"/>
      <c r="L1671" s="37"/>
      <c r="M1671" s="37"/>
      <c r="N1671" s="37"/>
      <c r="O1671" s="37"/>
      <c r="P1671" s="37"/>
      <c r="Q1671" s="37"/>
      <c r="R1671" s="37"/>
      <c r="S1671" s="37"/>
      <c r="T1671" s="37"/>
      <c r="U1671" s="37"/>
      <c r="V1671" s="37"/>
      <c r="W1671" s="37"/>
      <c r="X1671" s="37"/>
      <c r="Y1671" s="37"/>
      <c r="Z1671" s="37"/>
      <c r="AA1671" s="37"/>
      <c r="AB1671" s="37"/>
      <c r="AC1671" s="37"/>
      <c r="AD1671" s="37"/>
    </row>
    <row r="1672">
      <c r="A1672" s="37"/>
      <c r="B1672" s="37"/>
      <c r="C1672" s="37"/>
      <c r="D1672" s="37"/>
      <c r="E1672" s="37"/>
      <c r="F1672" s="37"/>
      <c r="G1672" s="37"/>
      <c r="H1672" s="37"/>
      <c r="I1672" s="37"/>
      <c r="J1672" s="37"/>
      <c r="K1672" s="37"/>
      <c r="L1672" s="37"/>
      <c r="M1672" s="37"/>
      <c r="N1672" s="37"/>
      <c r="O1672" s="37"/>
      <c r="P1672" s="37"/>
      <c r="Q1672" s="37"/>
      <c r="R1672" s="37"/>
      <c r="S1672" s="37"/>
      <c r="T1672" s="37"/>
      <c r="U1672" s="37"/>
      <c r="V1672" s="37"/>
      <c r="W1672" s="37"/>
      <c r="X1672" s="37"/>
      <c r="Y1672" s="37"/>
      <c r="Z1672" s="37"/>
      <c r="AA1672" s="37"/>
      <c r="AB1672" s="37"/>
      <c r="AC1672" s="37"/>
      <c r="AD1672" s="37"/>
    </row>
    <row r="1673">
      <c r="A1673" s="37"/>
      <c r="B1673" s="37"/>
      <c r="C1673" s="37"/>
      <c r="D1673" s="37"/>
      <c r="E1673" s="37"/>
      <c r="F1673" s="37"/>
      <c r="G1673" s="37"/>
      <c r="H1673" s="37"/>
      <c r="I1673" s="37"/>
      <c r="J1673" s="37"/>
      <c r="K1673" s="37"/>
      <c r="L1673" s="37"/>
      <c r="M1673" s="37"/>
      <c r="N1673" s="37"/>
      <c r="O1673" s="37"/>
      <c r="P1673" s="37"/>
      <c r="Q1673" s="37"/>
      <c r="R1673" s="37"/>
      <c r="S1673" s="37"/>
      <c r="T1673" s="37"/>
      <c r="U1673" s="37"/>
      <c r="V1673" s="37"/>
      <c r="W1673" s="37"/>
      <c r="X1673" s="37"/>
      <c r="Y1673" s="37"/>
      <c r="Z1673" s="37"/>
      <c r="AA1673" s="37"/>
      <c r="AB1673" s="37"/>
      <c r="AC1673" s="37"/>
      <c r="AD1673" s="37"/>
    </row>
    <row r="1674">
      <c r="A1674" s="37"/>
      <c r="B1674" s="37"/>
      <c r="C1674" s="37"/>
      <c r="D1674" s="37"/>
      <c r="E1674" s="37"/>
      <c r="F1674" s="37"/>
      <c r="G1674" s="37"/>
      <c r="H1674" s="37"/>
      <c r="I1674" s="37"/>
      <c r="J1674" s="37"/>
      <c r="K1674" s="37"/>
      <c r="L1674" s="37"/>
      <c r="M1674" s="37"/>
      <c r="N1674" s="37"/>
      <c r="O1674" s="37"/>
      <c r="P1674" s="37"/>
      <c r="Q1674" s="37"/>
      <c r="R1674" s="37"/>
      <c r="S1674" s="37"/>
      <c r="T1674" s="37"/>
      <c r="U1674" s="37"/>
      <c r="V1674" s="37"/>
      <c r="W1674" s="37"/>
      <c r="X1674" s="37"/>
      <c r="Y1674" s="37"/>
      <c r="Z1674" s="37"/>
      <c r="AA1674" s="37"/>
      <c r="AB1674" s="37"/>
      <c r="AC1674" s="37"/>
      <c r="AD1674" s="37"/>
    </row>
    <row r="1675">
      <c r="A1675" s="37"/>
      <c r="B1675" s="37"/>
      <c r="C1675" s="37"/>
      <c r="D1675" s="37"/>
      <c r="E1675" s="37"/>
      <c r="F1675" s="37"/>
      <c r="G1675" s="37"/>
      <c r="H1675" s="37"/>
      <c r="I1675" s="37"/>
      <c r="J1675" s="37"/>
      <c r="K1675" s="37"/>
      <c r="L1675" s="37"/>
      <c r="M1675" s="37"/>
      <c r="N1675" s="37"/>
      <c r="O1675" s="37"/>
      <c r="P1675" s="37"/>
      <c r="Q1675" s="37"/>
      <c r="R1675" s="37"/>
      <c r="S1675" s="37"/>
      <c r="T1675" s="37"/>
      <c r="U1675" s="37"/>
      <c r="V1675" s="37"/>
      <c r="W1675" s="37"/>
      <c r="X1675" s="37"/>
      <c r="Y1675" s="37"/>
      <c r="Z1675" s="37"/>
      <c r="AA1675" s="37"/>
      <c r="AB1675" s="37"/>
      <c r="AC1675" s="37"/>
      <c r="AD1675" s="37"/>
    </row>
    <row r="1676">
      <c r="A1676" s="37"/>
      <c r="B1676" s="37"/>
      <c r="C1676" s="37"/>
      <c r="D1676" s="37"/>
      <c r="E1676" s="37"/>
      <c r="F1676" s="37"/>
      <c r="G1676" s="37"/>
      <c r="H1676" s="37"/>
      <c r="I1676" s="37"/>
      <c r="J1676" s="37"/>
      <c r="K1676" s="37"/>
      <c r="L1676" s="37"/>
      <c r="M1676" s="37"/>
      <c r="N1676" s="37"/>
      <c r="O1676" s="37"/>
      <c r="P1676" s="37"/>
      <c r="Q1676" s="37"/>
      <c r="R1676" s="37"/>
      <c r="S1676" s="37"/>
      <c r="T1676" s="37"/>
      <c r="U1676" s="37"/>
      <c r="V1676" s="37"/>
      <c r="W1676" s="37"/>
      <c r="X1676" s="37"/>
      <c r="Y1676" s="37"/>
      <c r="Z1676" s="37"/>
      <c r="AA1676" s="37"/>
      <c r="AB1676" s="37"/>
      <c r="AC1676" s="37"/>
      <c r="AD1676" s="37"/>
    </row>
    <row r="1677">
      <c r="A1677" s="37"/>
      <c r="B1677" s="37"/>
      <c r="C1677" s="37"/>
      <c r="D1677" s="37"/>
      <c r="E1677" s="37"/>
      <c r="F1677" s="37"/>
      <c r="G1677" s="37"/>
      <c r="H1677" s="37"/>
      <c r="I1677" s="37"/>
      <c r="J1677" s="37"/>
      <c r="K1677" s="37"/>
      <c r="L1677" s="37"/>
      <c r="M1677" s="37"/>
      <c r="N1677" s="37"/>
      <c r="O1677" s="37"/>
      <c r="P1677" s="37"/>
      <c r="Q1677" s="37"/>
      <c r="R1677" s="37"/>
      <c r="S1677" s="37"/>
      <c r="T1677" s="37"/>
      <c r="U1677" s="37"/>
      <c r="V1677" s="37"/>
      <c r="W1677" s="37"/>
      <c r="X1677" s="37"/>
      <c r="Y1677" s="37"/>
      <c r="Z1677" s="37"/>
      <c r="AA1677" s="37"/>
      <c r="AB1677" s="37"/>
      <c r="AC1677" s="37"/>
      <c r="AD1677" s="37"/>
    </row>
    <row r="1678">
      <c r="A1678" s="37"/>
      <c r="B1678" s="37"/>
      <c r="C1678" s="37"/>
      <c r="D1678" s="37"/>
      <c r="E1678" s="37"/>
      <c r="F1678" s="37"/>
      <c r="G1678" s="37"/>
      <c r="H1678" s="37"/>
      <c r="I1678" s="37"/>
      <c r="J1678" s="37"/>
      <c r="K1678" s="37"/>
      <c r="L1678" s="37"/>
      <c r="M1678" s="37"/>
      <c r="N1678" s="37"/>
      <c r="O1678" s="37"/>
      <c r="P1678" s="37"/>
      <c r="Q1678" s="37"/>
      <c r="R1678" s="37"/>
      <c r="S1678" s="37"/>
      <c r="T1678" s="37"/>
      <c r="U1678" s="37"/>
      <c r="V1678" s="37"/>
      <c r="W1678" s="37"/>
      <c r="X1678" s="37"/>
      <c r="Y1678" s="37"/>
      <c r="Z1678" s="37"/>
      <c r="AA1678" s="37"/>
      <c r="AB1678" s="37"/>
      <c r="AC1678" s="37"/>
      <c r="AD1678" s="37"/>
    </row>
    <row r="1679">
      <c r="A1679" s="37"/>
      <c r="B1679" s="37"/>
      <c r="C1679" s="37"/>
      <c r="D1679" s="37"/>
      <c r="E1679" s="37"/>
      <c r="F1679" s="37"/>
      <c r="G1679" s="37"/>
      <c r="H1679" s="37"/>
      <c r="I1679" s="37"/>
      <c r="J1679" s="37"/>
      <c r="K1679" s="37"/>
      <c r="L1679" s="37"/>
      <c r="M1679" s="37"/>
      <c r="N1679" s="37"/>
      <c r="O1679" s="37"/>
      <c r="P1679" s="37"/>
      <c r="Q1679" s="37"/>
      <c r="R1679" s="37"/>
      <c r="S1679" s="37"/>
      <c r="T1679" s="37"/>
      <c r="U1679" s="37"/>
      <c r="V1679" s="37"/>
      <c r="W1679" s="37"/>
      <c r="X1679" s="37"/>
      <c r="Y1679" s="37"/>
      <c r="Z1679" s="37"/>
      <c r="AA1679" s="37"/>
      <c r="AB1679" s="37"/>
      <c r="AC1679" s="37"/>
      <c r="AD1679" s="37"/>
    </row>
    <row r="1680">
      <c r="A1680" s="37"/>
      <c r="B1680" s="37"/>
      <c r="C1680" s="37"/>
      <c r="D1680" s="37"/>
      <c r="E1680" s="37"/>
      <c r="F1680" s="37"/>
      <c r="G1680" s="37"/>
      <c r="H1680" s="37"/>
      <c r="I1680" s="37"/>
      <c r="J1680" s="37"/>
      <c r="K1680" s="37"/>
      <c r="L1680" s="37"/>
      <c r="M1680" s="37"/>
      <c r="N1680" s="37"/>
      <c r="O1680" s="37"/>
      <c r="P1680" s="37"/>
      <c r="Q1680" s="37"/>
      <c r="R1680" s="37"/>
      <c r="S1680" s="37"/>
      <c r="T1680" s="37"/>
      <c r="U1680" s="37"/>
      <c r="V1680" s="37"/>
      <c r="W1680" s="37"/>
      <c r="X1680" s="37"/>
      <c r="Y1680" s="37"/>
      <c r="Z1680" s="37"/>
      <c r="AA1680" s="37"/>
      <c r="AB1680" s="37"/>
      <c r="AC1680" s="37"/>
      <c r="AD1680" s="37"/>
    </row>
    <row r="1681">
      <c r="A1681" s="37"/>
      <c r="B1681" s="37"/>
      <c r="C1681" s="37"/>
      <c r="D1681" s="37"/>
      <c r="E1681" s="37"/>
      <c r="F1681" s="37"/>
      <c r="G1681" s="37"/>
      <c r="H1681" s="37"/>
      <c r="I1681" s="37"/>
      <c r="J1681" s="37"/>
      <c r="K1681" s="37"/>
      <c r="L1681" s="37"/>
      <c r="M1681" s="37"/>
      <c r="N1681" s="37"/>
      <c r="O1681" s="37"/>
      <c r="P1681" s="37"/>
      <c r="Q1681" s="37"/>
      <c r="R1681" s="37"/>
      <c r="S1681" s="37"/>
      <c r="T1681" s="37"/>
      <c r="U1681" s="37"/>
      <c r="V1681" s="37"/>
      <c r="W1681" s="37"/>
      <c r="X1681" s="37"/>
      <c r="Y1681" s="37"/>
      <c r="Z1681" s="37"/>
      <c r="AA1681" s="37"/>
      <c r="AB1681" s="37"/>
      <c r="AC1681" s="37"/>
      <c r="AD1681" s="37"/>
    </row>
    <row r="1682">
      <c r="A1682" s="37"/>
      <c r="B1682" s="37"/>
      <c r="C1682" s="37"/>
      <c r="D1682" s="37"/>
      <c r="E1682" s="37"/>
      <c r="F1682" s="37"/>
      <c r="G1682" s="37"/>
      <c r="H1682" s="37"/>
      <c r="I1682" s="37"/>
      <c r="J1682" s="37"/>
      <c r="K1682" s="37"/>
      <c r="L1682" s="37"/>
      <c r="M1682" s="37"/>
      <c r="N1682" s="37"/>
      <c r="O1682" s="37"/>
      <c r="P1682" s="37"/>
      <c r="Q1682" s="37"/>
      <c r="R1682" s="37"/>
      <c r="S1682" s="37"/>
      <c r="T1682" s="37"/>
      <c r="U1682" s="37"/>
      <c r="V1682" s="37"/>
      <c r="W1682" s="37"/>
      <c r="X1682" s="37"/>
      <c r="Y1682" s="37"/>
      <c r="Z1682" s="37"/>
      <c r="AA1682" s="37"/>
      <c r="AB1682" s="37"/>
      <c r="AC1682" s="37"/>
      <c r="AD1682" s="37"/>
    </row>
    <row r="1683">
      <c r="A1683" s="37"/>
      <c r="B1683" s="37"/>
      <c r="C1683" s="37"/>
      <c r="D1683" s="37"/>
      <c r="E1683" s="37"/>
      <c r="F1683" s="37"/>
      <c r="G1683" s="37"/>
      <c r="H1683" s="37"/>
      <c r="I1683" s="37"/>
      <c r="J1683" s="37"/>
      <c r="K1683" s="37"/>
      <c r="L1683" s="37"/>
      <c r="M1683" s="37"/>
      <c r="N1683" s="37"/>
      <c r="O1683" s="37"/>
      <c r="P1683" s="37"/>
      <c r="Q1683" s="37"/>
      <c r="R1683" s="37"/>
      <c r="S1683" s="37"/>
      <c r="T1683" s="37"/>
      <c r="U1683" s="37"/>
      <c r="V1683" s="37"/>
      <c r="W1683" s="37"/>
      <c r="X1683" s="37"/>
      <c r="Y1683" s="37"/>
      <c r="Z1683" s="37"/>
      <c r="AA1683" s="37"/>
      <c r="AB1683" s="37"/>
      <c r="AC1683" s="37"/>
      <c r="AD1683" s="37"/>
    </row>
    <row r="1684">
      <c r="A1684" s="37"/>
      <c r="B1684" s="37"/>
      <c r="C1684" s="37"/>
      <c r="D1684" s="37"/>
      <c r="E1684" s="37"/>
      <c r="F1684" s="37"/>
      <c r="G1684" s="37"/>
      <c r="H1684" s="37"/>
      <c r="I1684" s="37"/>
      <c r="J1684" s="37"/>
      <c r="K1684" s="37"/>
      <c r="L1684" s="37"/>
      <c r="M1684" s="37"/>
      <c r="N1684" s="37"/>
      <c r="O1684" s="37"/>
      <c r="P1684" s="37"/>
      <c r="Q1684" s="37"/>
      <c r="R1684" s="37"/>
      <c r="S1684" s="37"/>
      <c r="T1684" s="37"/>
      <c r="U1684" s="37"/>
      <c r="V1684" s="37"/>
      <c r="W1684" s="37"/>
      <c r="X1684" s="37"/>
      <c r="Y1684" s="37"/>
      <c r="Z1684" s="37"/>
      <c r="AA1684" s="37"/>
      <c r="AB1684" s="37"/>
      <c r="AC1684" s="37"/>
      <c r="AD1684" s="37"/>
    </row>
    <row r="1685">
      <c r="A1685" s="37"/>
      <c r="B1685" s="37"/>
      <c r="C1685" s="37"/>
      <c r="D1685" s="37"/>
      <c r="E1685" s="37"/>
      <c r="F1685" s="37"/>
      <c r="G1685" s="37"/>
      <c r="H1685" s="37"/>
      <c r="I1685" s="37"/>
      <c r="J1685" s="37"/>
      <c r="K1685" s="37"/>
      <c r="L1685" s="37"/>
      <c r="M1685" s="37"/>
      <c r="N1685" s="37"/>
      <c r="O1685" s="37"/>
      <c r="P1685" s="37"/>
      <c r="Q1685" s="37"/>
      <c r="R1685" s="37"/>
      <c r="S1685" s="37"/>
      <c r="T1685" s="37"/>
      <c r="U1685" s="37"/>
      <c r="V1685" s="37"/>
      <c r="W1685" s="37"/>
      <c r="X1685" s="37"/>
      <c r="Y1685" s="37"/>
      <c r="Z1685" s="37"/>
      <c r="AA1685" s="37"/>
      <c r="AB1685" s="37"/>
      <c r="AC1685" s="37"/>
      <c r="AD1685" s="37"/>
    </row>
    <row r="1686">
      <c r="A1686" s="37"/>
      <c r="B1686" s="37"/>
      <c r="C1686" s="37"/>
      <c r="D1686" s="37"/>
      <c r="E1686" s="37"/>
      <c r="F1686" s="37"/>
      <c r="G1686" s="37"/>
      <c r="H1686" s="37"/>
      <c r="I1686" s="37"/>
      <c r="J1686" s="37"/>
      <c r="K1686" s="37"/>
      <c r="L1686" s="37"/>
      <c r="M1686" s="37"/>
      <c r="N1686" s="37"/>
      <c r="O1686" s="37"/>
      <c r="P1686" s="37"/>
      <c r="Q1686" s="37"/>
      <c r="R1686" s="37"/>
      <c r="S1686" s="37"/>
      <c r="T1686" s="37"/>
      <c r="U1686" s="37"/>
      <c r="V1686" s="37"/>
      <c r="W1686" s="37"/>
      <c r="X1686" s="37"/>
      <c r="Y1686" s="37"/>
      <c r="Z1686" s="37"/>
      <c r="AA1686" s="37"/>
      <c r="AB1686" s="37"/>
      <c r="AC1686" s="37"/>
      <c r="AD1686" s="37"/>
    </row>
    <row r="1687">
      <c r="A1687" s="37"/>
      <c r="B1687" s="37"/>
      <c r="C1687" s="37"/>
      <c r="D1687" s="37"/>
      <c r="E1687" s="37"/>
      <c r="F1687" s="37"/>
      <c r="G1687" s="37"/>
      <c r="H1687" s="37"/>
      <c r="I1687" s="37"/>
      <c r="J1687" s="37"/>
      <c r="K1687" s="37"/>
      <c r="L1687" s="37"/>
      <c r="M1687" s="37"/>
      <c r="N1687" s="37"/>
      <c r="O1687" s="37"/>
      <c r="P1687" s="37"/>
      <c r="Q1687" s="37"/>
      <c r="R1687" s="37"/>
      <c r="S1687" s="37"/>
      <c r="T1687" s="37"/>
      <c r="U1687" s="37"/>
      <c r="V1687" s="37"/>
      <c r="W1687" s="37"/>
      <c r="X1687" s="37"/>
      <c r="Y1687" s="37"/>
      <c r="Z1687" s="37"/>
      <c r="AA1687" s="37"/>
      <c r="AB1687" s="37"/>
      <c r="AC1687" s="37"/>
      <c r="AD1687" s="37"/>
    </row>
    <row r="1688">
      <c r="A1688" s="37"/>
      <c r="B1688" s="37"/>
      <c r="C1688" s="37"/>
      <c r="D1688" s="37"/>
      <c r="E1688" s="37"/>
      <c r="F1688" s="37"/>
      <c r="G1688" s="37"/>
      <c r="H1688" s="37"/>
      <c r="I1688" s="37"/>
      <c r="J1688" s="37"/>
      <c r="K1688" s="37"/>
      <c r="L1688" s="37"/>
      <c r="M1688" s="37"/>
      <c r="N1688" s="37"/>
      <c r="O1688" s="37"/>
      <c r="P1688" s="37"/>
      <c r="Q1688" s="37"/>
      <c r="R1688" s="37"/>
      <c r="S1688" s="37"/>
      <c r="T1688" s="37"/>
      <c r="U1688" s="37"/>
      <c r="V1688" s="37"/>
      <c r="W1688" s="37"/>
      <c r="X1688" s="37"/>
      <c r="Y1688" s="37"/>
      <c r="Z1688" s="37"/>
      <c r="AA1688" s="37"/>
      <c r="AB1688" s="37"/>
      <c r="AC1688" s="37"/>
      <c r="AD1688" s="37"/>
    </row>
    <row r="1689">
      <c r="A1689" s="37"/>
      <c r="B1689" s="37"/>
      <c r="C1689" s="37"/>
      <c r="D1689" s="37"/>
      <c r="E1689" s="37"/>
      <c r="F1689" s="37"/>
      <c r="G1689" s="37"/>
      <c r="H1689" s="37"/>
      <c r="I1689" s="37"/>
      <c r="J1689" s="37"/>
      <c r="K1689" s="37"/>
      <c r="L1689" s="37"/>
      <c r="M1689" s="37"/>
      <c r="N1689" s="37"/>
      <c r="O1689" s="37"/>
      <c r="P1689" s="37"/>
      <c r="Q1689" s="37"/>
      <c r="R1689" s="37"/>
      <c r="S1689" s="37"/>
      <c r="T1689" s="37"/>
      <c r="U1689" s="37"/>
      <c r="V1689" s="37"/>
      <c r="W1689" s="37"/>
      <c r="X1689" s="37"/>
      <c r="Y1689" s="37"/>
      <c r="Z1689" s="37"/>
      <c r="AA1689" s="37"/>
      <c r="AB1689" s="37"/>
      <c r="AC1689" s="37"/>
      <c r="AD1689" s="37"/>
    </row>
    <row r="1690">
      <c r="A1690" s="37"/>
      <c r="B1690" s="37"/>
      <c r="C1690" s="37"/>
      <c r="D1690" s="37"/>
      <c r="E1690" s="37"/>
      <c r="F1690" s="37"/>
      <c r="G1690" s="37"/>
      <c r="H1690" s="37"/>
      <c r="I1690" s="37"/>
      <c r="J1690" s="37"/>
      <c r="K1690" s="37"/>
      <c r="L1690" s="37"/>
      <c r="M1690" s="37"/>
      <c r="N1690" s="37"/>
      <c r="O1690" s="37"/>
      <c r="P1690" s="37"/>
      <c r="Q1690" s="37"/>
      <c r="R1690" s="37"/>
      <c r="S1690" s="37"/>
      <c r="T1690" s="37"/>
      <c r="U1690" s="37"/>
      <c r="V1690" s="37"/>
      <c r="W1690" s="37"/>
      <c r="X1690" s="37"/>
      <c r="Y1690" s="37"/>
      <c r="Z1690" s="37"/>
      <c r="AA1690" s="37"/>
      <c r="AB1690" s="37"/>
      <c r="AC1690" s="37"/>
      <c r="AD1690" s="37"/>
    </row>
    <row r="1691">
      <c r="A1691" s="37"/>
      <c r="B1691" s="37"/>
      <c r="C1691" s="37"/>
      <c r="D1691" s="37"/>
      <c r="E1691" s="37"/>
      <c r="F1691" s="37"/>
      <c r="G1691" s="37"/>
      <c r="H1691" s="37"/>
      <c r="I1691" s="37"/>
      <c r="J1691" s="37"/>
      <c r="K1691" s="37"/>
      <c r="L1691" s="37"/>
      <c r="M1691" s="37"/>
      <c r="N1691" s="37"/>
      <c r="O1691" s="37"/>
      <c r="P1691" s="37"/>
      <c r="Q1691" s="37"/>
      <c r="R1691" s="37"/>
      <c r="S1691" s="37"/>
      <c r="T1691" s="37"/>
      <c r="U1691" s="37"/>
      <c r="V1691" s="37"/>
      <c r="W1691" s="37"/>
      <c r="X1691" s="37"/>
      <c r="Y1691" s="37"/>
      <c r="Z1691" s="37"/>
      <c r="AA1691" s="37"/>
      <c r="AB1691" s="37"/>
      <c r="AC1691" s="37"/>
      <c r="AD1691" s="37"/>
    </row>
    <row r="1692">
      <c r="A1692" s="37"/>
      <c r="B1692" s="37"/>
      <c r="C1692" s="37"/>
      <c r="D1692" s="37"/>
      <c r="E1692" s="37"/>
      <c r="F1692" s="37"/>
      <c r="G1692" s="37"/>
      <c r="H1692" s="37"/>
      <c r="I1692" s="37"/>
      <c r="J1692" s="37"/>
      <c r="K1692" s="37"/>
      <c r="L1692" s="37"/>
      <c r="M1692" s="37"/>
      <c r="N1692" s="37"/>
      <c r="O1692" s="37"/>
      <c r="P1692" s="37"/>
      <c r="Q1692" s="37"/>
      <c r="R1692" s="37"/>
      <c r="S1692" s="37"/>
      <c r="T1692" s="37"/>
      <c r="U1692" s="37"/>
      <c r="V1692" s="37"/>
      <c r="W1692" s="37"/>
      <c r="X1692" s="37"/>
      <c r="Y1692" s="37"/>
      <c r="Z1692" s="37"/>
      <c r="AA1692" s="37"/>
      <c r="AB1692" s="37"/>
      <c r="AC1692" s="37"/>
      <c r="AD1692" s="37"/>
    </row>
    <row r="1693">
      <c r="A1693" s="37"/>
      <c r="B1693" s="37"/>
      <c r="C1693" s="37"/>
      <c r="D1693" s="37"/>
      <c r="E1693" s="37"/>
      <c r="F1693" s="37"/>
      <c r="G1693" s="37"/>
      <c r="H1693" s="37"/>
      <c r="I1693" s="37"/>
      <c r="J1693" s="37"/>
      <c r="K1693" s="37"/>
      <c r="L1693" s="37"/>
      <c r="M1693" s="37"/>
      <c r="N1693" s="37"/>
      <c r="O1693" s="37"/>
      <c r="P1693" s="37"/>
      <c r="Q1693" s="37"/>
      <c r="R1693" s="37"/>
      <c r="S1693" s="37"/>
      <c r="T1693" s="37"/>
      <c r="U1693" s="37"/>
      <c r="V1693" s="37"/>
      <c r="W1693" s="37"/>
      <c r="X1693" s="37"/>
      <c r="Y1693" s="37"/>
      <c r="Z1693" s="37"/>
      <c r="AA1693" s="37"/>
      <c r="AB1693" s="37"/>
      <c r="AC1693" s="37"/>
      <c r="AD1693" s="37"/>
    </row>
    <row r="1694">
      <c r="A1694" s="37"/>
      <c r="B1694" s="37"/>
      <c r="C1694" s="37"/>
      <c r="D1694" s="37"/>
      <c r="E1694" s="37"/>
      <c r="F1694" s="37"/>
      <c r="G1694" s="37"/>
      <c r="H1694" s="37"/>
      <c r="I1694" s="37"/>
      <c r="J1694" s="37"/>
      <c r="K1694" s="37"/>
      <c r="L1694" s="37"/>
      <c r="M1694" s="37"/>
      <c r="N1694" s="37"/>
      <c r="O1694" s="37"/>
      <c r="P1694" s="37"/>
      <c r="Q1694" s="37"/>
      <c r="R1694" s="37"/>
      <c r="S1694" s="37"/>
      <c r="T1694" s="37"/>
      <c r="U1694" s="37"/>
      <c r="V1694" s="37"/>
      <c r="W1694" s="37"/>
      <c r="X1694" s="37"/>
      <c r="Y1694" s="37"/>
      <c r="Z1694" s="37"/>
      <c r="AA1694" s="37"/>
      <c r="AB1694" s="37"/>
      <c r="AC1694" s="37"/>
      <c r="AD1694" s="37"/>
    </row>
    <row r="1695">
      <c r="A1695" s="37"/>
      <c r="B1695" s="37"/>
      <c r="C1695" s="37"/>
      <c r="D1695" s="37"/>
      <c r="E1695" s="37"/>
      <c r="F1695" s="37"/>
      <c r="G1695" s="37"/>
      <c r="H1695" s="37"/>
      <c r="I1695" s="37"/>
      <c r="J1695" s="37"/>
      <c r="K1695" s="37"/>
      <c r="L1695" s="37"/>
      <c r="M1695" s="37"/>
      <c r="N1695" s="37"/>
      <c r="O1695" s="37"/>
      <c r="P1695" s="37"/>
      <c r="Q1695" s="37"/>
      <c r="R1695" s="37"/>
      <c r="S1695" s="37"/>
      <c r="T1695" s="37"/>
      <c r="U1695" s="37"/>
      <c r="V1695" s="37"/>
      <c r="W1695" s="37"/>
      <c r="X1695" s="37"/>
      <c r="Y1695" s="37"/>
      <c r="Z1695" s="37"/>
      <c r="AA1695" s="37"/>
      <c r="AB1695" s="37"/>
      <c r="AC1695" s="37"/>
      <c r="AD1695" s="37"/>
    </row>
    <row r="1696">
      <c r="A1696" s="37"/>
      <c r="B1696" s="37"/>
      <c r="C1696" s="37"/>
      <c r="D1696" s="37"/>
      <c r="E1696" s="37"/>
      <c r="F1696" s="37"/>
      <c r="G1696" s="37"/>
      <c r="H1696" s="37"/>
      <c r="I1696" s="37"/>
      <c r="J1696" s="37"/>
      <c r="K1696" s="37"/>
      <c r="L1696" s="37"/>
      <c r="M1696" s="37"/>
      <c r="N1696" s="37"/>
      <c r="O1696" s="37"/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37"/>
      <c r="AA1696" s="37"/>
      <c r="AB1696" s="37"/>
      <c r="AC1696" s="37"/>
      <c r="AD1696" s="37"/>
    </row>
    <row r="1697">
      <c r="A1697" s="37"/>
      <c r="B1697" s="37"/>
      <c r="C1697" s="37"/>
      <c r="D1697" s="37"/>
      <c r="E1697" s="37"/>
      <c r="F1697" s="37"/>
      <c r="G1697" s="37"/>
      <c r="H1697" s="37"/>
      <c r="I1697" s="37"/>
      <c r="J1697" s="37"/>
      <c r="K1697" s="37"/>
      <c r="L1697" s="37"/>
      <c r="M1697" s="37"/>
      <c r="N1697" s="37"/>
      <c r="O1697" s="37"/>
      <c r="P1697" s="37"/>
      <c r="Q1697" s="37"/>
      <c r="R1697" s="37"/>
      <c r="S1697" s="37"/>
      <c r="T1697" s="37"/>
      <c r="U1697" s="37"/>
      <c r="V1697" s="37"/>
      <c r="W1697" s="37"/>
      <c r="X1697" s="37"/>
      <c r="Y1697" s="37"/>
      <c r="Z1697" s="37"/>
      <c r="AA1697" s="37"/>
      <c r="AB1697" s="37"/>
      <c r="AC1697" s="37"/>
      <c r="AD1697" s="37"/>
    </row>
    <row r="1698">
      <c r="A1698" s="37"/>
      <c r="B1698" s="37"/>
      <c r="C1698" s="37"/>
      <c r="D1698" s="37"/>
      <c r="E1698" s="37"/>
      <c r="F1698" s="37"/>
      <c r="G1698" s="37"/>
      <c r="H1698" s="37"/>
      <c r="I1698" s="37"/>
      <c r="J1698" s="37"/>
      <c r="K1698" s="37"/>
      <c r="L1698" s="37"/>
      <c r="M1698" s="37"/>
      <c r="N1698" s="37"/>
      <c r="O1698" s="37"/>
      <c r="P1698" s="37"/>
      <c r="Q1698" s="37"/>
      <c r="R1698" s="37"/>
      <c r="S1698" s="37"/>
      <c r="T1698" s="37"/>
      <c r="U1698" s="37"/>
      <c r="V1698" s="37"/>
      <c r="W1698" s="37"/>
      <c r="X1698" s="37"/>
      <c r="Y1698" s="37"/>
      <c r="Z1698" s="37"/>
      <c r="AA1698" s="37"/>
      <c r="AB1698" s="37"/>
      <c r="AC1698" s="37"/>
      <c r="AD1698" s="37"/>
    </row>
    <row r="1699">
      <c r="A1699" s="37"/>
      <c r="B1699" s="37"/>
      <c r="C1699" s="37"/>
      <c r="D1699" s="37"/>
      <c r="E1699" s="37"/>
      <c r="F1699" s="37"/>
      <c r="G1699" s="37"/>
      <c r="H1699" s="37"/>
      <c r="I1699" s="37"/>
      <c r="J1699" s="37"/>
      <c r="K1699" s="37"/>
      <c r="L1699" s="37"/>
      <c r="M1699" s="37"/>
      <c r="N1699" s="37"/>
      <c r="O1699" s="37"/>
      <c r="P1699" s="37"/>
      <c r="Q1699" s="37"/>
      <c r="R1699" s="37"/>
      <c r="S1699" s="37"/>
      <c r="T1699" s="37"/>
      <c r="U1699" s="37"/>
      <c r="V1699" s="37"/>
      <c r="W1699" s="37"/>
      <c r="X1699" s="37"/>
      <c r="Y1699" s="37"/>
      <c r="Z1699" s="37"/>
      <c r="AA1699" s="37"/>
      <c r="AB1699" s="37"/>
      <c r="AC1699" s="37"/>
      <c r="AD1699" s="37"/>
    </row>
    <row r="1700">
      <c r="A1700" s="37"/>
      <c r="B1700" s="37"/>
      <c r="C1700" s="37"/>
      <c r="D1700" s="37"/>
      <c r="E1700" s="37"/>
      <c r="F1700" s="37"/>
      <c r="G1700" s="37"/>
      <c r="H1700" s="37"/>
      <c r="I1700" s="37"/>
      <c r="J1700" s="37"/>
      <c r="K1700" s="37"/>
      <c r="L1700" s="37"/>
      <c r="M1700" s="37"/>
      <c r="N1700" s="37"/>
      <c r="O1700" s="37"/>
      <c r="P1700" s="37"/>
      <c r="Q1700" s="37"/>
      <c r="R1700" s="37"/>
      <c r="S1700" s="37"/>
      <c r="T1700" s="37"/>
      <c r="U1700" s="37"/>
      <c r="V1700" s="37"/>
      <c r="W1700" s="37"/>
      <c r="X1700" s="37"/>
      <c r="Y1700" s="37"/>
      <c r="Z1700" s="37"/>
      <c r="AA1700" s="37"/>
      <c r="AB1700" s="37"/>
      <c r="AC1700" s="37"/>
      <c r="AD1700" s="37"/>
    </row>
    <row r="1701">
      <c r="A1701" s="37"/>
      <c r="B1701" s="37"/>
      <c r="C1701" s="37"/>
      <c r="D1701" s="37"/>
      <c r="E1701" s="37"/>
      <c r="F1701" s="37"/>
      <c r="G1701" s="37"/>
      <c r="H1701" s="37"/>
      <c r="I1701" s="37"/>
      <c r="J1701" s="37"/>
      <c r="K1701" s="37"/>
      <c r="L1701" s="37"/>
      <c r="M1701" s="37"/>
      <c r="N1701" s="37"/>
      <c r="O1701" s="37"/>
      <c r="P1701" s="37"/>
      <c r="Q1701" s="37"/>
      <c r="R1701" s="37"/>
      <c r="S1701" s="37"/>
      <c r="T1701" s="37"/>
      <c r="U1701" s="37"/>
      <c r="V1701" s="37"/>
      <c r="W1701" s="37"/>
      <c r="X1701" s="37"/>
      <c r="Y1701" s="37"/>
      <c r="Z1701" s="37"/>
      <c r="AA1701" s="37"/>
      <c r="AB1701" s="37"/>
      <c r="AC1701" s="37"/>
      <c r="AD1701" s="37"/>
    </row>
    <row r="1702">
      <c r="A1702" s="37"/>
      <c r="B1702" s="37"/>
      <c r="C1702" s="37"/>
      <c r="D1702" s="37"/>
      <c r="E1702" s="37"/>
      <c r="F1702" s="37"/>
      <c r="G1702" s="37"/>
      <c r="H1702" s="37"/>
      <c r="I1702" s="37"/>
      <c r="J1702" s="37"/>
      <c r="K1702" s="37"/>
      <c r="L1702" s="37"/>
      <c r="M1702" s="37"/>
      <c r="N1702" s="37"/>
      <c r="O1702" s="37"/>
      <c r="P1702" s="37"/>
      <c r="Q1702" s="37"/>
      <c r="R1702" s="37"/>
      <c r="S1702" s="37"/>
      <c r="T1702" s="37"/>
      <c r="U1702" s="37"/>
      <c r="V1702" s="37"/>
      <c r="W1702" s="37"/>
      <c r="X1702" s="37"/>
      <c r="Y1702" s="37"/>
      <c r="Z1702" s="37"/>
      <c r="AA1702" s="37"/>
      <c r="AB1702" s="37"/>
      <c r="AC1702" s="37"/>
      <c r="AD1702" s="37"/>
    </row>
    <row r="1703">
      <c r="A1703" s="37"/>
      <c r="B1703" s="37"/>
      <c r="C1703" s="37"/>
      <c r="D1703" s="37"/>
      <c r="E1703" s="37"/>
      <c r="F1703" s="37"/>
      <c r="G1703" s="37"/>
      <c r="H1703" s="37"/>
      <c r="I1703" s="37"/>
      <c r="J1703" s="37"/>
      <c r="K1703" s="37"/>
      <c r="L1703" s="37"/>
      <c r="M1703" s="37"/>
      <c r="N1703" s="37"/>
      <c r="O1703" s="37"/>
      <c r="P1703" s="37"/>
      <c r="Q1703" s="37"/>
      <c r="R1703" s="37"/>
      <c r="S1703" s="37"/>
      <c r="T1703" s="37"/>
      <c r="U1703" s="37"/>
      <c r="V1703" s="37"/>
      <c r="W1703" s="37"/>
      <c r="X1703" s="37"/>
      <c r="Y1703" s="37"/>
      <c r="Z1703" s="37"/>
      <c r="AA1703" s="37"/>
      <c r="AB1703" s="37"/>
      <c r="AC1703" s="37"/>
      <c r="AD1703" s="37"/>
    </row>
    <row r="1704">
      <c r="A1704" s="37"/>
      <c r="B1704" s="37"/>
      <c r="C1704" s="37"/>
      <c r="D1704" s="37"/>
      <c r="E1704" s="37"/>
      <c r="F1704" s="37"/>
      <c r="G1704" s="37"/>
      <c r="H1704" s="37"/>
      <c r="I1704" s="37"/>
      <c r="J1704" s="37"/>
      <c r="K1704" s="37"/>
      <c r="L1704" s="37"/>
      <c r="M1704" s="37"/>
      <c r="N1704" s="37"/>
      <c r="O1704" s="37"/>
      <c r="P1704" s="37"/>
      <c r="Q1704" s="37"/>
      <c r="R1704" s="37"/>
      <c r="S1704" s="37"/>
      <c r="T1704" s="37"/>
      <c r="U1704" s="37"/>
      <c r="V1704" s="37"/>
      <c r="W1704" s="37"/>
      <c r="X1704" s="37"/>
      <c r="Y1704" s="37"/>
      <c r="Z1704" s="37"/>
      <c r="AA1704" s="37"/>
      <c r="AB1704" s="37"/>
      <c r="AC1704" s="37"/>
      <c r="AD1704" s="37"/>
    </row>
    <row r="1705">
      <c r="A1705" s="37"/>
      <c r="B1705" s="37"/>
      <c r="C1705" s="37"/>
      <c r="D1705" s="37"/>
      <c r="E1705" s="37"/>
      <c r="F1705" s="37"/>
      <c r="G1705" s="37"/>
      <c r="H1705" s="37"/>
      <c r="I1705" s="37"/>
      <c r="J1705" s="37"/>
      <c r="K1705" s="37"/>
      <c r="L1705" s="37"/>
      <c r="M1705" s="37"/>
      <c r="N1705" s="37"/>
      <c r="O1705" s="37"/>
      <c r="P1705" s="37"/>
      <c r="Q1705" s="37"/>
      <c r="R1705" s="37"/>
      <c r="S1705" s="37"/>
      <c r="T1705" s="37"/>
      <c r="U1705" s="37"/>
      <c r="V1705" s="37"/>
      <c r="W1705" s="37"/>
      <c r="X1705" s="37"/>
      <c r="Y1705" s="37"/>
      <c r="Z1705" s="37"/>
      <c r="AA1705" s="37"/>
      <c r="AB1705" s="37"/>
      <c r="AC1705" s="37"/>
      <c r="AD1705" s="37"/>
    </row>
    <row r="1706">
      <c r="A1706" s="37"/>
      <c r="B1706" s="37"/>
      <c r="C1706" s="37"/>
      <c r="D1706" s="37"/>
      <c r="E1706" s="37"/>
      <c r="F1706" s="37"/>
      <c r="G1706" s="37"/>
      <c r="H1706" s="37"/>
      <c r="I1706" s="37"/>
      <c r="J1706" s="37"/>
      <c r="K1706" s="37"/>
      <c r="L1706" s="37"/>
      <c r="M1706" s="37"/>
      <c r="N1706" s="37"/>
      <c r="O1706" s="37"/>
      <c r="P1706" s="37"/>
      <c r="Q1706" s="37"/>
      <c r="R1706" s="37"/>
      <c r="S1706" s="37"/>
      <c r="T1706" s="37"/>
      <c r="U1706" s="37"/>
      <c r="V1706" s="37"/>
      <c r="W1706" s="37"/>
      <c r="X1706" s="37"/>
      <c r="Y1706" s="37"/>
      <c r="Z1706" s="37"/>
      <c r="AA1706" s="37"/>
      <c r="AB1706" s="37"/>
      <c r="AC1706" s="37"/>
      <c r="AD1706" s="37"/>
    </row>
    <row r="1707">
      <c r="A1707" s="37"/>
      <c r="B1707" s="37"/>
      <c r="C1707" s="37"/>
      <c r="D1707" s="37"/>
      <c r="E1707" s="37"/>
      <c r="F1707" s="37"/>
      <c r="G1707" s="37"/>
      <c r="H1707" s="37"/>
      <c r="I1707" s="37"/>
      <c r="J1707" s="37"/>
      <c r="K1707" s="37"/>
      <c r="L1707" s="37"/>
      <c r="M1707" s="37"/>
      <c r="N1707" s="37"/>
      <c r="O1707" s="37"/>
      <c r="P1707" s="37"/>
      <c r="Q1707" s="37"/>
      <c r="R1707" s="37"/>
      <c r="S1707" s="37"/>
      <c r="T1707" s="37"/>
      <c r="U1707" s="37"/>
      <c r="V1707" s="37"/>
      <c r="W1707" s="37"/>
      <c r="X1707" s="37"/>
      <c r="Y1707" s="37"/>
      <c r="Z1707" s="37"/>
      <c r="AA1707" s="37"/>
      <c r="AB1707" s="37"/>
      <c r="AC1707" s="37"/>
      <c r="AD1707" s="37"/>
    </row>
    <row r="1708">
      <c r="A1708" s="37"/>
      <c r="B1708" s="37"/>
      <c r="C1708" s="37"/>
      <c r="D1708" s="37"/>
      <c r="E1708" s="37"/>
      <c r="F1708" s="37"/>
      <c r="G1708" s="37"/>
      <c r="H1708" s="37"/>
      <c r="I1708" s="37"/>
      <c r="J1708" s="37"/>
      <c r="K1708" s="37"/>
      <c r="L1708" s="37"/>
      <c r="M1708" s="37"/>
      <c r="N1708" s="37"/>
      <c r="O1708" s="37"/>
      <c r="P1708" s="37"/>
      <c r="Q1708" s="37"/>
      <c r="R1708" s="37"/>
      <c r="S1708" s="37"/>
      <c r="T1708" s="37"/>
      <c r="U1708" s="37"/>
      <c r="V1708" s="37"/>
      <c r="W1708" s="37"/>
      <c r="X1708" s="37"/>
      <c r="Y1708" s="37"/>
      <c r="Z1708" s="37"/>
      <c r="AA1708" s="37"/>
      <c r="AB1708" s="37"/>
      <c r="AC1708" s="37"/>
      <c r="AD1708" s="37"/>
    </row>
    <row r="1709">
      <c r="A1709" s="37"/>
      <c r="B1709" s="37"/>
      <c r="C1709" s="37"/>
      <c r="D1709" s="37"/>
      <c r="E1709" s="37"/>
      <c r="F1709" s="37"/>
      <c r="G1709" s="37"/>
      <c r="H1709" s="37"/>
      <c r="I1709" s="37"/>
      <c r="J1709" s="37"/>
      <c r="K1709" s="37"/>
      <c r="L1709" s="37"/>
      <c r="M1709" s="37"/>
      <c r="N1709" s="37"/>
      <c r="O1709" s="37"/>
      <c r="P1709" s="37"/>
      <c r="Q1709" s="37"/>
      <c r="R1709" s="37"/>
      <c r="S1709" s="37"/>
      <c r="T1709" s="37"/>
      <c r="U1709" s="37"/>
      <c r="V1709" s="37"/>
      <c r="W1709" s="37"/>
      <c r="X1709" s="37"/>
      <c r="Y1709" s="37"/>
      <c r="Z1709" s="37"/>
      <c r="AA1709" s="37"/>
      <c r="AB1709" s="37"/>
      <c r="AC1709" s="37"/>
      <c r="AD1709" s="37"/>
    </row>
    <row r="1710">
      <c r="A1710" s="37"/>
      <c r="B1710" s="37"/>
      <c r="C1710" s="37"/>
      <c r="D1710" s="37"/>
      <c r="E1710" s="37"/>
      <c r="F1710" s="37"/>
      <c r="G1710" s="37"/>
      <c r="H1710" s="37"/>
      <c r="I1710" s="37"/>
      <c r="J1710" s="37"/>
      <c r="K1710" s="37"/>
      <c r="L1710" s="37"/>
      <c r="M1710" s="37"/>
      <c r="N1710" s="37"/>
      <c r="O1710" s="37"/>
      <c r="P1710" s="37"/>
      <c r="Q1710" s="37"/>
      <c r="R1710" s="37"/>
      <c r="S1710" s="37"/>
      <c r="T1710" s="37"/>
      <c r="U1710" s="37"/>
      <c r="V1710" s="37"/>
      <c r="W1710" s="37"/>
      <c r="X1710" s="37"/>
      <c r="Y1710" s="37"/>
      <c r="Z1710" s="37"/>
      <c r="AA1710" s="37"/>
      <c r="AB1710" s="37"/>
      <c r="AC1710" s="37"/>
      <c r="AD1710" s="37"/>
    </row>
    <row r="1711">
      <c r="A1711" s="37"/>
      <c r="B1711" s="37"/>
      <c r="C1711" s="37"/>
      <c r="D1711" s="37"/>
      <c r="E1711" s="37"/>
      <c r="F1711" s="37"/>
      <c r="G1711" s="37"/>
      <c r="H1711" s="37"/>
      <c r="I1711" s="37"/>
      <c r="J1711" s="37"/>
      <c r="K1711" s="37"/>
      <c r="L1711" s="37"/>
      <c r="M1711" s="37"/>
      <c r="N1711" s="37"/>
      <c r="O1711" s="37"/>
      <c r="P1711" s="37"/>
      <c r="Q1711" s="37"/>
      <c r="R1711" s="37"/>
      <c r="S1711" s="37"/>
      <c r="T1711" s="37"/>
      <c r="U1711" s="37"/>
      <c r="V1711" s="37"/>
      <c r="W1711" s="37"/>
      <c r="X1711" s="37"/>
      <c r="Y1711" s="37"/>
      <c r="Z1711" s="37"/>
      <c r="AA1711" s="37"/>
      <c r="AB1711" s="37"/>
      <c r="AC1711" s="37"/>
      <c r="AD1711" s="37"/>
    </row>
    <row r="1712">
      <c r="A1712" s="37"/>
      <c r="B1712" s="37"/>
      <c r="C1712" s="37"/>
      <c r="D1712" s="37"/>
      <c r="E1712" s="37"/>
      <c r="F1712" s="37"/>
      <c r="G1712" s="37"/>
      <c r="H1712" s="37"/>
      <c r="I1712" s="37"/>
      <c r="J1712" s="37"/>
      <c r="K1712" s="37"/>
      <c r="L1712" s="37"/>
      <c r="M1712" s="37"/>
      <c r="N1712" s="37"/>
      <c r="O1712" s="37"/>
      <c r="P1712" s="37"/>
      <c r="Q1712" s="37"/>
      <c r="R1712" s="37"/>
      <c r="S1712" s="37"/>
      <c r="T1712" s="37"/>
      <c r="U1712" s="37"/>
      <c r="V1712" s="37"/>
      <c r="W1712" s="37"/>
      <c r="X1712" s="37"/>
      <c r="Y1712" s="37"/>
      <c r="Z1712" s="37"/>
      <c r="AA1712" s="37"/>
      <c r="AB1712" s="37"/>
      <c r="AC1712" s="37"/>
      <c r="AD1712" s="37"/>
    </row>
    <row r="1713">
      <c r="A1713" s="37"/>
      <c r="B1713" s="37"/>
      <c r="C1713" s="37"/>
      <c r="D1713" s="37"/>
      <c r="E1713" s="37"/>
      <c r="F1713" s="37"/>
      <c r="G1713" s="37"/>
      <c r="H1713" s="37"/>
      <c r="I1713" s="37"/>
      <c r="J1713" s="37"/>
      <c r="K1713" s="37"/>
      <c r="L1713" s="37"/>
      <c r="M1713" s="37"/>
      <c r="N1713" s="37"/>
      <c r="O1713" s="37"/>
      <c r="P1713" s="37"/>
      <c r="Q1713" s="37"/>
      <c r="R1713" s="37"/>
      <c r="S1713" s="37"/>
      <c r="T1713" s="37"/>
      <c r="U1713" s="37"/>
      <c r="V1713" s="37"/>
      <c r="W1713" s="37"/>
      <c r="X1713" s="37"/>
      <c r="Y1713" s="37"/>
      <c r="Z1713" s="37"/>
      <c r="AA1713" s="37"/>
      <c r="AB1713" s="37"/>
      <c r="AC1713" s="37"/>
      <c r="AD1713" s="37"/>
    </row>
    <row r="1714">
      <c r="A1714" s="37"/>
      <c r="B1714" s="37"/>
      <c r="C1714" s="37"/>
      <c r="D1714" s="37"/>
      <c r="E1714" s="37"/>
      <c r="F1714" s="37"/>
      <c r="G1714" s="37"/>
      <c r="H1714" s="37"/>
      <c r="I1714" s="37"/>
      <c r="J1714" s="37"/>
      <c r="K1714" s="37"/>
      <c r="L1714" s="37"/>
      <c r="M1714" s="37"/>
      <c r="N1714" s="37"/>
      <c r="O1714" s="37"/>
      <c r="P1714" s="37"/>
      <c r="Q1714" s="37"/>
      <c r="R1714" s="37"/>
      <c r="S1714" s="37"/>
      <c r="T1714" s="37"/>
      <c r="U1714" s="37"/>
      <c r="V1714" s="37"/>
      <c r="W1714" s="37"/>
      <c r="X1714" s="37"/>
      <c r="Y1714" s="37"/>
      <c r="Z1714" s="37"/>
      <c r="AA1714" s="37"/>
      <c r="AB1714" s="37"/>
      <c r="AC1714" s="37"/>
      <c r="AD1714" s="37"/>
    </row>
    <row r="1715">
      <c r="A1715" s="37"/>
      <c r="B1715" s="37"/>
      <c r="C1715" s="37"/>
      <c r="D1715" s="37"/>
      <c r="E1715" s="37"/>
      <c r="F1715" s="37"/>
      <c r="G1715" s="37"/>
      <c r="H1715" s="37"/>
      <c r="I1715" s="37"/>
      <c r="J1715" s="37"/>
      <c r="K1715" s="37"/>
      <c r="L1715" s="37"/>
      <c r="M1715" s="37"/>
      <c r="N1715" s="37"/>
      <c r="O1715" s="37"/>
      <c r="P1715" s="37"/>
      <c r="Q1715" s="37"/>
      <c r="R1715" s="37"/>
      <c r="S1715" s="37"/>
      <c r="T1715" s="37"/>
      <c r="U1715" s="37"/>
      <c r="V1715" s="37"/>
      <c r="W1715" s="37"/>
      <c r="X1715" s="37"/>
      <c r="Y1715" s="37"/>
      <c r="Z1715" s="37"/>
      <c r="AA1715" s="37"/>
      <c r="AB1715" s="37"/>
      <c r="AC1715" s="37"/>
      <c r="AD1715" s="37"/>
    </row>
    <row r="1716">
      <c r="A1716" s="37"/>
      <c r="B1716" s="37"/>
      <c r="C1716" s="37"/>
      <c r="D1716" s="37"/>
      <c r="E1716" s="37"/>
      <c r="F1716" s="37"/>
      <c r="G1716" s="37"/>
      <c r="H1716" s="37"/>
      <c r="I1716" s="37"/>
      <c r="J1716" s="37"/>
      <c r="K1716" s="37"/>
      <c r="L1716" s="37"/>
      <c r="M1716" s="37"/>
      <c r="N1716" s="37"/>
      <c r="O1716" s="37"/>
      <c r="P1716" s="37"/>
      <c r="Q1716" s="37"/>
      <c r="R1716" s="37"/>
      <c r="S1716" s="37"/>
      <c r="T1716" s="37"/>
      <c r="U1716" s="37"/>
      <c r="V1716" s="37"/>
      <c r="W1716" s="37"/>
      <c r="X1716" s="37"/>
      <c r="Y1716" s="37"/>
      <c r="Z1716" s="37"/>
      <c r="AA1716" s="37"/>
      <c r="AB1716" s="37"/>
      <c r="AC1716" s="37"/>
      <c r="AD1716" s="37"/>
    </row>
    <row r="1717">
      <c r="A1717" s="37"/>
      <c r="B1717" s="37"/>
      <c r="C1717" s="37"/>
      <c r="D1717" s="37"/>
      <c r="E1717" s="37"/>
      <c r="F1717" s="37"/>
      <c r="G1717" s="37"/>
      <c r="H1717" s="37"/>
      <c r="I1717" s="37"/>
      <c r="J1717" s="37"/>
      <c r="K1717" s="37"/>
      <c r="L1717" s="37"/>
      <c r="M1717" s="37"/>
      <c r="N1717" s="37"/>
      <c r="O1717" s="37"/>
      <c r="P1717" s="37"/>
      <c r="Q1717" s="37"/>
      <c r="R1717" s="37"/>
      <c r="S1717" s="37"/>
      <c r="T1717" s="37"/>
      <c r="U1717" s="37"/>
      <c r="V1717" s="37"/>
      <c r="W1717" s="37"/>
      <c r="X1717" s="37"/>
      <c r="Y1717" s="37"/>
      <c r="Z1717" s="37"/>
      <c r="AA1717" s="37"/>
      <c r="AB1717" s="37"/>
      <c r="AC1717" s="37"/>
      <c r="AD1717" s="37"/>
    </row>
    <row r="1718">
      <c r="A1718" s="37"/>
      <c r="B1718" s="37"/>
      <c r="C1718" s="37"/>
      <c r="D1718" s="37"/>
      <c r="E1718" s="37"/>
      <c r="F1718" s="37"/>
      <c r="G1718" s="37"/>
      <c r="H1718" s="37"/>
      <c r="I1718" s="37"/>
      <c r="J1718" s="37"/>
      <c r="K1718" s="37"/>
      <c r="L1718" s="37"/>
      <c r="M1718" s="37"/>
      <c r="N1718" s="37"/>
      <c r="O1718" s="37"/>
      <c r="P1718" s="37"/>
      <c r="Q1718" s="37"/>
      <c r="R1718" s="37"/>
      <c r="S1718" s="37"/>
      <c r="T1718" s="37"/>
      <c r="U1718" s="37"/>
      <c r="V1718" s="37"/>
      <c r="W1718" s="37"/>
      <c r="X1718" s="37"/>
      <c r="Y1718" s="37"/>
      <c r="Z1718" s="37"/>
      <c r="AA1718" s="37"/>
      <c r="AB1718" s="37"/>
      <c r="AC1718" s="37"/>
      <c r="AD1718" s="37"/>
    </row>
    <row r="1719">
      <c r="A1719" s="37"/>
      <c r="B1719" s="37"/>
      <c r="C1719" s="37"/>
      <c r="D1719" s="37"/>
      <c r="E1719" s="37"/>
      <c r="F1719" s="37"/>
      <c r="G1719" s="37"/>
      <c r="H1719" s="37"/>
      <c r="I1719" s="37"/>
      <c r="J1719" s="37"/>
      <c r="K1719" s="37"/>
      <c r="L1719" s="37"/>
      <c r="M1719" s="37"/>
      <c r="N1719" s="37"/>
      <c r="O1719" s="37"/>
      <c r="P1719" s="37"/>
      <c r="Q1719" s="37"/>
      <c r="R1719" s="37"/>
      <c r="S1719" s="37"/>
      <c r="T1719" s="37"/>
      <c r="U1719" s="37"/>
      <c r="V1719" s="37"/>
      <c r="W1719" s="37"/>
      <c r="X1719" s="37"/>
      <c r="Y1719" s="37"/>
      <c r="Z1719" s="37"/>
      <c r="AA1719" s="37"/>
      <c r="AB1719" s="37"/>
      <c r="AC1719" s="37"/>
      <c r="AD1719" s="37"/>
    </row>
    <row r="1720">
      <c r="A1720" s="37"/>
      <c r="B1720" s="37"/>
      <c r="C1720" s="37"/>
      <c r="D1720" s="37"/>
      <c r="E1720" s="37"/>
      <c r="F1720" s="37"/>
      <c r="G1720" s="37"/>
      <c r="H1720" s="37"/>
      <c r="I1720" s="37"/>
      <c r="J1720" s="37"/>
      <c r="K1720" s="37"/>
      <c r="L1720" s="37"/>
      <c r="M1720" s="37"/>
      <c r="N1720" s="37"/>
      <c r="O1720" s="37"/>
      <c r="P1720" s="37"/>
      <c r="Q1720" s="37"/>
      <c r="R1720" s="37"/>
      <c r="S1720" s="37"/>
      <c r="T1720" s="37"/>
      <c r="U1720" s="37"/>
      <c r="V1720" s="37"/>
      <c r="W1720" s="37"/>
      <c r="X1720" s="37"/>
      <c r="Y1720" s="37"/>
      <c r="Z1720" s="37"/>
      <c r="AA1720" s="37"/>
      <c r="AB1720" s="37"/>
      <c r="AC1720" s="37"/>
      <c r="AD1720" s="37"/>
    </row>
    <row r="1721">
      <c r="A1721" s="37"/>
      <c r="B1721" s="37"/>
      <c r="C1721" s="37"/>
      <c r="D1721" s="37"/>
      <c r="E1721" s="37"/>
      <c r="F1721" s="37"/>
      <c r="G1721" s="37"/>
      <c r="H1721" s="37"/>
      <c r="I1721" s="37"/>
      <c r="J1721" s="37"/>
      <c r="K1721" s="37"/>
      <c r="L1721" s="37"/>
      <c r="M1721" s="37"/>
      <c r="N1721" s="37"/>
      <c r="O1721" s="37"/>
      <c r="P1721" s="37"/>
      <c r="Q1721" s="37"/>
      <c r="R1721" s="37"/>
      <c r="S1721" s="37"/>
      <c r="T1721" s="37"/>
      <c r="U1721" s="37"/>
      <c r="V1721" s="37"/>
      <c r="W1721" s="37"/>
      <c r="X1721" s="37"/>
      <c r="Y1721" s="37"/>
      <c r="Z1721" s="37"/>
      <c r="AA1721" s="37"/>
      <c r="AB1721" s="37"/>
      <c r="AC1721" s="37"/>
      <c r="AD1721" s="37"/>
    </row>
    <row r="1722">
      <c r="A1722" s="37"/>
      <c r="B1722" s="37"/>
      <c r="C1722" s="37"/>
      <c r="D1722" s="37"/>
      <c r="E1722" s="37"/>
      <c r="F1722" s="37"/>
      <c r="G1722" s="37"/>
      <c r="H1722" s="37"/>
      <c r="I1722" s="37"/>
      <c r="J1722" s="37"/>
      <c r="K1722" s="37"/>
      <c r="L1722" s="37"/>
      <c r="M1722" s="37"/>
      <c r="N1722" s="37"/>
      <c r="O1722" s="37"/>
      <c r="P1722" s="37"/>
      <c r="Q1722" s="37"/>
      <c r="R1722" s="37"/>
      <c r="S1722" s="37"/>
      <c r="T1722" s="37"/>
      <c r="U1722" s="37"/>
      <c r="V1722" s="37"/>
      <c r="W1722" s="37"/>
      <c r="X1722" s="37"/>
      <c r="Y1722" s="37"/>
      <c r="Z1722" s="37"/>
      <c r="AA1722" s="37"/>
      <c r="AB1722" s="37"/>
      <c r="AC1722" s="37"/>
      <c r="AD1722" s="37"/>
    </row>
    <row r="1723">
      <c r="A1723" s="37"/>
      <c r="B1723" s="37"/>
      <c r="C1723" s="37"/>
      <c r="D1723" s="37"/>
      <c r="E1723" s="37"/>
      <c r="F1723" s="37"/>
      <c r="G1723" s="37"/>
      <c r="H1723" s="37"/>
      <c r="I1723" s="37"/>
      <c r="J1723" s="37"/>
      <c r="K1723" s="37"/>
      <c r="L1723" s="37"/>
      <c r="M1723" s="37"/>
      <c r="N1723" s="37"/>
      <c r="O1723" s="37"/>
      <c r="P1723" s="37"/>
      <c r="Q1723" s="37"/>
      <c r="R1723" s="37"/>
      <c r="S1723" s="37"/>
      <c r="T1723" s="37"/>
      <c r="U1723" s="37"/>
      <c r="V1723" s="37"/>
      <c r="W1723" s="37"/>
      <c r="X1723" s="37"/>
      <c r="Y1723" s="37"/>
      <c r="Z1723" s="37"/>
      <c r="AA1723" s="37"/>
      <c r="AB1723" s="37"/>
      <c r="AC1723" s="37"/>
      <c r="AD1723" s="37"/>
    </row>
    <row r="1724">
      <c r="A1724" s="37"/>
      <c r="B1724" s="37"/>
      <c r="C1724" s="37"/>
      <c r="D1724" s="37"/>
      <c r="E1724" s="37"/>
      <c r="F1724" s="37"/>
      <c r="G1724" s="37"/>
      <c r="H1724" s="37"/>
      <c r="I1724" s="37"/>
      <c r="J1724" s="37"/>
      <c r="K1724" s="37"/>
      <c r="L1724" s="37"/>
      <c r="M1724" s="37"/>
      <c r="N1724" s="37"/>
      <c r="O1724" s="37"/>
      <c r="P1724" s="37"/>
      <c r="Q1724" s="37"/>
      <c r="R1724" s="37"/>
      <c r="S1724" s="37"/>
      <c r="T1724" s="37"/>
      <c r="U1724" s="37"/>
      <c r="V1724" s="37"/>
      <c r="W1724" s="37"/>
      <c r="X1724" s="37"/>
      <c r="Y1724" s="37"/>
      <c r="Z1724" s="37"/>
      <c r="AA1724" s="37"/>
      <c r="AB1724" s="37"/>
      <c r="AC1724" s="37"/>
      <c r="AD1724" s="37"/>
    </row>
    <row r="1725">
      <c r="A1725" s="37"/>
      <c r="B1725" s="37"/>
      <c r="C1725" s="37"/>
      <c r="D1725" s="37"/>
      <c r="E1725" s="37"/>
      <c r="F1725" s="37"/>
      <c r="G1725" s="37"/>
      <c r="H1725" s="37"/>
      <c r="I1725" s="37"/>
      <c r="J1725" s="37"/>
      <c r="K1725" s="37"/>
      <c r="L1725" s="37"/>
      <c r="M1725" s="37"/>
      <c r="N1725" s="37"/>
      <c r="O1725" s="37"/>
      <c r="P1725" s="37"/>
      <c r="Q1725" s="37"/>
      <c r="R1725" s="37"/>
      <c r="S1725" s="37"/>
      <c r="T1725" s="37"/>
      <c r="U1725" s="37"/>
      <c r="V1725" s="37"/>
      <c r="W1725" s="37"/>
      <c r="X1725" s="37"/>
      <c r="Y1725" s="37"/>
      <c r="Z1725" s="37"/>
      <c r="AA1725" s="37"/>
      <c r="AB1725" s="37"/>
      <c r="AC1725" s="37"/>
      <c r="AD1725" s="37"/>
    </row>
    <row r="1726">
      <c r="A1726" s="37"/>
      <c r="B1726" s="37"/>
      <c r="C1726" s="37"/>
      <c r="D1726" s="37"/>
      <c r="E1726" s="37"/>
      <c r="F1726" s="37"/>
      <c r="G1726" s="37"/>
      <c r="H1726" s="37"/>
      <c r="I1726" s="37"/>
      <c r="J1726" s="37"/>
      <c r="K1726" s="37"/>
      <c r="L1726" s="37"/>
      <c r="M1726" s="37"/>
      <c r="N1726" s="37"/>
      <c r="O1726" s="37"/>
      <c r="P1726" s="37"/>
      <c r="Q1726" s="37"/>
      <c r="R1726" s="37"/>
      <c r="S1726" s="37"/>
      <c r="T1726" s="37"/>
      <c r="U1726" s="37"/>
      <c r="V1726" s="37"/>
      <c r="W1726" s="37"/>
      <c r="X1726" s="37"/>
      <c r="Y1726" s="37"/>
      <c r="Z1726" s="37"/>
      <c r="AA1726" s="37"/>
      <c r="AB1726" s="37"/>
      <c r="AC1726" s="37"/>
      <c r="AD1726" s="37"/>
    </row>
    <row r="1727">
      <c r="A1727" s="37"/>
      <c r="B1727" s="37"/>
      <c r="C1727" s="37"/>
      <c r="D1727" s="37"/>
      <c r="E1727" s="37"/>
      <c r="F1727" s="37"/>
      <c r="G1727" s="37"/>
      <c r="H1727" s="37"/>
      <c r="I1727" s="37"/>
      <c r="J1727" s="37"/>
      <c r="K1727" s="37"/>
      <c r="L1727" s="37"/>
      <c r="M1727" s="37"/>
      <c r="N1727" s="37"/>
      <c r="O1727" s="37"/>
      <c r="P1727" s="37"/>
      <c r="Q1727" s="37"/>
      <c r="R1727" s="37"/>
      <c r="S1727" s="37"/>
      <c r="T1727" s="37"/>
      <c r="U1727" s="37"/>
      <c r="V1727" s="37"/>
      <c r="W1727" s="37"/>
      <c r="X1727" s="37"/>
      <c r="Y1727" s="37"/>
      <c r="Z1727" s="37"/>
      <c r="AA1727" s="37"/>
      <c r="AB1727" s="37"/>
      <c r="AC1727" s="37"/>
      <c r="AD1727" s="37"/>
    </row>
    <row r="1728">
      <c r="A1728" s="37"/>
      <c r="B1728" s="37"/>
      <c r="C1728" s="37"/>
      <c r="D1728" s="37"/>
      <c r="E1728" s="37"/>
      <c r="F1728" s="37"/>
      <c r="G1728" s="37"/>
      <c r="H1728" s="37"/>
      <c r="I1728" s="37"/>
      <c r="J1728" s="37"/>
      <c r="K1728" s="37"/>
      <c r="L1728" s="37"/>
      <c r="M1728" s="37"/>
      <c r="N1728" s="37"/>
      <c r="O1728" s="37"/>
      <c r="P1728" s="37"/>
      <c r="Q1728" s="37"/>
      <c r="R1728" s="37"/>
      <c r="S1728" s="37"/>
      <c r="T1728" s="37"/>
      <c r="U1728" s="37"/>
      <c r="V1728" s="37"/>
      <c r="W1728" s="37"/>
      <c r="X1728" s="37"/>
      <c r="Y1728" s="37"/>
      <c r="Z1728" s="37"/>
      <c r="AA1728" s="37"/>
      <c r="AB1728" s="37"/>
      <c r="AC1728" s="37"/>
      <c r="AD1728" s="37"/>
    </row>
    <row r="1729">
      <c r="A1729" s="37"/>
      <c r="B1729" s="37"/>
      <c r="C1729" s="37"/>
      <c r="D1729" s="37"/>
      <c r="E1729" s="37"/>
      <c r="F1729" s="37"/>
      <c r="G1729" s="37"/>
      <c r="H1729" s="37"/>
      <c r="I1729" s="37"/>
      <c r="J1729" s="37"/>
      <c r="K1729" s="37"/>
      <c r="L1729" s="37"/>
      <c r="M1729" s="37"/>
      <c r="N1729" s="37"/>
      <c r="O1729" s="37"/>
      <c r="P1729" s="37"/>
      <c r="Q1729" s="37"/>
      <c r="R1729" s="37"/>
      <c r="S1729" s="37"/>
      <c r="T1729" s="37"/>
      <c r="U1729" s="37"/>
      <c r="V1729" s="37"/>
      <c r="W1729" s="37"/>
      <c r="X1729" s="37"/>
      <c r="Y1729" s="37"/>
      <c r="Z1729" s="37"/>
      <c r="AA1729" s="37"/>
      <c r="AB1729" s="37"/>
      <c r="AC1729" s="37"/>
      <c r="AD1729" s="37"/>
    </row>
    <row r="1730">
      <c r="A1730" s="37"/>
      <c r="B1730" s="37"/>
      <c r="C1730" s="37"/>
      <c r="D1730" s="37"/>
      <c r="E1730" s="37"/>
      <c r="F1730" s="37"/>
      <c r="G1730" s="37"/>
      <c r="H1730" s="37"/>
      <c r="I1730" s="37"/>
      <c r="J1730" s="37"/>
      <c r="K1730" s="37"/>
      <c r="L1730" s="37"/>
      <c r="M1730" s="37"/>
      <c r="N1730" s="37"/>
      <c r="O1730" s="37"/>
      <c r="P1730" s="37"/>
      <c r="Q1730" s="37"/>
      <c r="R1730" s="37"/>
      <c r="S1730" s="37"/>
      <c r="T1730" s="37"/>
      <c r="U1730" s="37"/>
      <c r="V1730" s="37"/>
      <c r="W1730" s="37"/>
      <c r="X1730" s="37"/>
      <c r="Y1730" s="37"/>
      <c r="Z1730" s="37"/>
      <c r="AA1730" s="37"/>
      <c r="AB1730" s="37"/>
      <c r="AC1730" s="37"/>
      <c r="AD1730" s="37"/>
    </row>
    <row r="1731">
      <c r="A1731" s="37"/>
      <c r="B1731" s="37"/>
      <c r="C1731" s="37"/>
      <c r="D1731" s="37"/>
      <c r="E1731" s="37"/>
      <c r="F1731" s="37"/>
      <c r="G1731" s="37"/>
      <c r="H1731" s="37"/>
      <c r="I1731" s="37"/>
      <c r="J1731" s="37"/>
      <c r="K1731" s="37"/>
      <c r="L1731" s="37"/>
      <c r="M1731" s="37"/>
      <c r="N1731" s="37"/>
      <c r="O1731" s="37"/>
      <c r="P1731" s="37"/>
      <c r="Q1731" s="37"/>
      <c r="R1731" s="37"/>
      <c r="S1731" s="37"/>
      <c r="T1731" s="37"/>
      <c r="U1731" s="37"/>
      <c r="V1731" s="37"/>
      <c r="W1731" s="37"/>
      <c r="X1731" s="37"/>
      <c r="Y1731" s="37"/>
      <c r="Z1731" s="37"/>
      <c r="AA1731" s="37"/>
      <c r="AB1731" s="37"/>
      <c r="AC1731" s="37"/>
      <c r="AD1731" s="37"/>
    </row>
    <row r="1732">
      <c r="A1732" s="37"/>
      <c r="B1732" s="37"/>
      <c r="C1732" s="37"/>
      <c r="D1732" s="37"/>
      <c r="E1732" s="37"/>
      <c r="F1732" s="37"/>
      <c r="G1732" s="37"/>
      <c r="H1732" s="37"/>
      <c r="I1732" s="37"/>
      <c r="J1732" s="37"/>
      <c r="K1732" s="37"/>
      <c r="L1732" s="37"/>
      <c r="M1732" s="37"/>
      <c r="N1732" s="37"/>
      <c r="O1732" s="37"/>
      <c r="P1732" s="37"/>
      <c r="Q1732" s="37"/>
      <c r="R1732" s="37"/>
      <c r="S1732" s="37"/>
      <c r="T1732" s="37"/>
      <c r="U1732" s="37"/>
      <c r="V1732" s="37"/>
      <c r="W1732" s="37"/>
      <c r="X1732" s="37"/>
      <c r="Y1732" s="37"/>
      <c r="Z1732" s="37"/>
      <c r="AA1732" s="37"/>
      <c r="AB1732" s="37"/>
      <c r="AC1732" s="37"/>
      <c r="AD1732" s="37"/>
    </row>
    <row r="1733">
      <c r="A1733" s="37"/>
      <c r="B1733" s="37"/>
      <c r="C1733" s="37"/>
      <c r="D1733" s="37"/>
      <c r="E1733" s="37"/>
      <c r="F1733" s="37"/>
      <c r="G1733" s="37"/>
      <c r="H1733" s="37"/>
      <c r="I1733" s="37"/>
      <c r="J1733" s="37"/>
      <c r="K1733" s="37"/>
      <c r="L1733" s="37"/>
      <c r="M1733" s="37"/>
      <c r="N1733" s="37"/>
      <c r="O1733" s="37"/>
      <c r="P1733" s="37"/>
      <c r="Q1733" s="37"/>
      <c r="R1733" s="37"/>
      <c r="S1733" s="37"/>
      <c r="T1733" s="37"/>
      <c r="U1733" s="37"/>
      <c r="V1733" s="37"/>
      <c r="W1733" s="37"/>
      <c r="X1733" s="37"/>
      <c r="Y1733" s="37"/>
      <c r="Z1733" s="37"/>
      <c r="AA1733" s="37"/>
      <c r="AB1733" s="37"/>
      <c r="AC1733" s="37"/>
      <c r="AD1733" s="37"/>
    </row>
    <row r="1734">
      <c r="A1734" s="37"/>
      <c r="B1734" s="37"/>
      <c r="C1734" s="37"/>
      <c r="D1734" s="37"/>
      <c r="E1734" s="37"/>
      <c r="F1734" s="37"/>
      <c r="G1734" s="37"/>
      <c r="H1734" s="37"/>
      <c r="I1734" s="37"/>
      <c r="J1734" s="37"/>
      <c r="K1734" s="37"/>
      <c r="L1734" s="37"/>
      <c r="M1734" s="37"/>
      <c r="N1734" s="37"/>
      <c r="O1734" s="37"/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37"/>
      <c r="AA1734" s="37"/>
      <c r="AB1734" s="37"/>
      <c r="AC1734" s="37"/>
      <c r="AD1734" s="37"/>
    </row>
    <row r="1735">
      <c r="A1735" s="37"/>
      <c r="B1735" s="37"/>
      <c r="C1735" s="37"/>
      <c r="D1735" s="37"/>
      <c r="E1735" s="37"/>
      <c r="F1735" s="37"/>
      <c r="G1735" s="37"/>
      <c r="H1735" s="37"/>
      <c r="I1735" s="37"/>
      <c r="J1735" s="37"/>
      <c r="K1735" s="37"/>
      <c r="L1735" s="37"/>
      <c r="M1735" s="37"/>
      <c r="N1735" s="37"/>
      <c r="O1735" s="37"/>
      <c r="P1735" s="37"/>
      <c r="Q1735" s="37"/>
      <c r="R1735" s="37"/>
      <c r="S1735" s="37"/>
      <c r="T1735" s="37"/>
      <c r="U1735" s="37"/>
      <c r="V1735" s="37"/>
      <c r="W1735" s="37"/>
      <c r="X1735" s="37"/>
      <c r="Y1735" s="37"/>
      <c r="Z1735" s="37"/>
      <c r="AA1735" s="37"/>
      <c r="AB1735" s="37"/>
      <c r="AC1735" s="37"/>
      <c r="AD1735" s="37"/>
    </row>
    <row r="1736">
      <c r="A1736" s="37"/>
      <c r="B1736" s="37"/>
      <c r="C1736" s="37"/>
      <c r="D1736" s="37"/>
      <c r="E1736" s="37"/>
      <c r="F1736" s="37"/>
      <c r="G1736" s="37"/>
      <c r="H1736" s="37"/>
      <c r="I1736" s="37"/>
      <c r="J1736" s="37"/>
      <c r="K1736" s="37"/>
      <c r="L1736" s="37"/>
      <c r="M1736" s="37"/>
      <c r="N1736" s="37"/>
      <c r="O1736" s="37"/>
      <c r="P1736" s="37"/>
      <c r="Q1736" s="37"/>
      <c r="R1736" s="37"/>
      <c r="S1736" s="37"/>
      <c r="T1736" s="37"/>
      <c r="U1736" s="37"/>
      <c r="V1736" s="37"/>
      <c r="W1736" s="37"/>
      <c r="X1736" s="37"/>
      <c r="Y1736" s="37"/>
      <c r="Z1736" s="37"/>
      <c r="AA1736" s="37"/>
      <c r="AB1736" s="37"/>
      <c r="AC1736" s="37"/>
      <c r="AD1736" s="37"/>
    </row>
    <row r="1737">
      <c r="A1737" s="37"/>
      <c r="B1737" s="37"/>
      <c r="C1737" s="37"/>
      <c r="D1737" s="37"/>
      <c r="E1737" s="37"/>
      <c r="F1737" s="37"/>
      <c r="G1737" s="37"/>
      <c r="H1737" s="37"/>
      <c r="I1737" s="37"/>
      <c r="J1737" s="37"/>
      <c r="K1737" s="37"/>
      <c r="L1737" s="37"/>
      <c r="M1737" s="37"/>
      <c r="N1737" s="37"/>
      <c r="O1737" s="37"/>
      <c r="P1737" s="37"/>
      <c r="Q1737" s="37"/>
      <c r="R1737" s="37"/>
      <c r="S1737" s="37"/>
      <c r="T1737" s="37"/>
      <c r="U1737" s="37"/>
      <c r="V1737" s="37"/>
      <c r="W1737" s="37"/>
      <c r="X1737" s="37"/>
      <c r="Y1737" s="37"/>
      <c r="Z1737" s="37"/>
      <c r="AA1737" s="37"/>
      <c r="AB1737" s="37"/>
      <c r="AC1737" s="37"/>
      <c r="AD1737" s="37"/>
    </row>
    <row r="1738">
      <c r="A1738" s="37"/>
      <c r="B1738" s="37"/>
      <c r="C1738" s="37"/>
      <c r="D1738" s="37"/>
      <c r="E1738" s="37"/>
      <c r="F1738" s="37"/>
      <c r="G1738" s="37"/>
      <c r="H1738" s="37"/>
      <c r="I1738" s="37"/>
      <c r="J1738" s="37"/>
      <c r="K1738" s="37"/>
      <c r="L1738" s="37"/>
      <c r="M1738" s="37"/>
      <c r="N1738" s="37"/>
      <c r="O1738" s="37"/>
      <c r="P1738" s="37"/>
      <c r="Q1738" s="37"/>
      <c r="R1738" s="37"/>
      <c r="S1738" s="37"/>
      <c r="T1738" s="37"/>
      <c r="U1738" s="37"/>
      <c r="V1738" s="37"/>
      <c r="W1738" s="37"/>
      <c r="X1738" s="37"/>
      <c r="Y1738" s="37"/>
      <c r="Z1738" s="37"/>
      <c r="AA1738" s="37"/>
      <c r="AB1738" s="37"/>
      <c r="AC1738" s="37"/>
      <c r="AD1738" s="37"/>
    </row>
    <row r="1739">
      <c r="A1739" s="37"/>
      <c r="B1739" s="37"/>
      <c r="C1739" s="37"/>
      <c r="D1739" s="37"/>
      <c r="E1739" s="37"/>
      <c r="F1739" s="37"/>
      <c r="G1739" s="37"/>
      <c r="H1739" s="37"/>
      <c r="I1739" s="37"/>
      <c r="J1739" s="37"/>
      <c r="K1739" s="37"/>
      <c r="L1739" s="37"/>
      <c r="M1739" s="37"/>
      <c r="N1739" s="37"/>
      <c r="O1739" s="37"/>
      <c r="P1739" s="37"/>
      <c r="Q1739" s="37"/>
      <c r="R1739" s="37"/>
      <c r="S1739" s="37"/>
      <c r="T1739" s="37"/>
      <c r="U1739" s="37"/>
      <c r="V1739" s="37"/>
      <c r="W1739" s="37"/>
      <c r="X1739" s="37"/>
      <c r="Y1739" s="37"/>
      <c r="Z1739" s="37"/>
      <c r="AA1739" s="37"/>
      <c r="AB1739" s="37"/>
      <c r="AC1739" s="37"/>
      <c r="AD1739" s="37"/>
    </row>
    <row r="1740">
      <c r="A1740" s="37"/>
      <c r="B1740" s="37"/>
      <c r="C1740" s="37"/>
      <c r="D1740" s="37"/>
      <c r="E1740" s="37"/>
      <c r="F1740" s="37"/>
      <c r="G1740" s="37"/>
      <c r="H1740" s="37"/>
      <c r="I1740" s="37"/>
      <c r="J1740" s="37"/>
      <c r="K1740" s="37"/>
      <c r="L1740" s="37"/>
      <c r="M1740" s="37"/>
      <c r="N1740" s="37"/>
      <c r="O1740" s="37"/>
      <c r="P1740" s="37"/>
      <c r="Q1740" s="37"/>
      <c r="R1740" s="37"/>
      <c r="S1740" s="37"/>
      <c r="T1740" s="37"/>
      <c r="U1740" s="37"/>
      <c r="V1740" s="37"/>
      <c r="W1740" s="37"/>
      <c r="X1740" s="37"/>
      <c r="Y1740" s="37"/>
      <c r="Z1740" s="37"/>
      <c r="AA1740" s="37"/>
      <c r="AB1740" s="37"/>
      <c r="AC1740" s="37"/>
      <c r="AD1740" s="37"/>
    </row>
    <row r="1741">
      <c r="A1741" s="37"/>
      <c r="B1741" s="37"/>
      <c r="C1741" s="37"/>
      <c r="D1741" s="37"/>
      <c r="E1741" s="37"/>
      <c r="F1741" s="37"/>
      <c r="G1741" s="37"/>
      <c r="H1741" s="37"/>
      <c r="I1741" s="37"/>
      <c r="J1741" s="37"/>
      <c r="K1741" s="37"/>
      <c r="L1741" s="37"/>
      <c r="M1741" s="37"/>
      <c r="N1741" s="37"/>
      <c r="O1741" s="37"/>
      <c r="P1741" s="37"/>
      <c r="Q1741" s="37"/>
      <c r="R1741" s="37"/>
      <c r="S1741" s="37"/>
      <c r="T1741" s="37"/>
      <c r="U1741" s="37"/>
      <c r="V1741" s="37"/>
      <c r="W1741" s="37"/>
      <c r="X1741" s="37"/>
      <c r="Y1741" s="37"/>
      <c r="Z1741" s="37"/>
      <c r="AA1741" s="37"/>
      <c r="AB1741" s="37"/>
      <c r="AC1741" s="37"/>
      <c r="AD1741" s="37"/>
    </row>
    <row r="1742">
      <c r="A1742" s="37"/>
      <c r="B1742" s="37"/>
      <c r="C1742" s="37"/>
      <c r="D1742" s="37"/>
      <c r="E1742" s="37"/>
      <c r="F1742" s="37"/>
      <c r="G1742" s="37"/>
      <c r="H1742" s="37"/>
      <c r="I1742" s="37"/>
      <c r="J1742" s="37"/>
      <c r="K1742" s="37"/>
      <c r="L1742" s="37"/>
      <c r="M1742" s="37"/>
      <c r="N1742" s="37"/>
      <c r="O1742" s="37"/>
      <c r="P1742" s="37"/>
      <c r="Q1742" s="37"/>
      <c r="R1742" s="37"/>
      <c r="S1742" s="37"/>
      <c r="T1742" s="37"/>
      <c r="U1742" s="37"/>
      <c r="V1742" s="37"/>
      <c r="W1742" s="37"/>
      <c r="X1742" s="37"/>
      <c r="Y1742" s="37"/>
      <c r="Z1742" s="37"/>
      <c r="AA1742" s="37"/>
      <c r="AB1742" s="37"/>
      <c r="AC1742" s="37"/>
      <c r="AD1742" s="37"/>
    </row>
    <row r="1743">
      <c r="A1743" s="37"/>
      <c r="B1743" s="37"/>
      <c r="C1743" s="37"/>
      <c r="D1743" s="37"/>
      <c r="E1743" s="37"/>
      <c r="F1743" s="37"/>
      <c r="G1743" s="37"/>
      <c r="H1743" s="37"/>
      <c r="I1743" s="37"/>
      <c r="J1743" s="37"/>
      <c r="K1743" s="37"/>
      <c r="L1743" s="37"/>
      <c r="M1743" s="37"/>
      <c r="N1743" s="37"/>
      <c r="O1743" s="37"/>
      <c r="P1743" s="37"/>
      <c r="Q1743" s="37"/>
      <c r="R1743" s="37"/>
      <c r="S1743" s="37"/>
      <c r="T1743" s="37"/>
      <c r="U1743" s="37"/>
      <c r="V1743" s="37"/>
      <c r="W1743" s="37"/>
      <c r="X1743" s="37"/>
      <c r="Y1743" s="37"/>
      <c r="Z1743" s="37"/>
      <c r="AA1743" s="37"/>
      <c r="AB1743" s="37"/>
      <c r="AC1743" s="37"/>
      <c r="AD1743" s="37"/>
    </row>
    <row r="1744">
      <c r="A1744" s="37"/>
      <c r="B1744" s="37"/>
      <c r="C1744" s="37"/>
      <c r="D1744" s="37"/>
      <c r="E1744" s="37"/>
      <c r="F1744" s="37"/>
      <c r="G1744" s="37"/>
      <c r="H1744" s="37"/>
      <c r="I1744" s="37"/>
      <c r="J1744" s="37"/>
      <c r="K1744" s="37"/>
      <c r="L1744" s="37"/>
      <c r="M1744" s="37"/>
      <c r="N1744" s="37"/>
      <c r="O1744" s="37"/>
      <c r="P1744" s="37"/>
      <c r="Q1744" s="37"/>
      <c r="R1744" s="37"/>
      <c r="S1744" s="37"/>
      <c r="T1744" s="37"/>
      <c r="U1744" s="37"/>
      <c r="V1744" s="37"/>
      <c r="W1744" s="37"/>
      <c r="X1744" s="37"/>
      <c r="Y1744" s="37"/>
      <c r="Z1744" s="37"/>
      <c r="AA1744" s="37"/>
      <c r="AB1744" s="37"/>
      <c r="AC1744" s="37"/>
      <c r="AD1744" s="37"/>
    </row>
    <row r="1745">
      <c r="A1745" s="37"/>
      <c r="B1745" s="37"/>
      <c r="C1745" s="37"/>
      <c r="D1745" s="37"/>
      <c r="E1745" s="37"/>
      <c r="F1745" s="37"/>
      <c r="G1745" s="37"/>
      <c r="H1745" s="37"/>
      <c r="I1745" s="37"/>
      <c r="J1745" s="37"/>
      <c r="K1745" s="37"/>
      <c r="L1745" s="37"/>
      <c r="M1745" s="37"/>
      <c r="N1745" s="37"/>
      <c r="O1745" s="37"/>
      <c r="P1745" s="37"/>
      <c r="Q1745" s="37"/>
      <c r="R1745" s="37"/>
      <c r="S1745" s="37"/>
      <c r="T1745" s="37"/>
      <c r="U1745" s="37"/>
      <c r="V1745" s="37"/>
      <c r="W1745" s="37"/>
      <c r="X1745" s="37"/>
      <c r="Y1745" s="37"/>
      <c r="Z1745" s="37"/>
      <c r="AA1745" s="37"/>
      <c r="AB1745" s="37"/>
      <c r="AC1745" s="37"/>
      <c r="AD1745" s="37"/>
    </row>
    <row r="1746">
      <c r="A1746" s="37"/>
      <c r="B1746" s="37"/>
      <c r="C1746" s="37"/>
      <c r="D1746" s="37"/>
      <c r="E1746" s="37"/>
      <c r="F1746" s="37"/>
      <c r="G1746" s="37"/>
      <c r="H1746" s="37"/>
      <c r="I1746" s="37"/>
      <c r="J1746" s="37"/>
      <c r="K1746" s="37"/>
      <c r="L1746" s="37"/>
      <c r="M1746" s="37"/>
      <c r="N1746" s="37"/>
      <c r="O1746" s="37"/>
      <c r="P1746" s="37"/>
      <c r="Q1746" s="37"/>
      <c r="R1746" s="37"/>
      <c r="S1746" s="37"/>
      <c r="T1746" s="37"/>
      <c r="U1746" s="37"/>
      <c r="V1746" s="37"/>
      <c r="W1746" s="37"/>
      <c r="X1746" s="37"/>
      <c r="Y1746" s="37"/>
      <c r="Z1746" s="37"/>
      <c r="AA1746" s="37"/>
      <c r="AB1746" s="37"/>
      <c r="AC1746" s="37"/>
      <c r="AD1746" s="37"/>
    </row>
    <row r="1747">
      <c r="A1747" s="37"/>
      <c r="B1747" s="37"/>
      <c r="C1747" s="37"/>
      <c r="D1747" s="37"/>
      <c r="E1747" s="37"/>
      <c r="F1747" s="37"/>
      <c r="G1747" s="37"/>
      <c r="H1747" s="37"/>
      <c r="I1747" s="37"/>
      <c r="J1747" s="37"/>
      <c r="K1747" s="37"/>
      <c r="L1747" s="37"/>
      <c r="M1747" s="37"/>
      <c r="N1747" s="37"/>
      <c r="O1747" s="37"/>
      <c r="P1747" s="37"/>
      <c r="Q1747" s="37"/>
      <c r="R1747" s="37"/>
      <c r="S1747" s="37"/>
      <c r="T1747" s="37"/>
      <c r="U1747" s="37"/>
      <c r="V1747" s="37"/>
      <c r="W1747" s="37"/>
      <c r="X1747" s="37"/>
      <c r="Y1747" s="37"/>
      <c r="Z1747" s="37"/>
      <c r="AA1747" s="37"/>
      <c r="AB1747" s="37"/>
      <c r="AC1747" s="37"/>
      <c r="AD1747" s="37"/>
    </row>
    <row r="1748">
      <c r="A1748" s="37"/>
      <c r="B1748" s="37"/>
      <c r="C1748" s="37"/>
      <c r="D1748" s="37"/>
      <c r="E1748" s="37"/>
      <c r="F1748" s="37"/>
      <c r="G1748" s="37"/>
      <c r="H1748" s="37"/>
      <c r="I1748" s="37"/>
      <c r="J1748" s="37"/>
      <c r="K1748" s="37"/>
      <c r="L1748" s="37"/>
      <c r="M1748" s="37"/>
      <c r="N1748" s="37"/>
      <c r="O1748" s="37"/>
      <c r="P1748" s="37"/>
      <c r="Q1748" s="37"/>
      <c r="R1748" s="37"/>
      <c r="S1748" s="37"/>
      <c r="T1748" s="37"/>
      <c r="U1748" s="37"/>
      <c r="V1748" s="37"/>
      <c r="W1748" s="37"/>
      <c r="X1748" s="37"/>
      <c r="Y1748" s="37"/>
      <c r="Z1748" s="37"/>
      <c r="AA1748" s="37"/>
      <c r="AB1748" s="37"/>
      <c r="AC1748" s="37"/>
      <c r="AD1748" s="37"/>
    </row>
    <row r="1749">
      <c r="A1749" s="37"/>
      <c r="B1749" s="37"/>
      <c r="C1749" s="37"/>
      <c r="D1749" s="37"/>
      <c r="E1749" s="37"/>
      <c r="F1749" s="37"/>
      <c r="G1749" s="37"/>
      <c r="H1749" s="37"/>
      <c r="I1749" s="37"/>
      <c r="J1749" s="37"/>
      <c r="K1749" s="37"/>
      <c r="L1749" s="37"/>
      <c r="M1749" s="37"/>
      <c r="N1749" s="37"/>
      <c r="O1749" s="37"/>
      <c r="P1749" s="37"/>
      <c r="Q1749" s="37"/>
      <c r="R1749" s="37"/>
      <c r="S1749" s="37"/>
      <c r="T1749" s="37"/>
      <c r="U1749" s="37"/>
      <c r="V1749" s="37"/>
      <c r="W1749" s="37"/>
      <c r="X1749" s="37"/>
      <c r="Y1749" s="37"/>
      <c r="Z1749" s="37"/>
      <c r="AA1749" s="37"/>
      <c r="AB1749" s="37"/>
      <c r="AC1749" s="37"/>
      <c r="AD1749" s="37"/>
    </row>
    <row r="1750">
      <c r="A1750" s="37"/>
      <c r="B1750" s="37"/>
      <c r="C1750" s="37"/>
      <c r="D1750" s="37"/>
      <c r="E1750" s="37"/>
      <c r="F1750" s="37"/>
      <c r="G1750" s="37"/>
      <c r="H1750" s="37"/>
      <c r="I1750" s="37"/>
      <c r="J1750" s="37"/>
      <c r="K1750" s="37"/>
      <c r="L1750" s="37"/>
      <c r="M1750" s="37"/>
      <c r="N1750" s="37"/>
      <c r="O1750" s="37"/>
      <c r="P1750" s="37"/>
      <c r="Q1750" s="37"/>
      <c r="R1750" s="37"/>
      <c r="S1750" s="37"/>
      <c r="T1750" s="37"/>
      <c r="U1750" s="37"/>
      <c r="V1750" s="37"/>
      <c r="W1750" s="37"/>
      <c r="X1750" s="37"/>
      <c r="Y1750" s="37"/>
      <c r="Z1750" s="37"/>
      <c r="AA1750" s="37"/>
      <c r="AB1750" s="37"/>
      <c r="AC1750" s="37"/>
      <c r="AD1750" s="37"/>
    </row>
    <row r="1751">
      <c r="A1751" s="37"/>
      <c r="B1751" s="37"/>
      <c r="C1751" s="37"/>
      <c r="D1751" s="37"/>
      <c r="E1751" s="37"/>
      <c r="F1751" s="37"/>
      <c r="G1751" s="37"/>
      <c r="H1751" s="37"/>
      <c r="I1751" s="37"/>
      <c r="J1751" s="37"/>
      <c r="K1751" s="37"/>
      <c r="L1751" s="37"/>
      <c r="M1751" s="37"/>
      <c r="N1751" s="37"/>
      <c r="O1751" s="37"/>
      <c r="P1751" s="37"/>
      <c r="Q1751" s="37"/>
      <c r="R1751" s="37"/>
      <c r="S1751" s="37"/>
      <c r="T1751" s="37"/>
      <c r="U1751" s="37"/>
      <c r="V1751" s="37"/>
      <c r="W1751" s="37"/>
      <c r="X1751" s="37"/>
      <c r="Y1751" s="37"/>
      <c r="Z1751" s="37"/>
      <c r="AA1751" s="37"/>
      <c r="AB1751" s="37"/>
      <c r="AC1751" s="37"/>
      <c r="AD1751" s="37"/>
    </row>
    <row r="1752">
      <c r="A1752" s="37"/>
      <c r="B1752" s="37"/>
      <c r="C1752" s="37"/>
      <c r="D1752" s="37"/>
      <c r="E1752" s="37"/>
      <c r="F1752" s="37"/>
      <c r="G1752" s="37"/>
      <c r="H1752" s="37"/>
      <c r="I1752" s="37"/>
      <c r="J1752" s="37"/>
      <c r="K1752" s="37"/>
      <c r="L1752" s="37"/>
      <c r="M1752" s="37"/>
      <c r="N1752" s="37"/>
      <c r="O1752" s="37"/>
      <c r="P1752" s="37"/>
      <c r="Q1752" s="37"/>
      <c r="R1752" s="37"/>
      <c r="S1752" s="37"/>
      <c r="T1752" s="37"/>
      <c r="U1752" s="37"/>
      <c r="V1752" s="37"/>
      <c r="W1752" s="37"/>
      <c r="X1752" s="37"/>
      <c r="Y1752" s="37"/>
      <c r="Z1752" s="37"/>
      <c r="AA1752" s="37"/>
      <c r="AB1752" s="37"/>
      <c r="AC1752" s="37"/>
      <c r="AD1752" s="37"/>
    </row>
    <row r="1753">
      <c r="A1753" s="37"/>
      <c r="B1753" s="37"/>
      <c r="C1753" s="37"/>
      <c r="D1753" s="37"/>
      <c r="E1753" s="37"/>
      <c r="F1753" s="37"/>
      <c r="G1753" s="37"/>
      <c r="H1753" s="37"/>
      <c r="I1753" s="37"/>
      <c r="J1753" s="37"/>
      <c r="K1753" s="37"/>
      <c r="L1753" s="37"/>
      <c r="M1753" s="37"/>
      <c r="N1753" s="37"/>
      <c r="O1753" s="37"/>
      <c r="P1753" s="37"/>
      <c r="Q1753" s="37"/>
      <c r="R1753" s="37"/>
      <c r="S1753" s="37"/>
      <c r="T1753" s="37"/>
      <c r="U1753" s="37"/>
      <c r="V1753" s="37"/>
      <c r="W1753" s="37"/>
      <c r="X1753" s="37"/>
      <c r="Y1753" s="37"/>
      <c r="Z1753" s="37"/>
      <c r="AA1753" s="37"/>
      <c r="AB1753" s="37"/>
      <c r="AC1753" s="37"/>
      <c r="AD1753" s="37"/>
    </row>
    <row r="1754">
      <c r="A1754" s="37"/>
      <c r="B1754" s="37"/>
      <c r="C1754" s="37"/>
      <c r="D1754" s="37"/>
      <c r="E1754" s="37"/>
      <c r="F1754" s="37"/>
      <c r="G1754" s="37"/>
      <c r="H1754" s="37"/>
      <c r="I1754" s="37"/>
      <c r="J1754" s="37"/>
      <c r="K1754" s="37"/>
      <c r="L1754" s="37"/>
      <c r="M1754" s="37"/>
      <c r="N1754" s="37"/>
      <c r="O1754" s="37"/>
      <c r="P1754" s="37"/>
      <c r="Q1754" s="37"/>
      <c r="R1754" s="37"/>
      <c r="S1754" s="37"/>
      <c r="T1754" s="37"/>
      <c r="U1754" s="37"/>
      <c r="V1754" s="37"/>
      <c r="W1754" s="37"/>
      <c r="X1754" s="37"/>
      <c r="Y1754" s="37"/>
      <c r="Z1754" s="37"/>
      <c r="AA1754" s="37"/>
      <c r="AB1754" s="37"/>
      <c r="AC1754" s="37"/>
      <c r="AD1754" s="37"/>
    </row>
    <row r="1755">
      <c r="A1755" s="37"/>
      <c r="B1755" s="37"/>
      <c r="C1755" s="37"/>
      <c r="D1755" s="37"/>
      <c r="E1755" s="37"/>
      <c r="F1755" s="37"/>
      <c r="G1755" s="37"/>
      <c r="H1755" s="37"/>
      <c r="I1755" s="37"/>
      <c r="J1755" s="37"/>
      <c r="K1755" s="37"/>
      <c r="L1755" s="37"/>
      <c r="M1755" s="37"/>
      <c r="N1755" s="37"/>
      <c r="O1755" s="37"/>
      <c r="P1755" s="37"/>
      <c r="Q1755" s="37"/>
      <c r="R1755" s="37"/>
      <c r="S1755" s="37"/>
      <c r="T1755" s="37"/>
      <c r="U1755" s="37"/>
      <c r="V1755" s="37"/>
      <c r="W1755" s="37"/>
      <c r="X1755" s="37"/>
      <c r="Y1755" s="37"/>
      <c r="Z1755" s="37"/>
      <c r="AA1755" s="37"/>
      <c r="AB1755" s="37"/>
      <c r="AC1755" s="37"/>
      <c r="AD1755" s="37"/>
    </row>
    <row r="1756">
      <c r="A1756" s="37"/>
      <c r="B1756" s="37"/>
      <c r="C1756" s="37"/>
      <c r="D1756" s="37"/>
      <c r="E1756" s="37"/>
      <c r="F1756" s="37"/>
      <c r="G1756" s="37"/>
      <c r="H1756" s="37"/>
      <c r="I1756" s="37"/>
      <c r="J1756" s="37"/>
      <c r="K1756" s="37"/>
      <c r="L1756" s="37"/>
      <c r="M1756" s="37"/>
      <c r="N1756" s="37"/>
      <c r="O1756" s="37"/>
      <c r="P1756" s="37"/>
      <c r="Q1756" s="37"/>
      <c r="R1756" s="37"/>
      <c r="S1756" s="37"/>
      <c r="T1756" s="37"/>
      <c r="U1756" s="37"/>
      <c r="V1756" s="37"/>
      <c r="W1756" s="37"/>
      <c r="X1756" s="37"/>
      <c r="Y1756" s="37"/>
      <c r="Z1756" s="37"/>
      <c r="AA1756" s="37"/>
      <c r="AB1756" s="37"/>
      <c r="AC1756" s="37"/>
      <c r="AD1756" s="37"/>
    </row>
    <row r="1757">
      <c r="A1757" s="37"/>
      <c r="B1757" s="37"/>
      <c r="C1757" s="37"/>
      <c r="D1757" s="37"/>
      <c r="E1757" s="37"/>
      <c r="F1757" s="37"/>
      <c r="G1757" s="37"/>
      <c r="H1757" s="37"/>
      <c r="I1757" s="37"/>
      <c r="J1757" s="37"/>
      <c r="K1757" s="37"/>
      <c r="L1757" s="37"/>
      <c r="M1757" s="37"/>
      <c r="N1757" s="37"/>
      <c r="O1757" s="37"/>
      <c r="P1757" s="37"/>
      <c r="Q1757" s="37"/>
      <c r="R1757" s="37"/>
      <c r="S1757" s="37"/>
      <c r="T1757" s="37"/>
      <c r="U1757" s="37"/>
      <c r="V1757" s="37"/>
      <c r="W1757" s="37"/>
      <c r="X1757" s="37"/>
      <c r="Y1757" s="37"/>
      <c r="Z1757" s="37"/>
      <c r="AA1757" s="37"/>
      <c r="AB1757" s="37"/>
      <c r="AC1757" s="37"/>
      <c r="AD1757" s="37"/>
    </row>
    <row r="1758">
      <c r="A1758" s="37"/>
      <c r="B1758" s="37"/>
      <c r="C1758" s="37"/>
      <c r="D1758" s="37"/>
      <c r="E1758" s="37"/>
      <c r="F1758" s="37"/>
      <c r="G1758" s="37"/>
      <c r="H1758" s="37"/>
      <c r="I1758" s="37"/>
      <c r="J1758" s="37"/>
      <c r="K1758" s="37"/>
      <c r="L1758" s="37"/>
      <c r="M1758" s="37"/>
      <c r="N1758" s="37"/>
      <c r="O1758" s="37"/>
      <c r="P1758" s="37"/>
      <c r="Q1758" s="37"/>
      <c r="R1758" s="37"/>
      <c r="S1758" s="37"/>
      <c r="T1758" s="37"/>
      <c r="U1758" s="37"/>
      <c r="V1758" s="37"/>
      <c r="W1758" s="37"/>
      <c r="X1758" s="37"/>
      <c r="Y1758" s="37"/>
      <c r="Z1758" s="37"/>
      <c r="AA1758" s="37"/>
      <c r="AB1758" s="37"/>
      <c r="AC1758" s="37"/>
      <c r="AD1758" s="37"/>
    </row>
    <row r="1759">
      <c r="A1759" s="37"/>
      <c r="B1759" s="37"/>
      <c r="C1759" s="37"/>
      <c r="D1759" s="37"/>
      <c r="E1759" s="37"/>
      <c r="F1759" s="37"/>
      <c r="G1759" s="37"/>
      <c r="H1759" s="37"/>
      <c r="I1759" s="37"/>
      <c r="J1759" s="37"/>
      <c r="K1759" s="37"/>
      <c r="L1759" s="37"/>
      <c r="M1759" s="37"/>
      <c r="N1759" s="37"/>
      <c r="O1759" s="37"/>
      <c r="P1759" s="37"/>
      <c r="Q1759" s="37"/>
      <c r="R1759" s="37"/>
      <c r="S1759" s="37"/>
      <c r="T1759" s="37"/>
      <c r="U1759" s="37"/>
      <c r="V1759" s="37"/>
      <c r="W1759" s="37"/>
      <c r="X1759" s="37"/>
      <c r="Y1759" s="37"/>
      <c r="Z1759" s="37"/>
      <c r="AA1759" s="37"/>
      <c r="AB1759" s="37"/>
      <c r="AC1759" s="37"/>
      <c r="AD1759" s="37"/>
    </row>
    <row r="1760">
      <c r="A1760" s="37"/>
      <c r="B1760" s="37"/>
      <c r="C1760" s="37"/>
      <c r="D1760" s="37"/>
      <c r="E1760" s="37"/>
      <c r="F1760" s="37"/>
      <c r="G1760" s="37"/>
      <c r="H1760" s="37"/>
      <c r="I1760" s="37"/>
      <c r="J1760" s="37"/>
      <c r="K1760" s="37"/>
      <c r="L1760" s="37"/>
      <c r="M1760" s="37"/>
      <c r="N1760" s="37"/>
      <c r="O1760" s="37"/>
      <c r="P1760" s="37"/>
      <c r="Q1760" s="37"/>
      <c r="R1760" s="37"/>
      <c r="S1760" s="37"/>
      <c r="T1760" s="37"/>
      <c r="U1760" s="37"/>
      <c r="V1760" s="37"/>
      <c r="W1760" s="37"/>
      <c r="X1760" s="37"/>
      <c r="Y1760" s="37"/>
      <c r="Z1760" s="37"/>
      <c r="AA1760" s="37"/>
      <c r="AB1760" s="37"/>
      <c r="AC1760" s="37"/>
      <c r="AD1760" s="37"/>
    </row>
    <row r="1761">
      <c r="A1761" s="37"/>
      <c r="B1761" s="37"/>
      <c r="C1761" s="37"/>
      <c r="D1761" s="37"/>
      <c r="E1761" s="37"/>
      <c r="F1761" s="37"/>
      <c r="G1761" s="37"/>
      <c r="H1761" s="37"/>
      <c r="I1761" s="37"/>
      <c r="J1761" s="37"/>
      <c r="K1761" s="37"/>
      <c r="L1761" s="37"/>
      <c r="M1761" s="37"/>
      <c r="N1761" s="37"/>
      <c r="O1761" s="37"/>
      <c r="P1761" s="37"/>
      <c r="Q1761" s="37"/>
      <c r="R1761" s="37"/>
      <c r="S1761" s="37"/>
      <c r="T1761" s="37"/>
      <c r="U1761" s="37"/>
      <c r="V1761" s="37"/>
      <c r="W1761" s="37"/>
      <c r="X1761" s="37"/>
      <c r="Y1761" s="37"/>
      <c r="Z1761" s="37"/>
      <c r="AA1761" s="37"/>
      <c r="AB1761" s="37"/>
      <c r="AC1761" s="37"/>
      <c r="AD1761" s="37"/>
    </row>
    <row r="1762">
      <c r="A1762" s="37"/>
      <c r="B1762" s="37"/>
      <c r="C1762" s="37"/>
      <c r="D1762" s="37"/>
      <c r="E1762" s="37"/>
      <c r="F1762" s="37"/>
      <c r="G1762" s="37"/>
      <c r="H1762" s="37"/>
      <c r="I1762" s="37"/>
      <c r="J1762" s="37"/>
      <c r="K1762" s="37"/>
      <c r="L1762" s="37"/>
      <c r="M1762" s="37"/>
      <c r="N1762" s="37"/>
      <c r="O1762" s="37"/>
      <c r="P1762" s="37"/>
      <c r="Q1762" s="37"/>
      <c r="R1762" s="37"/>
      <c r="S1762" s="37"/>
      <c r="T1762" s="37"/>
      <c r="U1762" s="37"/>
      <c r="V1762" s="37"/>
      <c r="W1762" s="37"/>
      <c r="X1762" s="37"/>
      <c r="Y1762" s="37"/>
      <c r="Z1762" s="37"/>
      <c r="AA1762" s="37"/>
      <c r="AB1762" s="37"/>
      <c r="AC1762" s="37"/>
      <c r="AD1762" s="37"/>
    </row>
    <row r="1763">
      <c r="A1763" s="37"/>
      <c r="B1763" s="37"/>
      <c r="C1763" s="37"/>
      <c r="D1763" s="37"/>
      <c r="E1763" s="37"/>
      <c r="F1763" s="37"/>
      <c r="G1763" s="37"/>
      <c r="H1763" s="37"/>
      <c r="I1763" s="37"/>
      <c r="J1763" s="37"/>
      <c r="K1763" s="37"/>
      <c r="L1763" s="37"/>
      <c r="M1763" s="37"/>
      <c r="N1763" s="37"/>
      <c r="O1763" s="37"/>
      <c r="P1763" s="37"/>
      <c r="Q1763" s="37"/>
      <c r="R1763" s="37"/>
      <c r="S1763" s="37"/>
      <c r="T1763" s="37"/>
      <c r="U1763" s="37"/>
      <c r="V1763" s="37"/>
      <c r="W1763" s="37"/>
      <c r="X1763" s="37"/>
      <c r="Y1763" s="37"/>
      <c r="Z1763" s="37"/>
      <c r="AA1763" s="37"/>
      <c r="AB1763" s="37"/>
      <c r="AC1763" s="37"/>
      <c r="AD1763" s="37"/>
    </row>
    <row r="1764">
      <c r="A1764" s="37"/>
      <c r="B1764" s="37"/>
      <c r="C1764" s="37"/>
      <c r="D1764" s="37"/>
      <c r="E1764" s="37"/>
      <c r="F1764" s="37"/>
      <c r="G1764" s="37"/>
      <c r="H1764" s="37"/>
      <c r="I1764" s="37"/>
      <c r="J1764" s="37"/>
      <c r="K1764" s="37"/>
      <c r="L1764" s="37"/>
      <c r="M1764" s="37"/>
      <c r="N1764" s="37"/>
      <c r="O1764" s="37"/>
      <c r="P1764" s="37"/>
      <c r="Q1764" s="37"/>
      <c r="R1764" s="37"/>
      <c r="S1764" s="37"/>
      <c r="T1764" s="37"/>
      <c r="U1764" s="37"/>
      <c r="V1764" s="37"/>
      <c r="W1764" s="37"/>
      <c r="X1764" s="37"/>
      <c r="Y1764" s="37"/>
      <c r="Z1764" s="37"/>
      <c r="AA1764" s="37"/>
      <c r="AB1764" s="37"/>
      <c r="AC1764" s="37"/>
      <c r="AD1764" s="37"/>
    </row>
    <row r="1765">
      <c r="A1765" s="37"/>
      <c r="B1765" s="37"/>
      <c r="C1765" s="37"/>
      <c r="D1765" s="37"/>
      <c r="E1765" s="37"/>
      <c r="F1765" s="37"/>
      <c r="G1765" s="37"/>
      <c r="H1765" s="37"/>
      <c r="I1765" s="37"/>
      <c r="J1765" s="37"/>
      <c r="K1765" s="37"/>
      <c r="L1765" s="37"/>
      <c r="M1765" s="37"/>
      <c r="N1765" s="37"/>
      <c r="O1765" s="37"/>
      <c r="P1765" s="37"/>
      <c r="Q1765" s="37"/>
      <c r="R1765" s="37"/>
      <c r="S1765" s="37"/>
      <c r="T1765" s="37"/>
      <c r="U1765" s="37"/>
      <c r="V1765" s="37"/>
      <c r="W1765" s="37"/>
      <c r="X1765" s="37"/>
      <c r="Y1765" s="37"/>
      <c r="Z1765" s="37"/>
      <c r="AA1765" s="37"/>
      <c r="AB1765" s="37"/>
      <c r="AC1765" s="37"/>
      <c r="AD1765" s="37"/>
    </row>
    <row r="1766">
      <c r="A1766" s="37"/>
      <c r="B1766" s="37"/>
      <c r="C1766" s="37"/>
      <c r="D1766" s="37"/>
      <c r="E1766" s="37"/>
      <c r="F1766" s="37"/>
      <c r="G1766" s="37"/>
      <c r="H1766" s="37"/>
      <c r="I1766" s="37"/>
      <c r="J1766" s="37"/>
      <c r="K1766" s="37"/>
      <c r="L1766" s="37"/>
      <c r="M1766" s="37"/>
      <c r="N1766" s="37"/>
      <c r="O1766" s="37"/>
      <c r="P1766" s="37"/>
      <c r="Q1766" s="37"/>
      <c r="R1766" s="37"/>
      <c r="S1766" s="37"/>
      <c r="T1766" s="37"/>
      <c r="U1766" s="37"/>
      <c r="V1766" s="37"/>
      <c r="W1766" s="37"/>
      <c r="X1766" s="37"/>
      <c r="Y1766" s="37"/>
      <c r="Z1766" s="37"/>
      <c r="AA1766" s="37"/>
      <c r="AB1766" s="37"/>
      <c r="AC1766" s="37"/>
      <c r="AD1766" s="37"/>
    </row>
    <row r="1767">
      <c r="A1767" s="37"/>
      <c r="B1767" s="37"/>
      <c r="C1767" s="37"/>
      <c r="D1767" s="37"/>
      <c r="E1767" s="37"/>
      <c r="F1767" s="37"/>
      <c r="G1767" s="37"/>
      <c r="H1767" s="37"/>
      <c r="I1767" s="37"/>
      <c r="J1767" s="37"/>
      <c r="K1767" s="37"/>
      <c r="L1767" s="37"/>
      <c r="M1767" s="37"/>
      <c r="N1767" s="37"/>
      <c r="O1767" s="37"/>
      <c r="P1767" s="37"/>
      <c r="Q1767" s="37"/>
      <c r="R1767" s="37"/>
      <c r="S1767" s="37"/>
      <c r="T1767" s="37"/>
      <c r="U1767" s="37"/>
      <c r="V1767" s="37"/>
      <c r="W1767" s="37"/>
      <c r="X1767" s="37"/>
      <c r="Y1767" s="37"/>
      <c r="Z1767" s="37"/>
      <c r="AA1767" s="37"/>
      <c r="AB1767" s="37"/>
      <c r="AC1767" s="37"/>
      <c r="AD1767" s="37"/>
    </row>
    <row r="1768">
      <c r="A1768" s="37"/>
      <c r="B1768" s="37"/>
      <c r="C1768" s="37"/>
      <c r="D1768" s="37"/>
      <c r="E1768" s="37"/>
      <c r="F1768" s="37"/>
      <c r="G1768" s="37"/>
      <c r="H1768" s="37"/>
      <c r="I1768" s="37"/>
      <c r="J1768" s="37"/>
      <c r="K1768" s="37"/>
      <c r="L1768" s="37"/>
      <c r="M1768" s="37"/>
      <c r="N1768" s="37"/>
      <c r="O1768" s="37"/>
      <c r="P1768" s="37"/>
      <c r="Q1768" s="37"/>
      <c r="R1768" s="37"/>
      <c r="S1768" s="37"/>
      <c r="T1768" s="37"/>
      <c r="U1768" s="37"/>
      <c r="V1768" s="37"/>
      <c r="W1768" s="37"/>
      <c r="X1768" s="37"/>
      <c r="Y1768" s="37"/>
      <c r="Z1768" s="37"/>
      <c r="AA1768" s="37"/>
      <c r="AB1768" s="37"/>
      <c r="AC1768" s="37"/>
      <c r="AD1768" s="37"/>
    </row>
    <row r="1769">
      <c r="A1769" s="37"/>
      <c r="B1769" s="37"/>
      <c r="C1769" s="37"/>
      <c r="D1769" s="37"/>
      <c r="E1769" s="37"/>
      <c r="F1769" s="37"/>
      <c r="G1769" s="37"/>
      <c r="H1769" s="37"/>
      <c r="I1769" s="37"/>
      <c r="J1769" s="37"/>
      <c r="K1769" s="37"/>
      <c r="L1769" s="37"/>
      <c r="M1769" s="37"/>
      <c r="N1769" s="37"/>
      <c r="O1769" s="37"/>
      <c r="P1769" s="37"/>
      <c r="Q1769" s="37"/>
      <c r="R1769" s="37"/>
      <c r="S1769" s="37"/>
      <c r="T1769" s="37"/>
      <c r="U1769" s="37"/>
      <c r="V1769" s="37"/>
      <c r="W1769" s="37"/>
      <c r="X1769" s="37"/>
      <c r="Y1769" s="37"/>
      <c r="Z1769" s="37"/>
      <c r="AA1769" s="37"/>
      <c r="AB1769" s="37"/>
      <c r="AC1769" s="37"/>
      <c r="AD1769" s="37"/>
    </row>
    <row r="1770">
      <c r="A1770" s="37"/>
      <c r="B1770" s="37"/>
      <c r="C1770" s="37"/>
      <c r="D1770" s="37"/>
      <c r="E1770" s="37"/>
      <c r="F1770" s="37"/>
      <c r="G1770" s="37"/>
      <c r="H1770" s="37"/>
      <c r="I1770" s="37"/>
      <c r="J1770" s="37"/>
      <c r="K1770" s="37"/>
      <c r="L1770" s="37"/>
      <c r="M1770" s="37"/>
      <c r="N1770" s="37"/>
      <c r="O1770" s="37"/>
      <c r="P1770" s="37"/>
      <c r="Q1770" s="37"/>
      <c r="R1770" s="37"/>
      <c r="S1770" s="37"/>
      <c r="T1770" s="37"/>
      <c r="U1770" s="37"/>
      <c r="V1770" s="37"/>
      <c r="W1770" s="37"/>
      <c r="X1770" s="37"/>
      <c r="Y1770" s="37"/>
      <c r="Z1770" s="37"/>
      <c r="AA1770" s="37"/>
      <c r="AB1770" s="37"/>
      <c r="AC1770" s="37"/>
      <c r="AD1770" s="37"/>
    </row>
    <row r="1771">
      <c r="A1771" s="37"/>
      <c r="B1771" s="37"/>
      <c r="C1771" s="37"/>
      <c r="D1771" s="37"/>
      <c r="E1771" s="37"/>
      <c r="F1771" s="37"/>
      <c r="G1771" s="37"/>
      <c r="H1771" s="37"/>
      <c r="I1771" s="37"/>
      <c r="J1771" s="37"/>
      <c r="K1771" s="37"/>
      <c r="L1771" s="37"/>
      <c r="M1771" s="37"/>
      <c r="N1771" s="37"/>
      <c r="O1771" s="37"/>
      <c r="P1771" s="37"/>
      <c r="Q1771" s="37"/>
      <c r="R1771" s="37"/>
      <c r="S1771" s="37"/>
      <c r="T1771" s="37"/>
      <c r="U1771" s="37"/>
      <c r="V1771" s="37"/>
      <c r="W1771" s="37"/>
      <c r="X1771" s="37"/>
      <c r="Y1771" s="37"/>
      <c r="Z1771" s="37"/>
      <c r="AA1771" s="37"/>
      <c r="AB1771" s="37"/>
      <c r="AC1771" s="37"/>
      <c r="AD1771" s="37"/>
    </row>
    <row r="1772">
      <c r="A1772" s="37"/>
      <c r="B1772" s="37"/>
      <c r="C1772" s="37"/>
      <c r="D1772" s="37"/>
      <c r="E1772" s="37"/>
      <c r="F1772" s="37"/>
      <c r="G1772" s="37"/>
      <c r="H1772" s="37"/>
      <c r="I1772" s="37"/>
      <c r="J1772" s="37"/>
      <c r="K1772" s="37"/>
      <c r="L1772" s="37"/>
      <c r="M1772" s="37"/>
      <c r="N1772" s="37"/>
      <c r="O1772" s="37"/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37"/>
      <c r="AA1772" s="37"/>
      <c r="AB1772" s="37"/>
      <c r="AC1772" s="37"/>
      <c r="AD1772" s="37"/>
    </row>
    <row r="1773">
      <c r="A1773" s="37"/>
      <c r="B1773" s="37"/>
      <c r="C1773" s="37"/>
      <c r="D1773" s="37"/>
      <c r="E1773" s="37"/>
      <c r="F1773" s="37"/>
      <c r="G1773" s="37"/>
      <c r="H1773" s="37"/>
      <c r="I1773" s="37"/>
      <c r="J1773" s="37"/>
      <c r="K1773" s="37"/>
      <c r="L1773" s="37"/>
      <c r="M1773" s="37"/>
      <c r="N1773" s="37"/>
      <c r="O1773" s="37"/>
      <c r="P1773" s="37"/>
      <c r="Q1773" s="37"/>
      <c r="R1773" s="37"/>
      <c r="S1773" s="37"/>
      <c r="T1773" s="37"/>
      <c r="U1773" s="37"/>
      <c r="V1773" s="37"/>
      <c r="W1773" s="37"/>
      <c r="X1773" s="37"/>
      <c r="Y1773" s="37"/>
      <c r="Z1773" s="37"/>
      <c r="AA1773" s="37"/>
      <c r="AB1773" s="37"/>
      <c r="AC1773" s="37"/>
      <c r="AD1773" s="37"/>
    </row>
    <row r="1774">
      <c r="A1774" s="37"/>
      <c r="B1774" s="37"/>
      <c r="C1774" s="37"/>
      <c r="D1774" s="37"/>
      <c r="E1774" s="37"/>
      <c r="F1774" s="37"/>
      <c r="G1774" s="37"/>
      <c r="H1774" s="37"/>
      <c r="I1774" s="37"/>
      <c r="J1774" s="37"/>
      <c r="K1774" s="37"/>
      <c r="L1774" s="37"/>
      <c r="M1774" s="37"/>
      <c r="N1774" s="37"/>
      <c r="O1774" s="37"/>
      <c r="P1774" s="37"/>
      <c r="Q1774" s="37"/>
      <c r="R1774" s="37"/>
      <c r="S1774" s="37"/>
      <c r="T1774" s="37"/>
      <c r="U1774" s="37"/>
      <c r="V1774" s="37"/>
      <c r="W1774" s="37"/>
      <c r="X1774" s="37"/>
      <c r="Y1774" s="37"/>
      <c r="Z1774" s="37"/>
      <c r="AA1774" s="37"/>
      <c r="AB1774" s="37"/>
      <c r="AC1774" s="37"/>
      <c r="AD1774" s="37"/>
    </row>
    <row r="1775">
      <c r="A1775" s="37"/>
      <c r="B1775" s="37"/>
      <c r="C1775" s="37"/>
      <c r="D1775" s="37"/>
      <c r="E1775" s="37"/>
      <c r="F1775" s="37"/>
      <c r="G1775" s="37"/>
      <c r="H1775" s="37"/>
      <c r="I1775" s="37"/>
      <c r="J1775" s="37"/>
      <c r="K1775" s="37"/>
      <c r="L1775" s="37"/>
      <c r="M1775" s="37"/>
      <c r="N1775" s="37"/>
      <c r="O1775" s="37"/>
      <c r="P1775" s="37"/>
      <c r="Q1775" s="37"/>
      <c r="R1775" s="37"/>
      <c r="S1775" s="37"/>
      <c r="T1775" s="37"/>
      <c r="U1775" s="37"/>
      <c r="V1775" s="37"/>
      <c r="W1775" s="37"/>
      <c r="X1775" s="37"/>
      <c r="Y1775" s="37"/>
      <c r="Z1775" s="37"/>
      <c r="AA1775" s="37"/>
      <c r="AB1775" s="37"/>
      <c r="AC1775" s="37"/>
      <c r="AD1775" s="37"/>
    </row>
    <row r="1776">
      <c r="A1776" s="37"/>
      <c r="B1776" s="37"/>
      <c r="C1776" s="37"/>
      <c r="D1776" s="37"/>
      <c r="E1776" s="37"/>
      <c r="F1776" s="37"/>
      <c r="G1776" s="37"/>
      <c r="H1776" s="37"/>
      <c r="I1776" s="37"/>
      <c r="J1776" s="37"/>
      <c r="K1776" s="37"/>
      <c r="L1776" s="37"/>
      <c r="M1776" s="37"/>
      <c r="N1776" s="37"/>
      <c r="O1776" s="37"/>
      <c r="P1776" s="37"/>
      <c r="Q1776" s="37"/>
      <c r="R1776" s="37"/>
      <c r="S1776" s="37"/>
      <c r="T1776" s="37"/>
      <c r="U1776" s="37"/>
      <c r="V1776" s="37"/>
      <c r="W1776" s="37"/>
      <c r="X1776" s="37"/>
      <c r="Y1776" s="37"/>
      <c r="Z1776" s="37"/>
      <c r="AA1776" s="37"/>
      <c r="AB1776" s="37"/>
      <c r="AC1776" s="37"/>
      <c r="AD1776" s="37"/>
    </row>
    <row r="1777">
      <c r="A1777" s="37"/>
      <c r="B1777" s="37"/>
      <c r="C1777" s="37"/>
      <c r="D1777" s="37"/>
      <c r="E1777" s="37"/>
      <c r="F1777" s="37"/>
      <c r="G1777" s="37"/>
      <c r="H1777" s="37"/>
      <c r="I1777" s="37"/>
      <c r="J1777" s="37"/>
      <c r="K1777" s="37"/>
      <c r="L1777" s="37"/>
      <c r="M1777" s="37"/>
      <c r="N1777" s="37"/>
      <c r="O1777" s="37"/>
      <c r="P1777" s="37"/>
      <c r="Q1777" s="37"/>
      <c r="R1777" s="37"/>
      <c r="S1777" s="37"/>
      <c r="T1777" s="37"/>
      <c r="U1777" s="37"/>
      <c r="V1777" s="37"/>
      <c r="W1777" s="37"/>
      <c r="X1777" s="37"/>
      <c r="Y1777" s="37"/>
      <c r="Z1777" s="37"/>
      <c r="AA1777" s="37"/>
      <c r="AB1777" s="37"/>
      <c r="AC1777" s="37"/>
      <c r="AD1777" s="37"/>
    </row>
    <row r="1778">
      <c r="A1778" s="37"/>
      <c r="B1778" s="37"/>
      <c r="C1778" s="37"/>
      <c r="D1778" s="37"/>
      <c r="E1778" s="37"/>
      <c r="F1778" s="37"/>
      <c r="G1778" s="37"/>
      <c r="H1778" s="37"/>
      <c r="I1778" s="37"/>
      <c r="J1778" s="37"/>
      <c r="K1778" s="37"/>
      <c r="L1778" s="37"/>
      <c r="M1778" s="37"/>
      <c r="N1778" s="37"/>
      <c r="O1778" s="37"/>
      <c r="P1778" s="37"/>
      <c r="Q1778" s="37"/>
      <c r="R1778" s="37"/>
      <c r="S1778" s="37"/>
      <c r="T1778" s="37"/>
      <c r="U1778" s="37"/>
      <c r="V1778" s="37"/>
      <c r="W1778" s="37"/>
      <c r="X1778" s="37"/>
      <c r="Y1778" s="37"/>
      <c r="Z1778" s="37"/>
      <c r="AA1778" s="37"/>
      <c r="AB1778" s="37"/>
      <c r="AC1778" s="37"/>
      <c r="AD1778" s="37"/>
    </row>
    <row r="1779">
      <c r="A1779" s="37"/>
      <c r="B1779" s="37"/>
      <c r="C1779" s="37"/>
      <c r="D1779" s="37"/>
      <c r="E1779" s="37"/>
      <c r="F1779" s="37"/>
      <c r="G1779" s="37"/>
      <c r="H1779" s="37"/>
      <c r="I1779" s="37"/>
      <c r="J1779" s="37"/>
      <c r="K1779" s="37"/>
      <c r="L1779" s="37"/>
      <c r="M1779" s="37"/>
      <c r="N1779" s="37"/>
      <c r="O1779" s="37"/>
      <c r="P1779" s="37"/>
      <c r="Q1779" s="37"/>
      <c r="R1779" s="37"/>
      <c r="S1779" s="37"/>
      <c r="T1779" s="37"/>
      <c r="U1779" s="37"/>
      <c r="V1779" s="37"/>
      <c r="W1779" s="37"/>
      <c r="X1779" s="37"/>
      <c r="Y1779" s="37"/>
      <c r="Z1779" s="37"/>
      <c r="AA1779" s="37"/>
      <c r="AB1779" s="37"/>
      <c r="AC1779" s="37"/>
      <c r="AD1779" s="37"/>
    </row>
    <row r="1780">
      <c r="A1780" s="37"/>
      <c r="B1780" s="37"/>
      <c r="C1780" s="37"/>
      <c r="D1780" s="37"/>
      <c r="E1780" s="37"/>
      <c r="F1780" s="37"/>
      <c r="G1780" s="37"/>
      <c r="H1780" s="37"/>
      <c r="I1780" s="37"/>
      <c r="J1780" s="37"/>
      <c r="K1780" s="37"/>
      <c r="L1780" s="37"/>
      <c r="M1780" s="37"/>
      <c r="N1780" s="37"/>
      <c r="O1780" s="37"/>
      <c r="P1780" s="37"/>
      <c r="Q1780" s="37"/>
      <c r="R1780" s="37"/>
      <c r="S1780" s="37"/>
      <c r="T1780" s="37"/>
      <c r="U1780" s="37"/>
      <c r="V1780" s="37"/>
      <c r="W1780" s="37"/>
      <c r="X1780" s="37"/>
      <c r="Y1780" s="37"/>
      <c r="Z1780" s="37"/>
      <c r="AA1780" s="37"/>
      <c r="AB1780" s="37"/>
      <c r="AC1780" s="37"/>
      <c r="AD1780" s="37"/>
    </row>
    <row r="1781">
      <c r="A1781" s="37"/>
      <c r="B1781" s="37"/>
      <c r="C1781" s="37"/>
      <c r="D1781" s="37"/>
      <c r="E1781" s="37"/>
      <c r="F1781" s="37"/>
      <c r="G1781" s="37"/>
      <c r="H1781" s="37"/>
      <c r="I1781" s="37"/>
      <c r="J1781" s="37"/>
      <c r="K1781" s="37"/>
      <c r="L1781" s="37"/>
      <c r="M1781" s="37"/>
      <c r="N1781" s="37"/>
      <c r="O1781" s="37"/>
      <c r="P1781" s="37"/>
      <c r="Q1781" s="37"/>
      <c r="R1781" s="37"/>
      <c r="S1781" s="37"/>
      <c r="T1781" s="37"/>
      <c r="U1781" s="37"/>
      <c r="V1781" s="37"/>
      <c r="W1781" s="37"/>
      <c r="X1781" s="37"/>
      <c r="Y1781" s="37"/>
      <c r="Z1781" s="37"/>
      <c r="AA1781" s="37"/>
      <c r="AB1781" s="37"/>
      <c r="AC1781" s="37"/>
      <c r="AD1781" s="37"/>
    </row>
    <row r="1782">
      <c r="A1782" s="37"/>
      <c r="B1782" s="37"/>
      <c r="C1782" s="37"/>
      <c r="D1782" s="37"/>
      <c r="E1782" s="37"/>
      <c r="F1782" s="37"/>
      <c r="G1782" s="37"/>
      <c r="H1782" s="37"/>
      <c r="I1782" s="37"/>
      <c r="J1782" s="37"/>
      <c r="K1782" s="37"/>
      <c r="L1782" s="37"/>
      <c r="M1782" s="37"/>
      <c r="N1782" s="37"/>
      <c r="O1782" s="37"/>
      <c r="P1782" s="37"/>
      <c r="Q1782" s="37"/>
      <c r="R1782" s="37"/>
      <c r="S1782" s="37"/>
      <c r="T1782" s="37"/>
      <c r="U1782" s="37"/>
      <c r="V1782" s="37"/>
      <c r="W1782" s="37"/>
      <c r="X1782" s="37"/>
      <c r="Y1782" s="37"/>
      <c r="Z1782" s="37"/>
      <c r="AA1782" s="37"/>
      <c r="AB1782" s="37"/>
      <c r="AC1782" s="37"/>
      <c r="AD1782" s="37"/>
    </row>
    <row r="1783">
      <c r="A1783" s="37"/>
      <c r="B1783" s="37"/>
      <c r="C1783" s="37"/>
      <c r="D1783" s="37"/>
      <c r="E1783" s="37"/>
      <c r="F1783" s="37"/>
      <c r="G1783" s="37"/>
      <c r="H1783" s="37"/>
      <c r="I1783" s="37"/>
      <c r="J1783" s="37"/>
      <c r="K1783" s="37"/>
      <c r="L1783" s="37"/>
      <c r="M1783" s="37"/>
      <c r="N1783" s="37"/>
      <c r="O1783" s="37"/>
      <c r="P1783" s="37"/>
      <c r="Q1783" s="37"/>
      <c r="R1783" s="37"/>
      <c r="S1783" s="37"/>
      <c r="T1783" s="37"/>
      <c r="U1783" s="37"/>
      <c r="V1783" s="37"/>
      <c r="W1783" s="37"/>
      <c r="X1783" s="37"/>
      <c r="Y1783" s="37"/>
      <c r="Z1783" s="37"/>
      <c r="AA1783" s="37"/>
      <c r="AB1783" s="37"/>
      <c r="AC1783" s="37"/>
      <c r="AD1783" s="37"/>
    </row>
    <row r="1784">
      <c r="A1784" s="37"/>
      <c r="B1784" s="37"/>
      <c r="C1784" s="37"/>
      <c r="D1784" s="37"/>
      <c r="E1784" s="37"/>
      <c r="F1784" s="37"/>
      <c r="G1784" s="37"/>
      <c r="H1784" s="37"/>
      <c r="I1784" s="37"/>
      <c r="J1784" s="37"/>
      <c r="K1784" s="37"/>
      <c r="L1784" s="37"/>
      <c r="M1784" s="37"/>
      <c r="N1784" s="37"/>
      <c r="O1784" s="37"/>
      <c r="P1784" s="37"/>
      <c r="Q1784" s="37"/>
      <c r="R1784" s="37"/>
      <c r="S1784" s="37"/>
      <c r="T1784" s="37"/>
      <c r="U1784" s="37"/>
      <c r="V1784" s="37"/>
      <c r="W1784" s="37"/>
      <c r="X1784" s="37"/>
      <c r="Y1784" s="37"/>
      <c r="Z1784" s="37"/>
      <c r="AA1784" s="37"/>
      <c r="AB1784" s="37"/>
      <c r="AC1784" s="37"/>
      <c r="AD1784" s="37"/>
    </row>
    <row r="1785">
      <c r="A1785" s="37"/>
      <c r="B1785" s="37"/>
      <c r="C1785" s="37"/>
      <c r="D1785" s="37"/>
      <c r="E1785" s="37"/>
      <c r="F1785" s="37"/>
      <c r="G1785" s="37"/>
      <c r="H1785" s="37"/>
      <c r="I1785" s="37"/>
      <c r="J1785" s="37"/>
      <c r="K1785" s="37"/>
      <c r="L1785" s="37"/>
      <c r="M1785" s="37"/>
      <c r="N1785" s="37"/>
      <c r="O1785" s="37"/>
      <c r="P1785" s="37"/>
      <c r="Q1785" s="37"/>
      <c r="R1785" s="37"/>
      <c r="S1785" s="37"/>
      <c r="T1785" s="37"/>
      <c r="U1785" s="37"/>
      <c r="V1785" s="37"/>
      <c r="W1785" s="37"/>
      <c r="X1785" s="37"/>
      <c r="Y1785" s="37"/>
      <c r="Z1785" s="37"/>
      <c r="AA1785" s="37"/>
      <c r="AB1785" s="37"/>
      <c r="AC1785" s="37"/>
      <c r="AD1785" s="37"/>
    </row>
    <row r="1786">
      <c r="A1786" s="37"/>
      <c r="B1786" s="37"/>
      <c r="C1786" s="37"/>
      <c r="D1786" s="37"/>
      <c r="E1786" s="37"/>
      <c r="F1786" s="37"/>
      <c r="G1786" s="37"/>
      <c r="H1786" s="37"/>
      <c r="I1786" s="37"/>
      <c r="J1786" s="37"/>
      <c r="K1786" s="37"/>
      <c r="L1786" s="37"/>
      <c r="M1786" s="37"/>
      <c r="N1786" s="37"/>
      <c r="O1786" s="37"/>
      <c r="P1786" s="37"/>
      <c r="Q1786" s="37"/>
      <c r="R1786" s="37"/>
      <c r="S1786" s="37"/>
      <c r="T1786" s="37"/>
      <c r="U1786" s="37"/>
      <c r="V1786" s="37"/>
      <c r="W1786" s="37"/>
      <c r="X1786" s="37"/>
      <c r="Y1786" s="37"/>
      <c r="Z1786" s="37"/>
      <c r="AA1786" s="37"/>
      <c r="AB1786" s="37"/>
      <c r="AC1786" s="37"/>
      <c r="AD1786" s="37"/>
    </row>
    <row r="1787">
      <c r="A1787" s="37"/>
      <c r="B1787" s="37"/>
      <c r="C1787" s="37"/>
      <c r="D1787" s="37"/>
      <c r="E1787" s="37"/>
      <c r="F1787" s="37"/>
      <c r="G1787" s="37"/>
      <c r="H1787" s="37"/>
      <c r="I1787" s="37"/>
      <c r="J1787" s="37"/>
      <c r="K1787" s="37"/>
      <c r="L1787" s="37"/>
      <c r="M1787" s="37"/>
      <c r="N1787" s="37"/>
      <c r="O1787" s="37"/>
      <c r="P1787" s="37"/>
      <c r="Q1787" s="37"/>
      <c r="R1787" s="37"/>
      <c r="S1787" s="37"/>
      <c r="T1787" s="37"/>
      <c r="U1787" s="37"/>
      <c r="V1787" s="37"/>
      <c r="W1787" s="37"/>
      <c r="X1787" s="37"/>
      <c r="Y1787" s="37"/>
      <c r="Z1787" s="37"/>
      <c r="AA1787" s="37"/>
      <c r="AB1787" s="37"/>
      <c r="AC1787" s="37"/>
      <c r="AD1787" s="37"/>
    </row>
    <row r="1788">
      <c r="A1788" s="37"/>
      <c r="B1788" s="37"/>
      <c r="C1788" s="37"/>
      <c r="D1788" s="37"/>
      <c r="E1788" s="37"/>
      <c r="F1788" s="37"/>
      <c r="G1788" s="37"/>
      <c r="H1788" s="37"/>
      <c r="I1788" s="37"/>
      <c r="J1788" s="37"/>
      <c r="K1788" s="37"/>
      <c r="L1788" s="37"/>
      <c r="M1788" s="37"/>
      <c r="N1788" s="37"/>
      <c r="O1788" s="37"/>
      <c r="P1788" s="37"/>
      <c r="Q1788" s="37"/>
      <c r="R1788" s="37"/>
      <c r="S1788" s="37"/>
      <c r="T1788" s="37"/>
      <c r="U1788" s="37"/>
      <c r="V1788" s="37"/>
      <c r="W1788" s="37"/>
      <c r="X1788" s="37"/>
      <c r="Y1788" s="37"/>
      <c r="Z1788" s="37"/>
      <c r="AA1788" s="37"/>
      <c r="AB1788" s="37"/>
      <c r="AC1788" s="37"/>
      <c r="AD1788" s="37"/>
    </row>
    <row r="1789">
      <c r="A1789" s="37"/>
      <c r="B1789" s="37"/>
      <c r="C1789" s="37"/>
      <c r="D1789" s="37"/>
      <c r="E1789" s="37"/>
      <c r="F1789" s="37"/>
      <c r="G1789" s="37"/>
      <c r="H1789" s="37"/>
      <c r="I1789" s="37"/>
      <c r="J1789" s="37"/>
      <c r="K1789" s="37"/>
      <c r="L1789" s="37"/>
      <c r="M1789" s="37"/>
      <c r="N1789" s="37"/>
      <c r="O1789" s="37"/>
      <c r="P1789" s="37"/>
      <c r="Q1789" s="37"/>
      <c r="R1789" s="37"/>
      <c r="S1789" s="37"/>
      <c r="T1789" s="37"/>
      <c r="U1789" s="37"/>
      <c r="V1789" s="37"/>
      <c r="W1789" s="37"/>
      <c r="X1789" s="37"/>
      <c r="Y1789" s="37"/>
      <c r="Z1789" s="37"/>
      <c r="AA1789" s="37"/>
      <c r="AB1789" s="37"/>
      <c r="AC1789" s="37"/>
      <c r="AD1789" s="37"/>
    </row>
    <row r="1790">
      <c r="A1790" s="37"/>
      <c r="B1790" s="37"/>
      <c r="C1790" s="37"/>
      <c r="D1790" s="37"/>
      <c r="E1790" s="37"/>
      <c r="F1790" s="37"/>
      <c r="G1790" s="37"/>
      <c r="H1790" s="37"/>
      <c r="I1790" s="37"/>
      <c r="J1790" s="37"/>
      <c r="K1790" s="37"/>
      <c r="L1790" s="37"/>
      <c r="M1790" s="37"/>
      <c r="N1790" s="37"/>
      <c r="O1790" s="37"/>
      <c r="P1790" s="37"/>
      <c r="Q1790" s="37"/>
      <c r="R1790" s="37"/>
      <c r="S1790" s="37"/>
      <c r="T1790" s="37"/>
      <c r="U1790" s="37"/>
      <c r="V1790" s="37"/>
      <c r="W1790" s="37"/>
      <c r="X1790" s="37"/>
      <c r="Y1790" s="37"/>
      <c r="Z1790" s="37"/>
      <c r="AA1790" s="37"/>
      <c r="AB1790" s="37"/>
      <c r="AC1790" s="37"/>
      <c r="AD1790" s="37"/>
    </row>
    <row r="1791">
      <c r="A1791" s="37"/>
      <c r="B1791" s="37"/>
      <c r="C1791" s="37"/>
      <c r="D1791" s="37"/>
      <c r="E1791" s="37"/>
      <c r="F1791" s="37"/>
      <c r="G1791" s="37"/>
      <c r="H1791" s="37"/>
      <c r="I1791" s="37"/>
      <c r="J1791" s="37"/>
      <c r="K1791" s="37"/>
      <c r="L1791" s="37"/>
      <c r="M1791" s="37"/>
      <c r="N1791" s="37"/>
      <c r="O1791" s="37"/>
      <c r="P1791" s="37"/>
      <c r="Q1791" s="37"/>
      <c r="R1791" s="37"/>
      <c r="S1791" s="37"/>
      <c r="T1791" s="37"/>
      <c r="U1791" s="37"/>
      <c r="V1791" s="37"/>
      <c r="W1791" s="37"/>
      <c r="X1791" s="37"/>
      <c r="Y1791" s="37"/>
      <c r="Z1791" s="37"/>
      <c r="AA1791" s="37"/>
      <c r="AB1791" s="37"/>
      <c r="AC1791" s="37"/>
      <c r="AD1791" s="37"/>
    </row>
    <row r="1792">
      <c r="A1792" s="37"/>
      <c r="B1792" s="37"/>
      <c r="C1792" s="37"/>
      <c r="D1792" s="37"/>
      <c r="E1792" s="37"/>
      <c r="F1792" s="37"/>
      <c r="G1792" s="37"/>
      <c r="H1792" s="37"/>
      <c r="I1792" s="37"/>
      <c r="J1792" s="37"/>
      <c r="K1792" s="37"/>
      <c r="L1792" s="37"/>
      <c r="M1792" s="37"/>
      <c r="N1792" s="37"/>
      <c r="O1792" s="37"/>
      <c r="P1792" s="37"/>
      <c r="Q1792" s="37"/>
      <c r="R1792" s="37"/>
      <c r="S1792" s="37"/>
      <c r="T1792" s="37"/>
      <c r="U1792" s="37"/>
      <c r="V1792" s="37"/>
      <c r="W1792" s="37"/>
      <c r="X1792" s="37"/>
      <c r="Y1792" s="37"/>
      <c r="Z1792" s="37"/>
      <c r="AA1792" s="37"/>
      <c r="AB1792" s="37"/>
      <c r="AC1792" s="37"/>
      <c r="AD1792" s="37"/>
    </row>
    <row r="1793">
      <c r="A1793" s="37"/>
      <c r="B1793" s="37"/>
      <c r="C1793" s="37"/>
      <c r="D1793" s="37"/>
      <c r="E1793" s="37"/>
      <c r="F1793" s="37"/>
      <c r="G1793" s="37"/>
      <c r="H1793" s="37"/>
      <c r="I1793" s="37"/>
      <c r="J1793" s="37"/>
      <c r="K1793" s="37"/>
      <c r="L1793" s="37"/>
      <c r="M1793" s="37"/>
      <c r="N1793" s="37"/>
      <c r="O1793" s="37"/>
      <c r="P1793" s="37"/>
      <c r="Q1793" s="37"/>
      <c r="R1793" s="37"/>
      <c r="S1793" s="37"/>
      <c r="T1793" s="37"/>
      <c r="U1793" s="37"/>
      <c r="V1793" s="37"/>
      <c r="W1793" s="37"/>
      <c r="X1793" s="37"/>
      <c r="Y1793" s="37"/>
      <c r="Z1793" s="37"/>
      <c r="AA1793" s="37"/>
      <c r="AB1793" s="37"/>
      <c r="AC1793" s="37"/>
      <c r="AD1793" s="37"/>
    </row>
    <row r="1794">
      <c r="A1794" s="37"/>
      <c r="B1794" s="37"/>
      <c r="C1794" s="37"/>
      <c r="D1794" s="37"/>
      <c r="E1794" s="37"/>
      <c r="F1794" s="37"/>
      <c r="G1794" s="37"/>
      <c r="H1794" s="37"/>
      <c r="I1794" s="37"/>
      <c r="J1794" s="37"/>
      <c r="K1794" s="37"/>
      <c r="L1794" s="37"/>
      <c r="M1794" s="37"/>
      <c r="N1794" s="37"/>
      <c r="O1794" s="37"/>
      <c r="P1794" s="37"/>
      <c r="Q1794" s="37"/>
      <c r="R1794" s="37"/>
      <c r="S1794" s="37"/>
      <c r="T1794" s="37"/>
      <c r="U1794" s="37"/>
      <c r="V1794" s="37"/>
      <c r="W1794" s="37"/>
      <c r="X1794" s="37"/>
      <c r="Y1794" s="37"/>
      <c r="Z1794" s="37"/>
      <c r="AA1794" s="37"/>
      <c r="AB1794" s="37"/>
      <c r="AC1794" s="37"/>
      <c r="AD1794" s="37"/>
    </row>
    <row r="1795">
      <c r="A1795" s="37"/>
      <c r="B1795" s="37"/>
      <c r="C1795" s="37"/>
      <c r="D1795" s="37"/>
      <c r="E1795" s="37"/>
      <c r="F1795" s="37"/>
      <c r="G1795" s="37"/>
      <c r="H1795" s="37"/>
      <c r="I1795" s="37"/>
      <c r="J1795" s="37"/>
      <c r="K1795" s="37"/>
      <c r="L1795" s="37"/>
      <c r="M1795" s="37"/>
      <c r="N1795" s="37"/>
      <c r="O1795" s="37"/>
      <c r="P1795" s="37"/>
      <c r="Q1795" s="37"/>
      <c r="R1795" s="37"/>
      <c r="S1795" s="37"/>
      <c r="T1795" s="37"/>
      <c r="U1795" s="37"/>
      <c r="V1795" s="37"/>
      <c r="W1795" s="37"/>
      <c r="X1795" s="37"/>
      <c r="Y1795" s="37"/>
      <c r="Z1795" s="37"/>
      <c r="AA1795" s="37"/>
      <c r="AB1795" s="37"/>
      <c r="AC1795" s="37"/>
      <c r="AD1795" s="37"/>
    </row>
    <row r="1796">
      <c r="A1796" s="37"/>
      <c r="B1796" s="37"/>
      <c r="C1796" s="37"/>
      <c r="D1796" s="37"/>
      <c r="E1796" s="37"/>
      <c r="F1796" s="37"/>
      <c r="G1796" s="37"/>
      <c r="H1796" s="37"/>
      <c r="I1796" s="37"/>
      <c r="J1796" s="37"/>
      <c r="K1796" s="37"/>
      <c r="L1796" s="37"/>
      <c r="M1796" s="37"/>
      <c r="N1796" s="37"/>
      <c r="O1796" s="37"/>
      <c r="P1796" s="37"/>
      <c r="Q1796" s="37"/>
      <c r="R1796" s="37"/>
      <c r="S1796" s="37"/>
      <c r="T1796" s="37"/>
      <c r="U1796" s="37"/>
      <c r="V1796" s="37"/>
      <c r="W1796" s="37"/>
      <c r="X1796" s="37"/>
      <c r="Y1796" s="37"/>
      <c r="Z1796" s="37"/>
      <c r="AA1796" s="37"/>
      <c r="AB1796" s="37"/>
      <c r="AC1796" s="37"/>
      <c r="AD1796" s="37"/>
    </row>
    <row r="1797">
      <c r="A1797" s="37"/>
      <c r="B1797" s="37"/>
      <c r="C1797" s="37"/>
      <c r="D1797" s="37"/>
      <c r="E1797" s="37"/>
      <c r="F1797" s="37"/>
      <c r="G1797" s="37"/>
      <c r="H1797" s="37"/>
      <c r="I1797" s="37"/>
      <c r="J1797" s="37"/>
      <c r="K1797" s="37"/>
      <c r="L1797" s="37"/>
      <c r="M1797" s="37"/>
      <c r="N1797" s="37"/>
      <c r="O1797" s="37"/>
      <c r="P1797" s="37"/>
      <c r="Q1797" s="37"/>
      <c r="R1797" s="37"/>
      <c r="S1797" s="37"/>
      <c r="T1797" s="37"/>
      <c r="U1797" s="37"/>
      <c r="V1797" s="37"/>
      <c r="W1797" s="37"/>
      <c r="X1797" s="37"/>
      <c r="Y1797" s="37"/>
      <c r="Z1797" s="37"/>
      <c r="AA1797" s="37"/>
      <c r="AB1797" s="37"/>
      <c r="AC1797" s="37"/>
      <c r="AD1797" s="37"/>
    </row>
    <row r="1798">
      <c r="A1798" s="37"/>
      <c r="B1798" s="37"/>
      <c r="C1798" s="37"/>
      <c r="D1798" s="37"/>
      <c r="E1798" s="37"/>
      <c r="F1798" s="37"/>
      <c r="G1798" s="37"/>
      <c r="H1798" s="37"/>
      <c r="I1798" s="37"/>
      <c r="J1798" s="37"/>
      <c r="K1798" s="37"/>
      <c r="L1798" s="37"/>
      <c r="M1798" s="37"/>
      <c r="N1798" s="37"/>
      <c r="O1798" s="37"/>
      <c r="P1798" s="37"/>
      <c r="Q1798" s="37"/>
      <c r="R1798" s="37"/>
      <c r="S1798" s="37"/>
      <c r="T1798" s="37"/>
      <c r="U1798" s="37"/>
      <c r="V1798" s="37"/>
      <c r="W1798" s="37"/>
      <c r="X1798" s="37"/>
      <c r="Y1798" s="37"/>
      <c r="Z1798" s="37"/>
      <c r="AA1798" s="37"/>
      <c r="AB1798" s="37"/>
      <c r="AC1798" s="37"/>
      <c r="AD1798" s="37"/>
    </row>
    <row r="1799">
      <c r="A1799" s="37"/>
      <c r="B1799" s="37"/>
      <c r="C1799" s="37"/>
      <c r="D1799" s="37"/>
      <c r="E1799" s="37"/>
      <c r="F1799" s="37"/>
      <c r="G1799" s="37"/>
      <c r="H1799" s="37"/>
      <c r="I1799" s="37"/>
      <c r="J1799" s="37"/>
      <c r="K1799" s="37"/>
      <c r="L1799" s="37"/>
      <c r="M1799" s="37"/>
      <c r="N1799" s="37"/>
      <c r="O1799" s="37"/>
      <c r="P1799" s="37"/>
      <c r="Q1799" s="37"/>
      <c r="R1799" s="37"/>
      <c r="S1799" s="37"/>
      <c r="T1799" s="37"/>
      <c r="U1799" s="37"/>
      <c r="V1799" s="37"/>
      <c r="W1799" s="37"/>
      <c r="X1799" s="37"/>
      <c r="Y1799" s="37"/>
      <c r="Z1799" s="37"/>
      <c r="AA1799" s="37"/>
      <c r="AB1799" s="37"/>
      <c r="AC1799" s="37"/>
      <c r="AD1799" s="37"/>
    </row>
    <row r="1800">
      <c r="A1800" s="37"/>
      <c r="B1800" s="37"/>
      <c r="C1800" s="37"/>
      <c r="D1800" s="37"/>
      <c r="E1800" s="37"/>
      <c r="F1800" s="37"/>
      <c r="G1800" s="37"/>
      <c r="H1800" s="37"/>
      <c r="I1800" s="37"/>
      <c r="J1800" s="37"/>
      <c r="K1800" s="37"/>
      <c r="L1800" s="37"/>
      <c r="M1800" s="37"/>
      <c r="N1800" s="37"/>
      <c r="O1800" s="37"/>
      <c r="P1800" s="37"/>
      <c r="Q1800" s="37"/>
      <c r="R1800" s="37"/>
      <c r="S1800" s="37"/>
      <c r="T1800" s="37"/>
      <c r="U1800" s="37"/>
      <c r="V1800" s="37"/>
      <c r="W1800" s="37"/>
      <c r="X1800" s="37"/>
      <c r="Y1800" s="37"/>
      <c r="Z1800" s="37"/>
      <c r="AA1800" s="37"/>
      <c r="AB1800" s="37"/>
      <c r="AC1800" s="37"/>
      <c r="AD1800" s="37"/>
    </row>
    <row r="1801">
      <c r="A1801" s="37"/>
      <c r="B1801" s="37"/>
      <c r="C1801" s="37"/>
      <c r="D1801" s="37"/>
      <c r="E1801" s="37"/>
      <c r="F1801" s="37"/>
      <c r="G1801" s="37"/>
      <c r="H1801" s="37"/>
      <c r="I1801" s="37"/>
      <c r="J1801" s="37"/>
      <c r="K1801" s="37"/>
      <c r="L1801" s="37"/>
      <c r="M1801" s="37"/>
      <c r="N1801" s="37"/>
      <c r="O1801" s="37"/>
      <c r="P1801" s="37"/>
      <c r="Q1801" s="37"/>
      <c r="R1801" s="37"/>
      <c r="S1801" s="37"/>
      <c r="T1801" s="37"/>
      <c r="U1801" s="37"/>
      <c r="V1801" s="37"/>
      <c r="W1801" s="37"/>
      <c r="X1801" s="37"/>
      <c r="Y1801" s="37"/>
      <c r="Z1801" s="37"/>
      <c r="AA1801" s="37"/>
      <c r="AB1801" s="37"/>
      <c r="AC1801" s="37"/>
      <c r="AD1801" s="37"/>
    </row>
    <row r="1802">
      <c r="A1802" s="37"/>
      <c r="B1802" s="37"/>
      <c r="C1802" s="37"/>
      <c r="D1802" s="37"/>
      <c r="E1802" s="37"/>
      <c r="F1802" s="37"/>
      <c r="G1802" s="37"/>
      <c r="H1802" s="37"/>
      <c r="I1802" s="37"/>
      <c r="J1802" s="37"/>
      <c r="K1802" s="37"/>
      <c r="L1802" s="37"/>
      <c r="M1802" s="37"/>
      <c r="N1802" s="37"/>
      <c r="O1802" s="37"/>
      <c r="P1802" s="37"/>
      <c r="Q1802" s="37"/>
      <c r="R1802" s="37"/>
      <c r="S1802" s="37"/>
      <c r="T1802" s="37"/>
      <c r="U1802" s="37"/>
      <c r="V1802" s="37"/>
      <c r="W1802" s="37"/>
      <c r="X1802" s="37"/>
      <c r="Y1802" s="37"/>
      <c r="Z1802" s="37"/>
      <c r="AA1802" s="37"/>
      <c r="AB1802" s="37"/>
      <c r="AC1802" s="37"/>
      <c r="AD1802" s="37"/>
    </row>
    <row r="1803">
      <c r="A1803" s="37"/>
      <c r="B1803" s="37"/>
      <c r="C1803" s="37"/>
      <c r="D1803" s="37"/>
      <c r="E1803" s="37"/>
      <c r="F1803" s="37"/>
      <c r="G1803" s="37"/>
      <c r="H1803" s="37"/>
      <c r="I1803" s="37"/>
      <c r="J1803" s="37"/>
      <c r="K1803" s="37"/>
      <c r="L1803" s="37"/>
      <c r="M1803" s="37"/>
      <c r="N1803" s="37"/>
      <c r="O1803" s="37"/>
      <c r="P1803" s="37"/>
      <c r="Q1803" s="37"/>
      <c r="R1803" s="37"/>
      <c r="S1803" s="37"/>
      <c r="T1803" s="37"/>
      <c r="U1803" s="37"/>
      <c r="V1803" s="37"/>
      <c r="W1803" s="37"/>
      <c r="X1803" s="37"/>
      <c r="Y1803" s="37"/>
      <c r="Z1803" s="37"/>
      <c r="AA1803" s="37"/>
      <c r="AB1803" s="37"/>
      <c r="AC1803" s="37"/>
      <c r="AD1803" s="37"/>
    </row>
    <row r="1804">
      <c r="A1804" s="37"/>
      <c r="B1804" s="37"/>
      <c r="C1804" s="37"/>
      <c r="D1804" s="37"/>
      <c r="E1804" s="37"/>
      <c r="F1804" s="37"/>
      <c r="G1804" s="37"/>
      <c r="H1804" s="37"/>
      <c r="I1804" s="37"/>
      <c r="J1804" s="37"/>
      <c r="K1804" s="37"/>
      <c r="L1804" s="37"/>
      <c r="M1804" s="37"/>
      <c r="N1804" s="37"/>
      <c r="O1804" s="37"/>
      <c r="P1804" s="37"/>
      <c r="Q1804" s="37"/>
      <c r="R1804" s="37"/>
      <c r="S1804" s="37"/>
      <c r="T1804" s="37"/>
      <c r="U1804" s="37"/>
      <c r="V1804" s="37"/>
      <c r="W1804" s="37"/>
      <c r="X1804" s="37"/>
      <c r="Y1804" s="37"/>
      <c r="Z1804" s="37"/>
      <c r="AA1804" s="37"/>
      <c r="AB1804" s="37"/>
      <c r="AC1804" s="37"/>
      <c r="AD1804" s="37"/>
    </row>
    <row r="1805">
      <c r="A1805" s="37"/>
      <c r="B1805" s="37"/>
      <c r="C1805" s="37"/>
      <c r="D1805" s="37"/>
      <c r="E1805" s="37"/>
      <c r="F1805" s="37"/>
      <c r="G1805" s="37"/>
      <c r="H1805" s="37"/>
      <c r="I1805" s="37"/>
      <c r="J1805" s="37"/>
      <c r="K1805" s="37"/>
      <c r="L1805" s="37"/>
      <c r="M1805" s="37"/>
      <c r="N1805" s="37"/>
      <c r="O1805" s="37"/>
      <c r="P1805" s="37"/>
      <c r="Q1805" s="37"/>
      <c r="R1805" s="37"/>
      <c r="S1805" s="37"/>
      <c r="T1805" s="37"/>
      <c r="U1805" s="37"/>
      <c r="V1805" s="37"/>
      <c r="W1805" s="37"/>
      <c r="X1805" s="37"/>
      <c r="Y1805" s="37"/>
      <c r="Z1805" s="37"/>
      <c r="AA1805" s="37"/>
      <c r="AB1805" s="37"/>
      <c r="AC1805" s="37"/>
      <c r="AD1805" s="37"/>
    </row>
    <row r="1806">
      <c r="A1806" s="37"/>
      <c r="B1806" s="37"/>
      <c r="C1806" s="37"/>
      <c r="D1806" s="37"/>
      <c r="E1806" s="37"/>
      <c r="F1806" s="37"/>
      <c r="G1806" s="37"/>
      <c r="H1806" s="37"/>
      <c r="I1806" s="37"/>
      <c r="J1806" s="37"/>
      <c r="K1806" s="37"/>
      <c r="L1806" s="37"/>
      <c r="M1806" s="37"/>
      <c r="N1806" s="37"/>
      <c r="O1806" s="37"/>
      <c r="P1806" s="37"/>
      <c r="Q1806" s="37"/>
      <c r="R1806" s="37"/>
      <c r="S1806" s="37"/>
      <c r="T1806" s="37"/>
      <c r="U1806" s="37"/>
      <c r="V1806" s="37"/>
      <c r="W1806" s="37"/>
      <c r="X1806" s="37"/>
      <c r="Y1806" s="37"/>
      <c r="Z1806" s="37"/>
      <c r="AA1806" s="37"/>
      <c r="AB1806" s="37"/>
      <c r="AC1806" s="37"/>
      <c r="AD1806" s="37"/>
    </row>
    <row r="1807">
      <c r="A1807" s="37"/>
      <c r="B1807" s="37"/>
      <c r="C1807" s="37"/>
      <c r="D1807" s="37"/>
      <c r="E1807" s="37"/>
      <c r="F1807" s="37"/>
      <c r="G1807" s="37"/>
      <c r="H1807" s="37"/>
      <c r="I1807" s="37"/>
      <c r="J1807" s="37"/>
      <c r="K1807" s="37"/>
      <c r="L1807" s="37"/>
      <c r="M1807" s="37"/>
      <c r="N1807" s="37"/>
      <c r="O1807" s="37"/>
      <c r="P1807" s="37"/>
      <c r="Q1807" s="37"/>
      <c r="R1807" s="37"/>
      <c r="S1807" s="37"/>
      <c r="T1807" s="37"/>
      <c r="U1807" s="37"/>
      <c r="V1807" s="37"/>
      <c r="W1807" s="37"/>
      <c r="X1807" s="37"/>
      <c r="Y1807" s="37"/>
      <c r="Z1807" s="37"/>
      <c r="AA1807" s="37"/>
      <c r="AB1807" s="37"/>
      <c r="AC1807" s="37"/>
      <c r="AD1807" s="37"/>
    </row>
    <row r="1808">
      <c r="A1808" s="37"/>
      <c r="B1808" s="37"/>
      <c r="C1808" s="37"/>
      <c r="D1808" s="37"/>
      <c r="E1808" s="37"/>
      <c r="F1808" s="37"/>
      <c r="G1808" s="37"/>
      <c r="H1808" s="37"/>
      <c r="I1808" s="37"/>
      <c r="J1808" s="37"/>
      <c r="K1808" s="37"/>
      <c r="L1808" s="37"/>
      <c r="M1808" s="37"/>
      <c r="N1808" s="37"/>
      <c r="O1808" s="37"/>
      <c r="P1808" s="37"/>
      <c r="Q1808" s="37"/>
      <c r="R1808" s="37"/>
      <c r="S1808" s="37"/>
      <c r="T1808" s="37"/>
      <c r="U1808" s="37"/>
      <c r="V1808" s="37"/>
      <c r="W1808" s="37"/>
      <c r="X1808" s="37"/>
      <c r="Y1808" s="37"/>
      <c r="Z1808" s="37"/>
      <c r="AA1808" s="37"/>
      <c r="AB1808" s="37"/>
      <c r="AC1808" s="37"/>
      <c r="AD1808" s="37"/>
    </row>
    <row r="1809">
      <c r="A1809" s="37"/>
      <c r="B1809" s="37"/>
      <c r="C1809" s="37"/>
      <c r="D1809" s="37"/>
      <c r="E1809" s="37"/>
      <c r="F1809" s="37"/>
      <c r="G1809" s="37"/>
      <c r="H1809" s="37"/>
      <c r="I1809" s="37"/>
      <c r="J1809" s="37"/>
      <c r="K1809" s="37"/>
      <c r="L1809" s="37"/>
      <c r="M1809" s="37"/>
      <c r="N1809" s="37"/>
      <c r="O1809" s="37"/>
      <c r="P1809" s="37"/>
      <c r="Q1809" s="37"/>
      <c r="R1809" s="37"/>
      <c r="S1809" s="37"/>
      <c r="T1809" s="37"/>
      <c r="U1809" s="37"/>
      <c r="V1809" s="37"/>
      <c r="W1809" s="37"/>
      <c r="X1809" s="37"/>
      <c r="Y1809" s="37"/>
      <c r="Z1809" s="37"/>
      <c r="AA1809" s="37"/>
      <c r="AB1809" s="37"/>
      <c r="AC1809" s="37"/>
      <c r="AD1809" s="37"/>
    </row>
    <row r="1810">
      <c r="A1810" s="37"/>
      <c r="B1810" s="37"/>
      <c r="C1810" s="37"/>
      <c r="D1810" s="37"/>
      <c r="E1810" s="37"/>
      <c r="F1810" s="37"/>
      <c r="G1810" s="37"/>
      <c r="H1810" s="37"/>
      <c r="I1810" s="37"/>
      <c r="J1810" s="37"/>
      <c r="K1810" s="37"/>
      <c r="L1810" s="37"/>
      <c r="M1810" s="37"/>
      <c r="N1810" s="37"/>
      <c r="O1810" s="37"/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37"/>
      <c r="AA1810" s="37"/>
      <c r="AB1810" s="37"/>
      <c r="AC1810" s="37"/>
      <c r="AD1810" s="37"/>
    </row>
    <row r="1811">
      <c r="A1811" s="37"/>
      <c r="B1811" s="37"/>
      <c r="C1811" s="37"/>
      <c r="D1811" s="37"/>
      <c r="E1811" s="37"/>
      <c r="F1811" s="37"/>
      <c r="G1811" s="37"/>
      <c r="H1811" s="37"/>
      <c r="I1811" s="37"/>
      <c r="J1811" s="37"/>
      <c r="K1811" s="37"/>
      <c r="L1811" s="37"/>
      <c r="M1811" s="37"/>
      <c r="N1811" s="37"/>
      <c r="O1811" s="37"/>
      <c r="P1811" s="37"/>
      <c r="Q1811" s="37"/>
      <c r="R1811" s="37"/>
      <c r="S1811" s="37"/>
      <c r="T1811" s="37"/>
      <c r="U1811" s="37"/>
      <c r="V1811" s="37"/>
      <c r="W1811" s="37"/>
      <c r="X1811" s="37"/>
      <c r="Y1811" s="37"/>
      <c r="Z1811" s="37"/>
      <c r="AA1811" s="37"/>
      <c r="AB1811" s="37"/>
      <c r="AC1811" s="37"/>
      <c r="AD1811" s="37"/>
    </row>
    <row r="1812">
      <c r="A1812" s="37"/>
      <c r="B1812" s="37"/>
      <c r="C1812" s="37"/>
      <c r="D1812" s="37"/>
      <c r="E1812" s="37"/>
      <c r="F1812" s="37"/>
      <c r="G1812" s="37"/>
      <c r="H1812" s="37"/>
      <c r="I1812" s="37"/>
      <c r="J1812" s="37"/>
      <c r="K1812" s="37"/>
      <c r="L1812" s="37"/>
      <c r="M1812" s="37"/>
      <c r="N1812" s="37"/>
      <c r="O1812" s="37"/>
      <c r="P1812" s="37"/>
      <c r="Q1812" s="37"/>
      <c r="R1812" s="37"/>
      <c r="S1812" s="37"/>
      <c r="T1812" s="37"/>
      <c r="U1812" s="37"/>
      <c r="V1812" s="37"/>
      <c r="W1812" s="37"/>
      <c r="X1812" s="37"/>
      <c r="Y1812" s="37"/>
      <c r="Z1812" s="37"/>
      <c r="AA1812" s="37"/>
      <c r="AB1812" s="37"/>
      <c r="AC1812" s="37"/>
      <c r="AD1812" s="37"/>
    </row>
    <row r="1813">
      <c r="A1813" s="37"/>
      <c r="B1813" s="37"/>
      <c r="C1813" s="37"/>
      <c r="D1813" s="37"/>
      <c r="E1813" s="37"/>
      <c r="F1813" s="37"/>
      <c r="G1813" s="37"/>
      <c r="H1813" s="37"/>
      <c r="I1813" s="37"/>
      <c r="J1813" s="37"/>
      <c r="K1813" s="37"/>
      <c r="L1813" s="37"/>
      <c r="M1813" s="37"/>
      <c r="N1813" s="37"/>
      <c r="O1813" s="37"/>
      <c r="P1813" s="37"/>
      <c r="Q1813" s="37"/>
      <c r="R1813" s="37"/>
      <c r="S1813" s="37"/>
      <c r="T1813" s="37"/>
      <c r="U1813" s="37"/>
      <c r="V1813" s="37"/>
      <c r="W1813" s="37"/>
      <c r="X1813" s="37"/>
      <c r="Y1813" s="37"/>
      <c r="Z1813" s="37"/>
      <c r="AA1813" s="37"/>
      <c r="AB1813" s="37"/>
      <c r="AC1813" s="37"/>
      <c r="AD1813" s="37"/>
    </row>
    <row r="1814">
      <c r="A1814" s="37"/>
      <c r="B1814" s="37"/>
      <c r="C1814" s="37"/>
      <c r="D1814" s="37"/>
      <c r="E1814" s="37"/>
      <c r="F1814" s="37"/>
      <c r="G1814" s="37"/>
      <c r="H1814" s="37"/>
      <c r="I1814" s="37"/>
      <c r="J1814" s="37"/>
      <c r="K1814" s="37"/>
      <c r="L1814" s="37"/>
      <c r="M1814" s="37"/>
      <c r="N1814" s="37"/>
      <c r="O1814" s="37"/>
      <c r="P1814" s="37"/>
      <c r="Q1814" s="37"/>
      <c r="R1814" s="37"/>
      <c r="S1814" s="37"/>
      <c r="T1814" s="37"/>
      <c r="U1814" s="37"/>
      <c r="V1814" s="37"/>
      <c r="W1814" s="37"/>
      <c r="X1814" s="37"/>
      <c r="Y1814" s="37"/>
      <c r="Z1814" s="37"/>
      <c r="AA1814" s="37"/>
      <c r="AB1814" s="37"/>
      <c r="AC1814" s="37"/>
      <c r="AD1814" s="37"/>
    </row>
    <row r="1815">
      <c r="A1815" s="37"/>
      <c r="B1815" s="37"/>
      <c r="C1815" s="37"/>
      <c r="D1815" s="37"/>
      <c r="E1815" s="37"/>
      <c r="F1815" s="37"/>
      <c r="G1815" s="37"/>
      <c r="H1815" s="37"/>
      <c r="I1815" s="37"/>
      <c r="J1815" s="37"/>
      <c r="K1815" s="37"/>
      <c r="L1815" s="37"/>
      <c r="M1815" s="37"/>
      <c r="N1815" s="37"/>
      <c r="O1815" s="37"/>
      <c r="P1815" s="37"/>
      <c r="Q1815" s="37"/>
      <c r="R1815" s="37"/>
      <c r="S1815" s="37"/>
      <c r="T1815" s="37"/>
      <c r="U1815" s="37"/>
      <c r="V1815" s="37"/>
      <c r="W1815" s="37"/>
      <c r="X1815" s="37"/>
      <c r="Y1815" s="37"/>
      <c r="Z1815" s="37"/>
      <c r="AA1815" s="37"/>
      <c r="AB1815" s="37"/>
      <c r="AC1815" s="37"/>
      <c r="AD1815" s="37"/>
    </row>
    <row r="1816">
      <c r="A1816" s="37"/>
      <c r="B1816" s="37"/>
      <c r="C1816" s="37"/>
      <c r="D1816" s="37"/>
      <c r="E1816" s="37"/>
      <c r="F1816" s="37"/>
      <c r="G1816" s="37"/>
      <c r="H1816" s="37"/>
      <c r="I1816" s="37"/>
      <c r="J1816" s="37"/>
      <c r="K1816" s="37"/>
      <c r="L1816" s="37"/>
      <c r="M1816" s="37"/>
      <c r="N1816" s="37"/>
      <c r="O1816" s="37"/>
      <c r="P1816" s="37"/>
      <c r="Q1816" s="37"/>
      <c r="R1816" s="37"/>
      <c r="S1816" s="37"/>
      <c r="T1816" s="37"/>
      <c r="U1816" s="37"/>
      <c r="V1816" s="37"/>
      <c r="W1816" s="37"/>
      <c r="X1816" s="37"/>
      <c r="Y1816" s="37"/>
      <c r="Z1816" s="37"/>
      <c r="AA1816" s="37"/>
      <c r="AB1816" s="37"/>
      <c r="AC1816" s="37"/>
      <c r="AD1816" s="37"/>
    </row>
    <row r="1817">
      <c r="A1817" s="37"/>
      <c r="B1817" s="37"/>
      <c r="C1817" s="37"/>
      <c r="D1817" s="37"/>
      <c r="E1817" s="37"/>
      <c r="F1817" s="37"/>
      <c r="G1817" s="37"/>
      <c r="H1817" s="37"/>
      <c r="I1817" s="37"/>
      <c r="J1817" s="37"/>
      <c r="K1817" s="37"/>
      <c r="L1817" s="37"/>
      <c r="M1817" s="37"/>
      <c r="N1817" s="37"/>
      <c r="O1817" s="37"/>
      <c r="P1817" s="37"/>
      <c r="Q1817" s="37"/>
      <c r="R1817" s="37"/>
      <c r="S1817" s="37"/>
      <c r="T1817" s="37"/>
      <c r="U1817" s="37"/>
      <c r="V1817" s="37"/>
      <c r="W1817" s="37"/>
      <c r="X1817" s="37"/>
      <c r="Y1817" s="37"/>
      <c r="Z1817" s="37"/>
      <c r="AA1817" s="37"/>
      <c r="AB1817" s="37"/>
      <c r="AC1817" s="37"/>
      <c r="AD1817" s="37"/>
    </row>
    <row r="1818">
      <c r="A1818" s="37"/>
      <c r="B1818" s="37"/>
      <c r="C1818" s="37"/>
      <c r="D1818" s="37"/>
      <c r="E1818" s="37"/>
      <c r="F1818" s="37"/>
      <c r="G1818" s="37"/>
      <c r="H1818" s="37"/>
      <c r="I1818" s="37"/>
      <c r="J1818" s="37"/>
      <c r="K1818" s="37"/>
      <c r="L1818" s="37"/>
      <c r="M1818" s="37"/>
      <c r="N1818" s="37"/>
      <c r="O1818" s="37"/>
      <c r="P1818" s="37"/>
      <c r="Q1818" s="37"/>
      <c r="R1818" s="37"/>
      <c r="S1818" s="37"/>
      <c r="T1818" s="37"/>
      <c r="U1818" s="37"/>
      <c r="V1818" s="37"/>
      <c r="W1818" s="37"/>
      <c r="X1818" s="37"/>
      <c r="Y1818" s="37"/>
      <c r="Z1818" s="37"/>
      <c r="AA1818" s="37"/>
      <c r="AB1818" s="37"/>
      <c r="AC1818" s="37"/>
      <c r="AD1818" s="37"/>
    </row>
    <row r="1819">
      <c r="A1819" s="37"/>
      <c r="B1819" s="37"/>
      <c r="C1819" s="37"/>
      <c r="D1819" s="37"/>
      <c r="E1819" s="37"/>
      <c r="F1819" s="37"/>
      <c r="G1819" s="37"/>
      <c r="H1819" s="37"/>
      <c r="I1819" s="37"/>
      <c r="J1819" s="37"/>
      <c r="K1819" s="37"/>
      <c r="L1819" s="37"/>
      <c r="M1819" s="37"/>
      <c r="N1819" s="37"/>
      <c r="O1819" s="37"/>
      <c r="P1819" s="37"/>
      <c r="Q1819" s="37"/>
      <c r="R1819" s="37"/>
      <c r="S1819" s="37"/>
      <c r="T1819" s="37"/>
      <c r="U1819" s="37"/>
      <c r="V1819" s="37"/>
      <c r="W1819" s="37"/>
      <c r="X1819" s="37"/>
      <c r="Y1819" s="37"/>
      <c r="Z1819" s="37"/>
      <c r="AA1819" s="37"/>
      <c r="AB1819" s="37"/>
      <c r="AC1819" s="37"/>
      <c r="AD1819" s="37"/>
    </row>
    <row r="1820">
      <c r="A1820" s="37"/>
      <c r="B1820" s="37"/>
      <c r="C1820" s="37"/>
      <c r="D1820" s="37"/>
      <c r="E1820" s="37"/>
      <c r="F1820" s="37"/>
      <c r="G1820" s="37"/>
      <c r="H1820" s="37"/>
      <c r="I1820" s="37"/>
      <c r="J1820" s="37"/>
      <c r="K1820" s="37"/>
      <c r="L1820" s="37"/>
      <c r="M1820" s="37"/>
      <c r="N1820" s="37"/>
      <c r="O1820" s="37"/>
      <c r="P1820" s="37"/>
      <c r="Q1820" s="37"/>
      <c r="R1820" s="37"/>
      <c r="S1820" s="37"/>
      <c r="T1820" s="37"/>
      <c r="U1820" s="37"/>
      <c r="V1820" s="37"/>
      <c r="W1820" s="37"/>
      <c r="X1820" s="37"/>
      <c r="Y1820" s="37"/>
      <c r="Z1820" s="37"/>
      <c r="AA1820" s="37"/>
      <c r="AB1820" s="37"/>
      <c r="AC1820" s="37"/>
      <c r="AD1820" s="37"/>
    </row>
    <row r="1821">
      <c r="A1821" s="37"/>
      <c r="B1821" s="37"/>
      <c r="C1821" s="37"/>
      <c r="D1821" s="37"/>
      <c r="E1821" s="37"/>
      <c r="F1821" s="37"/>
      <c r="G1821" s="37"/>
      <c r="H1821" s="37"/>
      <c r="I1821" s="37"/>
      <c r="J1821" s="37"/>
      <c r="K1821" s="37"/>
      <c r="L1821" s="37"/>
      <c r="M1821" s="37"/>
      <c r="N1821" s="37"/>
      <c r="O1821" s="37"/>
      <c r="P1821" s="37"/>
      <c r="Q1821" s="37"/>
      <c r="R1821" s="37"/>
      <c r="S1821" s="37"/>
      <c r="T1821" s="37"/>
      <c r="U1821" s="37"/>
      <c r="V1821" s="37"/>
      <c r="W1821" s="37"/>
      <c r="X1821" s="37"/>
      <c r="Y1821" s="37"/>
      <c r="Z1821" s="37"/>
      <c r="AA1821" s="37"/>
      <c r="AB1821" s="37"/>
      <c r="AC1821" s="37"/>
      <c r="AD1821" s="37"/>
    </row>
    <row r="1822">
      <c r="A1822" s="37"/>
      <c r="B1822" s="37"/>
      <c r="C1822" s="37"/>
      <c r="D1822" s="37"/>
      <c r="E1822" s="37"/>
      <c r="F1822" s="37"/>
      <c r="G1822" s="37"/>
      <c r="H1822" s="37"/>
      <c r="I1822" s="37"/>
      <c r="J1822" s="37"/>
      <c r="K1822" s="37"/>
      <c r="L1822" s="37"/>
      <c r="M1822" s="37"/>
      <c r="N1822" s="37"/>
      <c r="O1822" s="37"/>
      <c r="P1822" s="37"/>
      <c r="Q1822" s="37"/>
      <c r="R1822" s="37"/>
      <c r="S1822" s="37"/>
      <c r="T1822" s="37"/>
      <c r="U1822" s="37"/>
      <c r="V1822" s="37"/>
      <c r="W1822" s="37"/>
      <c r="X1822" s="37"/>
      <c r="Y1822" s="37"/>
      <c r="Z1822" s="37"/>
      <c r="AA1822" s="37"/>
      <c r="AB1822" s="37"/>
      <c r="AC1822" s="37"/>
      <c r="AD1822" s="37"/>
    </row>
    <row r="1823">
      <c r="A1823" s="37"/>
      <c r="B1823" s="37"/>
      <c r="C1823" s="37"/>
      <c r="D1823" s="37"/>
      <c r="E1823" s="37"/>
      <c r="F1823" s="37"/>
      <c r="G1823" s="37"/>
      <c r="H1823" s="37"/>
      <c r="I1823" s="37"/>
      <c r="J1823" s="37"/>
      <c r="K1823" s="37"/>
      <c r="L1823" s="37"/>
      <c r="M1823" s="37"/>
      <c r="N1823" s="37"/>
      <c r="O1823" s="37"/>
      <c r="P1823" s="37"/>
      <c r="Q1823" s="37"/>
      <c r="R1823" s="37"/>
      <c r="S1823" s="37"/>
      <c r="T1823" s="37"/>
      <c r="U1823" s="37"/>
      <c r="V1823" s="37"/>
      <c r="W1823" s="37"/>
      <c r="X1823" s="37"/>
      <c r="Y1823" s="37"/>
      <c r="Z1823" s="37"/>
      <c r="AA1823" s="37"/>
      <c r="AB1823" s="37"/>
      <c r="AC1823" s="37"/>
      <c r="AD1823" s="37"/>
    </row>
    <row r="1824">
      <c r="A1824" s="37"/>
      <c r="B1824" s="37"/>
      <c r="C1824" s="37"/>
      <c r="D1824" s="37"/>
      <c r="E1824" s="37"/>
      <c r="F1824" s="37"/>
      <c r="G1824" s="37"/>
      <c r="H1824" s="37"/>
      <c r="I1824" s="37"/>
      <c r="J1824" s="37"/>
      <c r="K1824" s="37"/>
      <c r="L1824" s="37"/>
      <c r="M1824" s="37"/>
      <c r="N1824" s="37"/>
      <c r="O1824" s="37"/>
      <c r="P1824" s="37"/>
      <c r="Q1824" s="37"/>
      <c r="R1824" s="37"/>
      <c r="S1824" s="37"/>
      <c r="T1824" s="37"/>
      <c r="U1824" s="37"/>
      <c r="V1824" s="37"/>
      <c r="W1824" s="37"/>
      <c r="X1824" s="37"/>
      <c r="Y1824" s="37"/>
      <c r="Z1824" s="37"/>
      <c r="AA1824" s="37"/>
      <c r="AB1824" s="37"/>
      <c r="AC1824" s="37"/>
      <c r="AD1824" s="37"/>
    </row>
    <row r="1825">
      <c r="A1825" s="37"/>
      <c r="B1825" s="37"/>
      <c r="C1825" s="37"/>
      <c r="D1825" s="37"/>
      <c r="E1825" s="37"/>
      <c r="F1825" s="37"/>
      <c r="G1825" s="37"/>
      <c r="H1825" s="37"/>
      <c r="I1825" s="37"/>
      <c r="J1825" s="37"/>
      <c r="K1825" s="37"/>
      <c r="L1825" s="37"/>
      <c r="M1825" s="37"/>
      <c r="N1825" s="37"/>
      <c r="O1825" s="37"/>
      <c r="P1825" s="37"/>
      <c r="Q1825" s="37"/>
      <c r="R1825" s="37"/>
      <c r="S1825" s="37"/>
      <c r="T1825" s="37"/>
      <c r="U1825" s="37"/>
      <c r="V1825" s="37"/>
      <c r="W1825" s="37"/>
      <c r="X1825" s="37"/>
      <c r="Y1825" s="37"/>
      <c r="Z1825" s="37"/>
      <c r="AA1825" s="37"/>
      <c r="AB1825" s="37"/>
      <c r="AC1825" s="37"/>
      <c r="AD1825" s="37"/>
    </row>
    <row r="1826">
      <c r="A1826" s="37"/>
      <c r="B1826" s="37"/>
      <c r="C1826" s="37"/>
      <c r="D1826" s="37"/>
      <c r="E1826" s="37"/>
      <c r="F1826" s="37"/>
      <c r="G1826" s="37"/>
      <c r="H1826" s="37"/>
      <c r="I1826" s="37"/>
      <c r="J1826" s="37"/>
      <c r="K1826" s="37"/>
      <c r="L1826" s="37"/>
      <c r="M1826" s="37"/>
      <c r="N1826" s="37"/>
      <c r="O1826" s="37"/>
      <c r="P1826" s="37"/>
      <c r="Q1826" s="37"/>
      <c r="R1826" s="37"/>
      <c r="S1826" s="37"/>
      <c r="T1826" s="37"/>
      <c r="U1826" s="37"/>
      <c r="V1826" s="37"/>
      <c r="W1826" s="37"/>
      <c r="X1826" s="37"/>
      <c r="Y1826" s="37"/>
      <c r="Z1826" s="37"/>
      <c r="AA1826" s="37"/>
      <c r="AB1826" s="37"/>
      <c r="AC1826" s="37"/>
      <c r="AD1826" s="37"/>
    </row>
    <row r="1827">
      <c r="A1827" s="37"/>
      <c r="B1827" s="37"/>
      <c r="C1827" s="37"/>
      <c r="D1827" s="37"/>
      <c r="E1827" s="37"/>
      <c r="F1827" s="37"/>
      <c r="G1827" s="37"/>
      <c r="H1827" s="37"/>
      <c r="I1827" s="37"/>
      <c r="J1827" s="37"/>
      <c r="K1827" s="37"/>
      <c r="L1827" s="37"/>
      <c r="M1827" s="37"/>
      <c r="N1827" s="37"/>
      <c r="O1827" s="37"/>
      <c r="P1827" s="37"/>
      <c r="Q1827" s="37"/>
      <c r="R1827" s="37"/>
      <c r="S1827" s="37"/>
      <c r="T1827" s="37"/>
      <c r="U1827" s="37"/>
      <c r="V1827" s="37"/>
      <c r="W1827" s="37"/>
      <c r="X1827" s="37"/>
      <c r="Y1827" s="37"/>
      <c r="Z1827" s="37"/>
      <c r="AA1827" s="37"/>
      <c r="AB1827" s="37"/>
      <c r="AC1827" s="37"/>
      <c r="AD1827" s="37"/>
    </row>
    <row r="1828">
      <c r="A1828" s="37"/>
      <c r="B1828" s="37"/>
      <c r="C1828" s="37"/>
      <c r="D1828" s="37"/>
      <c r="E1828" s="37"/>
      <c r="F1828" s="37"/>
      <c r="G1828" s="37"/>
      <c r="H1828" s="37"/>
      <c r="I1828" s="37"/>
      <c r="J1828" s="37"/>
      <c r="K1828" s="37"/>
      <c r="L1828" s="37"/>
      <c r="M1828" s="37"/>
      <c r="N1828" s="37"/>
      <c r="O1828" s="37"/>
      <c r="P1828" s="37"/>
      <c r="Q1828" s="37"/>
      <c r="R1828" s="37"/>
      <c r="S1828" s="37"/>
      <c r="T1828" s="37"/>
      <c r="U1828" s="37"/>
      <c r="V1828" s="37"/>
      <c r="W1828" s="37"/>
      <c r="X1828" s="37"/>
      <c r="Y1828" s="37"/>
      <c r="Z1828" s="37"/>
      <c r="AA1828" s="37"/>
      <c r="AB1828" s="37"/>
      <c r="AC1828" s="37"/>
      <c r="AD1828" s="37"/>
    </row>
    <row r="1829">
      <c r="A1829" s="37"/>
      <c r="B1829" s="37"/>
      <c r="C1829" s="37"/>
      <c r="D1829" s="37"/>
      <c r="E1829" s="37"/>
      <c r="F1829" s="37"/>
      <c r="G1829" s="37"/>
      <c r="H1829" s="37"/>
      <c r="I1829" s="37"/>
      <c r="J1829" s="37"/>
      <c r="K1829" s="37"/>
      <c r="L1829" s="37"/>
      <c r="M1829" s="37"/>
      <c r="N1829" s="37"/>
      <c r="O1829" s="37"/>
      <c r="P1829" s="37"/>
      <c r="Q1829" s="37"/>
      <c r="R1829" s="37"/>
      <c r="S1829" s="37"/>
      <c r="T1829" s="37"/>
      <c r="U1829" s="37"/>
      <c r="V1829" s="37"/>
      <c r="W1829" s="37"/>
      <c r="X1829" s="37"/>
      <c r="Y1829" s="37"/>
      <c r="Z1829" s="37"/>
      <c r="AA1829" s="37"/>
      <c r="AB1829" s="37"/>
      <c r="AC1829" s="37"/>
      <c r="AD1829" s="37"/>
    </row>
    <row r="1830">
      <c r="A1830" s="37"/>
      <c r="B1830" s="37"/>
      <c r="C1830" s="37"/>
      <c r="D1830" s="37"/>
      <c r="E1830" s="37"/>
      <c r="F1830" s="37"/>
      <c r="G1830" s="37"/>
      <c r="H1830" s="37"/>
      <c r="I1830" s="37"/>
      <c r="J1830" s="37"/>
      <c r="K1830" s="37"/>
      <c r="L1830" s="37"/>
      <c r="M1830" s="37"/>
      <c r="N1830" s="37"/>
      <c r="O1830" s="37"/>
      <c r="P1830" s="37"/>
      <c r="Q1830" s="37"/>
      <c r="R1830" s="37"/>
      <c r="S1830" s="37"/>
      <c r="T1830" s="37"/>
      <c r="U1830" s="37"/>
      <c r="V1830" s="37"/>
      <c r="W1830" s="37"/>
      <c r="X1830" s="37"/>
      <c r="Y1830" s="37"/>
      <c r="Z1830" s="37"/>
      <c r="AA1830" s="37"/>
      <c r="AB1830" s="37"/>
      <c r="AC1830" s="37"/>
      <c r="AD1830" s="37"/>
    </row>
    <row r="1831">
      <c r="A1831" s="37"/>
      <c r="B1831" s="37"/>
      <c r="C1831" s="37"/>
      <c r="D1831" s="37"/>
      <c r="E1831" s="37"/>
      <c r="F1831" s="37"/>
      <c r="G1831" s="37"/>
      <c r="H1831" s="37"/>
      <c r="I1831" s="37"/>
      <c r="J1831" s="37"/>
      <c r="K1831" s="37"/>
      <c r="L1831" s="37"/>
      <c r="M1831" s="37"/>
      <c r="N1831" s="37"/>
      <c r="O1831" s="37"/>
      <c r="P1831" s="37"/>
      <c r="Q1831" s="37"/>
      <c r="R1831" s="37"/>
      <c r="S1831" s="37"/>
      <c r="T1831" s="37"/>
      <c r="U1831" s="37"/>
      <c r="V1831" s="37"/>
      <c r="W1831" s="37"/>
      <c r="X1831" s="37"/>
      <c r="Y1831" s="37"/>
      <c r="Z1831" s="37"/>
      <c r="AA1831" s="37"/>
      <c r="AB1831" s="37"/>
      <c r="AC1831" s="37"/>
      <c r="AD1831" s="37"/>
    </row>
    <row r="1832">
      <c r="A1832" s="37"/>
      <c r="B1832" s="37"/>
      <c r="C1832" s="37"/>
      <c r="D1832" s="37"/>
      <c r="E1832" s="37"/>
      <c r="F1832" s="37"/>
      <c r="G1832" s="37"/>
      <c r="H1832" s="37"/>
      <c r="I1832" s="37"/>
      <c r="J1832" s="37"/>
      <c r="K1832" s="37"/>
      <c r="L1832" s="37"/>
      <c r="M1832" s="37"/>
      <c r="N1832" s="37"/>
      <c r="O1832" s="37"/>
      <c r="P1832" s="37"/>
      <c r="Q1832" s="37"/>
      <c r="R1832" s="37"/>
      <c r="S1832" s="37"/>
      <c r="T1832" s="37"/>
      <c r="U1832" s="37"/>
      <c r="V1832" s="37"/>
      <c r="W1832" s="37"/>
      <c r="X1832" s="37"/>
      <c r="Y1832" s="37"/>
      <c r="Z1832" s="37"/>
      <c r="AA1832" s="37"/>
      <c r="AB1832" s="37"/>
      <c r="AC1832" s="37"/>
      <c r="AD1832" s="37"/>
    </row>
    <row r="1833">
      <c r="A1833" s="37"/>
      <c r="B1833" s="37"/>
      <c r="C1833" s="37"/>
      <c r="D1833" s="37"/>
      <c r="E1833" s="37"/>
      <c r="F1833" s="37"/>
      <c r="G1833" s="37"/>
      <c r="H1833" s="37"/>
      <c r="I1833" s="37"/>
      <c r="J1833" s="37"/>
      <c r="K1833" s="37"/>
      <c r="L1833" s="37"/>
      <c r="M1833" s="37"/>
      <c r="N1833" s="37"/>
      <c r="O1833" s="37"/>
      <c r="P1833" s="37"/>
      <c r="Q1833" s="37"/>
      <c r="R1833" s="37"/>
      <c r="S1833" s="37"/>
      <c r="T1833" s="37"/>
      <c r="U1833" s="37"/>
      <c r="V1833" s="37"/>
      <c r="W1833" s="37"/>
      <c r="X1833" s="37"/>
      <c r="Y1833" s="37"/>
      <c r="Z1833" s="37"/>
      <c r="AA1833" s="37"/>
      <c r="AB1833" s="37"/>
      <c r="AC1833" s="37"/>
      <c r="AD1833" s="37"/>
    </row>
    <row r="1834">
      <c r="A1834" s="37"/>
      <c r="B1834" s="37"/>
      <c r="C1834" s="37"/>
      <c r="D1834" s="37"/>
      <c r="E1834" s="37"/>
      <c r="F1834" s="37"/>
      <c r="G1834" s="37"/>
      <c r="H1834" s="37"/>
      <c r="I1834" s="37"/>
      <c r="J1834" s="37"/>
      <c r="K1834" s="37"/>
      <c r="L1834" s="37"/>
      <c r="M1834" s="37"/>
      <c r="N1834" s="37"/>
      <c r="O1834" s="37"/>
      <c r="P1834" s="37"/>
      <c r="Q1834" s="37"/>
      <c r="R1834" s="37"/>
      <c r="S1834" s="37"/>
      <c r="T1834" s="37"/>
      <c r="U1834" s="37"/>
      <c r="V1834" s="37"/>
      <c r="W1834" s="37"/>
      <c r="X1834" s="37"/>
      <c r="Y1834" s="37"/>
      <c r="Z1834" s="37"/>
      <c r="AA1834" s="37"/>
      <c r="AB1834" s="37"/>
      <c r="AC1834" s="37"/>
      <c r="AD1834" s="37"/>
    </row>
    <row r="1835">
      <c r="A1835" s="37"/>
      <c r="B1835" s="37"/>
      <c r="C1835" s="37"/>
      <c r="D1835" s="37"/>
      <c r="E1835" s="37"/>
      <c r="F1835" s="37"/>
      <c r="G1835" s="37"/>
      <c r="H1835" s="37"/>
      <c r="I1835" s="37"/>
      <c r="J1835" s="37"/>
      <c r="K1835" s="37"/>
      <c r="L1835" s="37"/>
      <c r="M1835" s="37"/>
      <c r="N1835" s="37"/>
      <c r="O1835" s="37"/>
      <c r="P1835" s="37"/>
      <c r="Q1835" s="37"/>
      <c r="R1835" s="37"/>
      <c r="S1835" s="37"/>
      <c r="T1835" s="37"/>
      <c r="U1835" s="37"/>
      <c r="V1835" s="37"/>
      <c r="W1835" s="37"/>
      <c r="X1835" s="37"/>
      <c r="Y1835" s="37"/>
      <c r="Z1835" s="37"/>
      <c r="AA1835" s="37"/>
      <c r="AB1835" s="37"/>
      <c r="AC1835" s="37"/>
      <c r="AD1835" s="37"/>
    </row>
    <row r="1836">
      <c r="A1836" s="37"/>
      <c r="B1836" s="37"/>
      <c r="C1836" s="37"/>
      <c r="D1836" s="37"/>
      <c r="E1836" s="37"/>
      <c r="F1836" s="37"/>
      <c r="G1836" s="37"/>
      <c r="H1836" s="37"/>
      <c r="I1836" s="37"/>
      <c r="J1836" s="37"/>
      <c r="K1836" s="37"/>
      <c r="L1836" s="37"/>
      <c r="M1836" s="37"/>
      <c r="N1836" s="37"/>
      <c r="O1836" s="37"/>
      <c r="P1836" s="37"/>
      <c r="Q1836" s="37"/>
      <c r="R1836" s="37"/>
      <c r="S1836" s="37"/>
      <c r="T1836" s="37"/>
      <c r="U1836" s="37"/>
      <c r="V1836" s="37"/>
      <c r="W1836" s="37"/>
      <c r="X1836" s="37"/>
      <c r="Y1836" s="37"/>
      <c r="Z1836" s="37"/>
      <c r="AA1836" s="37"/>
      <c r="AB1836" s="37"/>
      <c r="AC1836" s="37"/>
      <c r="AD1836" s="37"/>
    </row>
    <row r="1837">
      <c r="A1837" s="37"/>
      <c r="B1837" s="37"/>
      <c r="C1837" s="37"/>
      <c r="D1837" s="37"/>
      <c r="E1837" s="37"/>
      <c r="F1837" s="37"/>
      <c r="G1837" s="37"/>
      <c r="H1837" s="37"/>
      <c r="I1837" s="37"/>
      <c r="J1837" s="37"/>
      <c r="K1837" s="37"/>
      <c r="L1837" s="37"/>
      <c r="M1837" s="37"/>
      <c r="N1837" s="37"/>
      <c r="O1837" s="37"/>
      <c r="P1837" s="37"/>
      <c r="Q1837" s="37"/>
      <c r="R1837" s="37"/>
      <c r="S1837" s="37"/>
      <c r="T1837" s="37"/>
      <c r="U1837" s="37"/>
      <c r="V1837" s="37"/>
      <c r="W1837" s="37"/>
      <c r="X1837" s="37"/>
      <c r="Y1837" s="37"/>
      <c r="Z1837" s="37"/>
      <c r="AA1837" s="37"/>
      <c r="AB1837" s="37"/>
      <c r="AC1837" s="37"/>
      <c r="AD1837" s="37"/>
    </row>
    <row r="1838">
      <c r="A1838" s="37"/>
      <c r="B1838" s="37"/>
      <c r="C1838" s="37"/>
      <c r="D1838" s="37"/>
      <c r="E1838" s="37"/>
      <c r="F1838" s="37"/>
      <c r="G1838" s="37"/>
      <c r="H1838" s="37"/>
      <c r="I1838" s="37"/>
      <c r="J1838" s="37"/>
      <c r="K1838" s="37"/>
      <c r="L1838" s="37"/>
      <c r="M1838" s="37"/>
      <c r="N1838" s="37"/>
      <c r="O1838" s="37"/>
      <c r="P1838" s="37"/>
      <c r="Q1838" s="37"/>
      <c r="R1838" s="37"/>
      <c r="S1838" s="37"/>
      <c r="T1838" s="37"/>
      <c r="U1838" s="37"/>
      <c r="V1838" s="37"/>
      <c r="W1838" s="37"/>
      <c r="X1838" s="37"/>
      <c r="Y1838" s="37"/>
      <c r="Z1838" s="37"/>
      <c r="AA1838" s="37"/>
      <c r="AB1838" s="37"/>
      <c r="AC1838" s="37"/>
      <c r="AD1838" s="37"/>
    </row>
    <row r="1839">
      <c r="A1839" s="37"/>
      <c r="B1839" s="37"/>
      <c r="C1839" s="37"/>
      <c r="D1839" s="37"/>
      <c r="E1839" s="37"/>
      <c r="F1839" s="37"/>
      <c r="G1839" s="37"/>
      <c r="H1839" s="37"/>
      <c r="I1839" s="37"/>
      <c r="J1839" s="37"/>
      <c r="K1839" s="37"/>
      <c r="L1839" s="37"/>
      <c r="M1839" s="37"/>
      <c r="N1839" s="37"/>
      <c r="O1839" s="37"/>
      <c r="P1839" s="37"/>
      <c r="Q1839" s="37"/>
      <c r="R1839" s="37"/>
      <c r="S1839" s="37"/>
      <c r="T1839" s="37"/>
      <c r="U1839" s="37"/>
      <c r="V1839" s="37"/>
      <c r="W1839" s="37"/>
      <c r="X1839" s="37"/>
      <c r="Y1839" s="37"/>
      <c r="Z1839" s="37"/>
      <c r="AA1839" s="37"/>
      <c r="AB1839" s="37"/>
      <c r="AC1839" s="37"/>
      <c r="AD1839" s="37"/>
    </row>
    <row r="1840">
      <c r="A1840" s="37"/>
      <c r="B1840" s="37"/>
      <c r="C1840" s="37"/>
      <c r="D1840" s="37"/>
      <c r="E1840" s="37"/>
      <c r="F1840" s="37"/>
      <c r="G1840" s="37"/>
      <c r="H1840" s="37"/>
      <c r="I1840" s="37"/>
      <c r="J1840" s="37"/>
      <c r="K1840" s="37"/>
      <c r="L1840" s="37"/>
      <c r="M1840" s="37"/>
      <c r="N1840" s="37"/>
      <c r="O1840" s="37"/>
      <c r="P1840" s="37"/>
      <c r="Q1840" s="37"/>
      <c r="R1840" s="37"/>
      <c r="S1840" s="37"/>
      <c r="T1840" s="37"/>
      <c r="U1840" s="37"/>
      <c r="V1840" s="37"/>
      <c r="W1840" s="37"/>
      <c r="X1840" s="37"/>
      <c r="Y1840" s="37"/>
      <c r="Z1840" s="37"/>
      <c r="AA1840" s="37"/>
      <c r="AB1840" s="37"/>
      <c r="AC1840" s="37"/>
      <c r="AD1840" s="37"/>
    </row>
    <row r="1841">
      <c r="A1841" s="37"/>
      <c r="B1841" s="37"/>
      <c r="C1841" s="37"/>
      <c r="D1841" s="37"/>
      <c r="E1841" s="37"/>
      <c r="F1841" s="37"/>
      <c r="G1841" s="37"/>
      <c r="H1841" s="37"/>
      <c r="I1841" s="37"/>
      <c r="J1841" s="37"/>
      <c r="K1841" s="37"/>
      <c r="L1841" s="37"/>
      <c r="M1841" s="37"/>
      <c r="N1841" s="37"/>
      <c r="O1841" s="37"/>
      <c r="P1841" s="37"/>
      <c r="Q1841" s="37"/>
      <c r="R1841" s="37"/>
      <c r="S1841" s="37"/>
      <c r="T1841" s="37"/>
      <c r="U1841" s="37"/>
      <c r="V1841" s="37"/>
      <c r="W1841" s="37"/>
      <c r="X1841" s="37"/>
      <c r="Y1841" s="37"/>
      <c r="Z1841" s="37"/>
      <c r="AA1841" s="37"/>
      <c r="AB1841" s="37"/>
      <c r="AC1841" s="37"/>
      <c r="AD1841" s="37"/>
    </row>
    <row r="1842">
      <c r="A1842" s="37"/>
      <c r="B1842" s="37"/>
      <c r="C1842" s="37"/>
      <c r="D1842" s="37"/>
      <c r="E1842" s="37"/>
      <c r="F1842" s="37"/>
      <c r="G1842" s="37"/>
      <c r="H1842" s="37"/>
      <c r="I1842" s="37"/>
      <c r="J1842" s="37"/>
      <c r="K1842" s="37"/>
      <c r="L1842" s="37"/>
      <c r="M1842" s="37"/>
      <c r="N1842" s="37"/>
      <c r="O1842" s="37"/>
      <c r="P1842" s="37"/>
      <c r="Q1842" s="37"/>
      <c r="R1842" s="37"/>
      <c r="S1842" s="37"/>
      <c r="T1842" s="37"/>
      <c r="U1842" s="37"/>
      <c r="V1842" s="37"/>
      <c r="W1842" s="37"/>
      <c r="X1842" s="37"/>
      <c r="Y1842" s="37"/>
      <c r="Z1842" s="37"/>
      <c r="AA1842" s="37"/>
      <c r="AB1842" s="37"/>
      <c r="AC1842" s="37"/>
      <c r="AD1842" s="37"/>
    </row>
    <row r="1843">
      <c r="A1843" s="37"/>
      <c r="B1843" s="37"/>
      <c r="C1843" s="37"/>
      <c r="D1843" s="37"/>
      <c r="E1843" s="37"/>
      <c r="F1843" s="37"/>
      <c r="G1843" s="37"/>
      <c r="H1843" s="37"/>
      <c r="I1843" s="37"/>
      <c r="J1843" s="37"/>
      <c r="K1843" s="37"/>
      <c r="L1843" s="37"/>
      <c r="M1843" s="37"/>
      <c r="N1843" s="37"/>
      <c r="O1843" s="37"/>
      <c r="P1843" s="37"/>
      <c r="Q1843" s="37"/>
      <c r="R1843" s="37"/>
      <c r="S1843" s="37"/>
      <c r="T1843" s="37"/>
      <c r="U1843" s="37"/>
      <c r="V1843" s="37"/>
      <c r="W1843" s="37"/>
      <c r="X1843" s="37"/>
      <c r="Y1843" s="37"/>
      <c r="Z1843" s="37"/>
      <c r="AA1843" s="37"/>
      <c r="AB1843" s="37"/>
      <c r="AC1843" s="37"/>
      <c r="AD1843" s="37"/>
    </row>
    <row r="1844">
      <c r="A1844" s="37"/>
      <c r="B1844" s="37"/>
      <c r="C1844" s="37"/>
      <c r="D1844" s="37"/>
      <c r="E1844" s="37"/>
      <c r="F1844" s="37"/>
      <c r="G1844" s="37"/>
      <c r="H1844" s="37"/>
      <c r="I1844" s="37"/>
      <c r="J1844" s="37"/>
      <c r="K1844" s="37"/>
      <c r="L1844" s="37"/>
      <c r="M1844" s="37"/>
      <c r="N1844" s="37"/>
      <c r="O1844" s="37"/>
      <c r="P1844" s="37"/>
      <c r="Q1844" s="37"/>
      <c r="R1844" s="37"/>
      <c r="S1844" s="37"/>
      <c r="T1844" s="37"/>
      <c r="U1844" s="37"/>
      <c r="V1844" s="37"/>
      <c r="W1844" s="37"/>
      <c r="X1844" s="37"/>
      <c r="Y1844" s="37"/>
      <c r="Z1844" s="37"/>
      <c r="AA1844" s="37"/>
      <c r="AB1844" s="37"/>
      <c r="AC1844" s="37"/>
      <c r="AD1844" s="37"/>
    </row>
    <row r="1845">
      <c r="A1845" s="37"/>
      <c r="B1845" s="37"/>
      <c r="C1845" s="37"/>
      <c r="D1845" s="37"/>
      <c r="E1845" s="37"/>
      <c r="F1845" s="37"/>
      <c r="G1845" s="37"/>
      <c r="H1845" s="37"/>
      <c r="I1845" s="37"/>
      <c r="J1845" s="37"/>
      <c r="K1845" s="37"/>
      <c r="L1845" s="37"/>
      <c r="M1845" s="37"/>
      <c r="N1845" s="37"/>
      <c r="O1845" s="37"/>
      <c r="P1845" s="37"/>
      <c r="Q1845" s="37"/>
      <c r="R1845" s="37"/>
      <c r="S1845" s="37"/>
      <c r="T1845" s="37"/>
      <c r="U1845" s="37"/>
      <c r="V1845" s="37"/>
      <c r="W1845" s="37"/>
      <c r="X1845" s="37"/>
      <c r="Y1845" s="37"/>
      <c r="Z1845" s="37"/>
      <c r="AA1845" s="37"/>
      <c r="AB1845" s="37"/>
      <c r="AC1845" s="37"/>
      <c r="AD1845" s="37"/>
    </row>
    <row r="1846">
      <c r="A1846" s="37"/>
      <c r="B1846" s="37"/>
      <c r="C1846" s="37"/>
      <c r="D1846" s="37"/>
      <c r="E1846" s="37"/>
      <c r="F1846" s="37"/>
      <c r="G1846" s="37"/>
      <c r="H1846" s="37"/>
      <c r="I1846" s="37"/>
      <c r="J1846" s="37"/>
      <c r="K1846" s="37"/>
      <c r="L1846" s="37"/>
      <c r="M1846" s="37"/>
      <c r="N1846" s="37"/>
      <c r="O1846" s="37"/>
      <c r="P1846" s="37"/>
      <c r="Q1846" s="37"/>
      <c r="R1846" s="37"/>
      <c r="S1846" s="37"/>
      <c r="T1846" s="37"/>
      <c r="U1846" s="37"/>
      <c r="V1846" s="37"/>
      <c r="W1846" s="37"/>
      <c r="X1846" s="37"/>
      <c r="Y1846" s="37"/>
      <c r="Z1846" s="37"/>
      <c r="AA1846" s="37"/>
      <c r="AB1846" s="37"/>
      <c r="AC1846" s="37"/>
      <c r="AD1846" s="37"/>
    </row>
    <row r="1847">
      <c r="A1847" s="37"/>
      <c r="B1847" s="37"/>
      <c r="C1847" s="37"/>
      <c r="D1847" s="37"/>
      <c r="E1847" s="37"/>
      <c r="F1847" s="37"/>
      <c r="G1847" s="37"/>
      <c r="H1847" s="37"/>
      <c r="I1847" s="37"/>
      <c r="J1847" s="37"/>
      <c r="K1847" s="37"/>
      <c r="L1847" s="37"/>
      <c r="M1847" s="37"/>
      <c r="N1847" s="37"/>
      <c r="O1847" s="37"/>
      <c r="P1847" s="37"/>
      <c r="Q1847" s="37"/>
      <c r="R1847" s="37"/>
      <c r="S1847" s="37"/>
      <c r="T1847" s="37"/>
      <c r="U1847" s="37"/>
      <c r="V1847" s="37"/>
      <c r="W1847" s="37"/>
      <c r="X1847" s="37"/>
      <c r="Y1847" s="37"/>
      <c r="Z1847" s="37"/>
      <c r="AA1847" s="37"/>
      <c r="AB1847" s="37"/>
      <c r="AC1847" s="37"/>
      <c r="AD1847" s="37"/>
    </row>
    <row r="1848">
      <c r="A1848" s="37"/>
      <c r="B1848" s="37"/>
      <c r="C1848" s="37"/>
      <c r="D1848" s="37"/>
      <c r="E1848" s="37"/>
      <c r="F1848" s="37"/>
      <c r="G1848" s="37"/>
      <c r="H1848" s="37"/>
      <c r="I1848" s="37"/>
      <c r="J1848" s="37"/>
      <c r="K1848" s="37"/>
      <c r="L1848" s="37"/>
      <c r="M1848" s="37"/>
      <c r="N1848" s="37"/>
      <c r="O1848" s="37"/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37"/>
      <c r="AA1848" s="37"/>
      <c r="AB1848" s="37"/>
      <c r="AC1848" s="37"/>
      <c r="AD1848" s="37"/>
    </row>
    <row r="1849">
      <c r="A1849" s="37"/>
      <c r="B1849" s="37"/>
      <c r="C1849" s="37"/>
      <c r="D1849" s="37"/>
      <c r="E1849" s="37"/>
      <c r="F1849" s="37"/>
      <c r="G1849" s="37"/>
      <c r="H1849" s="37"/>
      <c r="I1849" s="37"/>
      <c r="J1849" s="37"/>
      <c r="K1849" s="37"/>
      <c r="L1849" s="37"/>
      <c r="M1849" s="37"/>
      <c r="N1849" s="37"/>
      <c r="O1849" s="37"/>
      <c r="P1849" s="37"/>
      <c r="Q1849" s="37"/>
      <c r="R1849" s="37"/>
      <c r="S1849" s="37"/>
      <c r="T1849" s="37"/>
      <c r="U1849" s="37"/>
      <c r="V1849" s="37"/>
      <c r="W1849" s="37"/>
      <c r="X1849" s="37"/>
      <c r="Y1849" s="37"/>
      <c r="Z1849" s="37"/>
      <c r="AA1849" s="37"/>
      <c r="AB1849" s="37"/>
      <c r="AC1849" s="37"/>
      <c r="AD1849" s="37"/>
    </row>
    <row r="1850">
      <c r="A1850" s="37"/>
      <c r="B1850" s="37"/>
      <c r="C1850" s="37"/>
      <c r="D1850" s="37"/>
      <c r="E1850" s="37"/>
      <c r="F1850" s="37"/>
      <c r="G1850" s="37"/>
      <c r="H1850" s="37"/>
      <c r="I1850" s="37"/>
      <c r="J1850" s="37"/>
      <c r="K1850" s="37"/>
      <c r="L1850" s="37"/>
      <c r="M1850" s="37"/>
      <c r="N1850" s="37"/>
      <c r="O1850" s="37"/>
      <c r="P1850" s="37"/>
      <c r="Q1850" s="37"/>
      <c r="R1850" s="37"/>
      <c r="S1850" s="37"/>
      <c r="T1850" s="37"/>
      <c r="U1850" s="37"/>
      <c r="V1850" s="37"/>
      <c r="W1850" s="37"/>
      <c r="X1850" s="37"/>
      <c r="Y1850" s="37"/>
      <c r="Z1850" s="37"/>
      <c r="AA1850" s="37"/>
      <c r="AB1850" s="37"/>
      <c r="AC1850" s="37"/>
      <c r="AD1850" s="37"/>
    </row>
    <row r="1851">
      <c r="A1851" s="37"/>
      <c r="B1851" s="37"/>
      <c r="C1851" s="37"/>
      <c r="D1851" s="37"/>
      <c r="E1851" s="37"/>
      <c r="F1851" s="37"/>
      <c r="G1851" s="37"/>
      <c r="H1851" s="37"/>
      <c r="I1851" s="37"/>
      <c r="J1851" s="37"/>
      <c r="K1851" s="37"/>
      <c r="L1851" s="37"/>
      <c r="M1851" s="37"/>
      <c r="N1851" s="37"/>
      <c r="O1851" s="37"/>
      <c r="P1851" s="37"/>
      <c r="Q1851" s="37"/>
      <c r="R1851" s="37"/>
      <c r="S1851" s="37"/>
      <c r="T1851" s="37"/>
      <c r="U1851" s="37"/>
      <c r="V1851" s="37"/>
      <c r="W1851" s="37"/>
      <c r="X1851" s="37"/>
      <c r="Y1851" s="37"/>
      <c r="Z1851" s="37"/>
      <c r="AA1851" s="37"/>
      <c r="AB1851" s="37"/>
      <c r="AC1851" s="37"/>
      <c r="AD1851" s="37"/>
    </row>
    <row r="1852">
      <c r="A1852" s="37"/>
      <c r="B1852" s="37"/>
      <c r="C1852" s="37"/>
      <c r="D1852" s="37"/>
      <c r="E1852" s="37"/>
      <c r="F1852" s="37"/>
      <c r="G1852" s="37"/>
      <c r="H1852" s="37"/>
      <c r="I1852" s="37"/>
      <c r="J1852" s="37"/>
      <c r="K1852" s="37"/>
      <c r="L1852" s="37"/>
      <c r="M1852" s="37"/>
      <c r="N1852" s="37"/>
      <c r="O1852" s="37"/>
      <c r="P1852" s="37"/>
      <c r="Q1852" s="37"/>
      <c r="R1852" s="37"/>
      <c r="S1852" s="37"/>
      <c r="T1852" s="37"/>
      <c r="U1852" s="37"/>
      <c r="V1852" s="37"/>
      <c r="W1852" s="37"/>
      <c r="X1852" s="37"/>
      <c r="Y1852" s="37"/>
      <c r="Z1852" s="37"/>
      <c r="AA1852" s="37"/>
      <c r="AB1852" s="37"/>
      <c r="AC1852" s="37"/>
      <c r="AD1852" s="37"/>
    </row>
    <row r="1853">
      <c r="A1853" s="37"/>
      <c r="B1853" s="37"/>
      <c r="C1853" s="37"/>
      <c r="D1853" s="37"/>
      <c r="E1853" s="37"/>
      <c r="F1853" s="37"/>
      <c r="G1853" s="37"/>
      <c r="H1853" s="37"/>
      <c r="I1853" s="37"/>
      <c r="J1853" s="37"/>
      <c r="K1853" s="37"/>
      <c r="L1853" s="37"/>
      <c r="M1853" s="37"/>
      <c r="N1853" s="37"/>
      <c r="O1853" s="37"/>
      <c r="P1853" s="37"/>
      <c r="Q1853" s="37"/>
      <c r="R1853" s="37"/>
      <c r="S1853" s="37"/>
      <c r="T1853" s="37"/>
      <c r="U1853" s="37"/>
      <c r="V1853" s="37"/>
      <c r="W1853" s="37"/>
      <c r="X1853" s="37"/>
      <c r="Y1853" s="37"/>
      <c r="Z1853" s="37"/>
      <c r="AA1853" s="37"/>
      <c r="AB1853" s="37"/>
      <c r="AC1853" s="37"/>
      <c r="AD1853" s="37"/>
    </row>
    <row r="1854">
      <c r="A1854" s="37"/>
      <c r="B1854" s="37"/>
      <c r="C1854" s="37"/>
      <c r="D1854" s="37"/>
      <c r="E1854" s="37"/>
      <c r="F1854" s="37"/>
      <c r="G1854" s="37"/>
      <c r="H1854" s="37"/>
      <c r="I1854" s="37"/>
      <c r="J1854" s="37"/>
      <c r="K1854" s="37"/>
      <c r="L1854" s="37"/>
      <c r="M1854" s="37"/>
      <c r="N1854" s="37"/>
      <c r="O1854" s="37"/>
      <c r="P1854" s="37"/>
      <c r="Q1854" s="37"/>
      <c r="R1854" s="37"/>
      <c r="S1854" s="37"/>
      <c r="T1854" s="37"/>
      <c r="U1854" s="37"/>
      <c r="V1854" s="37"/>
      <c r="W1854" s="37"/>
      <c r="X1854" s="37"/>
      <c r="Y1854" s="37"/>
      <c r="Z1854" s="37"/>
      <c r="AA1854" s="37"/>
      <c r="AB1854" s="37"/>
      <c r="AC1854" s="37"/>
      <c r="AD1854" s="37"/>
    </row>
    <row r="1855">
      <c r="A1855" s="37"/>
      <c r="B1855" s="37"/>
      <c r="C1855" s="37"/>
      <c r="D1855" s="37"/>
      <c r="E1855" s="37"/>
      <c r="F1855" s="37"/>
      <c r="G1855" s="37"/>
      <c r="H1855" s="37"/>
      <c r="I1855" s="37"/>
      <c r="J1855" s="37"/>
      <c r="K1855" s="37"/>
      <c r="L1855" s="37"/>
      <c r="M1855" s="37"/>
      <c r="N1855" s="37"/>
      <c r="O1855" s="37"/>
      <c r="P1855" s="37"/>
      <c r="Q1855" s="37"/>
      <c r="R1855" s="37"/>
      <c r="S1855" s="37"/>
      <c r="T1855" s="37"/>
      <c r="U1855" s="37"/>
      <c r="V1855" s="37"/>
      <c r="W1855" s="37"/>
      <c r="X1855" s="37"/>
      <c r="Y1855" s="37"/>
      <c r="Z1855" s="37"/>
      <c r="AA1855" s="37"/>
      <c r="AB1855" s="37"/>
      <c r="AC1855" s="37"/>
      <c r="AD1855" s="37"/>
    </row>
    <row r="1856">
      <c r="A1856" s="37"/>
      <c r="B1856" s="37"/>
      <c r="C1856" s="37"/>
      <c r="D1856" s="37"/>
      <c r="E1856" s="37"/>
      <c r="F1856" s="37"/>
      <c r="G1856" s="37"/>
      <c r="H1856" s="37"/>
      <c r="I1856" s="37"/>
      <c r="J1856" s="37"/>
      <c r="K1856" s="37"/>
      <c r="L1856" s="37"/>
      <c r="M1856" s="37"/>
      <c r="N1856" s="37"/>
      <c r="O1856" s="37"/>
      <c r="P1856" s="37"/>
      <c r="Q1856" s="37"/>
      <c r="R1856" s="37"/>
      <c r="S1856" s="37"/>
      <c r="T1856" s="37"/>
      <c r="U1856" s="37"/>
      <c r="V1856" s="37"/>
      <c r="W1856" s="37"/>
      <c r="X1856" s="37"/>
      <c r="Y1856" s="37"/>
      <c r="Z1856" s="37"/>
      <c r="AA1856" s="37"/>
      <c r="AB1856" s="37"/>
      <c r="AC1856" s="37"/>
      <c r="AD1856" s="37"/>
    </row>
    <row r="1857">
      <c r="A1857" s="37"/>
      <c r="B1857" s="37"/>
      <c r="C1857" s="37"/>
      <c r="D1857" s="37"/>
      <c r="E1857" s="37"/>
      <c r="F1857" s="37"/>
      <c r="G1857" s="37"/>
      <c r="H1857" s="37"/>
      <c r="I1857" s="37"/>
      <c r="J1857" s="37"/>
      <c r="K1857" s="37"/>
      <c r="L1857" s="37"/>
      <c r="M1857" s="37"/>
      <c r="N1857" s="37"/>
      <c r="O1857" s="37"/>
      <c r="P1857" s="37"/>
      <c r="Q1857" s="37"/>
      <c r="R1857" s="37"/>
      <c r="S1857" s="37"/>
      <c r="T1857" s="37"/>
      <c r="U1857" s="37"/>
      <c r="V1857" s="37"/>
      <c r="W1857" s="37"/>
      <c r="X1857" s="37"/>
      <c r="Y1857" s="37"/>
      <c r="Z1857" s="37"/>
      <c r="AA1857" s="37"/>
      <c r="AB1857" s="37"/>
      <c r="AC1857" s="37"/>
      <c r="AD1857" s="37"/>
    </row>
    <row r="1858">
      <c r="A1858" s="37"/>
      <c r="B1858" s="37"/>
      <c r="C1858" s="37"/>
      <c r="D1858" s="37"/>
      <c r="E1858" s="37"/>
      <c r="F1858" s="37"/>
      <c r="G1858" s="37"/>
      <c r="H1858" s="37"/>
      <c r="I1858" s="37"/>
      <c r="J1858" s="37"/>
      <c r="K1858" s="37"/>
      <c r="L1858" s="37"/>
      <c r="M1858" s="37"/>
      <c r="N1858" s="37"/>
      <c r="O1858" s="37"/>
      <c r="P1858" s="37"/>
      <c r="Q1858" s="37"/>
      <c r="R1858" s="37"/>
      <c r="S1858" s="37"/>
      <c r="T1858" s="37"/>
      <c r="U1858" s="37"/>
      <c r="V1858" s="37"/>
      <c r="W1858" s="37"/>
      <c r="X1858" s="37"/>
      <c r="Y1858" s="37"/>
      <c r="Z1858" s="37"/>
      <c r="AA1858" s="37"/>
      <c r="AB1858" s="37"/>
      <c r="AC1858" s="37"/>
      <c r="AD1858" s="37"/>
    </row>
    <row r="1859">
      <c r="A1859" s="37"/>
      <c r="B1859" s="37"/>
      <c r="C1859" s="37"/>
      <c r="D1859" s="37"/>
      <c r="E1859" s="37"/>
      <c r="F1859" s="37"/>
      <c r="G1859" s="37"/>
      <c r="H1859" s="37"/>
      <c r="I1859" s="37"/>
      <c r="J1859" s="37"/>
      <c r="K1859" s="37"/>
      <c r="L1859" s="37"/>
      <c r="M1859" s="37"/>
      <c r="N1859" s="37"/>
      <c r="O1859" s="37"/>
      <c r="P1859" s="37"/>
      <c r="Q1859" s="37"/>
      <c r="R1859" s="37"/>
      <c r="S1859" s="37"/>
      <c r="T1859" s="37"/>
      <c r="U1859" s="37"/>
      <c r="V1859" s="37"/>
      <c r="W1859" s="37"/>
      <c r="X1859" s="37"/>
      <c r="Y1859" s="37"/>
      <c r="Z1859" s="37"/>
      <c r="AA1859" s="37"/>
      <c r="AB1859" s="37"/>
      <c r="AC1859" s="37"/>
      <c r="AD1859" s="37"/>
    </row>
    <row r="1860">
      <c r="A1860" s="37"/>
      <c r="B1860" s="37"/>
      <c r="C1860" s="37"/>
      <c r="D1860" s="37"/>
      <c r="E1860" s="37"/>
      <c r="F1860" s="37"/>
      <c r="G1860" s="37"/>
      <c r="H1860" s="37"/>
      <c r="I1860" s="37"/>
      <c r="J1860" s="37"/>
      <c r="K1860" s="37"/>
      <c r="L1860" s="37"/>
      <c r="M1860" s="37"/>
      <c r="N1860" s="37"/>
      <c r="O1860" s="37"/>
      <c r="P1860" s="37"/>
      <c r="Q1860" s="37"/>
      <c r="R1860" s="37"/>
      <c r="S1860" s="37"/>
      <c r="T1860" s="37"/>
      <c r="U1860" s="37"/>
      <c r="V1860" s="37"/>
      <c r="W1860" s="37"/>
      <c r="X1860" s="37"/>
      <c r="Y1860" s="37"/>
      <c r="Z1860" s="37"/>
      <c r="AA1860" s="37"/>
      <c r="AB1860" s="37"/>
      <c r="AC1860" s="37"/>
      <c r="AD1860" s="37"/>
    </row>
    <row r="1861">
      <c r="A1861" s="37"/>
      <c r="B1861" s="37"/>
      <c r="C1861" s="37"/>
      <c r="D1861" s="37"/>
      <c r="E1861" s="37"/>
      <c r="F1861" s="37"/>
      <c r="G1861" s="37"/>
      <c r="H1861" s="37"/>
      <c r="I1861" s="37"/>
      <c r="J1861" s="37"/>
      <c r="K1861" s="37"/>
      <c r="L1861" s="37"/>
      <c r="M1861" s="37"/>
      <c r="N1861" s="37"/>
      <c r="O1861" s="37"/>
      <c r="P1861" s="37"/>
      <c r="Q1861" s="37"/>
      <c r="R1861" s="37"/>
      <c r="S1861" s="37"/>
      <c r="T1861" s="37"/>
      <c r="U1861" s="37"/>
      <c r="V1861" s="37"/>
      <c r="W1861" s="37"/>
      <c r="X1861" s="37"/>
      <c r="Y1861" s="37"/>
      <c r="Z1861" s="37"/>
      <c r="AA1861" s="37"/>
      <c r="AB1861" s="37"/>
      <c r="AC1861" s="37"/>
      <c r="AD1861" s="37"/>
    </row>
    <row r="1862">
      <c r="A1862" s="37"/>
      <c r="B1862" s="37"/>
      <c r="C1862" s="37"/>
      <c r="D1862" s="37"/>
      <c r="E1862" s="37"/>
      <c r="F1862" s="37"/>
      <c r="G1862" s="37"/>
      <c r="H1862" s="37"/>
      <c r="I1862" s="37"/>
      <c r="J1862" s="37"/>
      <c r="K1862" s="37"/>
      <c r="L1862" s="37"/>
      <c r="M1862" s="37"/>
      <c r="N1862" s="37"/>
      <c r="O1862" s="37"/>
      <c r="P1862" s="37"/>
      <c r="Q1862" s="37"/>
      <c r="R1862" s="37"/>
      <c r="S1862" s="37"/>
      <c r="T1862" s="37"/>
      <c r="U1862" s="37"/>
      <c r="V1862" s="37"/>
      <c r="W1862" s="37"/>
      <c r="X1862" s="37"/>
      <c r="Y1862" s="37"/>
      <c r="Z1862" s="37"/>
      <c r="AA1862" s="37"/>
      <c r="AB1862" s="37"/>
      <c r="AC1862" s="37"/>
      <c r="AD1862" s="37"/>
    </row>
    <row r="1863">
      <c r="A1863" s="37"/>
      <c r="B1863" s="37"/>
      <c r="C1863" s="37"/>
      <c r="D1863" s="37"/>
      <c r="E1863" s="37"/>
      <c r="F1863" s="37"/>
      <c r="G1863" s="37"/>
      <c r="H1863" s="37"/>
      <c r="I1863" s="37"/>
      <c r="J1863" s="37"/>
      <c r="K1863" s="37"/>
      <c r="L1863" s="37"/>
      <c r="M1863" s="37"/>
      <c r="N1863" s="37"/>
      <c r="O1863" s="37"/>
      <c r="P1863" s="37"/>
      <c r="Q1863" s="37"/>
      <c r="R1863" s="37"/>
      <c r="S1863" s="37"/>
      <c r="T1863" s="37"/>
      <c r="U1863" s="37"/>
      <c r="V1863" s="37"/>
      <c r="W1863" s="37"/>
      <c r="X1863" s="37"/>
      <c r="Y1863" s="37"/>
      <c r="Z1863" s="37"/>
      <c r="AA1863" s="37"/>
      <c r="AB1863" s="37"/>
      <c r="AC1863" s="37"/>
      <c r="AD1863" s="37"/>
    </row>
    <row r="1864">
      <c r="A1864" s="37"/>
      <c r="B1864" s="37"/>
      <c r="C1864" s="37"/>
      <c r="D1864" s="37"/>
      <c r="E1864" s="37"/>
      <c r="F1864" s="37"/>
      <c r="G1864" s="37"/>
      <c r="H1864" s="37"/>
      <c r="I1864" s="37"/>
      <c r="J1864" s="37"/>
      <c r="K1864" s="37"/>
      <c r="L1864" s="37"/>
      <c r="M1864" s="37"/>
      <c r="N1864" s="37"/>
      <c r="O1864" s="37"/>
      <c r="P1864" s="37"/>
      <c r="Q1864" s="37"/>
      <c r="R1864" s="37"/>
      <c r="S1864" s="37"/>
      <c r="T1864" s="37"/>
      <c r="U1864" s="37"/>
      <c r="V1864" s="37"/>
      <c r="W1864" s="37"/>
      <c r="X1864" s="37"/>
      <c r="Y1864" s="37"/>
      <c r="Z1864" s="37"/>
      <c r="AA1864" s="37"/>
      <c r="AB1864" s="37"/>
      <c r="AC1864" s="37"/>
      <c r="AD1864" s="37"/>
    </row>
    <row r="1865">
      <c r="A1865" s="37"/>
      <c r="B1865" s="37"/>
      <c r="C1865" s="37"/>
      <c r="D1865" s="37"/>
      <c r="E1865" s="37"/>
      <c r="F1865" s="37"/>
      <c r="G1865" s="37"/>
      <c r="H1865" s="37"/>
      <c r="I1865" s="37"/>
      <c r="J1865" s="37"/>
      <c r="K1865" s="37"/>
      <c r="L1865" s="37"/>
      <c r="M1865" s="37"/>
      <c r="N1865" s="37"/>
      <c r="O1865" s="37"/>
      <c r="P1865" s="37"/>
      <c r="Q1865" s="37"/>
      <c r="R1865" s="37"/>
      <c r="S1865" s="37"/>
      <c r="T1865" s="37"/>
      <c r="U1865" s="37"/>
      <c r="V1865" s="37"/>
      <c r="W1865" s="37"/>
      <c r="X1865" s="37"/>
      <c r="Y1865" s="37"/>
      <c r="Z1865" s="37"/>
      <c r="AA1865" s="37"/>
      <c r="AB1865" s="37"/>
      <c r="AC1865" s="37"/>
      <c r="AD1865" s="37"/>
    </row>
    <row r="1866">
      <c r="A1866" s="37"/>
      <c r="B1866" s="37"/>
      <c r="C1866" s="37"/>
      <c r="D1866" s="37"/>
      <c r="E1866" s="37"/>
      <c r="F1866" s="37"/>
      <c r="G1866" s="37"/>
      <c r="H1866" s="37"/>
      <c r="I1866" s="37"/>
      <c r="J1866" s="37"/>
      <c r="K1866" s="37"/>
      <c r="L1866" s="37"/>
      <c r="M1866" s="37"/>
      <c r="N1866" s="37"/>
      <c r="O1866" s="37"/>
      <c r="P1866" s="37"/>
      <c r="Q1866" s="37"/>
      <c r="R1866" s="37"/>
      <c r="S1866" s="37"/>
      <c r="T1866" s="37"/>
      <c r="U1866" s="37"/>
      <c r="V1866" s="37"/>
      <c r="W1866" s="37"/>
      <c r="X1866" s="37"/>
      <c r="Y1866" s="37"/>
      <c r="Z1866" s="37"/>
      <c r="AA1866" s="37"/>
      <c r="AB1866" s="37"/>
      <c r="AC1866" s="37"/>
      <c r="AD1866" s="37"/>
    </row>
    <row r="1867">
      <c r="A1867" s="37"/>
      <c r="B1867" s="37"/>
      <c r="C1867" s="37"/>
      <c r="D1867" s="37"/>
      <c r="E1867" s="37"/>
      <c r="F1867" s="37"/>
      <c r="G1867" s="37"/>
      <c r="H1867" s="37"/>
      <c r="I1867" s="37"/>
      <c r="J1867" s="37"/>
      <c r="K1867" s="37"/>
      <c r="L1867" s="37"/>
      <c r="M1867" s="37"/>
      <c r="N1867" s="37"/>
      <c r="O1867" s="37"/>
      <c r="P1867" s="37"/>
      <c r="Q1867" s="37"/>
      <c r="R1867" s="37"/>
      <c r="S1867" s="37"/>
      <c r="T1867" s="37"/>
      <c r="U1867" s="37"/>
      <c r="V1867" s="37"/>
      <c r="W1867" s="37"/>
      <c r="X1867" s="37"/>
      <c r="Y1867" s="37"/>
      <c r="Z1867" s="37"/>
      <c r="AA1867" s="37"/>
      <c r="AB1867" s="37"/>
      <c r="AC1867" s="37"/>
      <c r="AD1867" s="37"/>
    </row>
    <row r="1868">
      <c r="A1868" s="37"/>
      <c r="B1868" s="37"/>
      <c r="C1868" s="37"/>
      <c r="D1868" s="37"/>
      <c r="E1868" s="37"/>
      <c r="F1868" s="37"/>
      <c r="G1868" s="37"/>
      <c r="H1868" s="37"/>
      <c r="I1868" s="37"/>
      <c r="J1868" s="37"/>
      <c r="K1868" s="37"/>
      <c r="L1868" s="37"/>
      <c r="M1868" s="37"/>
      <c r="N1868" s="37"/>
      <c r="O1868" s="37"/>
      <c r="P1868" s="37"/>
      <c r="Q1868" s="37"/>
      <c r="R1868" s="37"/>
      <c r="S1868" s="37"/>
      <c r="T1868" s="37"/>
      <c r="U1868" s="37"/>
      <c r="V1868" s="37"/>
      <c r="W1868" s="37"/>
      <c r="X1868" s="37"/>
      <c r="Y1868" s="37"/>
      <c r="Z1868" s="37"/>
      <c r="AA1868" s="37"/>
      <c r="AB1868" s="37"/>
      <c r="AC1868" s="37"/>
      <c r="AD1868" s="37"/>
    </row>
    <row r="1869">
      <c r="A1869" s="37"/>
      <c r="B1869" s="37"/>
      <c r="C1869" s="37"/>
      <c r="D1869" s="37"/>
      <c r="E1869" s="37"/>
      <c r="F1869" s="37"/>
      <c r="G1869" s="37"/>
      <c r="H1869" s="37"/>
      <c r="I1869" s="37"/>
      <c r="J1869" s="37"/>
      <c r="K1869" s="37"/>
      <c r="L1869" s="37"/>
      <c r="M1869" s="37"/>
      <c r="N1869" s="37"/>
      <c r="O1869" s="37"/>
      <c r="P1869" s="37"/>
      <c r="Q1869" s="37"/>
      <c r="R1869" s="37"/>
      <c r="S1869" s="37"/>
      <c r="T1869" s="37"/>
      <c r="U1869" s="37"/>
      <c r="V1869" s="37"/>
      <c r="W1869" s="37"/>
      <c r="X1869" s="37"/>
      <c r="Y1869" s="37"/>
      <c r="Z1869" s="37"/>
      <c r="AA1869" s="37"/>
      <c r="AB1869" s="37"/>
      <c r="AC1869" s="37"/>
      <c r="AD1869" s="37"/>
    </row>
    <row r="1870">
      <c r="A1870" s="37"/>
      <c r="B1870" s="37"/>
      <c r="C1870" s="37"/>
      <c r="D1870" s="37"/>
      <c r="E1870" s="37"/>
      <c r="F1870" s="37"/>
      <c r="G1870" s="37"/>
      <c r="H1870" s="37"/>
      <c r="I1870" s="37"/>
      <c r="J1870" s="37"/>
      <c r="K1870" s="37"/>
      <c r="L1870" s="37"/>
      <c r="M1870" s="37"/>
      <c r="N1870" s="37"/>
      <c r="O1870" s="37"/>
      <c r="P1870" s="37"/>
      <c r="Q1870" s="37"/>
      <c r="R1870" s="37"/>
      <c r="S1870" s="37"/>
      <c r="T1870" s="37"/>
      <c r="U1870" s="37"/>
      <c r="V1870" s="37"/>
      <c r="W1870" s="37"/>
      <c r="X1870" s="37"/>
      <c r="Y1870" s="37"/>
      <c r="Z1870" s="37"/>
      <c r="AA1870" s="37"/>
      <c r="AB1870" s="37"/>
      <c r="AC1870" s="37"/>
      <c r="AD1870" s="37"/>
    </row>
    <row r="1871">
      <c r="A1871" s="37"/>
      <c r="B1871" s="37"/>
      <c r="C1871" s="37"/>
      <c r="D1871" s="37"/>
      <c r="E1871" s="37"/>
      <c r="F1871" s="37"/>
      <c r="G1871" s="37"/>
      <c r="H1871" s="37"/>
      <c r="I1871" s="37"/>
      <c r="J1871" s="37"/>
      <c r="K1871" s="37"/>
      <c r="L1871" s="37"/>
      <c r="M1871" s="37"/>
      <c r="N1871" s="37"/>
      <c r="O1871" s="37"/>
      <c r="P1871" s="37"/>
      <c r="Q1871" s="37"/>
      <c r="R1871" s="37"/>
      <c r="S1871" s="37"/>
      <c r="T1871" s="37"/>
      <c r="U1871" s="37"/>
      <c r="V1871" s="37"/>
      <c r="W1871" s="37"/>
      <c r="X1871" s="37"/>
      <c r="Y1871" s="37"/>
      <c r="Z1871" s="37"/>
      <c r="AA1871" s="37"/>
      <c r="AB1871" s="37"/>
      <c r="AC1871" s="37"/>
      <c r="AD1871" s="37"/>
    </row>
    <row r="1872">
      <c r="A1872" s="37"/>
      <c r="B1872" s="37"/>
      <c r="C1872" s="37"/>
      <c r="D1872" s="37"/>
      <c r="E1872" s="37"/>
      <c r="F1872" s="37"/>
      <c r="G1872" s="37"/>
      <c r="H1872" s="37"/>
      <c r="I1872" s="37"/>
      <c r="J1872" s="37"/>
      <c r="K1872" s="37"/>
      <c r="L1872" s="37"/>
      <c r="M1872" s="37"/>
      <c r="N1872" s="37"/>
      <c r="O1872" s="37"/>
      <c r="P1872" s="37"/>
      <c r="Q1872" s="37"/>
      <c r="R1872" s="37"/>
      <c r="S1872" s="37"/>
      <c r="T1872" s="37"/>
      <c r="U1872" s="37"/>
      <c r="V1872" s="37"/>
      <c r="W1872" s="37"/>
      <c r="X1872" s="37"/>
      <c r="Y1872" s="37"/>
      <c r="Z1872" s="37"/>
      <c r="AA1872" s="37"/>
      <c r="AB1872" s="37"/>
      <c r="AC1872" s="37"/>
      <c r="AD1872" s="37"/>
    </row>
    <row r="1873">
      <c r="A1873" s="37"/>
      <c r="B1873" s="37"/>
      <c r="C1873" s="37"/>
      <c r="D1873" s="37"/>
      <c r="E1873" s="37"/>
      <c r="F1873" s="37"/>
      <c r="G1873" s="37"/>
      <c r="H1873" s="37"/>
      <c r="I1873" s="37"/>
      <c r="J1873" s="37"/>
      <c r="K1873" s="37"/>
      <c r="L1873" s="37"/>
      <c r="M1873" s="37"/>
      <c r="N1873" s="37"/>
      <c r="O1873" s="37"/>
      <c r="P1873" s="37"/>
      <c r="Q1873" s="37"/>
      <c r="R1873" s="37"/>
      <c r="S1873" s="37"/>
      <c r="T1873" s="37"/>
      <c r="U1873" s="37"/>
      <c r="V1873" s="37"/>
      <c r="W1873" s="37"/>
      <c r="X1873" s="37"/>
      <c r="Y1873" s="37"/>
      <c r="Z1873" s="37"/>
      <c r="AA1873" s="37"/>
      <c r="AB1873" s="37"/>
      <c r="AC1873" s="37"/>
      <c r="AD1873" s="37"/>
    </row>
    <row r="1874">
      <c r="A1874" s="37"/>
      <c r="B1874" s="37"/>
      <c r="C1874" s="37"/>
      <c r="D1874" s="37"/>
      <c r="E1874" s="37"/>
      <c r="F1874" s="37"/>
      <c r="G1874" s="37"/>
      <c r="H1874" s="37"/>
      <c r="I1874" s="37"/>
      <c r="J1874" s="37"/>
      <c r="K1874" s="37"/>
      <c r="L1874" s="37"/>
      <c r="M1874" s="37"/>
      <c r="N1874" s="37"/>
      <c r="O1874" s="37"/>
      <c r="P1874" s="37"/>
      <c r="Q1874" s="37"/>
      <c r="R1874" s="37"/>
      <c r="S1874" s="37"/>
      <c r="T1874" s="37"/>
      <c r="U1874" s="37"/>
      <c r="V1874" s="37"/>
      <c r="W1874" s="37"/>
      <c r="X1874" s="37"/>
      <c r="Y1874" s="37"/>
      <c r="Z1874" s="37"/>
      <c r="AA1874" s="37"/>
      <c r="AB1874" s="37"/>
      <c r="AC1874" s="37"/>
      <c r="AD1874" s="37"/>
    </row>
    <row r="1875">
      <c r="A1875" s="37"/>
      <c r="B1875" s="37"/>
      <c r="C1875" s="37"/>
      <c r="D1875" s="37"/>
      <c r="E1875" s="37"/>
      <c r="F1875" s="37"/>
      <c r="G1875" s="37"/>
      <c r="H1875" s="37"/>
      <c r="I1875" s="37"/>
      <c r="J1875" s="37"/>
      <c r="K1875" s="37"/>
      <c r="L1875" s="37"/>
      <c r="M1875" s="37"/>
      <c r="N1875" s="37"/>
      <c r="O1875" s="37"/>
      <c r="P1875" s="37"/>
      <c r="Q1875" s="37"/>
      <c r="R1875" s="37"/>
      <c r="S1875" s="37"/>
      <c r="T1875" s="37"/>
      <c r="U1875" s="37"/>
      <c r="V1875" s="37"/>
      <c r="W1875" s="37"/>
      <c r="X1875" s="37"/>
      <c r="Y1875" s="37"/>
      <c r="Z1875" s="37"/>
      <c r="AA1875" s="37"/>
      <c r="AB1875" s="37"/>
      <c r="AC1875" s="37"/>
      <c r="AD1875" s="37"/>
    </row>
    <row r="1876">
      <c r="A1876" s="37"/>
      <c r="B1876" s="37"/>
      <c r="C1876" s="37"/>
      <c r="D1876" s="37"/>
      <c r="E1876" s="37"/>
      <c r="F1876" s="37"/>
      <c r="G1876" s="37"/>
      <c r="H1876" s="37"/>
      <c r="I1876" s="37"/>
      <c r="J1876" s="37"/>
      <c r="K1876" s="37"/>
      <c r="L1876" s="37"/>
      <c r="M1876" s="37"/>
      <c r="N1876" s="37"/>
      <c r="O1876" s="37"/>
      <c r="P1876" s="37"/>
      <c r="Q1876" s="37"/>
      <c r="R1876" s="37"/>
      <c r="S1876" s="37"/>
      <c r="T1876" s="37"/>
      <c r="U1876" s="37"/>
      <c r="V1876" s="37"/>
      <c r="W1876" s="37"/>
      <c r="X1876" s="37"/>
      <c r="Y1876" s="37"/>
      <c r="Z1876" s="37"/>
      <c r="AA1876" s="37"/>
      <c r="AB1876" s="37"/>
      <c r="AC1876" s="37"/>
      <c r="AD1876" s="37"/>
    </row>
    <row r="1877">
      <c r="A1877" s="37"/>
      <c r="B1877" s="37"/>
      <c r="C1877" s="37"/>
      <c r="D1877" s="37"/>
      <c r="E1877" s="37"/>
      <c r="F1877" s="37"/>
      <c r="G1877" s="37"/>
      <c r="H1877" s="37"/>
      <c r="I1877" s="37"/>
      <c r="J1877" s="37"/>
      <c r="K1877" s="37"/>
      <c r="L1877" s="37"/>
      <c r="M1877" s="37"/>
      <c r="N1877" s="37"/>
      <c r="O1877" s="37"/>
      <c r="P1877" s="37"/>
      <c r="Q1877" s="37"/>
      <c r="R1877" s="37"/>
      <c r="S1877" s="37"/>
      <c r="T1877" s="37"/>
      <c r="U1877" s="37"/>
      <c r="V1877" s="37"/>
      <c r="W1877" s="37"/>
      <c r="X1877" s="37"/>
      <c r="Y1877" s="37"/>
      <c r="Z1877" s="37"/>
      <c r="AA1877" s="37"/>
      <c r="AB1877" s="37"/>
      <c r="AC1877" s="37"/>
      <c r="AD1877" s="37"/>
    </row>
    <row r="1878">
      <c r="A1878" s="37"/>
      <c r="B1878" s="37"/>
      <c r="C1878" s="37"/>
      <c r="D1878" s="37"/>
      <c r="E1878" s="37"/>
      <c r="F1878" s="37"/>
      <c r="G1878" s="37"/>
      <c r="H1878" s="37"/>
      <c r="I1878" s="37"/>
      <c r="J1878" s="37"/>
      <c r="K1878" s="37"/>
      <c r="L1878" s="37"/>
      <c r="M1878" s="37"/>
      <c r="N1878" s="37"/>
      <c r="O1878" s="37"/>
      <c r="P1878" s="37"/>
      <c r="Q1878" s="37"/>
      <c r="R1878" s="37"/>
      <c r="S1878" s="37"/>
      <c r="T1878" s="37"/>
      <c r="U1878" s="37"/>
      <c r="V1878" s="37"/>
      <c r="W1878" s="37"/>
      <c r="X1878" s="37"/>
      <c r="Y1878" s="37"/>
      <c r="Z1878" s="37"/>
      <c r="AA1878" s="37"/>
      <c r="AB1878" s="37"/>
      <c r="AC1878" s="37"/>
      <c r="AD1878" s="37"/>
    </row>
    <row r="1879">
      <c r="A1879" s="37"/>
      <c r="B1879" s="37"/>
      <c r="C1879" s="37"/>
      <c r="D1879" s="37"/>
      <c r="E1879" s="37"/>
      <c r="F1879" s="37"/>
      <c r="G1879" s="37"/>
      <c r="H1879" s="37"/>
      <c r="I1879" s="37"/>
      <c r="J1879" s="37"/>
      <c r="K1879" s="37"/>
      <c r="L1879" s="37"/>
      <c r="M1879" s="37"/>
      <c r="N1879" s="37"/>
      <c r="O1879" s="37"/>
      <c r="P1879" s="37"/>
      <c r="Q1879" s="37"/>
      <c r="R1879" s="37"/>
      <c r="S1879" s="37"/>
      <c r="T1879" s="37"/>
      <c r="U1879" s="37"/>
      <c r="V1879" s="37"/>
      <c r="W1879" s="37"/>
      <c r="X1879" s="37"/>
      <c r="Y1879" s="37"/>
      <c r="Z1879" s="37"/>
      <c r="AA1879" s="37"/>
      <c r="AB1879" s="37"/>
      <c r="AC1879" s="37"/>
      <c r="AD1879" s="37"/>
    </row>
    <row r="1880">
      <c r="A1880" s="37"/>
      <c r="B1880" s="37"/>
      <c r="C1880" s="37"/>
      <c r="D1880" s="37"/>
      <c r="E1880" s="37"/>
      <c r="F1880" s="37"/>
      <c r="G1880" s="37"/>
      <c r="H1880" s="37"/>
      <c r="I1880" s="37"/>
      <c r="J1880" s="37"/>
      <c r="K1880" s="37"/>
      <c r="L1880" s="37"/>
      <c r="M1880" s="37"/>
      <c r="N1880" s="37"/>
      <c r="O1880" s="37"/>
      <c r="P1880" s="37"/>
      <c r="Q1880" s="37"/>
      <c r="R1880" s="37"/>
      <c r="S1880" s="37"/>
      <c r="T1880" s="37"/>
      <c r="U1880" s="37"/>
      <c r="V1880" s="37"/>
      <c r="W1880" s="37"/>
      <c r="X1880" s="37"/>
      <c r="Y1880" s="37"/>
      <c r="Z1880" s="37"/>
      <c r="AA1880" s="37"/>
      <c r="AB1880" s="37"/>
      <c r="AC1880" s="37"/>
      <c r="AD1880" s="37"/>
    </row>
    <row r="1881">
      <c r="A1881" s="37"/>
      <c r="B1881" s="37"/>
      <c r="C1881" s="37"/>
      <c r="D1881" s="37"/>
      <c r="E1881" s="37"/>
      <c r="F1881" s="37"/>
      <c r="G1881" s="37"/>
      <c r="H1881" s="37"/>
      <c r="I1881" s="37"/>
      <c r="J1881" s="37"/>
      <c r="K1881" s="37"/>
      <c r="L1881" s="37"/>
      <c r="M1881" s="37"/>
      <c r="N1881" s="37"/>
      <c r="O1881" s="37"/>
      <c r="P1881" s="37"/>
      <c r="Q1881" s="37"/>
      <c r="R1881" s="37"/>
      <c r="S1881" s="37"/>
      <c r="T1881" s="37"/>
      <c r="U1881" s="37"/>
      <c r="V1881" s="37"/>
      <c r="W1881" s="37"/>
      <c r="X1881" s="37"/>
      <c r="Y1881" s="37"/>
      <c r="Z1881" s="37"/>
      <c r="AA1881" s="37"/>
      <c r="AB1881" s="37"/>
      <c r="AC1881" s="37"/>
      <c r="AD1881" s="37"/>
    </row>
    <row r="1882">
      <c r="A1882" s="37"/>
      <c r="B1882" s="37"/>
      <c r="C1882" s="37"/>
      <c r="D1882" s="37"/>
      <c r="E1882" s="37"/>
      <c r="F1882" s="37"/>
      <c r="G1882" s="37"/>
      <c r="H1882" s="37"/>
      <c r="I1882" s="37"/>
      <c r="J1882" s="37"/>
      <c r="K1882" s="37"/>
      <c r="L1882" s="37"/>
      <c r="M1882" s="37"/>
      <c r="N1882" s="37"/>
      <c r="O1882" s="37"/>
      <c r="P1882" s="37"/>
      <c r="Q1882" s="37"/>
      <c r="R1882" s="37"/>
      <c r="S1882" s="37"/>
      <c r="T1882" s="37"/>
      <c r="U1882" s="37"/>
      <c r="V1882" s="37"/>
      <c r="W1882" s="37"/>
      <c r="X1882" s="37"/>
      <c r="Y1882" s="37"/>
      <c r="Z1882" s="37"/>
      <c r="AA1882" s="37"/>
      <c r="AB1882" s="37"/>
      <c r="AC1882" s="37"/>
      <c r="AD1882" s="37"/>
    </row>
    <row r="1883">
      <c r="A1883" s="37"/>
      <c r="B1883" s="37"/>
      <c r="C1883" s="37"/>
      <c r="D1883" s="37"/>
      <c r="E1883" s="37"/>
      <c r="F1883" s="37"/>
      <c r="G1883" s="37"/>
      <c r="H1883" s="37"/>
      <c r="I1883" s="37"/>
      <c r="J1883" s="37"/>
      <c r="K1883" s="37"/>
      <c r="L1883" s="37"/>
      <c r="M1883" s="37"/>
      <c r="N1883" s="37"/>
      <c r="O1883" s="37"/>
      <c r="P1883" s="37"/>
      <c r="Q1883" s="37"/>
      <c r="R1883" s="37"/>
      <c r="S1883" s="37"/>
      <c r="T1883" s="37"/>
      <c r="U1883" s="37"/>
      <c r="V1883" s="37"/>
      <c r="W1883" s="37"/>
      <c r="X1883" s="37"/>
      <c r="Y1883" s="37"/>
      <c r="Z1883" s="37"/>
      <c r="AA1883" s="37"/>
      <c r="AB1883" s="37"/>
      <c r="AC1883" s="37"/>
      <c r="AD1883" s="37"/>
    </row>
    <row r="1884">
      <c r="A1884" s="37"/>
      <c r="B1884" s="37"/>
      <c r="C1884" s="37"/>
      <c r="D1884" s="37"/>
      <c r="E1884" s="37"/>
      <c r="F1884" s="37"/>
      <c r="G1884" s="37"/>
      <c r="H1884" s="37"/>
      <c r="I1884" s="37"/>
      <c r="J1884" s="37"/>
      <c r="K1884" s="37"/>
      <c r="L1884" s="37"/>
      <c r="M1884" s="37"/>
      <c r="N1884" s="37"/>
      <c r="O1884" s="37"/>
      <c r="P1884" s="37"/>
      <c r="Q1884" s="37"/>
      <c r="R1884" s="37"/>
      <c r="S1884" s="37"/>
      <c r="T1884" s="37"/>
      <c r="U1884" s="37"/>
      <c r="V1884" s="37"/>
      <c r="W1884" s="37"/>
      <c r="X1884" s="37"/>
      <c r="Y1884" s="37"/>
      <c r="Z1884" s="37"/>
      <c r="AA1884" s="37"/>
      <c r="AB1884" s="37"/>
      <c r="AC1884" s="37"/>
      <c r="AD1884" s="37"/>
    </row>
    <row r="1885">
      <c r="A1885" s="37"/>
      <c r="B1885" s="37"/>
      <c r="C1885" s="37"/>
      <c r="D1885" s="37"/>
      <c r="E1885" s="37"/>
      <c r="F1885" s="37"/>
      <c r="G1885" s="37"/>
      <c r="H1885" s="37"/>
      <c r="I1885" s="37"/>
      <c r="J1885" s="37"/>
      <c r="K1885" s="37"/>
      <c r="L1885" s="37"/>
      <c r="M1885" s="37"/>
      <c r="N1885" s="37"/>
      <c r="O1885" s="37"/>
      <c r="P1885" s="37"/>
      <c r="Q1885" s="37"/>
      <c r="R1885" s="37"/>
      <c r="S1885" s="37"/>
      <c r="T1885" s="37"/>
      <c r="U1885" s="37"/>
      <c r="V1885" s="37"/>
      <c r="W1885" s="37"/>
      <c r="X1885" s="37"/>
      <c r="Y1885" s="37"/>
      <c r="Z1885" s="37"/>
      <c r="AA1885" s="37"/>
      <c r="AB1885" s="37"/>
      <c r="AC1885" s="37"/>
      <c r="AD1885" s="37"/>
    </row>
    <row r="1886">
      <c r="A1886" s="37"/>
      <c r="B1886" s="37"/>
      <c r="C1886" s="37"/>
      <c r="D1886" s="37"/>
      <c r="E1886" s="37"/>
      <c r="F1886" s="37"/>
      <c r="G1886" s="37"/>
      <c r="H1886" s="37"/>
      <c r="I1886" s="37"/>
      <c r="J1886" s="37"/>
      <c r="K1886" s="37"/>
      <c r="L1886" s="37"/>
      <c r="M1886" s="37"/>
      <c r="N1886" s="37"/>
      <c r="O1886" s="37"/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37"/>
      <c r="AA1886" s="37"/>
      <c r="AB1886" s="37"/>
      <c r="AC1886" s="37"/>
      <c r="AD1886" s="37"/>
    </row>
    <row r="1887">
      <c r="A1887" s="37"/>
      <c r="B1887" s="37"/>
      <c r="C1887" s="37"/>
      <c r="D1887" s="37"/>
      <c r="E1887" s="37"/>
      <c r="F1887" s="37"/>
      <c r="G1887" s="37"/>
      <c r="H1887" s="37"/>
      <c r="I1887" s="37"/>
      <c r="J1887" s="37"/>
      <c r="K1887" s="37"/>
      <c r="L1887" s="37"/>
      <c r="M1887" s="37"/>
      <c r="N1887" s="37"/>
      <c r="O1887" s="37"/>
      <c r="P1887" s="37"/>
      <c r="Q1887" s="37"/>
      <c r="R1887" s="37"/>
      <c r="S1887" s="37"/>
      <c r="T1887" s="37"/>
      <c r="U1887" s="37"/>
      <c r="V1887" s="37"/>
      <c r="W1887" s="37"/>
      <c r="X1887" s="37"/>
      <c r="Y1887" s="37"/>
      <c r="Z1887" s="37"/>
      <c r="AA1887" s="37"/>
      <c r="AB1887" s="37"/>
      <c r="AC1887" s="37"/>
      <c r="AD1887" s="37"/>
    </row>
    <row r="1888">
      <c r="A1888" s="37"/>
      <c r="B1888" s="37"/>
      <c r="C1888" s="37"/>
      <c r="D1888" s="37"/>
      <c r="E1888" s="37"/>
      <c r="F1888" s="37"/>
      <c r="G1888" s="37"/>
      <c r="H1888" s="37"/>
      <c r="I1888" s="37"/>
      <c r="J1888" s="37"/>
      <c r="K1888" s="37"/>
      <c r="L1888" s="37"/>
      <c r="M1888" s="37"/>
      <c r="N1888" s="37"/>
      <c r="O1888" s="37"/>
      <c r="P1888" s="37"/>
      <c r="Q1888" s="37"/>
      <c r="R1888" s="37"/>
      <c r="S1888" s="37"/>
      <c r="T1888" s="37"/>
      <c r="U1888" s="37"/>
      <c r="V1888" s="37"/>
      <c r="W1888" s="37"/>
      <c r="X1888" s="37"/>
      <c r="Y1888" s="37"/>
      <c r="Z1888" s="37"/>
      <c r="AA1888" s="37"/>
      <c r="AB1888" s="37"/>
      <c r="AC1888" s="37"/>
      <c r="AD1888" s="37"/>
    </row>
    <row r="1889">
      <c r="A1889" s="37"/>
      <c r="B1889" s="37"/>
      <c r="C1889" s="37"/>
      <c r="D1889" s="37"/>
      <c r="E1889" s="37"/>
      <c r="F1889" s="37"/>
      <c r="G1889" s="37"/>
      <c r="H1889" s="37"/>
      <c r="I1889" s="37"/>
      <c r="J1889" s="37"/>
      <c r="K1889" s="37"/>
      <c r="L1889" s="37"/>
      <c r="M1889" s="37"/>
      <c r="N1889" s="37"/>
      <c r="O1889" s="37"/>
      <c r="P1889" s="37"/>
      <c r="Q1889" s="37"/>
      <c r="R1889" s="37"/>
      <c r="S1889" s="37"/>
      <c r="T1889" s="37"/>
      <c r="U1889" s="37"/>
      <c r="V1889" s="37"/>
      <c r="W1889" s="37"/>
      <c r="X1889" s="37"/>
      <c r="Y1889" s="37"/>
      <c r="Z1889" s="37"/>
      <c r="AA1889" s="37"/>
      <c r="AB1889" s="37"/>
      <c r="AC1889" s="37"/>
      <c r="AD1889" s="37"/>
    </row>
    <row r="1890">
      <c r="A1890" s="37"/>
      <c r="B1890" s="37"/>
      <c r="C1890" s="37"/>
      <c r="D1890" s="37"/>
      <c r="E1890" s="37"/>
      <c r="F1890" s="37"/>
      <c r="G1890" s="37"/>
      <c r="H1890" s="37"/>
      <c r="I1890" s="37"/>
      <c r="J1890" s="37"/>
      <c r="K1890" s="37"/>
      <c r="L1890" s="37"/>
      <c r="M1890" s="37"/>
      <c r="N1890" s="37"/>
      <c r="O1890" s="37"/>
      <c r="P1890" s="37"/>
      <c r="Q1890" s="37"/>
      <c r="R1890" s="37"/>
      <c r="S1890" s="37"/>
      <c r="T1890" s="37"/>
      <c r="U1890" s="37"/>
      <c r="V1890" s="37"/>
      <c r="W1890" s="37"/>
      <c r="X1890" s="37"/>
      <c r="Y1890" s="37"/>
      <c r="Z1890" s="37"/>
      <c r="AA1890" s="37"/>
      <c r="AB1890" s="37"/>
      <c r="AC1890" s="37"/>
      <c r="AD1890" s="37"/>
    </row>
    <row r="1891">
      <c r="A1891" s="37"/>
      <c r="B1891" s="37"/>
      <c r="C1891" s="37"/>
      <c r="D1891" s="37"/>
      <c r="E1891" s="37"/>
      <c r="F1891" s="37"/>
      <c r="G1891" s="37"/>
      <c r="H1891" s="37"/>
      <c r="I1891" s="37"/>
      <c r="J1891" s="37"/>
      <c r="K1891" s="37"/>
      <c r="L1891" s="37"/>
      <c r="M1891" s="37"/>
      <c r="N1891" s="37"/>
      <c r="O1891" s="37"/>
      <c r="P1891" s="37"/>
      <c r="Q1891" s="37"/>
      <c r="R1891" s="37"/>
      <c r="S1891" s="37"/>
      <c r="T1891" s="37"/>
      <c r="U1891" s="37"/>
      <c r="V1891" s="37"/>
      <c r="W1891" s="37"/>
      <c r="X1891" s="37"/>
      <c r="Y1891" s="37"/>
      <c r="Z1891" s="37"/>
      <c r="AA1891" s="37"/>
      <c r="AB1891" s="37"/>
      <c r="AC1891" s="37"/>
      <c r="AD1891" s="37"/>
    </row>
    <row r="1892">
      <c r="A1892" s="37"/>
      <c r="B1892" s="37"/>
      <c r="C1892" s="37"/>
      <c r="D1892" s="37"/>
      <c r="E1892" s="37"/>
      <c r="F1892" s="37"/>
      <c r="G1892" s="37"/>
      <c r="H1892" s="37"/>
      <c r="I1892" s="37"/>
      <c r="J1892" s="37"/>
      <c r="K1892" s="37"/>
      <c r="L1892" s="37"/>
      <c r="M1892" s="37"/>
      <c r="N1892" s="37"/>
      <c r="O1892" s="37"/>
      <c r="P1892" s="37"/>
      <c r="Q1892" s="37"/>
      <c r="R1892" s="37"/>
      <c r="S1892" s="37"/>
      <c r="T1892" s="37"/>
      <c r="U1892" s="37"/>
      <c r="V1892" s="37"/>
      <c r="W1892" s="37"/>
      <c r="X1892" s="37"/>
      <c r="Y1892" s="37"/>
      <c r="Z1892" s="37"/>
      <c r="AA1892" s="37"/>
      <c r="AB1892" s="37"/>
      <c r="AC1892" s="37"/>
      <c r="AD1892" s="37"/>
    </row>
    <row r="1893">
      <c r="A1893" s="37"/>
      <c r="B1893" s="37"/>
      <c r="C1893" s="37"/>
      <c r="D1893" s="37"/>
      <c r="E1893" s="37"/>
      <c r="F1893" s="37"/>
      <c r="G1893" s="37"/>
      <c r="H1893" s="37"/>
      <c r="I1893" s="37"/>
      <c r="J1893" s="37"/>
      <c r="K1893" s="37"/>
      <c r="L1893" s="37"/>
      <c r="M1893" s="37"/>
      <c r="N1893" s="37"/>
      <c r="O1893" s="37"/>
      <c r="P1893" s="37"/>
      <c r="Q1893" s="37"/>
      <c r="R1893" s="37"/>
      <c r="S1893" s="37"/>
      <c r="T1893" s="37"/>
      <c r="U1893" s="37"/>
      <c r="V1893" s="37"/>
      <c r="W1893" s="37"/>
      <c r="X1893" s="37"/>
      <c r="Y1893" s="37"/>
      <c r="Z1893" s="37"/>
      <c r="AA1893" s="37"/>
      <c r="AB1893" s="37"/>
      <c r="AC1893" s="37"/>
      <c r="AD1893" s="37"/>
    </row>
    <row r="1894">
      <c r="A1894" s="37"/>
      <c r="B1894" s="37"/>
      <c r="C1894" s="37"/>
      <c r="D1894" s="37"/>
      <c r="E1894" s="37"/>
      <c r="F1894" s="37"/>
      <c r="G1894" s="37"/>
      <c r="H1894" s="37"/>
      <c r="I1894" s="37"/>
      <c r="J1894" s="37"/>
      <c r="K1894" s="37"/>
      <c r="L1894" s="37"/>
      <c r="M1894" s="37"/>
      <c r="N1894" s="37"/>
      <c r="O1894" s="37"/>
      <c r="P1894" s="37"/>
      <c r="Q1894" s="37"/>
      <c r="R1894" s="37"/>
      <c r="S1894" s="37"/>
      <c r="T1894" s="37"/>
      <c r="U1894" s="37"/>
      <c r="V1894" s="37"/>
      <c r="W1894" s="37"/>
      <c r="X1894" s="37"/>
      <c r="Y1894" s="37"/>
      <c r="Z1894" s="37"/>
      <c r="AA1894" s="37"/>
      <c r="AB1894" s="37"/>
      <c r="AC1894" s="37"/>
      <c r="AD1894" s="37"/>
    </row>
    <row r="1895">
      <c r="A1895" s="37"/>
      <c r="B1895" s="37"/>
      <c r="C1895" s="37"/>
      <c r="D1895" s="37"/>
      <c r="E1895" s="37"/>
      <c r="F1895" s="37"/>
      <c r="G1895" s="37"/>
      <c r="H1895" s="37"/>
      <c r="I1895" s="37"/>
      <c r="J1895" s="37"/>
      <c r="K1895" s="37"/>
      <c r="L1895" s="37"/>
      <c r="M1895" s="37"/>
      <c r="N1895" s="37"/>
      <c r="O1895" s="37"/>
      <c r="P1895" s="37"/>
      <c r="Q1895" s="37"/>
      <c r="R1895" s="37"/>
      <c r="S1895" s="37"/>
      <c r="T1895" s="37"/>
      <c r="U1895" s="37"/>
      <c r="V1895" s="37"/>
      <c r="W1895" s="37"/>
      <c r="X1895" s="37"/>
      <c r="Y1895" s="37"/>
      <c r="Z1895" s="37"/>
      <c r="AA1895" s="37"/>
      <c r="AB1895" s="37"/>
      <c r="AC1895" s="37"/>
      <c r="AD1895" s="37"/>
    </row>
    <row r="1896">
      <c r="A1896" s="37"/>
      <c r="B1896" s="37"/>
      <c r="C1896" s="37"/>
      <c r="D1896" s="37"/>
      <c r="E1896" s="37"/>
      <c r="F1896" s="37"/>
      <c r="G1896" s="37"/>
      <c r="H1896" s="37"/>
      <c r="I1896" s="37"/>
      <c r="J1896" s="37"/>
      <c r="K1896" s="37"/>
      <c r="L1896" s="37"/>
      <c r="M1896" s="37"/>
      <c r="N1896" s="37"/>
      <c r="O1896" s="37"/>
      <c r="P1896" s="37"/>
      <c r="Q1896" s="37"/>
      <c r="R1896" s="37"/>
      <c r="S1896" s="37"/>
      <c r="T1896" s="37"/>
      <c r="U1896" s="37"/>
      <c r="V1896" s="37"/>
      <c r="W1896" s="37"/>
      <c r="X1896" s="37"/>
      <c r="Y1896" s="37"/>
      <c r="Z1896" s="37"/>
      <c r="AA1896" s="37"/>
      <c r="AB1896" s="37"/>
      <c r="AC1896" s="37"/>
      <c r="AD1896" s="37"/>
    </row>
    <row r="1897">
      <c r="A1897" s="37"/>
      <c r="B1897" s="37"/>
      <c r="C1897" s="37"/>
      <c r="D1897" s="37"/>
      <c r="E1897" s="37"/>
      <c r="F1897" s="37"/>
      <c r="G1897" s="37"/>
      <c r="H1897" s="37"/>
      <c r="I1897" s="37"/>
      <c r="J1897" s="37"/>
      <c r="K1897" s="37"/>
      <c r="L1897" s="37"/>
      <c r="M1897" s="37"/>
      <c r="N1897" s="37"/>
      <c r="O1897" s="37"/>
      <c r="P1897" s="37"/>
      <c r="Q1897" s="37"/>
      <c r="R1897" s="37"/>
      <c r="S1897" s="37"/>
      <c r="T1897" s="37"/>
      <c r="U1897" s="37"/>
      <c r="V1897" s="37"/>
      <c r="W1897" s="37"/>
      <c r="X1897" s="37"/>
      <c r="Y1897" s="37"/>
      <c r="Z1897" s="37"/>
      <c r="AA1897" s="37"/>
      <c r="AB1897" s="37"/>
      <c r="AC1897" s="37"/>
      <c r="AD1897" s="37"/>
    </row>
    <row r="1898">
      <c r="A1898" s="37"/>
      <c r="B1898" s="37"/>
      <c r="C1898" s="37"/>
      <c r="D1898" s="37"/>
      <c r="E1898" s="37"/>
      <c r="F1898" s="37"/>
      <c r="G1898" s="37"/>
      <c r="H1898" s="37"/>
      <c r="I1898" s="37"/>
      <c r="J1898" s="37"/>
      <c r="K1898" s="37"/>
      <c r="L1898" s="37"/>
      <c r="M1898" s="37"/>
      <c r="N1898" s="37"/>
      <c r="O1898" s="37"/>
      <c r="P1898" s="37"/>
      <c r="Q1898" s="37"/>
      <c r="R1898" s="37"/>
      <c r="S1898" s="37"/>
      <c r="T1898" s="37"/>
      <c r="U1898" s="37"/>
      <c r="V1898" s="37"/>
      <c r="W1898" s="37"/>
      <c r="X1898" s="37"/>
      <c r="Y1898" s="37"/>
      <c r="Z1898" s="37"/>
      <c r="AA1898" s="37"/>
      <c r="AB1898" s="37"/>
      <c r="AC1898" s="37"/>
      <c r="AD1898" s="37"/>
    </row>
    <row r="1899">
      <c r="A1899" s="37"/>
      <c r="B1899" s="37"/>
      <c r="C1899" s="37"/>
      <c r="D1899" s="37"/>
      <c r="E1899" s="37"/>
      <c r="F1899" s="37"/>
      <c r="G1899" s="37"/>
      <c r="H1899" s="37"/>
      <c r="I1899" s="37"/>
      <c r="J1899" s="37"/>
      <c r="K1899" s="37"/>
      <c r="L1899" s="37"/>
      <c r="M1899" s="37"/>
      <c r="N1899" s="37"/>
      <c r="O1899" s="37"/>
      <c r="P1899" s="37"/>
      <c r="Q1899" s="37"/>
      <c r="R1899" s="37"/>
      <c r="S1899" s="37"/>
      <c r="T1899" s="37"/>
      <c r="U1899" s="37"/>
      <c r="V1899" s="37"/>
      <c r="W1899" s="37"/>
      <c r="X1899" s="37"/>
      <c r="Y1899" s="37"/>
      <c r="Z1899" s="37"/>
      <c r="AA1899" s="37"/>
      <c r="AB1899" s="37"/>
      <c r="AC1899" s="37"/>
      <c r="AD1899" s="37"/>
    </row>
    <row r="1900">
      <c r="A1900" s="37"/>
      <c r="B1900" s="37"/>
      <c r="C1900" s="37"/>
      <c r="D1900" s="37"/>
      <c r="E1900" s="37"/>
      <c r="F1900" s="37"/>
      <c r="G1900" s="37"/>
      <c r="H1900" s="37"/>
      <c r="I1900" s="37"/>
      <c r="J1900" s="37"/>
      <c r="K1900" s="37"/>
      <c r="L1900" s="37"/>
      <c r="M1900" s="37"/>
      <c r="N1900" s="37"/>
      <c r="O1900" s="37"/>
      <c r="P1900" s="37"/>
      <c r="Q1900" s="37"/>
      <c r="R1900" s="37"/>
      <c r="S1900" s="37"/>
      <c r="T1900" s="37"/>
      <c r="U1900" s="37"/>
      <c r="V1900" s="37"/>
      <c r="W1900" s="37"/>
      <c r="X1900" s="37"/>
      <c r="Y1900" s="37"/>
      <c r="Z1900" s="37"/>
      <c r="AA1900" s="37"/>
      <c r="AB1900" s="37"/>
      <c r="AC1900" s="37"/>
      <c r="AD1900" s="37"/>
    </row>
    <row r="1901">
      <c r="A1901" s="37"/>
      <c r="B1901" s="37"/>
      <c r="C1901" s="37"/>
      <c r="D1901" s="37"/>
      <c r="E1901" s="37"/>
      <c r="F1901" s="37"/>
      <c r="G1901" s="37"/>
      <c r="H1901" s="37"/>
      <c r="I1901" s="37"/>
      <c r="J1901" s="37"/>
      <c r="K1901" s="37"/>
      <c r="L1901" s="37"/>
      <c r="M1901" s="37"/>
      <c r="N1901" s="37"/>
      <c r="O1901" s="37"/>
      <c r="P1901" s="37"/>
      <c r="Q1901" s="37"/>
      <c r="R1901" s="37"/>
      <c r="S1901" s="37"/>
      <c r="T1901" s="37"/>
      <c r="U1901" s="37"/>
      <c r="V1901" s="37"/>
      <c r="W1901" s="37"/>
      <c r="X1901" s="37"/>
      <c r="Y1901" s="37"/>
      <c r="Z1901" s="37"/>
      <c r="AA1901" s="37"/>
      <c r="AB1901" s="37"/>
      <c r="AC1901" s="37"/>
      <c r="AD1901" s="37"/>
    </row>
    <row r="1902">
      <c r="A1902" s="37"/>
      <c r="B1902" s="37"/>
      <c r="C1902" s="37"/>
      <c r="D1902" s="37"/>
      <c r="E1902" s="37"/>
      <c r="F1902" s="37"/>
      <c r="G1902" s="37"/>
      <c r="H1902" s="37"/>
      <c r="I1902" s="37"/>
      <c r="J1902" s="37"/>
      <c r="K1902" s="37"/>
      <c r="L1902" s="37"/>
      <c r="M1902" s="37"/>
      <c r="N1902" s="37"/>
      <c r="O1902" s="37"/>
      <c r="P1902" s="37"/>
      <c r="Q1902" s="37"/>
      <c r="R1902" s="37"/>
      <c r="S1902" s="37"/>
      <c r="T1902" s="37"/>
      <c r="U1902" s="37"/>
      <c r="V1902" s="37"/>
      <c r="W1902" s="37"/>
      <c r="X1902" s="37"/>
      <c r="Y1902" s="37"/>
      <c r="Z1902" s="37"/>
      <c r="AA1902" s="37"/>
      <c r="AB1902" s="37"/>
      <c r="AC1902" s="37"/>
      <c r="AD1902" s="37"/>
    </row>
    <row r="1903">
      <c r="A1903" s="37"/>
      <c r="B1903" s="37"/>
      <c r="C1903" s="37"/>
      <c r="D1903" s="37"/>
      <c r="E1903" s="37"/>
      <c r="F1903" s="37"/>
      <c r="G1903" s="37"/>
      <c r="H1903" s="37"/>
      <c r="I1903" s="37"/>
      <c r="J1903" s="37"/>
      <c r="K1903" s="37"/>
      <c r="L1903" s="37"/>
      <c r="M1903" s="37"/>
      <c r="N1903" s="37"/>
      <c r="O1903" s="37"/>
      <c r="P1903" s="37"/>
      <c r="Q1903" s="37"/>
      <c r="R1903" s="37"/>
      <c r="S1903" s="37"/>
      <c r="T1903" s="37"/>
      <c r="U1903" s="37"/>
      <c r="V1903" s="37"/>
      <c r="W1903" s="37"/>
      <c r="X1903" s="37"/>
      <c r="Y1903" s="37"/>
      <c r="Z1903" s="37"/>
      <c r="AA1903" s="37"/>
      <c r="AB1903" s="37"/>
      <c r="AC1903" s="37"/>
      <c r="AD1903" s="37"/>
    </row>
    <row r="1904">
      <c r="A1904" s="37"/>
      <c r="B1904" s="37"/>
      <c r="C1904" s="37"/>
      <c r="D1904" s="37"/>
      <c r="E1904" s="37"/>
      <c r="F1904" s="37"/>
      <c r="G1904" s="37"/>
      <c r="H1904" s="37"/>
      <c r="I1904" s="37"/>
      <c r="J1904" s="37"/>
      <c r="K1904" s="37"/>
      <c r="L1904" s="37"/>
      <c r="M1904" s="37"/>
      <c r="N1904" s="37"/>
      <c r="O1904" s="37"/>
      <c r="P1904" s="37"/>
      <c r="Q1904" s="37"/>
      <c r="R1904" s="37"/>
      <c r="S1904" s="37"/>
      <c r="T1904" s="37"/>
      <c r="U1904" s="37"/>
      <c r="V1904" s="37"/>
      <c r="W1904" s="37"/>
      <c r="X1904" s="37"/>
      <c r="Y1904" s="37"/>
      <c r="Z1904" s="37"/>
      <c r="AA1904" s="37"/>
      <c r="AB1904" s="37"/>
      <c r="AC1904" s="37"/>
      <c r="AD1904" s="37"/>
    </row>
    <row r="1905">
      <c r="A1905" s="37"/>
      <c r="B1905" s="37"/>
      <c r="C1905" s="37"/>
      <c r="D1905" s="37"/>
      <c r="E1905" s="37"/>
      <c r="F1905" s="37"/>
      <c r="G1905" s="37"/>
      <c r="H1905" s="37"/>
      <c r="I1905" s="37"/>
      <c r="J1905" s="37"/>
      <c r="K1905" s="37"/>
      <c r="L1905" s="37"/>
      <c r="M1905" s="37"/>
      <c r="N1905" s="37"/>
      <c r="O1905" s="37"/>
      <c r="P1905" s="37"/>
      <c r="Q1905" s="37"/>
      <c r="R1905" s="37"/>
      <c r="S1905" s="37"/>
      <c r="T1905" s="37"/>
      <c r="U1905" s="37"/>
      <c r="V1905" s="37"/>
      <c r="W1905" s="37"/>
      <c r="X1905" s="37"/>
      <c r="Y1905" s="37"/>
      <c r="Z1905" s="37"/>
      <c r="AA1905" s="37"/>
      <c r="AB1905" s="37"/>
      <c r="AC1905" s="37"/>
      <c r="AD1905" s="37"/>
    </row>
    <row r="1906">
      <c r="A1906" s="37"/>
      <c r="B1906" s="37"/>
      <c r="C1906" s="37"/>
      <c r="D1906" s="37"/>
      <c r="E1906" s="37"/>
      <c r="F1906" s="37"/>
      <c r="G1906" s="37"/>
      <c r="H1906" s="37"/>
      <c r="I1906" s="37"/>
      <c r="J1906" s="37"/>
      <c r="K1906" s="37"/>
      <c r="L1906" s="37"/>
      <c r="M1906" s="37"/>
      <c r="N1906" s="37"/>
      <c r="O1906" s="37"/>
      <c r="P1906" s="37"/>
      <c r="Q1906" s="37"/>
      <c r="R1906" s="37"/>
      <c r="S1906" s="37"/>
      <c r="T1906" s="37"/>
      <c r="U1906" s="37"/>
      <c r="V1906" s="37"/>
      <c r="W1906" s="37"/>
      <c r="X1906" s="37"/>
      <c r="Y1906" s="37"/>
      <c r="Z1906" s="37"/>
      <c r="AA1906" s="37"/>
      <c r="AB1906" s="37"/>
      <c r="AC1906" s="37"/>
      <c r="AD1906" s="37"/>
    </row>
    <row r="1907">
      <c r="A1907" s="37"/>
      <c r="B1907" s="37"/>
      <c r="C1907" s="37"/>
      <c r="D1907" s="37"/>
      <c r="E1907" s="37"/>
      <c r="F1907" s="37"/>
      <c r="G1907" s="37"/>
      <c r="H1907" s="37"/>
      <c r="I1907" s="37"/>
      <c r="J1907" s="37"/>
      <c r="K1907" s="37"/>
      <c r="L1907" s="37"/>
      <c r="M1907" s="37"/>
      <c r="N1907" s="37"/>
      <c r="O1907" s="37"/>
      <c r="P1907" s="37"/>
      <c r="Q1907" s="37"/>
      <c r="R1907" s="37"/>
      <c r="S1907" s="37"/>
      <c r="T1907" s="37"/>
      <c r="U1907" s="37"/>
      <c r="V1907" s="37"/>
      <c r="W1907" s="37"/>
      <c r="X1907" s="37"/>
      <c r="Y1907" s="37"/>
      <c r="Z1907" s="37"/>
      <c r="AA1907" s="37"/>
      <c r="AB1907" s="37"/>
      <c r="AC1907" s="37"/>
      <c r="AD1907" s="37"/>
    </row>
    <row r="1908">
      <c r="A1908" s="37"/>
      <c r="B1908" s="37"/>
      <c r="C1908" s="37"/>
      <c r="D1908" s="37"/>
      <c r="E1908" s="37"/>
      <c r="F1908" s="37"/>
      <c r="G1908" s="37"/>
      <c r="H1908" s="37"/>
      <c r="I1908" s="37"/>
      <c r="J1908" s="37"/>
      <c r="K1908" s="37"/>
      <c r="L1908" s="37"/>
      <c r="M1908" s="37"/>
      <c r="N1908" s="37"/>
      <c r="O1908" s="37"/>
      <c r="P1908" s="37"/>
      <c r="Q1908" s="37"/>
      <c r="R1908" s="37"/>
      <c r="S1908" s="37"/>
      <c r="T1908" s="37"/>
      <c r="U1908" s="37"/>
      <c r="V1908" s="37"/>
      <c r="W1908" s="37"/>
      <c r="X1908" s="37"/>
      <c r="Y1908" s="37"/>
      <c r="Z1908" s="37"/>
      <c r="AA1908" s="37"/>
      <c r="AB1908" s="37"/>
      <c r="AC1908" s="37"/>
      <c r="AD1908" s="37"/>
    </row>
    <row r="1909">
      <c r="A1909" s="37"/>
      <c r="B1909" s="37"/>
      <c r="C1909" s="37"/>
      <c r="D1909" s="37"/>
      <c r="E1909" s="37"/>
      <c r="F1909" s="37"/>
      <c r="G1909" s="37"/>
      <c r="H1909" s="37"/>
      <c r="I1909" s="37"/>
      <c r="J1909" s="37"/>
      <c r="K1909" s="37"/>
      <c r="L1909" s="37"/>
      <c r="M1909" s="37"/>
      <c r="N1909" s="37"/>
      <c r="O1909" s="37"/>
      <c r="P1909" s="37"/>
      <c r="Q1909" s="37"/>
      <c r="R1909" s="37"/>
      <c r="S1909" s="37"/>
      <c r="T1909" s="37"/>
      <c r="U1909" s="37"/>
      <c r="V1909" s="37"/>
      <c r="W1909" s="37"/>
      <c r="X1909" s="37"/>
      <c r="Y1909" s="37"/>
      <c r="Z1909" s="37"/>
      <c r="AA1909" s="37"/>
      <c r="AB1909" s="37"/>
      <c r="AC1909" s="37"/>
      <c r="AD1909" s="37"/>
    </row>
    <row r="1910">
      <c r="A1910" s="37"/>
      <c r="B1910" s="37"/>
      <c r="C1910" s="37"/>
      <c r="D1910" s="37"/>
      <c r="E1910" s="37"/>
      <c r="F1910" s="37"/>
      <c r="G1910" s="37"/>
      <c r="H1910" s="37"/>
      <c r="I1910" s="37"/>
      <c r="J1910" s="37"/>
      <c r="K1910" s="37"/>
      <c r="L1910" s="37"/>
      <c r="M1910" s="37"/>
      <c r="N1910" s="37"/>
      <c r="O1910" s="37"/>
      <c r="P1910" s="37"/>
      <c r="Q1910" s="37"/>
      <c r="R1910" s="37"/>
      <c r="S1910" s="37"/>
      <c r="T1910" s="37"/>
      <c r="U1910" s="37"/>
      <c r="V1910" s="37"/>
      <c r="W1910" s="37"/>
      <c r="X1910" s="37"/>
      <c r="Y1910" s="37"/>
      <c r="Z1910" s="37"/>
      <c r="AA1910" s="37"/>
      <c r="AB1910" s="37"/>
      <c r="AC1910" s="37"/>
      <c r="AD1910" s="37"/>
    </row>
    <row r="1911">
      <c r="A1911" s="37"/>
      <c r="B1911" s="37"/>
      <c r="C1911" s="37"/>
      <c r="D1911" s="37"/>
      <c r="E1911" s="37"/>
      <c r="F1911" s="37"/>
      <c r="G1911" s="37"/>
      <c r="H1911" s="37"/>
      <c r="I1911" s="37"/>
      <c r="J1911" s="37"/>
      <c r="K1911" s="37"/>
      <c r="L1911" s="37"/>
      <c r="M1911" s="37"/>
      <c r="N1911" s="37"/>
      <c r="O1911" s="37"/>
      <c r="P1911" s="37"/>
      <c r="Q1911" s="37"/>
      <c r="R1911" s="37"/>
      <c r="S1911" s="37"/>
      <c r="T1911" s="37"/>
      <c r="U1911" s="37"/>
      <c r="V1911" s="37"/>
      <c r="W1911" s="37"/>
      <c r="X1911" s="37"/>
      <c r="Y1911" s="37"/>
      <c r="Z1911" s="37"/>
      <c r="AA1911" s="37"/>
      <c r="AB1911" s="37"/>
      <c r="AC1911" s="37"/>
      <c r="AD1911" s="37"/>
    </row>
    <row r="1912">
      <c r="A1912" s="37"/>
      <c r="B1912" s="37"/>
      <c r="C1912" s="37"/>
      <c r="D1912" s="37"/>
      <c r="E1912" s="37"/>
      <c r="F1912" s="37"/>
      <c r="G1912" s="37"/>
      <c r="H1912" s="37"/>
      <c r="I1912" s="37"/>
      <c r="J1912" s="37"/>
      <c r="K1912" s="37"/>
      <c r="L1912" s="37"/>
      <c r="M1912" s="37"/>
      <c r="N1912" s="37"/>
      <c r="O1912" s="37"/>
      <c r="P1912" s="37"/>
      <c r="Q1912" s="37"/>
      <c r="R1912" s="37"/>
      <c r="S1912" s="37"/>
      <c r="T1912" s="37"/>
      <c r="U1912" s="37"/>
      <c r="V1912" s="37"/>
      <c r="W1912" s="37"/>
      <c r="X1912" s="37"/>
      <c r="Y1912" s="37"/>
      <c r="Z1912" s="37"/>
      <c r="AA1912" s="37"/>
      <c r="AB1912" s="37"/>
      <c r="AC1912" s="37"/>
      <c r="AD1912" s="37"/>
    </row>
    <row r="1913">
      <c r="A1913" s="37"/>
      <c r="B1913" s="37"/>
      <c r="C1913" s="37"/>
      <c r="D1913" s="37"/>
      <c r="E1913" s="37"/>
      <c r="F1913" s="37"/>
      <c r="G1913" s="37"/>
      <c r="H1913" s="37"/>
      <c r="I1913" s="37"/>
      <c r="J1913" s="37"/>
      <c r="K1913" s="37"/>
      <c r="L1913" s="37"/>
      <c r="M1913" s="37"/>
      <c r="N1913" s="37"/>
      <c r="O1913" s="37"/>
      <c r="P1913" s="37"/>
      <c r="Q1913" s="37"/>
      <c r="R1913" s="37"/>
      <c r="S1913" s="37"/>
      <c r="T1913" s="37"/>
      <c r="U1913" s="37"/>
      <c r="V1913" s="37"/>
      <c r="W1913" s="37"/>
      <c r="X1913" s="37"/>
      <c r="Y1913" s="37"/>
      <c r="Z1913" s="37"/>
      <c r="AA1913" s="37"/>
      <c r="AB1913" s="37"/>
      <c r="AC1913" s="37"/>
      <c r="AD1913" s="37"/>
    </row>
    <row r="1914">
      <c r="A1914" s="37"/>
      <c r="B1914" s="37"/>
      <c r="C1914" s="37"/>
      <c r="D1914" s="37"/>
      <c r="E1914" s="37"/>
      <c r="F1914" s="37"/>
      <c r="G1914" s="37"/>
      <c r="H1914" s="37"/>
      <c r="I1914" s="37"/>
      <c r="J1914" s="37"/>
      <c r="K1914" s="37"/>
      <c r="L1914" s="37"/>
      <c r="M1914" s="37"/>
      <c r="N1914" s="37"/>
      <c r="O1914" s="37"/>
      <c r="P1914" s="37"/>
      <c r="Q1914" s="37"/>
      <c r="R1914" s="37"/>
      <c r="S1914" s="37"/>
      <c r="T1914" s="37"/>
      <c r="U1914" s="37"/>
      <c r="V1914" s="37"/>
      <c r="W1914" s="37"/>
      <c r="X1914" s="37"/>
      <c r="Y1914" s="37"/>
      <c r="Z1914" s="37"/>
      <c r="AA1914" s="37"/>
      <c r="AB1914" s="37"/>
      <c r="AC1914" s="37"/>
      <c r="AD1914" s="37"/>
    </row>
    <row r="1915">
      <c r="A1915" s="37"/>
      <c r="B1915" s="37"/>
      <c r="C1915" s="37"/>
      <c r="D1915" s="37"/>
      <c r="E1915" s="37"/>
      <c r="F1915" s="37"/>
      <c r="G1915" s="37"/>
      <c r="H1915" s="37"/>
      <c r="I1915" s="37"/>
      <c r="J1915" s="37"/>
      <c r="K1915" s="37"/>
      <c r="L1915" s="37"/>
      <c r="M1915" s="37"/>
      <c r="N1915" s="37"/>
      <c r="O1915" s="37"/>
      <c r="P1915" s="37"/>
      <c r="Q1915" s="37"/>
      <c r="R1915" s="37"/>
      <c r="S1915" s="37"/>
      <c r="T1915" s="37"/>
      <c r="U1915" s="37"/>
      <c r="V1915" s="37"/>
      <c r="W1915" s="37"/>
      <c r="X1915" s="37"/>
      <c r="Y1915" s="37"/>
      <c r="Z1915" s="37"/>
      <c r="AA1915" s="37"/>
      <c r="AB1915" s="37"/>
      <c r="AC1915" s="37"/>
      <c r="AD1915" s="37"/>
    </row>
    <row r="1916">
      <c r="A1916" s="37"/>
      <c r="B1916" s="37"/>
      <c r="C1916" s="37"/>
      <c r="D1916" s="37"/>
      <c r="E1916" s="37"/>
      <c r="F1916" s="37"/>
      <c r="G1916" s="37"/>
      <c r="H1916" s="37"/>
      <c r="I1916" s="37"/>
      <c r="J1916" s="37"/>
      <c r="K1916" s="37"/>
      <c r="L1916" s="37"/>
      <c r="M1916" s="37"/>
      <c r="N1916" s="37"/>
      <c r="O1916" s="37"/>
      <c r="P1916" s="37"/>
      <c r="Q1916" s="37"/>
      <c r="R1916" s="37"/>
      <c r="S1916" s="37"/>
      <c r="T1916" s="37"/>
      <c r="U1916" s="37"/>
      <c r="V1916" s="37"/>
      <c r="W1916" s="37"/>
      <c r="X1916" s="37"/>
      <c r="Y1916" s="37"/>
      <c r="Z1916" s="37"/>
      <c r="AA1916" s="37"/>
      <c r="AB1916" s="37"/>
      <c r="AC1916" s="37"/>
      <c r="AD1916" s="37"/>
    </row>
    <row r="1917">
      <c r="A1917" s="37"/>
      <c r="B1917" s="37"/>
      <c r="C1917" s="37"/>
      <c r="D1917" s="37"/>
      <c r="E1917" s="37"/>
      <c r="F1917" s="37"/>
      <c r="G1917" s="37"/>
      <c r="H1917" s="37"/>
      <c r="I1917" s="37"/>
      <c r="J1917" s="37"/>
      <c r="K1917" s="37"/>
      <c r="L1917" s="37"/>
      <c r="M1917" s="37"/>
      <c r="N1917" s="37"/>
      <c r="O1917" s="37"/>
      <c r="P1917" s="37"/>
      <c r="Q1917" s="37"/>
      <c r="R1917" s="37"/>
      <c r="S1917" s="37"/>
      <c r="T1917" s="37"/>
      <c r="U1917" s="37"/>
      <c r="V1917" s="37"/>
      <c r="W1917" s="37"/>
      <c r="X1917" s="37"/>
      <c r="Y1917" s="37"/>
      <c r="Z1917" s="37"/>
      <c r="AA1917" s="37"/>
      <c r="AB1917" s="37"/>
      <c r="AC1917" s="37"/>
      <c r="AD1917" s="37"/>
    </row>
    <row r="1918">
      <c r="A1918" s="37"/>
      <c r="B1918" s="37"/>
      <c r="C1918" s="37"/>
      <c r="D1918" s="37"/>
      <c r="E1918" s="37"/>
      <c r="F1918" s="37"/>
      <c r="G1918" s="37"/>
      <c r="H1918" s="37"/>
      <c r="I1918" s="37"/>
      <c r="J1918" s="37"/>
      <c r="K1918" s="37"/>
      <c r="L1918" s="37"/>
      <c r="M1918" s="37"/>
      <c r="N1918" s="37"/>
      <c r="O1918" s="37"/>
      <c r="P1918" s="37"/>
      <c r="Q1918" s="37"/>
      <c r="R1918" s="37"/>
      <c r="S1918" s="37"/>
      <c r="T1918" s="37"/>
      <c r="U1918" s="37"/>
      <c r="V1918" s="37"/>
      <c r="W1918" s="37"/>
      <c r="X1918" s="37"/>
      <c r="Y1918" s="37"/>
      <c r="Z1918" s="37"/>
      <c r="AA1918" s="37"/>
      <c r="AB1918" s="37"/>
      <c r="AC1918" s="37"/>
      <c r="AD1918" s="37"/>
    </row>
    <row r="1919">
      <c r="A1919" s="37"/>
      <c r="B1919" s="37"/>
      <c r="C1919" s="37"/>
      <c r="D1919" s="37"/>
      <c r="E1919" s="37"/>
      <c r="F1919" s="37"/>
      <c r="G1919" s="37"/>
      <c r="H1919" s="37"/>
      <c r="I1919" s="37"/>
      <c r="J1919" s="37"/>
      <c r="K1919" s="37"/>
      <c r="L1919" s="37"/>
      <c r="M1919" s="37"/>
      <c r="N1919" s="37"/>
      <c r="O1919" s="37"/>
      <c r="P1919" s="37"/>
      <c r="Q1919" s="37"/>
      <c r="R1919" s="37"/>
      <c r="S1919" s="37"/>
      <c r="T1919" s="37"/>
      <c r="U1919" s="37"/>
      <c r="V1919" s="37"/>
      <c r="W1919" s="37"/>
      <c r="X1919" s="37"/>
      <c r="Y1919" s="37"/>
      <c r="Z1919" s="37"/>
      <c r="AA1919" s="37"/>
      <c r="AB1919" s="37"/>
      <c r="AC1919" s="37"/>
      <c r="AD1919" s="37"/>
    </row>
    <row r="1920">
      <c r="A1920" s="37"/>
      <c r="B1920" s="37"/>
      <c r="C1920" s="37"/>
      <c r="D1920" s="37"/>
      <c r="E1920" s="37"/>
      <c r="F1920" s="37"/>
      <c r="G1920" s="37"/>
      <c r="H1920" s="37"/>
      <c r="I1920" s="37"/>
      <c r="J1920" s="37"/>
      <c r="K1920" s="37"/>
      <c r="L1920" s="37"/>
      <c r="M1920" s="37"/>
      <c r="N1920" s="37"/>
      <c r="O1920" s="37"/>
      <c r="P1920" s="37"/>
      <c r="Q1920" s="37"/>
      <c r="R1920" s="37"/>
      <c r="S1920" s="37"/>
      <c r="T1920" s="37"/>
      <c r="U1920" s="37"/>
      <c r="V1920" s="37"/>
      <c r="W1920" s="37"/>
      <c r="X1920" s="37"/>
      <c r="Y1920" s="37"/>
      <c r="Z1920" s="37"/>
      <c r="AA1920" s="37"/>
      <c r="AB1920" s="37"/>
      <c r="AC1920" s="37"/>
      <c r="AD1920" s="37"/>
    </row>
    <row r="1921">
      <c r="A1921" s="37"/>
      <c r="B1921" s="37"/>
      <c r="C1921" s="37"/>
      <c r="D1921" s="37"/>
      <c r="E1921" s="37"/>
      <c r="F1921" s="37"/>
      <c r="G1921" s="37"/>
      <c r="H1921" s="37"/>
      <c r="I1921" s="37"/>
      <c r="J1921" s="37"/>
      <c r="K1921" s="37"/>
      <c r="L1921" s="37"/>
      <c r="M1921" s="37"/>
      <c r="N1921" s="37"/>
      <c r="O1921" s="37"/>
      <c r="P1921" s="37"/>
      <c r="Q1921" s="37"/>
      <c r="R1921" s="37"/>
      <c r="S1921" s="37"/>
      <c r="T1921" s="37"/>
      <c r="U1921" s="37"/>
      <c r="V1921" s="37"/>
      <c r="W1921" s="37"/>
      <c r="X1921" s="37"/>
      <c r="Y1921" s="37"/>
      <c r="Z1921" s="37"/>
      <c r="AA1921" s="37"/>
      <c r="AB1921" s="37"/>
      <c r="AC1921" s="37"/>
      <c r="AD1921" s="37"/>
    </row>
    <row r="1922">
      <c r="A1922" s="37"/>
      <c r="B1922" s="37"/>
      <c r="C1922" s="37"/>
      <c r="D1922" s="37"/>
      <c r="E1922" s="37"/>
      <c r="F1922" s="37"/>
      <c r="G1922" s="37"/>
      <c r="H1922" s="37"/>
      <c r="I1922" s="37"/>
      <c r="J1922" s="37"/>
      <c r="K1922" s="37"/>
      <c r="L1922" s="37"/>
      <c r="M1922" s="37"/>
      <c r="N1922" s="37"/>
      <c r="O1922" s="37"/>
      <c r="P1922" s="37"/>
      <c r="Q1922" s="37"/>
      <c r="R1922" s="37"/>
      <c r="S1922" s="37"/>
      <c r="T1922" s="37"/>
      <c r="U1922" s="37"/>
      <c r="V1922" s="37"/>
      <c r="W1922" s="37"/>
      <c r="X1922" s="37"/>
      <c r="Y1922" s="37"/>
      <c r="Z1922" s="37"/>
      <c r="AA1922" s="37"/>
      <c r="AB1922" s="37"/>
      <c r="AC1922" s="37"/>
      <c r="AD1922" s="37"/>
    </row>
    <row r="1923">
      <c r="A1923" s="37"/>
      <c r="B1923" s="37"/>
      <c r="C1923" s="37"/>
      <c r="D1923" s="37"/>
      <c r="E1923" s="37"/>
      <c r="F1923" s="37"/>
      <c r="G1923" s="37"/>
      <c r="H1923" s="37"/>
      <c r="I1923" s="37"/>
      <c r="J1923" s="37"/>
      <c r="K1923" s="37"/>
      <c r="L1923" s="37"/>
      <c r="M1923" s="37"/>
      <c r="N1923" s="37"/>
      <c r="O1923" s="37"/>
      <c r="P1923" s="37"/>
      <c r="Q1923" s="37"/>
      <c r="R1923" s="37"/>
      <c r="S1923" s="37"/>
      <c r="T1923" s="37"/>
      <c r="U1923" s="37"/>
      <c r="V1923" s="37"/>
      <c r="W1923" s="37"/>
      <c r="X1923" s="37"/>
      <c r="Y1923" s="37"/>
      <c r="Z1923" s="37"/>
      <c r="AA1923" s="37"/>
      <c r="AB1923" s="37"/>
      <c r="AC1923" s="37"/>
      <c r="AD1923" s="37"/>
    </row>
    <row r="1924">
      <c r="A1924" s="37"/>
      <c r="B1924" s="37"/>
      <c r="C1924" s="37"/>
      <c r="D1924" s="37"/>
      <c r="E1924" s="37"/>
      <c r="F1924" s="37"/>
      <c r="G1924" s="37"/>
      <c r="H1924" s="37"/>
      <c r="I1924" s="37"/>
      <c r="J1924" s="37"/>
      <c r="K1924" s="37"/>
      <c r="L1924" s="37"/>
      <c r="M1924" s="37"/>
      <c r="N1924" s="37"/>
      <c r="O1924" s="37"/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37"/>
      <c r="AA1924" s="37"/>
      <c r="AB1924" s="37"/>
      <c r="AC1924" s="37"/>
      <c r="AD1924" s="37"/>
    </row>
    <row r="1925">
      <c r="A1925" s="37"/>
      <c r="B1925" s="37"/>
      <c r="C1925" s="37"/>
      <c r="D1925" s="37"/>
      <c r="E1925" s="37"/>
      <c r="F1925" s="37"/>
      <c r="G1925" s="37"/>
      <c r="H1925" s="37"/>
      <c r="I1925" s="37"/>
      <c r="J1925" s="37"/>
      <c r="K1925" s="37"/>
      <c r="L1925" s="37"/>
      <c r="M1925" s="37"/>
      <c r="N1925" s="37"/>
      <c r="O1925" s="37"/>
      <c r="P1925" s="37"/>
      <c r="Q1925" s="37"/>
      <c r="R1925" s="37"/>
      <c r="S1925" s="37"/>
      <c r="T1925" s="37"/>
      <c r="U1925" s="37"/>
      <c r="V1925" s="37"/>
      <c r="W1925" s="37"/>
      <c r="X1925" s="37"/>
      <c r="Y1925" s="37"/>
      <c r="Z1925" s="37"/>
      <c r="AA1925" s="37"/>
      <c r="AB1925" s="37"/>
      <c r="AC1925" s="37"/>
      <c r="AD1925" s="37"/>
    </row>
    <row r="1926">
      <c r="A1926" s="37"/>
      <c r="B1926" s="37"/>
      <c r="C1926" s="37"/>
      <c r="D1926" s="37"/>
      <c r="E1926" s="37"/>
      <c r="F1926" s="37"/>
      <c r="G1926" s="37"/>
      <c r="H1926" s="37"/>
      <c r="I1926" s="37"/>
      <c r="J1926" s="37"/>
      <c r="K1926" s="37"/>
      <c r="L1926" s="37"/>
      <c r="M1926" s="37"/>
      <c r="N1926" s="37"/>
      <c r="O1926" s="37"/>
      <c r="P1926" s="37"/>
      <c r="Q1926" s="37"/>
      <c r="R1926" s="37"/>
      <c r="S1926" s="37"/>
      <c r="T1926" s="37"/>
      <c r="U1926" s="37"/>
      <c r="V1926" s="37"/>
      <c r="W1926" s="37"/>
      <c r="X1926" s="37"/>
      <c r="Y1926" s="37"/>
      <c r="Z1926" s="37"/>
      <c r="AA1926" s="37"/>
      <c r="AB1926" s="37"/>
      <c r="AC1926" s="37"/>
      <c r="AD1926" s="37"/>
    </row>
    <row r="1927">
      <c r="A1927" s="37"/>
      <c r="B1927" s="37"/>
      <c r="C1927" s="37"/>
      <c r="D1927" s="37"/>
      <c r="E1927" s="37"/>
      <c r="F1927" s="37"/>
      <c r="G1927" s="37"/>
      <c r="H1927" s="37"/>
      <c r="I1927" s="37"/>
      <c r="J1927" s="37"/>
      <c r="K1927" s="37"/>
      <c r="L1927" s="37"/>
      <c r="M1927" s="37"/>
      <c r="N1927" s="37"/>
      <c r="O1927" s="37"/>
      <c r="P1927" s="37"/>
      <c r="Q1927" s="37"/>
      <c r="R1927" s="37"/>
      <c r="S1927" s="37"/>
      <c r="T1927" s="37"/>
      <c r="U1927" s="37"/>
      <c r="V1927" s="37"/>
      <c r="W1927" s="37"/>
      <c r="X1927" s="37"/>
      <c r="Y1927" s="37"/>
      <c r="Z1927" s="37"/>
      <c r="AA1927" s="37"/>
      <c r="AB1927" s="37"/>
      <c r="AC1927" s="37"/>
      <c r="AD1927" s="37"/>
    </row>
    <row r="1928">
      <c r="A1928" s="37"/>
      <c r="B1928" s="37"/>
      <c r="C1928" s="37"/>
      <c r="D1928" s="37"/>
      <c r="E1928" s="37"/>
      <c r="F1928" s="37"/>
      <c r="G1928" s="37"/>
      <c r="H1928" s="37"/>
      <c r="I1928" s="37"/>
      <c r="J1928" s="37"/>
      <c r="K1928" s="37"/>
      <c r="L1928" s="37"/>
      <c r="M1928" s="37"/>
      <c r="N1928" s="37"/>
      <c r="O1928" s="37"/>
      <c r="P1928" s="37"/>
      <c r="Q1928" s="37"/>
      <c r="R1928" s="37"/>
      <c r="S1928" s="37"/>
      <c r="T1928" s="37"/>
      <c r="U1928" s="37"/>
      <c r="V1928" s="37"/>
      <c r="W1928" s="37"/>
      <c r="X1928" s="37"/>
      <c r="Y1928" s="37"/>
      <c r="Z1928" s="37"/>
      <c r="AA1928" s="37"/>
      <c r="AB1928" s="37"/>
      <c r="AC1928" s="37"/>
      <c r="AD1928" s="37"/>
    </row>
    <row r="1929">
      <c r="A1929" s="37"/>
      <c r="B1929" s="37"/>
      <c r="C1929" s="37"/>
      <c r="D1929" s="37"/>
      <c r="E1929" s="37"/>
      <c r="F1929" s="37"/>
      <c r="G1929" s="37"/>
      <c r="H1929" s="37"/>
      <c r="I1929" s="37"/>
      <c r="J1929" s="37"/>
      <c r="K1929" s="37"/>
      <c r="L1929" s="37"/>
      <c r="M1929" s="37"/>
      <c r="N1929" s="37"/>
      <c r="O1929" s="37"/>
      <c r="P1929" s="37"/>
      <c r="Q1929" s="37"/>
      <c r="R1929" s="37"/>
      <c r="S1929" s="37"/>
      <c r="T1929" s="37"/>
      <c r="U1929" s="37"/>
      <c r="V1929" s="37"/>
      <c r="W1929" s="37"/>
      <c r="X1929" s="37"/>
      <c r="Y1929" s="37"/>
      <c r="Z1929" s="37"/>
      <c r="AA1929" s="37"/>
      <c r="AB1929" s="37"/>
      <c r="AC1929" s="37"/>
      <c r="AD1929" s="37"/>
    </row>
    <row r="1930">
      <c r="A1930" s="37"/>
      <c r="B1930" s="37"/>
      <c r="C1930" s="37"/>
      <c r="D1930" s="37"/>
      <c r="E1930" s="37"/>
      <c r="F1930" s="37"/>
      <c r="G1930" s="37"/>
      <c r="H1930" s="37"/>
      <c r="I1930" s="37"/>
      <c r="J1930" s="37"/>
      <c r="K1930" s="37"/>
      <c r="L1930" s="37"/>
      <c r="M1930" s="37"/>
      <c r="N1930" s="37"/>
      <c r="O1930" s="37"/>
      <c r="P1930" s="37"/>
      <c r="Q1930" s="37"/>
      <c r="R1930" s="37"/>
      <c r="S1930" s="37"/>
      <c r="T1930" s="37"/>
      <c r="U1930" s="37"/>
      <c r="V1930" s="37"/>
      <c r="W1930" s="37"/>
      <c r="X1930" s="37"/>
      <c r="Y1930" s="37"/>
      <c r="Z1930" s="37"/>
      <c r="AA1930" s="37"/>
      <c r="AB1930" s="37"/>
      <c r="AC1930" s="37"/>
      <c r="AD1930" s="37"/>
    </row>
    <row r="1931">
      <c r="A1931" s="37"/>
      <c r="B1931" s="37"/>
      <c r="C1931" s="37"/>
      <c r="D1931" s="37"/>
      <c r="E1931" s="37"/>
      <c r="F1931" s="37"/>
      <c r="G1931" s="37"/>
      <c r="H1931" s="37"/>
      <c r="I1931" s="37"/>
      <c r="J1931" s="37"/>
      <c r="K1931" s="37"/>
      <c r="L1931" s="37"/>
      <c r="M1931" s="37"/>
      <c r="N1931" s="37"/>
      <c r="O1931" s="37"/>
      <c r="P1931" s="37"/>
      <c r="Q1931" s="37"/>
      <c r="R1931" s="37"/>
      <c r="S1931" s="37"/>
      <c r="T1931" s="37"/>
      <c r="U1931" s="37"/>
      <c r="V1931" s="37"/>
      <c r="W1931" s="37"/>
      <c r="X1931" s="37"/>
      <c r="Y1931" s="37"/>
      <c r="Z1931" s="37"/>
      <c r="AA1931" s="37"/>
      <c r="AB1931" s="37"/>
      <c r="AC1931" s="37"/>
      <c r="AD1931" s="37"/>
    </row>
    <row r="1932">
      <c r="A1932" s="37"/>
      <c r="B1932" s="37"/>
      <c r="C1932" s="37"/>
      <c r="D1932" s="37"/>
      <c r="E1932" s="37"/>
      <c r="F1932" s="37"/>
      <c r="G1932" s="37"/>
      <c r="H1932" s="37"/>
      <c r="I1932" s="37"/>
      <c r="J1932" s="37"/>
      <c r="K1932" s="37"/>
      <c r="L1932" s="37"/>
      <c r="M1932" s="37"/>
      <c r="N1932" s="37"/>
      <c r="O1932" s="37"/>
      <c r="P1932" s="37"/>
      <c r="Q1932" s="37"/>
      <c r="R1932" s="37"/>
      <c r="S1932" s="37"/>
      <c r="T1932" s="37"/>
      <c r="U1932" s="37"/>
      <c r="V1932" s="37"/>
      <c r="W1932" s="37"/>
      <c r="X1932" s="37"/>
      <c r="Y1932" s="37"/>
      <c r="Z1932" s="37"/>
      <c r="AA1932" s="37"/>
      <c r="AB1932" s="37"/>
      <c r="AC1932" s="37"/>
      <c r="AD1932" s="37"/>
    </row>
    <row r="1933">
      <c r="A1933" s="37"/>
      <c r="B1933" s="37"/>
      <c r="C1933" s="37"/>
      <c r="D1933" s="37"/>
      <c r="E1933" s="37"/>
      <c r="F1933" s="37"/>
      <c r="G1933" s="37"/>
      <c r="H1933" s="37"/>
      <c r="I1933" s="37"/>
      <c r="J1933" s="37"/>
      <c r="K1933" s="37"/>
      <c r="L1933" s="37"/>
      <c r="M1933" s="37"/>
      <c r="N1933" s="37"/>
      <c r="O1933" s="37"/>
      <c r="P1933" s="37"/>
      <c r="Q1933" s="37"/>
      <c r="R1933" s="37"/>
      <c r="S1933" s="37"/>
      <c r="T1933" s="37"/>
      <c r="U1933" s="37"/>
      <c r="V1933" s="37"/>
      <c r="W1933" s="37"/>
      <c r="X1933" s="37"/>
      <c r="Y1933" s="37"/>
      <c r="Z1933" s="37"/>
      <c r="AA1933" s="37"/>
      <c r="AB1933" s="37"/>
      <c r="AC1933" s="37"/>
      <c r="AD1933" s="37"/>
    </row>
    <row r="1934">
      <c r="A1934" s="37"/>
      <c r="B1934" s="37"/>
      <c r="C1934" s="37"/>
      <c r="D1934" s="37"/>
      <c r="E1934" s="37"/>
      <c r="F1934" s="37"/>
      <c r="G1934" s="37"/>
      <c r="H1934" s="37"/>
      <c r="I1934" s="37"/>
      <c r="J1934" s="37"/>
      <c r="K1934" s="37"/>
      <c r="L1934" s="37"/>
      <c r="M1934" s="37"/>
      <c r="N1934" s="37"/>
      <c r="O1934" s="37"/>
      <c r="P1934" s="37"/>
      <c r="Q1934" s="37"/>
      <c r="R1934" s="37"/>
      <c r="S1934" s="37"/>
      <c r="T1934" s="37"/>
      <c r="U1934" s="37"/>
      <c r="V1934" s="37"/>
      <c r="W1934" s="37"/>
      <c r="X1934" s="37"/>
      <c r="Y1934" s="37"/>
      <c r="Z1934" s="37"/>
      <c r="AA1934" s="37"/>
      <c r="AB1934" s="37"/>
      <c r="AC1934" s="37"/>
      <c r="AD1934" s="37"/>
    </row>
    <row r="1935">
      <c r="A1935" s="37"/>
      <c r="B1935" s="37"/>
      <c r="C1935" s="37"/>
      <c r="D1935" s="37"/>
      <c r="E1935" s="37"/>
      <c r="F1935" s="37"/>
      <c r="G1935" s="37"/>
      <c r="H1935" s="37"/>
      <c r="I1935" s="37"/>
      <c r="J1935" s="37"/>
      <c r="K1935" s="37"/>
      <c r="L1935" s="37"/>
      <c r="M1935" s="37"/>
      <c r="N1935" s="37"/>
      <c r="O1935" s="37"/>
      <c r="P1935" s="37"/>
      <c r="Q1935" s="37"/>
      <c r="R1935" s="37"/>
      <c r="S1935" s="37"/>
      <c r="T1935" s="37"/>
      <c r="U1935" s="37"/>
      <c r="V1935" s="37"/>
      <c r="W1935" s="37"/>
      <c r="X1935" s="37"/>
      <c r="Y1935" s="37"/>
      <c r="Z1935" s="37"/>
      <c r="AA1935" s="37"/>
      <c r="AB1935" s="37"/>
      <c r="AC1935" s="37"/>
      <c r="AD1935" s="37"/>
    </row>
    <row r="1936">
      <c r="A1936" s="37"/>
      <c r="B1936" s="37"/>
      <c r="C1936" s="37"/>
      <c r="D1936" s="37"/>
      <c r="E1936" s="37"/>
      <c r="F1936" s="37"/>
      <c r="G1936" s="37"/>
      <c r="H1936" s="37"/>
      <c r="I1936" s="37"/>
      <c r="J1936" s="37"/>
      <c r="K1936" s="37"/>
      <c r="L1936" s="37"/>
      <c r="M1936" s="37"/>
      <c r="N1936" s="37"/>
      <c r="O1936" s="37"/>
      <c r="P1936" s="37"/>
      <c r="Q1936" s="37"/>
      <c r="R1936" s="37"/>
      <c r="S1936" s="37"/>
      <c r="T1936" s="37"/>
      <c r="U1936" s="37"/>
      <c r="V1936" s="37"/>
      <c r="W1936" s="37"/>
      <c r="X1936" s="37"/>
      <c r="Y1936" s="37"/>
      <c r="Z1936" s="37"/>
      <c r="AA1936" s="37"/>
      <c r="AB1936" s="37"/>
      <c r="AC1936" s="37"/>
      <c r="AD1936" s="37"/>
    </row>
    <row r="1937">
      <c r="A1937" s="37"/>
      <c r="B1937" s="37"/>
      <c r="C1937" s="37"/>
      <c r="D1937" s="37"/>
      <c r="E1937" s="37"/>
      <c r="F1937" s="37"/>
      <c r="G1937" s="37"/>
      <c r="H1937" s="37"/>
      <c r="I1937" s="37"/>
      <c r="J1937" s="37"/>
      <c r="K1937" s="37"/>
      <c r="L1937" s="37"/>
      <c r="M1937" s="37"/>
      <c r="N1937" s="37"/>
      <c r="O1937" s="37"/>
      <c r="P1937" s="37"/>
      <c r="Q1937" s="37"/>
      <c r="R1937" s="37"/>
      <c r="S1937" s="37"/>
      <c r="T1937" s="37"/>
      <c r="U1937" s="37"/>
      <c r="V1937" s="37"/>
      <c r="W1937" s="37"/>
      <c r="X1937" s="37"/>
      <c r="Y1937" s="37"/>
      <c r="Z1937" s="37"/>
      <c r="AA1937" s="37"/>
      <c r="AB1937" s="37"/>
      <c r="AC1937" s="37"/>
      <c r="AD1937" s="37"/>
    </row>
    <row r="1938">
      <c r="A1938" s="37"/>
      <c r="B1938" s="37"/>
      <c r="C1938" s="37"/>
      <c r="D1938" s="37"/>
      <c r="E1938" s="37"/>
      <c r="F1938" s="37"/>
      <c r="G1938" s="37"/>
      <c r="H1938" s="37"/>
      <c r="I1938" s="37"/>
      <c r="J1938" s="37"/>
      <c r="K1938" s="37"/>
      <c r="L1938" s="37"/>
      <c r="M1938" s="37"/>
      <c r="N1938" s="37"/>
      <c r="O1938" s="37"/>
      <c r="P1938" s="37"/>
      <c r="Q1938" s="37"/>
      <c r="R1938" s="37"/>
      <c r="S1938" s="37"/>
      <c r="T1938" s="37"/>
      <c r="U1938" s="37"/>
      <c r="V1938" s="37"/>
      <c r="W1938" s="37"/>
      <c r="X1938" s="37"/>
      <c r="Y1938" s="37"/>
      <c r="Z1938" s="37"/>
      <c r="AA1938" s="37"/>
      <c r="AB1938" s="37"/>
      <c r="AC1938" s="37"/>
      <c r="AD1938" s="37"/>
    </row>
    <row r="1939">
      <c r="A1939" s="37"/>
      <c r="B1939" s="37"/>
      <c r="C1939" s="37"/>
      <c r="D1939" s="37"/>
      <c r="E1939" s="37"/>
      <c r="F1939" s="37"/>
      <c r="G1939" s="37"/>
      <c r="H1939" s="37"/>
      <c r="I1939" s="37"/>
      <c r="J1939" s="37"/>
      <c r="K1939" s="37"/>
      <c r="L1939" s="37"/>
      <c r="M1939" s="37"/>
      <c r="N1939" s="37"/>
      <c r="O1939" s="37"/>
      <c r="P1939" s="37"/>
      <c r="Q1939" s="37"/>
      <c r="R1939" s="37"/>
      <c r="S1939" s="37"/>
      <c r="T1939" s="37"/>
      <c r="U1939" s="37"/>
      <c r="V1939" s="37"/>
      <c r="W1939" s="37"/>
      <c r="X1939" s="37"/>
      <c r="Y1939" s="37"/>
      <c r="Z1939" s="37"/>
      <c r="AA1939" s="37"/>
      <c r="AB1939" s="37"/>
      <c r="AC1939" s="37"/>
      <c r="AD1939" s="37"/>
    </row>
    <row r="1940">
      <c r="A1940" s="37"/>
      <c r="B1940" s="37"/>
      <c r="C1940" s="37"/>
      <c r="D1940" s="37"/>
      <c r="E1940" s="37"/>
      <c r="F1940" s="37"/>
      <c r="G1940" s="37"/>
      <c r="H1940" s="37"/>
      <c r="I1940" s="37"/>
      <c r="J1940" s="37"/>
      <c r="K1940" s="37"/>
      <c r="L1940" s="37"/>
      <c r="M1940" s="37"/>
      <c r="N1940" s="37"/>
      <c r="O1940" s="37"/>
      <c r="P1940" s="37"/>
      <c r="Q1940" s="37"/>
      <c r="R1940" s="37"/>
      <c r="S1940" s="37"/>
      <c r="T1940" s="37"/>
      <c r="U1940" s="37"/>
      <c r="V1940" s="37"/>
      <c r="W1940" s="37"/>
      <c r="X1940" s="37"/>
      <c r="Y1940" s="37"/>
      <c r="Z1940" s="37"/>
      <c r="AA1940" s="37"/>
      <c r="AB1940" s="37"/>
      <c r="AC1940" s="37"/>
      <c r="AD1940" s="37"/>
    </row>
    <row r="1941">
      <c r="A1941" s="37"/>
      <c r="B1941" s="37"/>
      <c r="C1941" s="37"/>
      <c r="D1941" s="37"/>
      <c r="E1941" s="37"/>
      <c r="F1941" s="37"/>
      <c r="G1941" s="37"/>
      <c r="H1941" s="37"/>
      <c r="I1941" s="37"/>
      <c r="J1941" s="37"/>
      <c r="K1941" s="37"/>
      <c r="L1941" s="37"/>
      <c r="M1941" s="37"/>
      <c r="N1941" s="37"/>
      <c r="O1941" s="37"/>
      <c r="P1941" s="37"/>
      <c r="Q1941" s="37"/>
      <c r="R1941" s="37"/>
      <c r="S1941" s="37"/>
      <c r="T1941" s="37"/>
      <c r="U1941" s="37"/>
      <c r="V1941" s="37"/>
      <c r="W1941" s="37"/>
      <c r="X1941" s="37"/>
      <c r="Y1941" s="37"/>
      <c r="Z1941" s="37"/>
      <c r="AA1941" s="37"/>
      <c r="AB1941" s="37"/>
      <c r="AC1941" s="37"/>
      <c r="AD1941" s="37"/>
    </row>
    <row r="1942">
      <c r="A1942" s="37"/>
      <c r="B1942" s="37"/>
      <c r="C1942" s="37"/>
      <c r="D1942" s="37"/>
      <c r="E1942" s="37"/>
      <c r="F1942" s="37"/>
      <c r="G1942" s="37"/>
      <c r="H1942" s="37"/>
      <c r="I1942" s="37"/>
      <c r="J1942" s="37"/>
      <c r="K1942" s="37"/>
      <c r="L1942" s="37"/>
      <c r="M1942" s="37"/>
      <c r="N1942" s="37"/>
      <c r="O1942" s="37"/>
      <c r="P1942" s="37"/>
      <c r="Q1942" s="37"/>
      <c r="R1942" s="37"/>
      <c r="S1942" s="37"/>
      <c r="T1942" s="37"/>
      <c r="U1942" s="37"/>
      <c r="V1942" s="37"/>
      <c r="W1942" s="37"/>
      <c r="X1942" s="37"/>
      <c r="Y1942" s="37"/>
      <c r="Z1942" s="37"/>
      <c r="AA1942" s="37"/>
      <c r="AB1942" s="37"/>
      <c r="AC1942" s="37"/>
      <c r="AD1942" s="37"/>
    </row>
    <row r="1943">
      <c r="A1943" s="37"/>
      <c r="B1943" s="37"/>
      <c r="C1943" s="37"/>
      <c r="D1943" s="37"/>
      <c r="E1943" s="37"/>
      <c r="F1943" s="37"/>
      <c r="G1943" s="37"/>
      <c r="H1943" s="37"/>
      <c r="I1943" s="37"/>
      <c r="J1943" s="37"/>
      <c r="K1943" s="37"/>
      <c r="L1943" s="37"/>
      <c r="M1943" s="37"/>
      <c r="N1943" s="37"/>
      <c r="O1943" s="37"/>
      <c r="P1943" s="37"/>
      <c r="Q1943" s="37"/>
      <c r="R1943" s="37"/>
      <c r="S1943" s="37"/>
      <c r="T1943" s="37"/>
      <c r="U1943" s="37"/>
      <c r="V1943" s="37"/>
      <c r="W1943" s="37"/>
      <c r="X1943" s="37"/>
      <c r="Y1943" s="37"/>
      <c r="Z1943" s="37"/>
      <c r="AA1943" s="37"/>
      <c r="AB1943" s="37"/>
      <c r="AC1943" s="37"/>
      <c r="AD1943" s="37"/>
    </row>
    <row r="1944">
      <c r="A1944" s="37"/>
      <c r="B1944" s="37"/>
      <c r="C1944" s="37"/>
      <c r="D1944" s="37"/>
      <c r="E1944" s="37"/>
      <c r="F1944" s="37"/>
      <c r="G1944" s="37"/>
      <c r="H1944" s="37"/>
      <c r="I1944" s="37"/>
      <c r="J1944" s="37"/>
      <c r="K1944" s="37"/>
      <c r="L1944" s="37"/>
      <c r="M1944" s="37"/>
      <c r="N1944" s="37"/>
      <c r="O1944" s="37"/>
      <c r="P1944" s="37"/>
      <c r="Q1944" s="37"/>
      <c r="R1944" s="37"/>
      <c r="S1944" s="37"/>
      <c r="T1944" s="37"/>
      <c r="U1944" s="37"/>
      <c r="V1944" s="37"/>
      <c r="W1944" s="37"/>
      <c r="X1944" s="37"/>
      <c r="Y1944" s="37"/>
      <c r="Z1944" s="37"/>
      <c r="AA1944" s="37"/>
      <c r="AB1944" s="37"/>
      <c r="AC1944" s="37"/>
      <c r="AD1944" s="37"/>
    </row>
    <row r="1945">
      <c r="A1945" s="37"/>
      <c r="B1945" s="37"/>
      <c r="C1945" s="37"/>
      <c r="D1945" s="37"/>
      <c r="E1945" s="37"/>
      <c r="F1945" s="37"/>
      <c r="G1945" s="37"/>
      <c r="H1945" s="37"/>
      <c r="I1945" s="37"/>
      <c r="J1945" s="37"/>
      <c r="K1945" s="37"/>
      <c r="L1945" s="37"/>
      <c r="M1945" s="37"/>
      <c r="N1945" s="37"/>
      <c r="O1945" s="37"/>
      <c r="P1945" s="37"/>
      <c r="Q1945" s="37"/>
      <c r="R1945" s="37"/>
      <c r="S1945" s="37"/>
      <c r="T1945" s="37"/>
      <c r="U1945" s="37"/>
      <c r="V1945" s="37"/>
      <c r="W1945" s="37"/>
      <c r="X1945" s="37"/>
      <c r="Y1945" s="37"/>
      <c r="Z1945" s="37"/>
      <c r="AA1945" s="37"/>
      <c r="AB1945" s="37"/>
      <c r="AC1945" s="37"/>
      <c r="AD1945" s="37"/>
    </row>
    <row r="1946">
      <c r="A1946" s="37"/>
      <c r="B1946" s="37"/>
      <c r="C1946" s="37"/>
      <c r="D1946" s="37"/>
      <c r="E1946" s="37"/>
      <c r="F1946" s="37"/>
      <c r="G1946" s="37"/>
      <c r="H1946" s="37"/>
      <c r="I1946" s="37"/>
      <c r="J1946" s="37"/>
      <c r="K1946" s="37"/>
      <c r="L1946" s="37"/>
      <c r="M1946" s="37"/>
      <c r="N1946" s="37"/>
      <c r="O1946" s="37"/>
      <c r="P1946" s="37"/>
      <c r="Q1946" s="37"/>
      <c r="R1946" s="37"/>
      <c r="S1946" s="37"/>
      <c r="T1946" s="37"/>
      <c r="U1946" s="37"/>
      <c r="V1946" s="37"/>
      <c r="W1946" s="37"/>
      <c r="X1946" s="37"/>
      <c r="Y1946" s="37"/>
      <c r="Z1946" s="37"/>
      <c r="AA1946" s="37"/>
      <c r="AB1946" s="37"/>
      <c r="AC1946" s="37"/>
      <c r="AD1946" s="37"/>
    </row>
    <row r="1947">
      <c r="A1947" s="37"/>
      <c r="B1947" s="37"/>
      <c r="C1947" s="37"/>
      <c r="D1947" s="37"/>
      <c r="E1947" s="37"/>
      <c r="F1947" s="37"/>
      <c r="G1947" s="37"/>
      <c r="H1947" s="37"/>
      <c r="I1947" s="37"/>
      <c r="J1947" s="37"/>
      <c r="K1947" s="37"/>
      <c r="L1947" s="37"/>
      <c r="M1947" s="37"/>
      <c r="N1947" s="37"/>
      <c r="O1947" s="37"/>
      <c r="P1947" s="37"/>
      <c r="Q1947" s="37"/>
      <c r="R1947" s="37"/>
      <c r="S1947" s="37"/>
      <c r="T1947" s="37"/>
      <c r="U1947" s="37"/>
      <c r="V1947" s="37"/>
      <c r="W1947" s="37"/>
      <c r="X1947" s="37"/>
      <c r="Y1947" s="37"/>
      <c r="Z1947" s="37"/>
      <c r="AA1947" s="37"/>
      <c r="AB1947" s="37"/>
      <c r="AC1947" s="37"/>
      <c r="AD1947" s="37"/>
    </row>
    <row r="1948">
      <c r="A1948" s="37"/>
      <c r="B1948" s="37"/>
      <c r="C1948" s="37"/>
      <c r="D1948" s="37"/>
      <c r="E1948" s="37"/>
      <c r="F1948" s="37"/>
      <c r="G1948" s="37"/>
      <c r="H1948" s="37"/>
      <c r="I1948" s="37"/>
      <c r="J1948" s="37"/>
      <c r="K1948" s="37"/>
      <c r="L1948" s="37"/>
      <c r="M1948" s="37"/>
      <c r="N1948" s="37"/>
      <c r="O1948" s="37"/>
      <c r="P1948" s="37"/>
      <c r="Q1948" s="37"/>
      <c r="R1948" s="37"/>
      <c r="S1948" s="37"/>
      <c r="T1948" s="37"/>
      <c r="U1948" s="37"/>
      <c r="V1948" s="37"/>
      <c r="W1948" s="37"/>
      <c r="X1948" s="37"/>
      <c r="Y1948" s="37"/>
      <c r="Z1948" s="37"/>
      <c r="AA1948" s="37"/>
      <c r="AB1948" s="37"/>
      <c r="AC1948" s="37"/>
      <c r="AD1948" s="37"/>
    </row>
    <row r="1949">
      <c r="A1949" s="37"/>
      <c r="B1949" s="37"/>
      <c r="C1949" s="37"/>
      <c r="D1949" s="37"/>
      <c r="E1949" s="37"/>
      <c r="F1949" s="37"/>
      <c r="G1949" s="37"/>
      <c r="H1949" s="37"/>
      <c r="I1949" s="37"/>
      <c r="J1949" s="37"/>
      <c r="K1949" s="37"/>
      <c r="L1949" s="37"/>
      <c r="M1949" s="37"/>
      <c r="N1949" s="37"/>
      <c r="O1949" s="37"/>
      <c r="P1949" s="37"/>
      <c r="Q1949" s="37"/>
      <c r="R1949" s="37"/>
      <c r="S1949" s="37"/>
      <c r="T1949" s="37"/>
      <c r="U1949" s="37"/>
      <c r="V1949" s="37"/>
      <c r="W1949" s="37"/>
      <c r="X1949" s="37"/>
      <c r="Y1949" s="37"/>
      <c r="Z1949" s="37"/>
      <c r="AA1949" s="37"/>
      <c r="AB1949" s="37"/>
      <c r="AC1949" s="37"/>
      <c r="AD1949" s="37"/>
    </row>
    <row r="1950">
      <c r="A1950" s="37"/>
      <c r="B1950" s="37"/>
      <c r="C1950" s="37"/>
      <c r="D1950" s="37"/>
      <c r="E1950" s="37"/>
      <c r="F1950" s="37"/>
      <c r="G1950" s="37"/>
      <c r="H1950" s="37"/>
      <c r="I1950" s="37"/>
      <c r="J1950" s="37"/>
      <c r="K1950" s="37"/>
      <c r="L1950" s="37"/>
      <c r="M1950" s="37"/>
      <c r="N1950" s="37"/>
      <c r="O1950" s="37"/>
      <c r="P1950" s="37"/>
      <c r="Q1950" s="37"/>
      <c r="R1950" s="37"/>
      <c r="S1950" s="37"/>
      <c r="T1950" s="37"/>
      <c r="U1950" s="37"/>
      <c r="V1950" s="37"/>
      <c r="W1950" s="37"/>
      <c r="X1950" s="37"/>
      <c r="Y1950" s="37"/>
      <c r="Z1950" s="37"/>
      <c r="AA1950" s="37"/>
      <c r="AB1950" s="37"/>
      <c r="AC1950" s="37"/>
      <c r="AD1950" s="37"/>
    </row>
    <row r="1951">
      <c r="A1951" s="37"/>
      <c r="B1951" s="37"/>
      <c r="C1951" s="37"/>
      <c r="D1951" s="37"/>
      <c r="E1951" s="37"/>
      <c r="F1951" s="37"/>
      <c r="G1951" s="37"/>
      <c r="H1951" s="37"/>
      <c r="I1951" s="37"/>
      <c r="J1951" s="37"/>
      <c r="K1951" s="37"/>
      <c r="L1951" s="37"/>
      <c r="M1951" s="37"/>
      <c r="N1951" s="37"/>
      <c r="O1951" s="37"/>
      <c r="P1951" s="37"/>
      <c r="Q1951" s="37"/>
      <c r="R1951" s="37"/>
      <c r="S1951" s="37"/>
      <c r="T1951" s="37"/>
      <c r="U1951" s="37"/>
      <c r="V1951" s="37"/>
      <c r="W1951" s="37"/>
      <c r="X1951" s="37"/>
      <c r="Y1951" s="37"/>
      <c r="Z1951" s="37"/>
      <c r="AA1951" s="37"/>
      <c r="AB1951" s="37"/>
      <c r="AC1951" s="37"/>
      <c r="AD1951" s="37"/>
    </row>
    <row r="1952">
      <c r="A1952" s="37"/>
      <c r="B1952" s="37"/>
      <c r="C1952" s="37"/>
      <c r="D1952" s="37"/>
      <c r="E1952" s="37"/>
      <c r="F1952" s="37"/>
      <c r="G1952" s="37"/>
      <c r="H1952" s="37"/>
      <c r="I1952" s="37"/>
      <c r="J1952" s="37"/>
      <c r="K1952" s="37"/>
      <c r="L1952" s="37"/>
      <c r="M1952" s="37"/>
      <c r="N1952" s="37"/>
      <c r="O1952" s="37"/>
      <c r="P1952" s="37"/>
      <c r="Q1952" s="37"/>
      <c r="R1952" s="37"/>
      <c r="S1952" s="37"/>
      <c r="T1952" s="37"/>
      <c r="U1952" s="37"/>
      <c r="V1952" s="37"/>
      <c r="W1952" s="37"/>
      <c r="X1952" s="37"/>
      <c r="Y1952" s="37"/>
      <c r="Z1952" s="37"/>
      <c r="AA1952" s="37"/>
      <c r="AB1952" s="37"/>
      <c r="AC1952" s="37"/>
      <c r="AD1952" s="37"/>
    </row>
    <row r="1953">
      <c r="A1953" s="37"/>
      <c r="B1953" s="37"/>
      <c r="C1953" s="37"/>
      <c r="D1953" s="37"/>
      <c r="E1953" s="37"/>
      <c r="F1953" s="37"/>
      <c r="G1953" s="37"/>
      <c r="H1953" s="37"/>
      <c r="I1953" s="37"/>
      <c r="J1953" s="37"/>
      <c r="K1953" s="37"/>
      <c r="L1953" s="37"/>
      <c r="M1953" s="37"/>
      <c r="N1953" s="37"/>
      <c r="O1953" s="37"/>
      <c r="P1953" s="37"/>
      <c r="Q1953" s="37"/>
      <c r="R1953" s="37"/>
      <c r="S1953" s="37"/>
      <c r="T1953" s="37"/>
      <c r="U1953" s="37"/>
      <c r="V1953" s="37"/>
      <c r="W1953" s="37"/>
      <c r="X1953" s="37"/>
      <c r="Y1953" s="37"/>
      <c r="Z1953" s="37"/>
      <c r="AA1953" s="37"/>
      <c r="AB1953" s="37"/>
      <c r="AC1953" s="37"/>
      <c r="AD1953" s="37"/>
    </row>
    <row r="1954">
      <c r="A1954" s="37"/>
      <c r="B1954" s="37"/>
      <c r="C1954" s="37"/>
      <c r="D1954" s="37"/>
      <c r="E1954" s="37"/>
      <c r="F1954" s="37"/>
      <c r="G1954" s="37"/>
      <c r="H1954" s="37"/>
      <c r="I1954" s="37"/>
      <c r="J1954" s="37"/>
      <c r="K1954" s="37"/>
      <c r="L1954" s="37"/>
      <c r="M1954" s="37"/>
      <c r="N1954" s="37"/>
      <c r="O1954" s="37"/>
      <c r="P1954" s="37"/>
      <c r="Q1954" s="37"/>
      <c r="R1954" s="37"/>
      <c r="S1954" s="37"/>
      <c r="T1954" s="37"/>
      <c r="U1954" s="37"/>
      <c r="V1954" s="37"/>
      <c r="W1954" s="37"/>
      <c r="X1954" s="37"/>
      <c r="Y1954" s="37"/>
      <c r="Z1954" s="37"/>
      <c r="AA1954" s="37"/>
      <c r="AB1954" s="37"/>
      <c r="AC1954" s="37"/>
      <c r="AD1954" s="37"/>
    </row>
    <row r="1955">
      <c r="A1955" s="37"/>
      <c r="B1955" s="37"/>
      <c r="C1955" s="37"/>
      <c r="D1955" s="37"/>
      <c r="E1955" s="37"/>
      <c r="F1955" s="37"/>
      <c r="G1955" s="37"/>
      <c r="H1955" s="37"/>
      <c r="I1955" s="37"/>
      <c r="J1955" s="37"/>
      <c r="K1955" s="37"/>
      <c r="L1955" s="37"/>
      <c r="M1955" s="37"/>
      <c r="N1955" s="37"/>
      <c r="O1955" s="37"/>
      <c r="P1955" s="37"/>
      <c r="Q1955" s="37"/>
      <c r="R1955" s="37"/>
      <c r="S1955" s="37"/>
      <c r="T1955" s="37"/>
      <c r="U1955" s="37"/>
      <c r="V1955" s="37"/>
      <c r="W1955" s="37"/>
      <c r="X1955" s="37"/>
      <c r="Y1955" s="37"/>
      <c r="Z1955" s="37"/>
      <c r="AA1955" s="37"/>
      <c r="AB1955" s="37"/>
      <c r="AC1955" s="37"/>
      <c r="AD1955" s="37"/>
    </row>
    <row r="1956">
      <c r="A1956" s="37"/>
      <c r="B1956" s="37"/>
      <c r="C1956" s="37"/>
      <c r="D1956" s="37"/>
      <c r="E1956" s="37"/>
      <c r="F1956" s="37"/>
      <c r="G1956" s="37"/>
      <c r="H1956" s="37"/>
      <c r="I1956" s="37"/>
      <c r="J1956" s="37"/>
      <c r="K1956" s="37"/>
      <c r="L1956" s="37"/>
      <c r="M1956" s="37"/>
      <c r="N1956" s="37"/>
      <c r="O1956" s="37"/>
      <c r="P1956" s="37"/>
      <c r="Q1956" s="37"/>
      <c r="R1956" s="37"/>
      <c r="S1956" s="37"/>
      <c r="T1956" s="37"/>
      <c r="U1956" s="37"/>
      <c r="V1956" s="37"/>
      <c r="W1956" s="37"/>
      <c r="X1956" s="37"/>
      <c r="Y1956" s="37"/>
      <c r="Z1956" s="37"/>
      <c r="AA1956" s="37"/>
      <c r="AB1956" s="37"/>
      <c r="AC1956" s="37"/>
      <c r="AD1956" s="37"/>
    </row>
    <row r="1957">
      <c r="A1957" s="37"/>
      <c r="B1957" s="37"/>
      <c r="C1957" s="37"/>
      <c r="D1957" s="37"/>
      <c r="E1957" s="37"/>
      <c r="F1957" s="37"/>
      <c r="G1957" s="37"/>
      <c r="H1957" s="37"/>
      <c r="I1957" s="37"/>
      <c r="J1957" s="37"/>
      <c r="K1957" s="37"/>
      <c r="L1957" s="37"/>
      <c r="M1957" s="37"/>
      <c r="N1957" s="37"/>
      <c r="O1957" s="37"/>
      <c r="P1957" s="37"/>
      <c r="Q1957" s="37"/>
      <c r="R1957" s="37"/>
      <c r="S1957" s="37"/>
      <c r="T1957" s="37"/>
      <c r="U1957" s="37"/>
      <c r="V1957" s="37"/>
      <c r="W1957" s="37"/>
      <c r="X1957" s="37"/>
      <c r="Y1957" s="37"/>
      <c r="Z1957" s="37"/>
      <c r="AA1957" s="37"/>
      <c r="AB1957" s="37"/>
      <c r="AC1957" s="37"/>
      <c r="AD1957" s="37"/>
    </row>
    <row r="1958">
      <c r="A1958" s="37"/>
      <c r="B1958" s="37"/>
      <c r="C1958" s="37"/>
      <c r="D1958" s="37"/>
      <c r="E1958" s="37"/>
      <c r="F1958" s="37"/>
      <c r="G1958" s="37"/>
      <c r="H1958" s="37"/>
      <c r="I1958" s="37"/>
      <c r="J1958" s="37"/>
      <c r="K1958" s="37"/>
      <c r="L1958" s="37"/>
      <c r="M1958" s="37"/>
      <c r="N1958" s="37"/>
      <c r="O1958" s="37"/>
      <c r="P1958" s="37"/>
      <c r="Q1958" s="37"/>
      <c r="R1958" s="37"/>
      <c r="S1958" s="37"/>
      <c r="T1958" s="37"/>
      <c r="U1958" s="37"/>
      <c r="V1958" s="37"/>
      <c r="W1958" s="37"/>
      <c r="X1958" s="37"/>
      <c r="Y1958" s="37"/>
      <c r="Z1958" s="37"/>
      <c r="AA1958" s="37"/>
      <c r="AB1958" s="37"/>
      <c r="AC1958" s="37"/>
      <c r="AD1958" s="37"/>
    </row>
    <row r="1959">
      <c r="A1959" s="37"/>
      <c r="B1959" s="37"/>
      <c r="C1959" s="37"/>
      <c r="D1959" s="37"/>
      <c r="E1959" s="37"/>
      <c r="F1959" s="37"/>
      <c r="G1959" s="37"/>
      <c r="H1959" s="37"/>
      <c r="I1959" s="37"/>
      <c r="J1959" s="37"/>
      <c r="K1959" s="37"/>
      <c r="L1959" s="37"/>
      <c r="M1959" s="37"/>
      <c r="N1959" s="37"/>
      <c r="O1959" s="37"/>
      <c r="P1959" s="37"/>
      <c r="Q1959" s="37"/>
      <c r="R1959" s="37"/>
      <c r="S1959" s="37"/>
      <c r="T1959" s="37"/>
      <c r="U1959" s="37"/>
      <c r="V1959" s="37"/>
      <c r="W1959" s="37"/>
      <c r="X1959" s="37"/>
      <c r="Y1959" s="37"/>
      <c r="Z1959" s="37"/>
      <c r="AA1959" s="37"/>
      <c r="AB1959" s="37"/>
      <c r="AC1959" s="37"/>
      <c r="AD1959" s="37"/>
    </row>
    <row r="1960">
      <c r="A1960" s="37"/>
      <c r="B1960" s="37"/>
      <c r="C1960" s="37"/>
      <c r="D1960" s="37"/>
      <c r="E1960" s="37"/>
      <c r="F1960" s="37"/>
      <c r="G1960" s="37"/>
      <c r="H1960" s="37"/>
      <c r="I1960" s="37"/>
      <c r="J1960" s="37"/>
      <c r="K1960" s="37"/>
      <c r="L1960" s="37"/>
      <c r="M1960" s="37"/>
      <c r="N1960" s="37"/>
      <c r="O1960" s="37"/>
      <c r="P1960" s="37"/>
      <c r="Q1960" s="37"/>
      <c r="R1960" s="37"/>
      <c r="S1960" s="37"/>
      <c r="T1960" s="37"/>
      <c r="U1960" s="37"/>
      <c r="V1960" s="37"/>
      <c r="W1960" s="37"/>
      <c r="X1960" s="37"/>
      <c r="Y1960" s="37"/>
      <c r="Z1960" s="37"/>
      <c r="AA1960" s="37"/>
      <c r="AB1960" s="37"/>
      <c r="AC1960" s="37"/>
      <c r="AD1960" s="37"/>
    </row>
    <row r="1961">
      <c r="A1961" s="37"/>
      <c r="B1961" s="37"/>
      <c r="C1961" s="37"/>
      <c r="D1961" s="37"/>
      <c r="E1961" s="37"/>
      <c r="F1961" s="37"/>
      <c r="G1961" s="37"/>
      <c r="H1961" s="37"/>
      <c r="I1961" s="37"/>
      <c r="J1961" s="37"/>
      <c r="K1961" s="37"/>
      <c r="L1961" s="37"/>
      <c r="M1961" s="37"/>
      <c r="N1961" s="37"/>
      <c r="O1961" s="37"/>
      <c r="P1961" s="37"/>
      <c r="Q1961" s="37"/>
      <c r="R1961" s="37"/>
      <c r="S1961" s="37"/>
      <c r="T1961" s="37"/>
      <c r="U1961" s="37"/>
      <c r="V1961" s="37"/>
      <c r="W1961" s="37"/>
      <c r="X1961" s="37"/>
      <c r="Y1961" s="37"/>
      <c r="Z1961" s="37"/>
      <c r="AA1961" s="37"/>
      <c r="AB1961" s="37"/>
      <c r="AC1961" s="37"/>
      <c r="AD1961" s="37"/>
    </row>
    <row r="1962">
      <c r="A1962" s="37"/>
      <c r="B1962" s="37"/>
      <c r="C1962" s="37"/>
      <c r="D1962" s="37"/>
      <c r="E1962" s="37"/>
      <c r="F1962" s="37"/>
      <c r="G1962" s="37"/>
      <c r="H1962" s="37"/>
      <c r="I1962" s="37"/>
      <c r="J1962" s="37"/>
      <c r="K1962" s="37"/>
      <c r="L1962" s="37"/>
      <c r="M1962" s="37"/>
      <c r="N1962" s="37"/>
      <c r="O1962" s="37"/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37"/>
      <c r="AA1962" s="37"/>
      <c r="AB1962" s="37"/>
      <c r="AC1962" s="37"/>
      <c r="AD1962" s="37"/>
    </row>
    <row r="1963">
      <c r="A1963" s="37"/>
      <c r="B1963" s="37"/>
      <c r="C1963" s="37"/>
      <c r="D1963" s="37"/>
      <c r="E1963" s="37"/>
      <c r="F1963" s="37"/>
      <c r="G1963" s="37"/>
      <c r="H1963" s="37"/>
      <c r="I1963" s="37"/>
      <c r="J1963" s="37"/>
      <c r="K1963" s="37"/>
      <c r="L1963" s="37"/>
      <c r="M1963" s="37"/>
      <c r="N1963" s="37"/>
      <c r="O1963" s="37"/>
      <c r="P1963" s="37"/>
      <c r="Q1963" s="37"/>
      <c r="R1963" s="37"/>
      <c r="S1963" s="37"/>
      <c r="T1963" s="37"/>
      <c r="U1963" s="37"/>
      <c r="V1963" s="37"/>
      <c r="W1963" s="37"/>
      <c r="X1963" s="37"/>
      <c r="Y1963" s="37"/>
      <c r="Z1963" s="37"/>
      <c r="AA1963" s="37"/>
      <c r="AB1963" s="37"/>
      <c r="AC1963" s="37"/>
      <c r="AD1963" s="37"/>
    </row>
    <row r="1964">
      <c r="A1964" s="37"/>
      <c r="B1964" s="37"/>
      <c r="C1964" s="37"/>
      <c r="D1964" s="37"/>
      <c r="E1964" s="37"/>
      <c r="F1964" s="37"/>
      <c r="G1964" s="37"/>
      <c r="H1964" s="37"/>
      <c r="I1964" s="37"/>
      <c r="J1964" s="37"/>
      <c r="K1964" s="37"/>
      <c r="L1964" s="37"/>
      <c r="M1964" s="37"/>
      <c r="N1964" s="37"/>
      <c r="O1964" s="37"/>
      <c r="P1964" s="37"/>
      <c r="Q1964" s="37"/>
      <c r="R1964" s="37"/>
      <c r="S1964" s="37"/>
      <c r="T1964" s="37"/>
      <c r="U1964" s="37"/>
      <c r="V1964" s="37"/>
      <c r="W1964" s="37"/>
      <c r="X1964" s="37"/>
      <c r="Y1964" s="37"/>
      <c r="Z1964" s="37"/>
      <c r="AA1964" s="37"/>
      <c r="AB1964" s="37"/>
      <c r="AC1964" s="37"/>
      <c r="AD1964" s="37"/>
    </row>
  </sheetData>
  <conditionalFormatting sqref="A2:Q999">
    <cfRule type="expression" dxfId="2" priority="1">
      <formula>$M2=TRUE</formula>
    </cfRule>
  </conditionalFormatting>
  <dataValidations>
    <dataValidation type="list" allowBlank="1" showInputMessage="1" showErrorMessage="1" prompt="Escolha uma opção" sqref="I2:I18">
      <formula1>"Alto,Médio,Baixo"</formula1>
    </dataValidation>
    <dataValidation type="list" allowBlank="1" showInputMessage="1" showErrorMessage="1" prompt="Clique e digite um valor da lista de itens" sqref="H2:H18">
      <formula1>"Alta,Média,Baixa"</formula1>
    </dataValidation>
    <dataValidation type="list" allowBlank="1" showErrorMessage="1" sqref="C2:C18">
      <formula1>"Público,Praça,Produto,Preço,Promoção"</formula1>
    </dataValidation>
    <dataValidation type="list" allowBlank="1" showInputMessage="1" showErrorMessage="1" prompt="Escolha uma opção" sqref="J2:J18">
      <formula1>"Fácil,Médio,Difícil"</formula1>
    </dataValidation>
    <dataValidation type="list" allowBlank="1" showErrorMessage="1" sqref="G2:G18">
      <formula1>"Roger Minuzzo,Vitória Silva ,William Rodrigues,Everton da Silva "</formula1>
    </dataValidation>
    <dataValidation type="list" allowBlank="1" showErrorMessage="1" sqref="B2:B18">
      <formula1>"Tráfego,Egajamento,Monetização,Retenção"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5.0"/>
    <col hidden="1" min="2" max="5" width="12.63"/>
    <col customWidth="1" hidden="1" min="6" max="6" width="13.13"/>
    <col customWidth="1" min="7" max="7" width="13.13"/>
    <col customWidth="1" hidden="1" min="8" max="11" width="13.13"/>
    <col customWidth="1" min="12" max="22" width="13.13"/>
  </cols>
  <sheetData>
    <row r="1">
      <c r="A1" s="66" t="s">
        <v>1573</v>
      </c>
      <c r="B1" s="67"/>
      <c r="C1" s="68"/>
      <c r="D1" s="68"/>
      <c r="E1" s="68"/>
      <c r="F1" s="68"/>
      <c r="G1" s="67"/>
      <c r="H1" s="68"/>
      <c r="I1" s="68"/>
      <c r="J1" s="68"/>
      <c r="K1" s="68"/>
      <c r="L1" s="67"/>
      <c r="M1" s="68"/>
      <c r="N1" s="68"/>
      <c r="O1" s="68"/>
      <c r="P1" s="68"/>
      <c r="Q1" s="67"/>
      <c r="R1" s="68"/>
      <c r="S1" s="68"/>
      <c r="T1" s="68"/>
      <c r="U1" s="68"/>
      <c r="V1" s="67"/>
    </row>
    <row r="2">
      <c r="A2" s="69" t="s">
        <v>1574</v>
      </c>
      <c r="B2" s="70">
        <v>46082.0</v>
      </c>
      <c r="C2" s="71">
        <f t="shared" ref="C2:F2" si="1">B2+7</f>
        <v>46089</v>
      </c>
      <c r="D2" s="71">
        <f t="shared" si="1"/>
        <v>46096</v>
      </c>
      <c r="E2" s="71">
        <f t="shared" si="1"/>
        <v>46103</v>
      </c>
      <c r="F2" s="71">
        <f t="shared" si="1"/>
        <v>46110</v>
      </c>
      <c r="G2" s="70">
        <v>46082.0</v>
      </c>
      <c r="H2" s="71">
        <f t="shared" ref="H2:H3" si="6">F2+7</f>
        <v>46117</v>
      </c>
      <c r="I2" s="71">
        <f t="shared" ref="I2:K2" si="2">H2+7</f>
        <v>46124</v>
      </c>
      <c r="J2" s="71">
        <f t="shared" si="2"/>
        <v>46131</v>
      </c>
      <c r="K2" s="71">
        <f t="shared" si="2"/>
        <v>46138</v>
      </c>
      <c r="L2" s="70">
        <v>46113.0</v>
      </c>
      <c r="M2" s="71">
        <f t="shared" ref="M2:M3" si="8">K2+7</f>
        <v>46145</v>
      </c>
      <c r="N2" s="71">
        <f t="shared" ref="N2:P2" si="3">M2+7</f>
        <v>46152</v>
      </c>
      <c r="O2" s="71">
        <f t="shared" si="3"/>
        <v>46159</v>
      </c>
      <c r="P2" s="71">
        <f t="shared" si="3"/>
        <v>46166</v>
      </c>
      <c r="Q2" s="70">
        <v>46143.0</v>
      </c>
      <c r="R2" s="71">
        <f t="shared" ref="R2:R3" si="10">P2+7</f>
        <v>46173</v>
      </c>
      <c r="S2" s="71">
        <f t="shared" ref="S2:U2" si="4">R2+7</f>
        <v>46180</v>
      </c>
      <c r="T2" s="71">
        <f t="shared" si="4"/>
        <v>46187</v>
      </c>
      <c r="U2" s="71">
        <f t="shared" si="4"/>
        <v>46194</v>
      </c>
      <c r="V2" s="70">
        <v>46174.0</v>
      </c>
    </row>
    <row r="3">
      <c r="A3" s="69" t="s">
        <v>1575</v>
      </c>
      <c r="B3" s="70">
        <v>46088.0</v>
      </c>
      <c r="C3" s="71">
        <f t="shared" ref="C3:F3" si="5">B3+7</f>
        <v>46095</v>
      </c>
      <c r="D3" s="71">
        <f t="shared" si="5"/>
        <v>46102</v>
      </c>
      <c r="E3" s="71">
        <f t="shared" si="5"/>
        <v>46109</v>
      </c>
      <c r="F3" s="71">
        <f t="shared" si="5"/>
        <v>46116</v>
      </c>
      <c r="G3" s="70">
        <v>46112.0</v>
      </c>
      <c r="H3" s="71">
        <f t="shared" si="6"/>
        <v>46123</v>
      </c>
      <c r="I3" s="71">
        <f t="shared" ref="I3:K3" si="7">H3+7</f>
        <v>46130</v>
      </c>
      <c r="J3" s="71">
        <f t="shared" si="7"/>
        <v>46137</v>
      </c>
      <c r="K3" s="71">
        <f t="shared" si="7"/>
        <v>46144</v>
      </c>
      <c r="L3" s="70">
        <v>46142.0</v>
      </c>
      <c r="M3" s="71">
        <f t="shared" si="8"/>
        <v>46151</v>
      </c>
      <c r="N3" s="71">
        <f t="shared" ref="N3:P3" si="9">M3+7</f>
        <v>46158</v>
      </c>
      <c r="O3" s="71">
        <f t="shared" si="9"/>
        <v>46165</v>
      </c>
      <c r="P3" s="71">
        <f t="shared" si="9"/>
        <v>46172</v>
      </c>
      <c r="Q3" s="70">
        <v>46173.0</v>
      </c>
      <c r="R3" s="71">
        <f t="shared" si="10"/>
        <v>46179</v>
      </c>
      <c r="S3" s="71">
        <f t="shared" ref="S3:U3" si="11">R3+7</f>
        <v>46186</v>
      </c>
      <c r="T3" s="71">
        <f t="shared" si="11"/>
        <v>46193</v>
      </c>
      <c r="U3" s="71">
        <f t="shared" si="11"/>
        <v>46200</v>
      </c>
      <c r="V3" s="70">
        <v>46203.0</v>
      </c>
    </row>
    <row r="4">
      <c r="A4" s="72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</row>
    <row r="5">
      <c r="A5" s="74" t="s">
        <v>1576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</row>
    <row r="6">
      <c r="A6" s="76" t="s">
        <v>1577</v>
      </c>
      <c r="B6" s="77">
        <f t="shared" ref="B6:F6" si="12">B2</f>
        <v>46082</v>
      </c>
      <c r="C6" s="77">
        <f t="shared" si="12"/>
        <v>46089</v>
      </c>
      <c r="D6" s="77">
        <f t="shared" si="12"/>
        <v>46096</v>
      </c>
      <c r="E6" s="77">
        <f t="shared" si="12"/>
        <v>46103</v>
      </c>
      <c r="F6" s="77">
        <f t="shared" si="12"/>
        <v>46110</v>
      </c>
      <c r="G6" s="78" t="s">
        <v>10</v>
      </c>
      <c r="H6" s="77">
        <f t="shared" ref="H6:K6" si="13">H2</f>
        <v>46117</v>
      </c>
      <c r="I6" s="77">
        <f t="shared" si="13"/>
        <v>46124</v>
      </c>
      <c r="J6" s="77">
        <f t="shared" si="13"/>
        <v>46131</v>
      </c>
      <c r="K6" s="77">
        <f t="shared" si="13"/>
        <v>46138</v>
      </c>
      <c r="L6" s="78" t="s">
        <v>12</v>
      </c>
      <c r="M6" s="77">
        <f t="shared" ref="M6:P6" si="14">M2</f>
        <v>46145</v>
      </c>
      <c r="N6" s="77">
        <f t="shared" si="14"/>
        <v>46152</v>
      </c>
      <c r="O6" s="77">
        <f t="shared" si="14"/>
        <v>46159</v>
      </c>
      <c r="P6" s="77">
        <f t="shared" si="14"/>
        <v>46166</v>
      </c>
      <c r="Q6" s="78" t="s">
        <v>14</v>
      </c>
      <c r="R6" s="77">
        <f t="shared" ref="R6:U6" si="15">R2</f>
        <v>46173</v>
      </c>
      <c r="S6" s="77">
        <f t="shared" si="15"/>
        <v>46180</v>
      </c>
      <c r="T6" s="77">
        <f t="shared" si="15"/>
        <v>46187</v>
      </c>
      <c r="U6" s="77">
        <f t="shared" si="15"/>
        <v>46194</v>
      </c>
      <c r="V6" s="78" t="s">
        <v>16</v>
      </c>
    </row>
    <row r="7">
      <c r="A7" s="79" t="s">
        <v>1578</v>
      </c>
      <c r="B7" s="80">
        <f t="shared" ref="B7:V7" si="16">IFERROR(SUM(B49,B81)," ")</f>
        <v>20.73</v>
      </c>
      <c r="C7" s="80">
        <f t="shared" si="16"/>
        <v>35.93</v>
      </c>
      <c r="D7" s="80">
        <f t="shared" si="16"/>
        <v>165.54</v>
      </c>
      <c r="E7" s="80">
        <f t="shared" si="16"/>
        <v>208.31</v>
      </c>
      <c r="F7" s="80">
        <f t="shared" si="16"/>
        <v>354.67</v>
      </c>
      <c r="G7" s="81">
        <f t="shared" si="16"/>
        <v>525.29</v>
      </c>
      <c r="H7" s="80">
        <f t="shared" si="16"/>
        <v>496.12</v>
      </c>
      <c r="I7" s="80">
        <f t="shared" si="16"/>
        <v>726.76</v>
      </c>
      <c r="J7" s="80">
        <f t="shared" si="16"/>
        <v>672.21</v>
      </c>
      <c r="K7" s="80">
        <f t="shared" si="16"/>
        <v>420.89</v>
      </c>
      <c r="L7" s="81">
        <f t="shared" si="16"/>
        <v>2429.63</v>
      </c>
      <c r="M7" s="80">
        <f t="shared" si="16"/>
        <v>365.67</v>
      </c>
      <c r="N7" s="80">
        <f t="shared" si="16"/>
        <v>297.19</v>
      </c>
      <c r="O7" s="80">
        <f t="shared" si="16"/>
        <v>271.32</v>
      </c>
      <c r="P7" s="80">
        <f t="shared" si="16"/>
        <v>181.09</v>
      </c>
      <c r="Q7" s="81">
        <f t="shared" si="16"/>
        <v>1292.08</v>
      </c>
      <c r="R7" s="80">
        <f t="shared" si="16"/>
        <v>154.46</v>
      </c>
      <c r="S7" s="80">
        <f t="shared" si="16"/>
        <v>0</v>
      </c>
      <c r="T7" s="80">
        <f t="shared" si="16"/>
        <v>0</v>
      </c>
      <c r="U7" s="80">
        <f t="shared" si="16"/>
        <v>0</v>
      </c>
      <c r="V7" s="81">
        <f t="shared" si="16"/>
        <v>123.89</v>
      </c>
    </row>
    <row r="8">
      <c r="A8" s="79" t="s">
        <v>1579</v>
      </c>
      <c r="B8" s="80">
        <f t="shared" ref="B8:V8" si="17">IFERROR(SUM(B50,B82)," ")</f>
        <v>0</v>
      </c>
      <c r="C8" s="80">
        <f t="shared" si="17"/>
        <v>0</v>
      </c>
      <c r="D8" s="80">
        <f t="shared" si="17"/>
        <v>0</v>
      </c>
      <c r="E8" s="80">
        <f t="shared" si="17"/>
        <v>0</v>
      </c>
      <c r="F8" s="80">
        <f t="shared" si="17"/>
        <v>0</v>
      </c>
      <c r="G8" s="81">
        <f t="shared" si="17"/>
        <v>0</v>
      </c>
      <c r="H8" s="80">
        <f t="shared" si="17"/>
        <v>0</v>
      </c>
      <c r="I8" s="80">
        <f t="shared" si="17"/>
        <v>0</v>
      </c>
      <c r="J8" s="80">
        <f t="shared" si="17"/>
        <v>0</v>
      </c>
      <c r="K8" s="80">
        <f t="shared" si="17"/>
        <v>0</v>
      </c>
      <c r="L8" s="81">
        <f t="shared" si="17"/>
        <v>0</v>
      </c>
      <c r="M8" s="80">
        <f t="shared" si="17"/>
        <v>0</v>
      </c>
      <c r="N8" s="80">
        <f t="shared" si="17"/>
        <v>0</v>
      </c>
      <c r="O8" s="80">
        <f t="shared" si="17"/>
        <v>0</v>
      </c>
      <c r="P8" s="80">
        <f t="shared" si="17"/>
        <v>0</v>
      </c>
      <c r="Q8" s="81">
        <f t="shared" si="17"/>
        <v>0</v>
      </c>
      <c r="R8" s="80">
        <f t="shared" si="17"/>
        <v>0</v>
      </c>
      <c r="S8" s="80">
        <f t="shared" si="17"/>
        <v>0</v>
      </c>
      <c r="T8" s="80">
        <f t="shared" si="17"/>
        <v>0</v>
      </c>
      <c r="U8" s="80">
        <f t="shared" si="17"/>
        <v>0</v>
      </c>
      <c r="V8" s="81">
        <f t="shared" si="17"/>
        <v>0</v>
      </c>
    </row>
    <row r="9" ht="4.5" customHeight="1">
      <c r="A9" s="82"/>
      <c r="B9" s="83"/>
      <c r="C9" s="84"/>
      <c r="D9" s="84"/>
      <c r="E9" s="84"/>
      <c r="F9" s="84"/>
      <c r="G9" s="85"/>
      <c r="H9" s="84"/>
      <c r="I9" s="84"/>
      <c r="J9" s="84"/>
      <c r="K9" s="84"/>
      <c r="L9" s="85"/>
      <c r="M9" s="84"/>
      <c r="N9" s="84"/>
      <c r="O9" s="84"/>
      <c r="P9" s="84"/>
      <c r="Q9" s="85"/>
      <c r="R9" s="84"/>
      <c r="S9" s="84"/>
      <c r="T9" s="84"/>
      <c r="U9" s="84"/>
      <c r="V9" s="85"/>
    </row>
    <row r="10">
      <c r="A10" s="86" t="s">
        <v>1580</v>
      </c>
      <c r="B10" s="87">
        <f t="shared" ref="B10:V10" si="18">IFERROR(SUM(B52,B84)," ")</f>
        <v>51</v>
      </c>
      <c r="C10" s="87">
        <f t="shared" si="18"/>
        <v>61</v>
      </c>
      <c r="D10" s="87">
        <f t="shared" si="18"/>
        <v>11902</v>
      </c>
      <c r="E10" s="87">
        <f t="shared" si="18"/>
        <v>27639</v>
      </c>
      <c r="F10" s="87">
        <f t="shared" si="18"/>
        <v>41646</v>
      </c>
      <c r="G10" s="88">
        <f t="shared" si="18"/>
        <v>57382</v>
      </c>
      <c r="H10" s="87">
        <f t="shared" si="18"/>
        <v>41483</v>
      </c>
      <c r="I10" s="87">
        <f t="shared" si="18"/>
        <v>51546</v>
      </c>
      <c r="J10" s="87">
        <f t="shared" si="18"/>
        <v>45509</v>
      </c>
      <c r="K10" s="87">
        <f t="shared" si="18"/>
        <v>22910</v>
      </c>
      <c r="L10" s="88">
        <f t="shared" si="18"/>
        <v>178792</v>
      </c>
      <c r="M10" s="87">
        <f t="shared" si="18"/>
        <v>15497</v>
      </c>
      <c r="N10" s="87">
        <f t="shared" si="18"/>
        <v>12023</v>
      </c>
      <c r="O10" s="87">
        <f t="shared" si="18"/>
        <v>9057</v>
      </c>
      <c r="P10" s="87">
        <f t="shared" si="18"/>
        <v>7889</v>
      </c>
      <c r="Q10" s="88">
        <f t="shared" si="18"/>
        <v>53183</v>
      </c>
      <c r="R10" s="87">
        <f t="shared" si="18"/>
        <v>8467</v>
      </c>
      <c r="S10" s="87">
        <f t="shared" si="18"/>
        <v>0</v>
      </c>
      <c r="T10" s="87">
        <f t="shared" si="18"/>
        <v>0</v>
      </c>
      <c r="U10" s="87">
        <f t="shared" si="18"/>
        <v>0</v>
      </c>
      <c r="V10" s="88">
        <f t="shared" si="18"/>
        <v>6323</v>
      </c>
    </row>
    <row r="11">
      <c r="A11" s="86" t="s">
        <v>1581</v>
      </c>
      <c r="B11" s="87">
        <f t="shared" ref="B11:V11" si="19">IFERROR(SUM(B53,B85)," ")</f>
        <v>13</v>
      </c>
      <c r="C11" s="87">
        <f t="shared" si="19"/>
        <v>13</v>
      </c>
      <c r="D11" s="87">
        <f t="shared" si="19"/>
        <v>26</v>
      </c>
      <c r="E11" s="87">
        <f t="shared" si="19"/>
        <v>35</v>
      </c>
      <c r="F11" s="87">
        <f t="shared" si="19"/>
        <v>112</v>
      </c>
      <c r="G11" s="88">
        <f t="shared" si="19"/>
        <v>119</v>
      </c>
      <c r="H11" s="87">
        <f t="shared" si="19"/>
        <v>524</v>
      </c>
      <c r="I11" s="87">
        <f t="shared" si="19"/>
        <v>1359</v>
      </c>
      <c r="J11" s="87">
        <f t="shared" si="19"/>
        <v>823</v>
      </c>
      <c r="K11" s="87">
        <f t="shared" si="19"/>
        <v>295</v>
      </c>
      <c r="L11" s="88">
        <f t="shared" si="19"/>
        <v>2984</v>
      </c>
      <c r="M11" s="87">
        <f t="shared" si="19"/>
        <v>261</v>
      </c>
      <c r="N11" s="87">
        <f t="shared" si="19"/>
        <v>213</v>
      </c>
      <c r="O11" s="87">
        <f t="shared" si="19"/>
        <v>408</v>
      </c>
      <c r="P11" s="87">
        <f t="shared" si="19"/>
        <v>523</v>
      </c>
      <c r="Q11" s="88">
        <f t="shared" si="19"/>
        <v>1614</v>
      </c>
      <c r="R11" s="87">
        <f t="shared" si="19"/>
        <v>416</v>
      </c>
      <c r="S11" s="87">
        <f t="shared" si="19"/>
        <v>0</v>
      </c>
      <c r="T11" s="87">
        <f t="shared" si="19"/>
        <v>0</v>
      </c>
      <c r="U11" s="87">
        <f t="shared" si="19"/>
        <v>0</v>
      </c>
      <c r="V11" s="88">
        <f t="shared" si="19"/>
        <v>304</v>
      </c>
    </row>
    <row r="12">
      <c r="A12" s="86" t="s">
        <v>1582</v>
      </c>
      <c r="B12" s="87">
        <f t="shared" ref="B12:V12" si="20">IFERROR(SUM(B54,B86)," ")</f>
        <v>0</v>
      </c>
      <c r="C12" s="87">
        <f t="shared" si="20"/>
        <v>0</v>
      </c>
      <c r="D12" s="87">
        <f t="shared" si="20"/>
        <v>0</v>
      </c>
      <c r="E12" s="87">
        <f t="shared" si="20"/>
        <v>0</v>
      </c>
      <c r="F12" s="87">
        <f t="shared" si="20"/>
        <v>0</v>
      </c>
      <c r="G12" s="88">
        <f t="shared" si="20"/>
        <v>0</v>
      </c>
      <c r="H12" s="87">
        <f t="shared" si="20"/>
        <v>3</v>
      </c>
      <c r="I12" s="87">
        <f t="shared" si="20"/>
        <v>5</v>
      </c>
      <c r="J12" s="87">
        <f t="shared" si="20"/>
        <v>4</v>
      </c>
      <c r="K12" s="87">
        <f t="shared" si="20"/>
        <v>0</v>
      </c>
      <c r="L12" s="88">
        <f t="shared" si="20"/>
        <v>12</v>
      </c>
      <c r="M12" s="87">
        <f t="shared" si="20"/>
        <v>1</v>
      </c>
      <c r="N12" s="87">
        <f t="shared" si="20"/>
        <v>1</v>
      </c>
      <c r="O12" s="87">
        <f t="shared" si="20"/>
        <v>1</v>
      </c>
      <c r="P12" s="87">
        <f t="shared" si="20"/>
        <v>8</v>
      </c>
      <c r="Q12" s="88">
        <f t="shared" si="20"/>
        <v>14</v>
      </c>
      <c r="R12" s="87">
        <f t="shared" si="20"/>
        <v>11</v>
      </c>
      <c r="S12" s="87">
        <f t="shared" si="20"/>
        <v>0</v>
      </c>
      <c r="T12" s="87">
        <f t="shared" si="20"/>
        <v>0</v>
      </c>
      <c r="U12" s="87">
        <f t="shared" si="20"/>
        <v>0</v>
      </c>
      <c r="V12" s="88">
        <f t="shared" si="20"/>
        <v>9</v>
      </c>
    </row>
    <row r="13">
      <c r="A13" s="86" t="s">
        <v>1583</v>
      </c>
      <c r="B13" s="87"/>
      <c r="C13" s="87"/>
      <c r="D13" s="87"/>
      <c r="E13" s="87"/>
      <c r="F13" s="87"/>
      <c r="G13" s="88"/>
      <c r="H13" s="87">
        <f t="shared" ref="H13:P13" si="21">H87</f>
        <v>25</v>
      </c>
      <c r="I13" s="87">
        <f t="shared" si="21"/>
        <v>105</v>
      </c>
      <c r="J13" s="87">
        <f t="shared" si="21"/>
        <v>35</v>
      </c>
      <c r="K13" s="87">
        <f t="shared" si="21"/>
        <v>6</v>
      </c>
      <c r="L13" s="88">
        <f t="shared" si="21"/>
        <v>168</v>
      </c>
      <c r="M13" s="87">
        <f t="shared" si="21"/>
        <v>10</v>
      </c>
      <c r="N13" s="87">
        <f t="shared" si="21"/>
        <v>11</v>
      </c>
      <c r="O13" s="87">
        <f t="shared" si="21"/>
        <v>39</v>
      </c>
      <c r="P13" s="87">
        <f t="shared" si="21"/>
        <v>49</v>
      </c>
      <c r="Q13" s="88">
        <f t="shared" ref="Q13:Q14" si="24">Q54+Q87</f>
        <v>127</v>
      </c>
      <c r="R13" s="87">
        <f t="shared" ref="R13:U13" si="22">R87</f>
        <v>36</v>
      </c>
      <c r="S13" s="87">
        <f t="shared" si="22"/>
        <v>0</v>
      </c>
      <c r="T13" s="87">
        <f t="shared" si="22"/>
        <v>0</v>
      </c>
      <c r="U13" s="87">
        <f t="shared" si="22"/>
        <v>0</v>
      </c>
      <c r="V13" s="88">
        <f t="shared" ref="V13:V14" si="26">V54+V87</f>
        <v>26</v>
      </c>
    </row>
    <row r="14">
      <c r="A14" s="86" t="s">
        <v>1584</v>
      </c>
      <c r="B14" s="87"/>
      <c r="C14" s="87"/>
      <c r="D14" s="87"/>
      <c r="E14" s="87"/>
      <c r="F14" s="87"/>
      <c r="G14" s="88"/>
      <c r="H14" s="87">
        <f t="shared" ref="H14:P14" si="23">H88</f>
        <v>15</v>
      </c>
      <c r="I14" s="87">
        <f t="shared" si="23"/>
        <v>83</v>
      </c>
      <c r="J14" s="87">
        <f t="shared" si="23"/>
        <v>23</v>
      </c>
      <c r="K14" s="87">
        <f t="shared" si="23"/>
        <v>5</v>
      </c>
      <c r="L14" s="88">
        <f t="shared" si="23"/>
        <v>123</v>
      </c>
      <c r="M14" s="87">
        <f t="shared" si="23"/>
        <v>6</v>
      </c>
      <c r="N14" s="87">
        <f t="shared" si="23"/>
        <v>8</v>
      </c>
      <c r="O14" s="87">
        <f t="shared" si="23"/>
        <v>26</v>
      </c>
      <c r="P14" s="87">
        <f t="shared" si="23"/>
        <v>39</v>
      </c>
      <c r="Q14" s="88">
        <f t="shared" si="24"/>
        <v>92</v>
      </c>
      <c r="R14" s="87">
        <f t="shared" ref="R14:U14" si="25">R88</f>
        <v>28</v>
      </c>
      <c r="S14" s="87">
        <f t="shared" si="25"/>
        <v>0</v>
      </c>
      <c r="T14" s="87">
        <f t="shared" si="25"/>
        <v>0</v>
      </c>
      <c r="U14" s="87">
        <f t="shared" si="25"/>
        <v>0</v>
      </c>
      <c r="V14" s="88">
        <f t="shared" si="26"/>
        <v>21</v>
      </c>
    </row>
    <row r="15" hidden="1">
      <c r="A15" s="86" t="s">
        <v>1585</v>
      </c>
      <c r="B15" s="87">
        <f t="shared" ref="B15:V15" si="27">IFERROR(SUM(B56,B89)," ")</f>
        <v>0</v>
      </c>
      <c r="C15" s="87">
        <f t="shared" si="27"/>
        <v>0</v>
      </c>
      <c r="D15" s="87">
        <f t="shared" si="27"/>
        <v>0</v>
      </c>
      <c r="E15" s="87">
        <f t="shared" si="27"/>
        <v>0</v>
      </c>
      <c r="F15" s="87">
        <f t="shared" si="27"/>
        <v>0</v>
      </c>
      <c r="G15" s="88">
        <f t="shared" si="27"/>
        <v>0</v>
      </c>
      <c r="H15" s="87">
        <f t="shared" si="27"/>
        <v>0</v>
      </c>
      <c r="I15" s="87">
        <f t="shared" si="27"/>
        <v>0</v>
      </c>
      <c r="J15" s="87">
        <f t="shared" si="27"/>
        <v>0</v>
      </c>
      <c r="K15" s="87">
        <f t="shared" si="27"/>
        <v>0</v>
      </c>
      <c r="L15" s="88">
        <f t="shared" si="27"/>
        <v>0</v>
      </c>
      <c r="M15" s="87">
        <f t="shared" si="27"/>
        <v>0</v>
      </c>
      <c r="N15" s="87">
        <f t="shared" si="27"/>
        <v>0</v>
      </c>
      <c r="O15" s="87">
        <f t="shared" si="27"/>
        <v>0</v>
      </c>
      <c r="P15" s="87">
        <f t="shared" si="27"/>
        <v>0</v>
      </c>
      <c r="Q15" s="88">
        <f t="shared" si="27"/>
        <v>0</v>
      </c>
      <c r="R15" s="87">
        <f t="shared" si="27"/>
        <v>0</v>
      </c>
      <c r="S15" s="87">
        <f t="shared" si="27"/>
        <v>0</v>
      </c>
      <c r="T15" s="87">
        <f t="shared" si="27"/>
        <v>0</v>
      </c>
      <c r="U15" s="87">
        <f t="shared" si="27"/>
        <v>0</v>
      </c>
      <c r="V15" s="88">
        <f t="shared" si="27"/>
        <v>0</v>
      </c>
    </row>
    <row r="16" hidden="1">
      <c r="A16" s="86" t="s">
        <v>1586</v>
      </c>
      <c r="B16" s="87">
        <f t="shared" ref="B16:V16" si="28">IFERROR(SUM(B57,B90)," ")</f>
        <v>0</v>
      </c>
      <c r="C16" s="87">
        <f t="shared" si="28"/>
        <v>0</v>
      </c>
      <c r="D16" s="87">
        <f t="shared" si="28"/>
        <v>0</v>
      </c>
      <c r="E16" s="87">
        <f t="shared" si="28"/>
        <v>0</v>
      </c>
      <c r="F16" s="87">
        <f t="shared" si="28"/>
        <v>0</v>
      </c>
      <c r="G16" s="88">
        <f t="shared" si="28"/>
        <v>0</v>
      </c>
      <c r="H16" s="87">
        <f t="shared" si="28"/>
        <v>0</v>
      </c>
      <c r="I16" s="87">
        <f t="shared" si="28"/>
        <v>0</v>
      </c>
      <c r="J16" s="87">
        <f t="shared" si="28"/>
        <v>0</v>
      </c>
      <c r="K16" s="87">
        <f t="shared" si="28"/>
        <v>0</v>
      </c>
      <c r="L16" s="88">
        <f t="shared" si="28"/>
        <v>0</v>
      </c>
      <c r="M16" s="87">
        <f t="shared" si="28"/>
        <v>0</v>
      </c>
      <c r="N16" s="87">
        <f t="shared" si="28"/>
        <v>0</v>
      </c>
      <c r="O16" s="87">
        <f t="shared" si="28"/>
        <v>0</v>
      </c>
      <c r="P16" s="87">
        <f t="shared" si="28"/>
        <v>0</v>
      </c>
      <c r="Q16" s="88">
        <f t="shared" si="28"/>
        <v>0</v>
      </c>
      <c r="R16" s="87">
        <f t="shared" si="28"/>
        <v>0</v>
      </c>
      <c r="S16" s="87">
        <f t="shared" si="28"/>
        <v>0</v>
      </c>
      <c r="T16" s="87">
        <f t="shared" si="28"/>
        <v>0</v>
      </c>
      <c r="U16" s="87">
        <f t="shared" si="28"/>
        <v>0</v>
      </c>
      <c r="V16" s="88">
        <f t="shared" si="28"/>
        <v>0</v>
      </c>
    </row>
    <row r="17" hidden="1">
      <c r="A17" s="89" t="s">
        <v>1587</v>
      </c>
      <c r="B17" s="87">
        <f t="shared" ref="B17:V17" si="29">IFERROR(SUM(B58,B91)," ")</f>
        <v>0</v>
      </c>
      <c r="C17" s="87">
        <f t="shared" si="29"/>
        <v>0</v>
      </c>
      <c r="D17" s="87">
        <f t="shared" si="29"/>
        <v>0</v>
      </c>
      <c r="E17" s="87">
        <f t="shared" si="29"/>
        <v>0</v>
      </c>
      <c r="F17" s="87">
        <f t="shared" si="29"/>
        <v>0</v>
      </c>
      <c r="G17" s="88">
        <f t="shared" si="29"/>
        <v>0</v>
      </c>
      <c r="H17" s="87">
        <f t="shared" si="29"/>
        <v>0</v>
      </c>
      <c r="I17" s="87">
        <f t="shared" si="29"/>
        <v>0</v>
      </c>
      <c r="J17" s="87">
        <f t="shared" si="29"/>
        <v>0</v>
      </c>
      <c r="K17" s="87">
        <f t="shared" si="29"/>
        <v>0</v>
      </c>
      <c r="L17" s="88">
        <f t="shared" si="29"/>
        <v>0</v>
      </c>
      <c r="M17" s="87">
        <f t="shared" si="29"/>
        <v>0</v>
      </c>
      <c r="N17" s="87">
        <f t="shared" si="29"/>
        <v>0</v>
      </c>
      <c r="O17" s="87">
        <f t="shared" si="29"/>
        <v>0</v>
      </c>
      <c r="P17" s="87">
        <f t="shared" si="29"/>
        <v>0</v>
      </c>
      <c r="Q17" s="88">
        <f t="shared" si="29"/>
        <v>0</v>
      </c>
      <c r="R17" s="87">
        <f t="shared" si="29"/>
        <v>0</v>
      </c>
      <c r="S17" s="87">
        <f t="shared" si="29"/>
        <v>0</v>
      </c>
      <c r="T17" s="87">
        <f t="shared" si="29"/>
        <v>0</v>
      </c>
      <c r="U17" s="87">
        <f t="shared" si="29"/>
        <v>0</v>
      </c>
      <c r="V17" s="88">
        <f t="shared" si="29"/>
        <v>0</v>
      </c>
    </row>
    <row r="18" ht="5.25" customHeight="1">
      <c r="A18" s="82"/>
      <c r="B18" s="90"/>
      <c r="C18" s="90"/>
      <c r="D18" s="90"/>
      <c r="E18" s="90"/>
      <c r="F18" s="90"/>
      <c r="G18" s="91"/>
      <c r="H18" s="90"/>
      <c r="I18" s="90"/>
      <c r="J18" s="90"/>
      <c r="K18" s="90"/>
      <c r="L18" s="91"/>
      <c r="M18" s="90"/>
      <c r="N18" s="90"/>
      <c r="O18" s="90"/>
      <c r="P18" s="90"/>
      <c r="Q18" s="91"/>
      <c r="R18" s="90"/>
      <c r="S18" s="90"/>
      <c r="T18" s="90"/>
      <c r="U18" s="90"/>
      <c r="V18" s="91"/>
    </row>
    <row r="19">
      <c r="A19" s="92" t="s">
        <v>1588</v>
      </c>
      <c r="B19" s="93">
        <f t="shared" ref="B19:V19" si="30">IFERROR(B11/B10,"")</f>
        <v>0.2549019608</v>
      </c>
      <c r="C19" s="93">
        <f t="shared" si="30"/>
        <v>0.2131147541</v>
      </c>
      <c r="D19" s="93">
        <f t="shared" si="30"/>
        <v>0.002184506806</v>
      </c>
      <c r="E19" s="93">
        <f t="shared" si="30"/>
        <v>0.001266326568</v>
      </c>
      <c r="F19" s="93">
        <f t="shared" si="30"/>
        <v>0.00268933391</v>
      </c>
      <c r="G19" s="94">
        <f t="shared" si="30"/>
        <v>0.002073821059</v>
      </c>
      <c r="H19" s="93">
        <f t="shared" si="30"/>
        <v>0.01263168045</v>
      </c>
      <c r="I19" s="93">
        <f t="shared" si="30"/>
        <v>0.02636480037</v>
      </c>
      <c r="J19" s="93">
        <f t="shared" si="30"/>
        <v>0.01808433497</v>
      </c>
      <c r="K19" s="93">
        <f t="shared" si="30"/>
        <v>0.01287647316</v>
      </c>
      <c r="L19" s="94">
        <f t="shared" si="30"/>
        <v>0.01668978478</v>
      </c>
      <c r="M19" s="93">
        <f t="shared" si="30"/>
        <v>0.01684196941</v>
      </c>
      <c r="N19" s="93">
        <f t="shared" si="30"/>
        <v>0.01771604425</v>
      </c>
      <c r="O19" s="93">
        <f t="shared" si="30"/>
        <v>0.04504802915</v>
      </c>
      <c r="P19" s="93">
        <f t="shared" si="30"/>
        <v>0.06629484092</v>
      </c>
      <c r="Q19" s="94">
        <f t="shared" si="30"/>
        <v>0.03034804355</v>
      </c>
      <c r="R19" s="93">
        <f t="shared" si="30"/>
        <v>0.04913192394</v>
      </c>
      <c r="S19" s="93" t="str">
        <f t="shared" si="30"/>
        <v/>
      </c>
      <c r="T19" s="93" t="str">
        <f t="shared" si="30"/>
        <v/>
      </c>
      <c r="U19" s="93" t="str">
        <f t="shared" si="30"/>
        <v/>
      </c>
      <c r="V19" s="94">
        <f t="shared" si="30"/>
        <v>0.04807844378</v>
      </c>
    </row>
    <row r="20">
      <c r="A20" s="92" t="s">
        <v>1589</v>
      </c>
      <c r="B20" s="93">
        <f t="shared" ref="B20:V20" si="31">IFERROR(B12/B11,"")</f>
        <v>0</v>
      </c>
      <c r="C20" s="93">
        <f t="shared" si="31"/>
        <v>0</v>
      </c>
      <c r="D20" s="93">
        <f t="shared" si="31"/>
        <v>0</v>
      </c>
      <c r="E20" s="93">
        <f t="shared" si="31"/>
        <v>0</v>
      </c>
      <c r="F20" s="93">
        <f t="shared" si="31"/>
        <v>0</v>
      </c>
      <c r="G20" s="94">
        <f t="shared" si="31"/>
        <v>0</v>
      </c>
      <c r="H20" s="93">
        <f t="shared" si="31"/>
        <v>0.00572519084</v>
      </c>
      <c r="I20" s="93">
        <f t="shared" si="31"/>
        <v>0.003679175865</v>
      </c>
      <c r="J20" s="93">
        <f t="shared" si="31"/>
        <v>0.004860267315</v>
      </c>
      <c r="K20" s="93">
        <f t="shared" si="31"/>
        <v>0</v>
      </c>
      <c r="L20" s="94">
        <f t="shared" si="31"/>
        <v>0.004021447721</v>
      </c>
      <c r="M20" s="93">
        <f t="shared" si="31"/>
        <v>0.003831417625</v>
      </c>
      <c r="N20" s="93">
        <f t="shared" si="31"/>
        <v>0.004694835681</v>
      </c>
      <c r="O20" s="93">
        <f t="shared" si="31"/>
        <v>0.002450980392</v>
      </c>
      <c r="P20" s="93">
        <f t="shared" si="31"/>
        <v>0.01529636711</v>
      </c>
      <c r="Q20" s="94">
        <f t="shared" si="31"/>
        <v>0.008674101611</v>
      </c>
      <c r="R20" s="93">
        <f t="shared" si="31"/>
        <v>0.02644230769</v>
      </c>
      <c r="S20" s="93" t="str">
        <f t="shared" si="31"/>
        <v/>
      </c>
      <c r="T20" s="93" t="str">
        <f t="shared" si="31"/>
        <v/>
      </c>
      <c r="U20" s="93" t="str">
        <f t="shared" si="31"/>
        <v/>
      </c>
      <c r="V20" s="94">
        <f t="shared" si="31"/>
        <v>0.02960526316</v>
      </c>
    </row>
    <row r="21" hidden="1">
      <c r="A21" s="92" t="s">
        <v>1590</v>
      </c>
      <c r="B21" s="93" t="str">
        <f t="shared" ref="B21:V21" si="32">IFERROR(B15/B12,"")</f>
        <v/>
      </c>
      <c r="C21" s="93" t="str">
        <f t="shared" si="32"/>
        <v/>
      </c>
      <c r="D21" s="93" t="str">
        <f t="shared" si="32"/>
        <v/>
      </c>
      <c r="E21" s="93" t="str">
        <f t="shared" si="32"/>
        <v/>
      </c>
      <c r="F21" s="93" t="str">
        <f t="shared" si="32"/>
        <v/>
      </c>
      <c r="G21" s="94" t="str">
        <f t="shared" si="32"/>
        <v/>
      </c>
      <c r="H21" s="93">
        <f t="shared" si="32"/>
        <v>0</v>
      </c>
      <c r="I21" s="93">
        <f t="shared" si="32"/>
        <v>0</v>
      </c>
      <c r="J21" s="93">
        <f t="shared" si="32"/>
        <v>0</v>
      </c>
      <c r="K21" s="93" t="str">
        <f t="shared" si="32"/>
        <v/>
      </c>
      <c r="L21" s="94">
        <f t="shared" si="32"/>
        <v>0</v>
      </c>
      <c r="M21" s="93">
        <f t="shared" si="32"/>
        <v>0</v>
      </c>
      <c r="N21" s="93">
        <f t="shared" si="32"/>
        <v>0</v>
      </c>
      <c r="O21" s="93">
        <f t="shared" si="32"/>
        <v>0</v>
      </c>
      <c r="P21" s="93">
        <f t="shared" si="32"/>
        <v>0</v>
      </c>
      <c r="Q21" s="94">
        <f t="shared" si="32"/>
        <v>0</v>
      </c>
      <c r="R21" s="93">
        <f t="shared" si="32"/>
        <v>0</v>
      </c>
      <c r="S21" s="93" t="str">
        <f t="shared" si="32"/>
        <v/>
      </c>
      <c r="T21" s="93" t="str">
        <f t="shared" si="32"/>
        <v/>
      </c>
      <c r="U21" s="93" t="str">
        <f t="shared" si="32"/>
        <v/>
      </c>
      <c r="V21" s="94">
        <f t="shared" si="32"/>
        <v>0</v>
      </c>
    </row>
    <row r="22" hidden="1">
      <c r="A22" s="92" t="s">
        <v>1591</v>
      </c>
      <c r="B22" s="93" t="str">
        <f t="shared" ref="B22:V22" si="33">IFERROR(B16/B15,"")</f>
        <v/>
      </c>
      <c r="C22" s="93" t="str">
        <f t="shared" si="33"/>
        <v/>
      </c>
      <c r="D22" s="93" t="str">
        <f t="shared" si="33"/>
        <v/>
      </c>
      <c r="E22" s="93" t="str">
        <f t="shared" si="33"/>
        <v/>
      </c>
      <c r="F22" s="93" t="str">
        <f t="shared" si="33"/>
        <v/>
      </c>
      <c r="G22" s="94" t="str">
        <f t="shared" si="33"/>
        <v/>
      </c>
      <c r="H22" s="93" t="str">
        <f t="shared" si="33"/>
        <v/>
      </c>
      <c r="I22" s="93" t="str">
        <f t="shared" si="33"/>
        <v/>
      </c>
      <c r="J22" s="93" t="str">
        <f t="shared" si="33"/>
        <v/>
      </c>
      <c r="K22" s="93" t="str">
        <f t="shared" si="33"/>
        <v/>
      </c>
      <c r="L22" s="94" t="str">
        <f t="shared" si="33"/>
        <v/>
      </c>
      <c r="M22" s="93" t="str">
        <f t="shared" si="33"/>
        <v/>
      </c>
      <c r="N22" s="93" t="str">
        <f t="shared" si="33"/>
        <v/>
      </c>
      <c r="O22" s="93" t="str">
        <f t="shared" si="33"/>
        <v/>
      </c>
      <c r="P22" s="93" t="str">
        <f t="shared" si="33"/>
        <v/>
      </c>
      <c r="Q22" s="94" t="str">
        <f t="shared" si="33"/>
        <v/>
      </c>
      <c r="R22" s="93" t="str">
        <f t="shared" si="33"/>
        <v/>
      </c>
      <c r="S22" s="93" t="str">
        <f t="shared" si="33"/>
        <v/>
      </c>
      <c r="T22" s="93" t="str">
        <f t="shared" si="33"/>
        <v/>
      </c>
      <c r="U22" s="93" t="str">
        <f t="shared" si="33"/>
        <v/>
      </c>
      <c r="V22" s="94" t="str">
        <f t="shared" si="33"/>
        <v/>
      </c>
    </row>
    <row r="23" hidden="1">
      <c r="A23" s="92" t="s">
        <v>1592</v>
      </c>
      <c r="B23" s="93" t="str">
        <f t="shared" ref="B23:V23" si="34">IFERROR(B17/B16,"")</f>
        <v/>
      </c>
      <c r="C23" s="93" t="str">
        <f t="shared" si="34"/>
        <v/>
      </c>
      <c r="D23" s="93" t="str">
        <f t="shared" si="34"/>
        <v/>
      </c>
      <c r="E23" s="93" t="str">
        <f t="shared" si="34"/>
        <v/>
      </c>
      <c r="F23" s="93" t="str">
        <f t="shared" si="34"/>
        <v/>
      </c>
      <c r="G23" s="94" t="str">
        <f t="shared" si="34"/>
        <v/>
      </c>
      <c r="H23" s="93" t="str">
        <f t="shared" si="34"/>
        <v/>
      </c>
      <c r="I23" s="93" t="str">
        <f t="shared" si="34"/>
        <v/>
      </c>
      <c r="J23" s="93" t="str">
        <f t="shared" si="34"/>
        <v/>
      </c>
      <c r="K23" s="93" t="str">
        <f t="shared" si="34"/>
        <v/>
      </c>
      <c r="L23" s="94" t="str">
        <f t="shared" si="34"/>
        <v/>
      </c>
      <c r="M23" s="93" t="str">
        <f t="shared" si="34"/>
        <v/>
      </c>
      <c r="N23" s="93" t="str">
        <f t="shared" si="34"/>
        <v/>
      </c>
      <c r="O23" s="93" t="str">
        <f t="shared" si="34"/>
        <v/>
      </c>
      <c r="P23" s="93" t="str">
        <f t="shared" si="34"/>
        <v/>
      </c>
      <c r="Q23" s="94" t="str">
        <f t="shared" si="34"/>
        <v/>
      </c>
      <c r="R23" s="93" t="str">
        <f t="shared" si="34"/>
        <v/>
      </c>
      <c r="S23" s="93" t="str">
        <f t="shared" si="34"/>
        <v/>
      </c>
      <c r="T23" s="93" t="str">
        <f t="shared" si="34"/>
        <v/>
      </c>
      <c r="U23" s="93" t="str">
        <f t="shared" si="34"/>
        <v/>
      </c>
      <c r="V23" s="94" t="str">
        <f t="shared" si="34"/>
        <v/>
      </c>
    </row>
    <row r="24" hidden="1">
      <c r="A24" s="92" t="s">
        <v>1593</v>
      </c>
      <c r="B24" s="93" t="str">
        <f t="shared" ref="B24:V24" si="35">IFERROR(B17/B15,"")</f>
        <v/>
      </c>
      <c r="C24" s="93" t="str">
        <f t="shared" si="35"/>
        <v/>
      </c>
      <c r="D24" s="93" t="str">
        <f t="shared" si="35"/>
        <v/>
      </c>
      <c r="E24" s="93" t="str">
        <f t="shared" si="35"/>
        <v/>
      </c>
      <c r="F24" s="93" t="str">
        <f t="shared" si="35"/>
        <v/>
      </c>
      <c r="G24" s="94" t="str">
        <f t="shared" si="35"/>
        <v/>
      </c>
      <c r="H24" s="93" t="str">
        <f t="shared" si="35"/>
        <v/>
      </c>
      <c r="I24" s="93" t="str">
        <f t="shared" si="35"/>
        <v/>
      </c>
      <c r="J24" s="93" t="str">
        <f t="shared" si="35"/>
        <v/>
      </c>
      <c r="K24" s="93" t="str">
        <f t="shared" si="35"/>
        <v/>
      </c>
      <c r="L24" s="94" t="str">
        <f t="shared" si="35"/>
        <v/>
      </c>
      <c r="M24" s="93" t="str">
        <f t="shared" si="35"/>
        <v/>
      </c>
      <c r="N24" s="93" t="str">
        <f t="shared" si="35"/>
        <v/>
      </c>
      <c r="O24" s="93" t="str">
        <f t="shared" si="35"/>
        <v/>
      </c>
      <c r="P24" s="93" t="str">
        <f t="shared" si="35"/>
        <v/>
      </c>
      <c r="Q24" s="94" t="str">
        <f t="shared" si="35"/>
        <v/>
      </c>
      <c r="R24" s="93" t="str">
        <f t="shared" si="35"/>
        <v/>
      </c>
      <c r="S24" s="93" t="str">
        <f t="shared" si="35"/>
        <v/>
      </c>
      <c r="T24" s="93" t="str">
        <f t="shared" si="35"/>
        <v/>
      </c>
      <c r="U24" s="93" t="str">
        <f t="shared" si="35"/>
        <v/>
      </c>
      <c r="V24" s="94" t="str">
        <f t="shared" si="35"/>
        <v/>
      </c>
    </row>
    <row r="25">
      <c r="A25" s="92" t="s">
        <v>1594</v>
      </c>
      <c r="B25" s="93"/>
      <c r="C25" s="93"/>
      <c r="D25" s="93"/>
      <c r="E25" s="93"/>
      <c r="F25" s="93"/>
      <c r="G25" s="94"/>
      <c r="H25" s="93">
        <f t="shared" ref="H25:V25" si="36">IFERROR(H87/H85,"")</f>
        <v>0.05827505828</v>
      </c>
      <c r="I25" s="93">
        <f t="shared" si="36"/>
        <v>0.08287292818</v>
      </c>
      <c r="J25" s="93">
        <f t="shared" si="36"/>
        <v>0.04820936639</v>
      </c>
      <c r="K25" s="93">
        <f t="shared" si="36"/>
        <v>0.0269058296</v>
      </c>
      <c r="L25" s="94">
        <f t="shared" si="36"/>
        <v>0.06390262457</v>
      </c>
      <c r="M25" s="93">
        <f t="shared" si="36"/>
        <v>0.05076142132</v>
      </c>
      <c r="N25" s="93">
        <f t="shared" si="36"/>
        <v>0.06626506024</v>
      </c>
      <c r="O25" s="93">
        <f t="shared" si="36"/>
        <v>0.104</v>
      </c>
      <c r="P25" s="93">
        <f t="shared" si="36"/>
        <v>0.09645669291</v>
      </c>
      <c r="Q25" s="94">
        <f t="shared" si="36"/>
        <v>0.08531468531</v>
      </c>
      <c r="R25" s="93">
        <f t="shared" si="36"/>
        <v>0.08910891089</v>
      </c>
      <c r="S25" s="93" t="str">
        <f t="shared" si="36"/>
        <v/>
      </c>
      <c r="T25" s="93" t="str">
        <f t="shared" si="36"/>
        <v/>
      </c>
      <c r="U25" s="93" t="str">
        <f t="shared" si="36"/>
        <v/>
      </c>
      <c r="V25" s="94">
        <f t="shared" si="36"/>
        <v>0.08873720137</v>
      </c>
    </row>
    <row r="26">
      <c r="A26" s="92" t="s">
        <v>1595</v>
      </c>
      <c r="B26" s="93"/>
      <c r="C26" s="93"/>
      <c r="D26" s="93"/>
      <c r="E26" s="93"/>
      <c r="F26" s="93"/>
      <c r="G26" s="94"/>
      <c r="H26" s="93">
        <f t="shared" ref="H26:V26" si="37">IFERROR(H14/H13,"")</f>
        <v>0.6</v>
      </c>
      <c r="I26" s="93">
        <f t="shared" si="37"/>
        <v>0.7904761905</v>
      </c>
      <c r="J26" s="93">
        <f t="shared" si="37"/>
        <v>0.6571428571</v>
      </c>
      <c r="K26" s="93">
        <f t="shared" si="37"/>
        <v>0.8333333333</v>
      </c>
      <c r="L26" s="94">
        <f t="shared" si="37"/>
        <v>0.7321428571</v>
      </c>
      <c r="M26" s="93">
        <f t="shared" si="37"/>
        <v>0.6</v>
      </c>
      <c r="N26" s="93">
        <f t="shared" si="37"/>
        <v>0.7272727273</v>
      </c>
      <c r="O26" s="93">
        <f t="shared" si="37"/>
        <v>0.6666666667</v>
      </c>
      <c r="P26" s="93">
        <f t="shared" si="37"/>
        <v>0.7959183673</v>
      </c>
      <c r="Q26" s="94">
        <f t="shared" si="37"/>
        <v>0.7244094488</v>
      </c>
      <c r="R26" s="93">
        <f t="shared" si="37"/>
        <v>0.7777777778</v>
      </c>
      <c r="S26" s="93" t="str">
        <f t="shared" si="37"/>
        <v/>
      </c>
      <c r="T26" s="93" t="str">
        <f t="shared" si="37"/>
        <v/>
      </c>
      <c r="U26" s="93" t="str">
        <f t="shared" si="37"/>
        <v/>
      </c>
      <c r="V26" s="94">
        <f t="shared" si="37"/>
        <v>0.8076923077</v>
      </c>
    </row>
    <row r="27" ht="6.0" customHeight="1">
      <c r="A27" s="82"/>
      <c r="B27" s="95"/>
      <c r="C27" s="95"/>
      <c r="D27" s="95"/>
      <c r="E27" s="95"/>
      <c r="F27" s="95"/>
      <c r="G27" s="96"/>
      <c r="H27" s="95"/>
      <c r="I27" s="95"/>
      <c r="J27" s="95"/>
      <c r="K27" s="95"/>
      <c r="L27" s="96"/>
      <c r="M27" s="95"/>
      <c r="N27" s="95"/>
      <c r="O27" s="95"/>
      <c r="P27" s="95"/>
      <c r="Q27" s="96"/>
      <c r="R27" s="95"/>
      <c r="S27" s="95"/>
      <c r="T27" s="95"/>
      <c r="U27" s="95"/>
      <c r="V27" s="96"/>
    </row>
    <row r="28">
      <c r="A28" s="92" t="s">
        <v>1596</v>
      </c>
      <c r="B28" s="97">
        <f t="shared" ref="B28:V28" si="38">IFERROR((B7/B10)*1000,"")</f>
        <v>406.4705882</v>
      </c>
      <c r="C28" s="97">
        <f t="shared" si="38"/>
        <v>589.0163934</v>
      </c>
      <c r="D28" s="97">
        <f t="shared" si="38"/>
        <v>13.90858679</v>
      </c>
      <c r="E28" s="97">
        <f t="shared" si="38"/>
        <v>7.536813922</v>
      </c>
      <c r="F28" s="97">
        <f t="shared" si="38"/>
        <v>8.516304087</v>
      </c>
      <c r="G28" s="98">
        <f t="shared" si="38"/>
        <v>9.154264403</v>
      </c>
      <c r="H28" s="97">
        <f t="shared" si="38"/>
        <v>11.95959791</v>
      </c>
      <c r="I28" s="97">
        <f t="shared" si="38"/>
        <v>14.09925115</v>
      </c>
      <c r="J28" s="97">
        <f t="shared" si="38"/>
        <v>14.77092443</v>
      </c>
      <c r="K28" s="97">
        <f t="shared" si="38"/>
        <v>18.37145351</v>
      </c>
      <c r="L28" s="98">
        <f t="shared" si="38"/>
        <v>13.58914269</v>
      </c>
      <c r="M28" s="97">
        <f t="shared" si="38"/>
        <v>23.59617991</v>
      </c>
      <c r="N28" s="97">
        <f t="shared" si="38"/>
        <v>24.71845629</v>
      </c>
      <c r="O28" s="97">
        <f t="shared" si="38"/>
        <v>29.95693938</v>
      </c>
      <c r="P28" s="97">
        <f t="shared" si="38"/>
        <v>22.95474712</v>
      </c>
      <c r="Q28" s="98">
        <f t="shared" si="38"/>
        <v>24.29498148</v>
      </c>
      <c r="R28" s="97">
        <f t="shared" si="38"/>
        <v>18.24258887</v>
      </c>
      <c r="S28" s="97" t="str">
        <f t="shared" si="38"/>
        <v/>
      </c>
      <c r="T28" s="97" t="str">
        <f t="shared" si="38"/>
        <v/>
      </c>
      <c r="U28" s="97" t="str">
        <f t="shared" si="38"/>
        <v/>
      </c>
      <c r="V28" s="98">
        <f t="shared" si="38"/>
        <v>19.59354737</v>
      </c>
    </row>
    <row r="29">
      <c r="A29" s="92" t="s">
        <v>1597</v>
      </c>
      <c r="B29" s="97">
        <f t="shared" ref="B29:V29" si="39">IFERROR(B7/B11,"")</f>
        <v>1.594615385</v>
      </c>
      <c r="C29" s="97">
        <f t="shared" si="39"/>
        <v>2.763846154</v>
      </c>
      <c r="D29" s="97">
        <f t="shared" si="39"/>
        <v>6.366923077</v>
      </c>
      <c r="E29" s="97">
        <f t="shared" si="39"/>
        <v>5.951714286</v>
      </c>
      <c r="F29" s="97">
        <f t="shared" si="39"/>
        <v>3.166696429</v>
      </c>
      <c r="G29" s="98">
        <f t="shared" si="39"/>
        <v>4.414201681</v>
      </c>
      <c r="H29" s="97">
        <f t="shared" si="39"/>
        <v>0.9467938931</v>
      </c>
      <c r="I29" s="97">
        <f t="shared" si="39"/>
        <v>0.5347755703</v>
      </c>
      <c r="J29" s="97">
        <f t="shared" si="39"/>
        <v>0.8167800729</v>
      </c>
      <c r="K29" s="97">
        <f t="shared" si="39"/>
        <v>1.426745763</v>
      </c>
      <c r="L29" s="98">
        <f t="shared" si="39"/>
        <v>0.8142191689</v>
      </c>
      <c r="M29" s="97">
        <f t="shared" si="39"/>
        <v>1.401034483</v>
      </c>
      <c r="N29" s="97">
        <f t="shared" si="39"/>
        <v>1.395258216</v>
      </c>
      <c r="O29" s="97">
        <f t="shared" si="39"/>
        <v>0.665</v>
      </c>
      <c r="P29" s="97">
        <f t="shared" si="39"/>
        <v>0.3462523901</v>
      </c>
      <c r="Q29" s="98">
        <f t="shared" si="39"/>
        <v>0.8005452292</v>
      </c>
      <c r="R29" s="97">
        <f t="shared" si="39"/>
        <v>0.3712980769</v>
      </c>
      <c r="S29" s="97" t="str">
        <f t="shared" si="39"/>
        <v/>
      </c>
      <c r="T29" s="97" t="str">
        <f t="shared" si="39"/>
        <v/>
      </c>
      <c r="U29" s="97" t="str">
        <f t="shared" si="39"/>
        <v/>
      </c>
      <c r="V29" s="98">
        <f t="shared" si="39"/>
        <v>0.4075328947</v>
      </c>
    </row>
    <row r="30" hidden="1">
      <c r="A30" s="92" t="s">
        <v>1598</v>
      </c>
      <c r="B30" s="97" t="str">
        <f t="shared" ref="B30:V30" si="40">IFERROR(B7/B12,"")</f>
        <v/>
      </c>
      <c r="C30" s="97" t="str">
        <f t="shared" si="40"/>
        <v/>
      </c>
      <c r="D30" s="97" t="str">
        <f t="shared" si="40"/>
        <v/>
      </c>
      <c r="E30" s="97" t="str">
        <f t="shared" si="40"/>
        <v/>
      </c>
      <c r="F30" s="97" t="str">
        <f t="shared" si="40"/>
        <v/>
      </c>
      <c r="G30" s="98" t="str">
        <f t="shared" si="40"/>
        <v/>
      </c>
      <c r="H30" s="97">
        <f t="shared" si="40"/>
        <v>165.3733333</v>
      </c>
      <c r="I30" s="97">
        <f t="shared" si="40"/>
        <v>145.352</v>
      </c>
      <c r="J30" s="97">
        <f t="shared" si="40"/>
        <v>168.0525</v>
      </c>
      <c r="K30" s="97" t="str">
        <f t="shared" si="40"/>
        <v/>
      </c>
      <c r="L30" s="98">
        <f t="shared" si="40"/>
        <v>202.4691667</v>
      </c>
      <c r="M30" s="97">
        <f t="shared" si="40"/>
        <v>365.67</v>
      </c>
      <c r="N30" s="97">
        <f t="shared" si="40"/>
        <v>297.19</v>
      </c>
      <c r="O30" s="97">
        <f t="shared" si="40"/>
        <v>271.32</v>
      </c>
      <c r="P30" s="97">
        <f t="shared" si="40"/>
        <v>22.63625</v>
      </c>
      <c r="Q30" s="98">
        <f t="shared" si="40"/>
        <v>92.29142857</v>
      </c>
      <c r="R30" s="97">
        <f t="shared" si="40"/>
        <v>14.04181818</v>
      </c>
      <c r="S30" s="97" t="str">
        <f t="shared" si="40"/>
        <v/>
      </c>
      <c r="T30" s="97" t="str">
        <f t="shared" si="40"/>
        <v/>
      </c>
      <c r="U30" s="97" t="str">
        <f t="shared" si="40"/>
        <v/>
      </c>
      <c r="V30" s="98">
        <f t="shared" si="40"/>
        <v>13.76555556</v>
      </c>
    </row>
    <row r="31" hidden="1">
      <c r="A31" s="92" t="s">
        <v>1599</v>
      </c>
      <c r="B31" s="97" t="str">
        <f t="shared" ref="B31:V31" si="41">IFERROR(B7/B15,"")</f>
        <v/>
      </c>
      <c r="C31" s="97" t="str">
        <f t="shared" si="41"/>
        <v/>
      </c>
      <c r="D31" s="97" t="str">
        <f t="shared" si="41"/>
        <v/>
      </c>
      <c r="E31" s="97" t="str">
        <f t="shared" si="41"/>
        <v/>
      </c>
      <c r="F31" s="97" t="str">
        <f t="shared" si="41"/>
        <v/>
      </c>
      <c r="G31" s="98" t="str">
        <f t="shared" si="41"/>
        <v/>
      </c>
      <c r="H31" s="97" t="str">
        <f t="shared" si="41"/>
        <v/>
      </c>
      <c r="I31" s="97" t="str">
        <f t="shared" si="41"/>
        <v/>
      </c>
      <c r="J31" s="97" t="str">
        <f t="shared" si="41"/>
        <v/>
      </c>
      <c r="K31" s="97" t="str">
        <f t="shared" si="41"/>
        <v/>
      </c>
      <c r="L31" s="98" t="str">
        <f t="shared" si="41"/>
        <v/>
      </c>
      <c r="M31" s="97" t="str">
        <f t="shared" si="41"/>
        <v/>
      </c>
      <c r="N31" s="97" t="str">
        <f t="shared" si="41"/>
        <v/>
      </c>
      <c r="O31" s="97" t="str">
        <f t="shared" si="41"/>
        <v/>
      </c>
      <c r="P31" s="97" t="str">
        <f t="shared" si="41"/>
        <v/>
      </c>
      <c r="Q31" s="98" t="str">
        <f t="shared" si="41"/>
        <v/>
      </c>
      <c r="R31" s="97" t="str">
        <f t="shared" si="41"/>
        <v/>
      </c>
      <c r="S31" s="97" t="str">
        <f t="shared" si="41"/>
        <v/>
      </c>
      <c r="T31" s="97" t="str">
        <f t="shared" si="41"/>
        <v/>
      </c>
      <c r="U31" s="97" t="str">
        <f t="shared" si="41"/>
        <v/>
      </c>
      <c r="V31" s="98" t="str">
        <f t="shared" si="41"/>
        <v/>
      </c>
    </row>
    <row r="32" hidden="1">
      <c r="A32" s="92" t="s">
        <v>1600</v>
      </c>
      <c r="B32" s="97" t="str">
        <f t="shared" ref="B32:V32" si="42">IFERROR(B7/B16,"")</f>
        <v/>
      </c>
      <c r="C32" s="97" t="str">
        <f t="shared" si="42"/>
        <v/>
      </c>
      <c r="D32" s="97" t="str">
        <f t="shared" si="42"/>
        <v/>
      </c>
      <c r="E32" s="97" t="str">
        <f t="shared" si="42"/>
        <v/>
      </c>
      <c r="F32" s="97" t="str">
        <f t="shared" si="42"/>
        <v/>
      </c>
      <c r="G32" s="98" t="str">
        <f t="shared" si="42"/>
        <v/>
      </c>
      <c r="H32" s="97" t="str">
        <f t="shared" si="42"/>
        <v/>
      </c>
      <c r="I32" s="97" t="str">
        <f t="shared" si="42"/>
        <v/>
      </c>
      <c r="J32" s="97" t="str">
        <f t="shared" si="42"/>
        <v/>
      </c>
      <c r="K32" s="97" t="str">
        <f t="shared" si="42"/>
        <v/>
      </c>
      <c r="L32" s="98" t="str">
        <f t="shared" si="42"/>
        <v/>
      </c>
      <c r="M32" s="97" t="str">
        <f t="shared" si="42"/>
        <v/>
      </c>
      <c r="N32" s="97" t="str">
        <f t="shared" si="42"/>
        <v/>
      </c>
      <c r="O32" s="97" t="str">
        <f t="shared" si="42"/>
        <v/>
      </c>
      <c r="P32" s="97" t="str">
        <f t="shared" si="42"/>
        <v/>
      </c>
      <c r="Q32" s="98" t="str">
        <f t="shared" si="42"/>
        <v/>
      </c>
      <c r="R32" s="97" t="str">
        <f t="shared" si="42"/>
        <v/>
      </c>
      <c r="S32" s="97" t="str">
        <f t="shared" si="42"/>
        <v/>
      </c>
      <c r="T32" s="97" t="str">
        <f t="shared" si="42"/>
        <v/>
      </c>
      <c r="U32" s="97" t="str">
        <f t="shared" si="42"/>
        <v/>
      </c>
      <c r="V32" s="98" t="str">
        <f t="shared" si="42"/>
        <v/>
      </c>
    </row>
    <row r="33" ht="14.25" hidden="1" customHeight="1">
      <c r="A33" s="92" t="s">
        <v>1601</v>
      </c>
      <c r="B33" s="97" t="str">
        <f t="shared" ref="B33:V33" si="43">IFERROR(B7/B17,"")</f>
        <v/>
      </c>
      <c r="C33" s="97" t="str">
        <f t="shared" si="43"/>
        <v/>
      </c>
      <c r="D33" s="97" t="str">
        <f t="shared" si="43"/>
        <v/>
      </c>
      <c r="E33" s="97" t="str">
        <f t="shared" si="43"/>
        <v/>
      </c>
      <c r="F33" s="97" t="str">
        <f t="shared" si="43"/>
        <v/>
      </c>
      <c r="G33" s="98" t="str">
        <f t="shared" si="43"/>
        <v/>
      </c>
      <c r="H33" s="97" t="str">
        <f t="shared" si="43"/>
        <v/>
      </c>
      <c r="I33" s="97" t="str">
        <f t="shared" si="43"/>
        <v/>
      </c>
      <c r="J33" s="97" t="str">
        <f t="shared" si="43"/>
        <v/>
      </c>
      <c r="K33" s="97" t="str">
        <f t="shared" si="43"/>
        <v/>
      </c>
      <c r="L33" s="98" t="str">
        <f t="shared" si="43"/>
        <v/>
      </c>
      <c r="M33" s="97" t="str">
        <f t="shared" si="43"/>
        <v/>
      </c>
      <c r="N33" s="97" t="str">
        <f t="shared" si="43"/>
        <v/>
      </c>
      <c r="O33" s="97" t="str">
        <f t="shared" si="43"/>
        <v/>
      </c>
      <c r="P33" s="97" t="str">
        <f t="shared" si="43"/>
        <v/>
      </c>
      <c r="Q33" s="98" t="str">
        <f t="shared" si="43"/>
        <v/>
      </c>
      <c r="R33" s="97" t="str">
        <f t="shared" si="43"/>
        <v/>
      </c>
      <c r="S33" s="97" t="str">
        <f t="shared" si="43"/>
        <v/>
      </c>
      <c r="T33" s="97" t="str">
        <f t="shared" si="43"/>
        <v/>
      </c>
      <c r="U33" s="97" t="str">
        <f t="shared" si="43"/>
        <v/>
      </c>
      <c r="V33" s="98" t="str">
        <f t="shared" si="43"/>
        <v/>
      </c>
    </row>
    <row r="34">
      <c r="A34" s="92" t="s">
        <v>1602</v>
      </c>
      <c r="B34" s="97"/>
      <c r="C34" s="97"/>
      <c r="D34" s="97"/>
      <c r="E34" s="97"/>
      <c r="F34" s="97"/>
      <c r="G34" s="98"/>
      <c r="H34" s="97">
        <f t="shared" ref="H34:V34" si="44">IFERROR(H7/H13,"")</f>
        <v>19.8448</v>
      </c>
      <c r="I34" s="97">
        <f t="shared" si="44"/>
        <v>6.92152381</v>
      </c>
      <c r="J34" s="97">
        <f t="shared" si="44"/>
        <v>19.206</v>
      </c>
      <c r="K34" s="97">
        <f t="shared" si="44"/>
        <v>70.14833333</v>
      </c>
      <c r="L34" s="98">
        <f t="shared" si="44"/>
        <v>14.46208333</v>
      </c>
      <c r="M34" s="97">
        <f t="shared" si="44"/>
        <v>36.567</v>
      </c>
      <c r="N34" s="97">
        <f t="shared" si="44"/>
        <v>27.01727273</v>
      </c>
      <c r="O34" s="97">
        <f t="shared" si="44"/>
        <v>6.956923077</v>
      </c>
      <c r="P34" s="97">
        <f t="shared" si="44"/>
        <v>3.695714286</v>
      </c>
      <c r="Q34" s="98">
        <f t="shared" si="44"/>
        <v>10.17385827</v>
      </c>
      <c r="R34" s="97">
        <f t="shared" si="44"/>
        <v>4.290555556</v>
      </c>
      <c r="S34" s="97" t="str">
        <f t="shared" si="44"/>
        <v/>
      </c>
      <c r="T34" s="97" t="str">
        <f t="shared" si="44"/>
        <v/>
      </c>
      <c r="U34" s="97" t="str">
        <f t="shared" si="44"/>
        <v/>
      </c>
      <c r="V34" s="98">
        <f t="shared" si="44"/>
        <v>4.765</v>
      </c>
    </row>
    <row r="35">
      <c r="A35" s="92" t="s">
        <v>1603</v>
      </c>
      <c r="B35" s="97"/>
      <c r="C35" s="97"/>
      <c r="D35" s="97"/>
      <c r="E35" s="97"/>
      <c r="F35" s="97"/>
      <c r="G35" s="98"/>
      <c r="H35" s="97">
        <f t="shared" ref="H35:V35" si="45">IFERROR(H7/H14,"")</f>
        <v>33.07466667</v>
      </c>
      <c r="I35" s="97">
        <f t="shared" si="45"/>
        <v>8.756144578</v>
      </c>
      <c r="J35" s="97">
        <f t="shared" si="45"/>
        <v>29.22652174</v>
      </c>
      <c r="K35" s="97">
        <f t="shared" si="45"/>
        <v>84.178</v>
      </c>
      <c r="L35" s="98">
        <f t="shared" si="45"/>
        <v>19.75308943</v>
      </c>
      <c r="M35" s="97">
        <f t="shared" si="45"/>
        <v>60.945</v>
      </c>
      <c r="N35" s="97">
        <f t="shared" si="45"/>
        <v>37.14875</v>
      </c>
      <c r="O35" s="97">
        <f t="shared" si="45"/>
        <v>10.43538462</v>
      </c>
      <c r="P35" s="97">
        <f t="shared" si="45"/>
        <v>4.643333333</v>
      </c>
      <c r="Q35" s="98">
        <f t="shared" si="45"/>
        <v>14.04434783</v>
      </c>
      <c r="R35" s="97">
        <f t="shared" si="45"/>
        <v>5.516428571</v>
      </c>
      <c r="S35" s="97" t="str">
        <f t="shared" si="45"/>
        <v/>
      </c>
      <c r="T35" s="97" t="str">
        <f t="shared" si="45"/>
        <v/>
      </c>
      <c r="U35" s="97" t="str">
        <f t="shared" si="45"/>
        <v/>
      </c>
      <c r="V35" s="98">
        <f t="shared" si="45"/>
        <v>5.89952381</v>
      </c>
    </row>
    <row r="36" ht="6.0" customHeight="1">
      <c r="A36" s="99"/>
      <c r="B36" s="100"/>
      <c r="C36" s="100"/>
      <c r="D36" s="100"/>
      <c r="E36" s="100"/>
      <c r="F36" s="100"/>
      <c r="G36" s="101"/>
      <c r="H36" s="100"/>
      <c r="I36" s="100"/>
      <c r="J36" s="100"/>
      <c r="K36" s="100"/>
      <c r="L36" s="101"/>
      <c r="M36" s="100"/>
      <c r="N36" s="100"/>
      <c r="O36" s="100"/>
      <c r="P36" s="100"/>
      <c r="Q36" s="101"/>
      <c r="R36" s="100"/>
      <c r="S36" s="100"/>
      <c r="T36" s="100"/>
      <c r="U36" s="100"/>
      <c r="V36" s="101"/>
    </row>
    <row r="37">
      <c r="A37" s="79" t="s">
        <v>1604</v>
      </c>
      <c r="B37" s="102">
        <f t="shared" ref="B37:V37" si="46">IFERROR(B8/B7,"")</f>
        <v>0</v>
      </c>
      <c r="C37" s="102">
        <f t="shared" si="46"/>
        <v>0</v>
      </c>
      <c r="D37" s="102">
        <f t="shared" si="46"/>
        <v>0</v>
      </c>
      <c r="E37" s="102">
        <f t="shared" si="46"/>
        <v>0</v>
      </c>
      <c r="F37" s="102">
        <f t="shared" si="46"/>
        <v>0</v>
      </c>
      <c r="G37" s="103">
        <f t="shared" si="46"/>
        <v>0</v>
      </c>
      <c r="H37" s="102">
        <f t="shared" si="46"/>
        <v>0</v>
      </c>
      <c r="I37" s="102">
        <f t="shared" si="46"/>
        <v>0</v>
      </c>
      <c r="J37" s="102">
        <f t="shared" si="46"/>
        <v>0</v>
      </c>
      <c r="K37" s="102">
        <f t="shared" si="46"/>
        <v>0</v>
      </c>
      <c r="L37" s="103">
        <f t="shared" si="46"/>
        <v>0</v>
      </c>
      <c r="M37" s="102">
        <f t="shared" si="46"/>
        <v>0</v>
      </c>
      <c r="N37" s="102">
        <f t="shared" si="46"/>
        <v>0</v>
      </c>
      <c r="O37" s="102">
        <f t="shared" si="46"/>
        <v>0</v>
      </c>
      <c r="P37" s="102">
        <f t="shared" si="46"/>
        <v>0</v>
      </c>
      <c r="Q37" s="103">
        <f t="shared" si="46"/>
        <v>0</v>
      </c>
      <c r="R37" s="102">
        <f t="shared" si="46"/>
        <v>0</v>
      </c>
      <c r="S37" s="102" t="str">
        <f t="shared" si="46"/>
        <v/>
      </c>
      <c r="T37" s="102" t="str">
        <f t="shared" si="46"/>
        <v/>
      </c>
      <c r="U37" s="102" t="str">
        <f t="shared" si="46"/>
        <v/>
      </c>
      <c r="V37" s="103">
        <f t="shared" si="46"/>
        <v>0</v>
      </c>
    </row>
    <row r="38">
      <c r="A38" s="92" t="s">
        <v>1605</v>
      </c>
      <c r="B38" s="97" t="str">
        <f t="shared" ref="B38:V38" si="47">IFERROR(B8/B17,"")</f>
        <v/>
      </c>
      <c r="C38" s="97" t="str">
        <f t="shared" si="47"/>
        <v/>
      </c>
      <c r="D38" s="97" t="str">
        <f t="shared" si="47"/>
        <v/>
      </c>
      <c r="E38" s="97" t="str">
        <f t="shared" si="47"/>
        <v/>
      </c>
      <c r="F38" s="97" t="str">
        <f t="shared" si="47"/>
        <v/>
      </c>
      <c r="G38" s="98" t="str">
        <f t="shared" si="47"/>
        <v/>
      </c>
      <c r="H38" s="97" t="str">
        <f t="shared" si="47"/>
        <v/>
      </c>
      <c r="I38" s="97" t="str">
        <f t="shared" si="47"/>
        <v/>
      </c>
      <c r="J38" s="97" t="str">
        <f t="shared" si="47"/>
        <v/>
      </c>
      <c r="K38" s="97" t="str">
        <f t="shared" si="47"/>
        <v/>
      </c>
      <c r="L38" s="98" t="str">
        <f t="shared" si="47"/>
        <v/>
      </c>
      <c r="M38" s="97" t="str">
        <f t="shared" si="47"/>
        <v/>
      </c>
      <c r="N38" s="97" t="str">
        <f t="shared" si="47"/>
        <v/>
      </c>
      <c r="O38" s="97" t="str">
        <f t="shared" si="47"/>
        <v/>
      </c>
      <c r="P38" s="97" t="str">
        <f t="shared" si="47"/>
        <v/>
      </c>
      <c r="Q38" s="98" t="str">
        <f t="shared" si="47"/>
        <v/>
      </c>
      <c r="R38" s="97" t="str">
        <f t="shared" si="47"/>
        <v/>
      </c>
      <c r="S38" s="97" t="str">
        <f t="shared" si="47"/>
        <v/>
      </c>
      <c r="T38" s="97" t="str">
        <f t="shared" si="47"/>
        <v/>
      </c>
      <c r="U38" s="97" t="str">
        <f t="shared" si="47"/>
        <v/>
      </c>
      <c r="V38" s="98" t="str">
        <f t="shared" si="47"/>
        <v/>
      </c>
    </row>
    <row r="39">
      <c r="A39" s="104" t="s">
        <v>1606</v>
      </c>
      <c r="B39" s="105"/>
      <c r="C39" s="105"/>
      <c r="D39" s="105"/>
      <c r="E39" s="105"/>
      <c r="F39" s="105"/>
      <c r="G39" s="106"/>
      <c r="H39" s="105"/>
      <c r="I39" s="105"/>
      <c r="J39" s="105"/>
      <c r="K39" s="105"/>
      <c r="L39" s="106"/>
      <c r="M39" s="105"/>
      <c r="N39" s="105"/>
      <c r="O39" s="105"/>
      <c r="P39" s="105"/>
      <c r="Q39" s="106"/>
      <c r="R39" s="105"/>
      <c r="S39" s="105"/>
      <c r="T39" s="105"/>
      <c r="U39" s="105"/>
      <c r="V39" s="106"/>
    </row>
    <row r="40" hidden="1">
      <c r="A40" s="104" t="s">
        <v>1607</v>
      </c>
      <c r="B40" s="107"/>
      <c r="C40" s="107"/>
      <c r="D40" s="107"/>
      <c r="E40" s="107"/>
      <c r="F40" s="107"/>
      <c r="G40" s="108"/>
      <c r="H40" s="107"/>
      <c r="I40" s="107"/>
      <c r="J40" s="107"/>
      <c r="K40" s="107"/>
      <c r="L40" s="108"/>
      <c r="M40" s="107"/>
      <c r="N40" s="107"/>
      <c r="O40" s="107"/>
      <c r="P40" s="107"/>
      <c r="Q40" s="108"/>
      <c r="R40" s="107"/>
      <c r="S40" s="107"/>
      <c r="T40" s="107"/>
      <c r="U40" s="107"/>
      <c r="V40" s="108"/>
    </row>
    <row r="41" hidden="1">
      <c r="A41" s="104" t="s">
        <v>1608</v>
      </c>
      <c r="B41" s="109">
        <f t="shared" ref="B41:V41" si="48">IFERROR(B8*B39/B7,"")</f>
        <v>0</v>
      </c>
      <c r="C41" s="109">
        <f t="shared" si="48"/>
        <v>0</v>
      </c>
      <c r="D41" s="109">
        <f t="shared" si="48"/>
        <v>0</v>
      </c>
      <c r="E41" s="109">
        <f t="shared" si="48"/>
        <v>0</v>
      </c>
      <c r="F41" s="109">
        <f t="shared" si="48"/>
        <v>0</v>
      </c>
      <c r="G41" s="110">
        <f t="shared" si="48"/>
        <v>0</v>
      </c>
      <c r="H41" s="109">
        <f t="shared" si="48"/>
        <v>0</v>
      </c>
      <c r="I41" s="109">
        <f t="shared" si="48"/>
        <v>0</v>
      </c>
      <c r="J41" s="109">
        <f t="shared" si="48"/>
        <v>0</v>
      </c>
      <c r="K41" s="109">
        <f t="shared" si="48"/>
        <v>0</v>
      </c>
      <c r="L41" s="110">
        <f t="shared" si="48"/>
        <v>0</v>
      </c>
      <c r="M41" s="109">
        <f t="shared" si="48"/>
        <v>0</v>
      </c>
      <c r="N41" s="109">
        <f t="shared" si="48"/>
        <v>0</v>
      </c>
      <c r="O41" s="109">
        <f t="shared" si="48"/>
        <v>0</v>
      </c>
      <c r="P41" s="109">
        <f t="shared" si="48"/>
        <v>0</v>
      </c>
      <c r="Q41" s="110">
        <f t="shared" si="48"/>
        <v>0</v>
      </c>
      <c r="R41" s="109">
        <f t="shared" si="48"/>
        <v>0</v>
      </c>
      <c r="S41" s="109" t="str">
        <f t="shared" si="48"/>
        <v/>
      </c>
      <c r="T41" s="109" t="str">
        <f t="shared" si="48"/>
        <v/>
      </c>
      <c r="U41" s="109" t="str">
        <f t="shared" si="48"/>
        <v/>
      </c>
      <c r="V41" s="110">
        <f t="shared" si="48"/>
        <v>0</v>
      </c>
    </row>
    <row r="42" hidden="1">
      <c r="A42" s="104" t="s">
        <v>1609</v>
      </c>
      <c r="B42" s="107"/>
      <c r="C42" s="107"/>
      <c r="D42" s="107"/>
      <c r="E42" s="107"/>
      <c r="F42" s="107"/>
      <c r="G42" s="108"/>
      <c r="H42" s="107"/>
      <c r="I42" s="107"/>
      <c r="J42" s="107"/>
      <c r="K42" s="107"/>
      <c r="L42" s="108"/>
      <c r="M42" s="107"/>
      <c r="N42" s="107"/>
      <c r="O42" s="107"/>
      <c r="P42" s="107"/>
      <c r="Q42" s="108"/>
      <c r="R42" s="107"/>
      <c r="S42" s="107"/>
      <c r="T42" s="107"/>
      <c r="U42" s="107"/>
      <c r="V42" s="108"/>
    </row>
    <row r="43" hidden="1">
      <c r="A43" s="104" t="s">
        <v>1610</v>
      </c>
      <c r="B43" s="111"/>
      <c r="C43" s="111"/>
      <c r="D43" s="111"/>
      <c r="E43" s="111"/>
      <c r="F43" s="111"/>
      <c r="G43" s="112"/>
      <c r="H43" s="111"/>
      <c r="I43" s="111"/>
      <c r="J43" s="111"/>
      <c r="K43" s="111"/>
      <c r="L43" s="112"/>
      <c r="M43" s="111"/>
      <c r="N43" s="111"/>
      <c r="O43" s="111"/>
      <c r="P43" s="111"/>
      <c r="Q43" s="112"/>
      <c r="R43" s="111"/>
      <c r="S43" s="111"/>
      <c r="T43" s="111"/>
      <c r="U43" s="111"/>
      <c r="V43" s="112"/>
    </row>
    <row r="44" hidden="1">
      <c r="A44" s="104" t="s">
        <v>1611</v>
      </c>
      <c r="B44" s="113" t="str">
        <f t="shared" ref="B44:V44" si="49">IFERROR(B7/B42," ")</f>
        <v> </v>
      </c>
      <c r="C44" s="113" t="str">
        <f t="shared" si="49"/>
        <v> </v>
      </c>
      <c r="D44" s="113" t="str">
        <f t="shared" si="49"/>
        <v> </v>
      </c>
      <c r="E44" s="113" t="str">
        <f t="shared" si="49"/>
        <v> </v>
      </c>
      <c r="F44" s="113" t="str">
        <f t="shared" si="49"/>
        <v> </v>
      </c>
      <c r="G44" s="114" t="str">
        <f t="shared" si="49"/>
        <v> </v>
      </c>
      <c r="H44" s="113" t="str">
        <f t="shared" si="49"/>
        <v> </v>
      </c>
      <c r="I44" s="113" t="str">
        <f t="shared" si="49"/>
        <v> </v>
      </c>
      <c r="J44" s="113" t="str">
        <f t="shared" si="49"/>
        <v> </v>
      </c>
      <c r="K44" s="113" t="str">
        <f t="shared" si="49"/>
        <v> </v>
      </c>
      <c r="L44" s="114" t="str">
        <f t="shared" si="49"/>
        <v> </v>
      </c>
      <c r="M44" s="113" t="str">
        <f t="shared" si="49"/>
        <v> </v>
      </c>
      <c r="N44" s="113" t="str">
        <f t="shared" si="49"/>
        <v> </v>
      </c>
      <c r="O44" s="113" t="str">
        <f t="shared" si="49"/>
        <v> </v>
      </c>
      <c r="P44" s="113" t="str">
        <f t="shared" si="49"/>
        <v> </v>
      </c>
      <c r="Q44" s="114" t="str">
        <f t="shared" si="49"/>
        <v> </v>
      </c>
      <c r="R44" s="113" t="str">
        <f t="shared" si="49"/>
        <v> </v>
      </c>
      <c r="S44" s="113" t="str">
        <f t="shared" si="49"/>
        <v> </v>
      </c>
      <c r="T44" s="113" t="str">
        <f t="shared" si="49"/>
        <v> </v>
      </c>
      <c r="U44" s="113" t="str">
        <f t="shared" si="49"/>
        <v> </v>
      </c>
      <c r="V44" s="114" t="str">
        <f t="shared" si="49"/>
        <v> </v>
      </c>
    </row>
    <row r="45">
      <c r="A45" s="115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</row>
    <row r="46">
      <c r="A46" s="72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</row>
    <row r="47">
      <c r="A47" s="117" t="s">
        <v>1612</v>
      </c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</row>
    <row r="48">
      <c r="A48" s="119" t="s">
        <v>1577</v>
      </c>
      <c r="B48" s="120">
        <f t="shared" ref="B48:V48" si="50">B6</f>
        <v>46082</v>
      </c>
      <c r="C48" s="120">
        <f t="shared" si="50"/>
        <v>46089</v>
      </c>
      <c r="D48" s="120">
        <f t="shared" si="50"/>
        <v>46096</v>
      </c>
      <c r="E48" s="120">
        <f t="shared" si="50"/>
        <v>46103</v>
      </c>
      <c r="F48" s="120">
        <f t="shared" si="50"/>
        <v>46110</v>
      </c>
      <c r="G48" s="120" t="str">
        <f t="shared" si="50"/>
        <v>Março</v>
      </c>
      <c r="H48" s="120">
        <f t="shared" si="50"/>
        <v>46117</v>
      </c>
      <c r="I48" s="120">
        <f t="shared" si="50"/>
        <v>46124</v>
      </c>
      <c r="J48" s="120">
        <f t="shared" si="50"/>
        <v>46131</v>
      </c>
      <c r="K48" s="120">
        <f t="shared" si="50"/>
        <v>46138</v>
      </c>
      <c r="L48" s="120" t="str">
        <f t="shared" si="50"/>
        <v>Abril</v>
      </c>
      <c r="M48" s="120">
        <f t="shared" si="50"/>
        <v>46145</v>
      </c>
      <c r="N48" s="120">
        <f t="shared" si="50"/>
        <v>46152</v>
      </c>
      <c r="O48" s="120">
        <f t="shared" si="50"/>
        <v>46159</v>
      </c>
      <c r="P48" s="120">
        <f t="shared" si="50"/>
        <v>46166</v>
      </c>
      <c r="Q48" s="120" t="str">
        <f t="shared" si="50"/>
        <v>Maio</v>
      </c>
      <c r="R48" s="120">
        <f t="shared" si="50"/>
        <v>46173</v>
      </c>
      <c r="S48" s="120">
        <f t="shared" si="50"/>
        <v>46180</v>
      </c>
      <c r="T48" s="120">
        <f t="shared" si="50"/>
        <v>46187</v>
      </c>
      <c r="U48" s="120">
        <f t="shared" si="50"/>
        <v>46194</v>
      </c>
      <c r="V48" s="120" t="str">
        <f t="shared" si="50"/>
        <v>Junho</v>
      </c>
    </row>
    <row r="49">
      <c r="A49" s="121" t="s">
        <v>1578</v>
      </c>
      <c r="B49" s="80">
        <f>IFERROR(SUMIFS('2.1 Relatório Diário'!$P:$P,'2.1 Relatório Diário'!$B:$B,"&gt;="&amp;$B$2,'2.1 Relatório Diário'!$B:$B,"&lt;="&amp;$B$3),"")</f>
        <v>20.73</v>
      </c>
      <c r="C49" s="80">
        <f>SUMIFS('2.1 Relatório Diário'!$P:$P,'2.1 Relatório Diário'!$B:$B,"&gt;="&amp;C2,'2.1 Relatório Diário'!$B:$B,"&lt;="&amp;C3)</f>
        <v>35.93</v>
      </c>
      <c r="D49" s="80">
        <f>SUMIFS('2.1 Relatório Diário'!$P:$P,'2.1 Relatório Diário'!$B:$B,"&gt;="&amp;D2,'2.1 Relatório Diário'!$B:$B,"&lt;="&amp;D3)</f>
        <v>97.08</v>
      </c>
      <c r="E49" s="80">
        <f>SUMIFS('2.1 Relatório Diário'!$P:$P,'2.1 Relatório Diário'!$B:$B,"&gt;="&amp;E2,'2.1 Relatório Diário'!$B:$B,"&lt;="&amp;E3)</f>
        <v>48.69</v>
      </c>
      <c r="F49" s="80">
        <f>SUMIFS('2.1 Relatório Diário'!$P:$P,'2.1 Relatório Diário'!$B:$B,"&gt;="&amp;F2,'2.1 Relatório Diário'!$B:$B,"&lt;="&amp;F3)</f>
        <v>150.12</v>
      </c>
      <c r="G49" s="81">
        <f>SUMIFS('2.1 Relatório Diário'!$P:$P,'2.1 Relatório Diário'!$B:$B,"&gt;="&amp;G2,'2.1 Relatório Diário'!$B:$B,"&lt;="&amp;G3)</f>
        <v>206.73</v>
      </c>
      <c r="H49" s="80">
        <f>SUMIFS('2.1 Relatório Diário'!$P:$P,'2.1 Relatório Diário'!$B:$B,"&gt;="&amp;H2,'2.1 Relatório Diário'!$B:$B,"&lt;="&amp;H3)</f>
        <v>224.19</v>
      </c>
      <c r="I49" s="80">
        <f>SUMIFS('2.1 Relatório Diário'!$P:$P,'2.1 Relatório Diário'!$B:$B,"&gt;="&amp;I2,'2.1 Relatório Diário'!$B:$B,"&lt;="&amp;I3)</f>
        <v>359.66</v>
      </c>
      <c r="J49" s="80">
        <f>SUMIFS('2.1 Relatório Diário'!$P:$P,'2.1 Relatório Diário'!$B:$B,"&gt;="&amp;J2,'2.1 Relatório Diário'!$B:$B,"&lt;="&amp;J3)</f>
        <v>349.76</v>
      </c>
      <c r="K49" s="80">
        <f>SUMIFS('2.1 Relatório Diário'!$P:$P,'2.1 Relatório Diário'!$B:$B,"&gt;="&amp;K2,'2.1 Relatório Diário'!$B:$B,"&lt;="&amp;K3)</f>
        <v>193.65</v>
      </c>
      <c r="L49" s="81">
        <f>SUMIFS('2.1 Relatório Diário'!$P:$P,'2.1 Relatório Diário'!$B:$B,"&gt;="&amp;L2,'2.1 Relatório Diário'!$B:$B,"&lt;="&amp;L3)</f>
        <v>1204.31</v>
      </c>
      <c r="M49" s="80">
        <f>SUMIFS('2.1 Relatório Diário'!$P:$P,'2.1 Relatório Diário'!$B:$B,"&gt;="&amp;M2,'2.1 Relatório Diário'!$B:$B,"&lt;="&amp;M3)</f>
        <v>181.27</v>
      </c>
      <c r="N49" s="80">
        <f>SUMIFS('2.1 Relatório Diário'!$P:$P,'2.1 Relatório Diário'!$B:$B,"&gt;="&amp;N2,'2.1 Relatório Diário'!$B:$B,"&lt;="&amp;N3)</f>
        <v>177.78</v>
      </c>
      <c r="O49" s="80">
        <f>SUMIFS('2.1 Relatório Diário'!$P:$P,'2.1 Relatório Diário'!$B:$B,"&gt;="&amp;O2,'2.1 Relatório Diário'!$B:$B,"&lt;="&amp;O3)</f>
        <v>165.75</v>
      </c>
      <c r="P49" s="80">
        <f>SUMIFS('2.1 Relatório Diário'!$P:$P,'2.1 Relatório Diário'!$B:$B,"&gt;="&amp;P2,'2.1 Relatório Diário'!$B:$B,"&lt;="&amp;P3)</f>
        <v>77.51</v>
      </c>
      <c r="Q49" s="81">
        <f>SUMIFS('2.1 Relatório Diário'!$P:$P,'2.1 Relatório Diário'!$B:$B,"&gt;="&amp;Q2,'2.1 Relatório Diário'!$B:$B,"&lt;="&amp;Q3)</f>
        <v>673.76</v>
      </c>
      <c r="R49" s="80">
        <f>SUMIFS('2.1 Relatório Diário'!$P:$P,'2.1 Relatório Diário'!$B:$B,"&gt;="&amp;R2,'2.1 Relatório Diário'!$B:$B,"&lt;="&amp;R3)</f>
        <v>27.82</v>
      </c>
      <c r="S49" s="80">
        <f>SUMIFS('2.1 Relatório Diário'!$P:$P,'2.1 Relatório Diário'!$B:$B,"&gt;="&amp;S2,'2.1 Relatório Diário'!$B:$B,"&lt;="&amp;S3)</f>
        <v>0</v>
      </c>
      <c r="T49" s="80">
        <f>SUMIFS('2.1 Relatório Diário'!$P:$P,'2.1 Relatório Diário'!$B:$B,"&gt;="&amp;T2,'2.1 Relatório Diário'!$B:$B,"&lt;="&amp;T3)</f>
        <v>0</v>
      </c>
      <c r="U49" s="80">
        <f>SUMIFS('2.1 Relatório Diário'!$P:$P,'2.1 Relatório Diário'!$B:$B,"&gt;="&amp;U2,'2.1 Relatório Diário'!$B:$B,"&lt;="&amp;U3)</f>
        <v>0</v>
      </c>
      <c r="V49" s="81">
        <f>SUMIFS('2.1 Relatório Diário'!$P:$P,'2.1 Relatório Diário'!$B:$B,"&gt;="&amp;V2,'2.1 Relatório Diário'!$B:$B,"&lt;="&amp;V3)</f>
        <v>25.14</v>
      </c>
    </row>
    <row r="50">
      <c r="A50" s="121" t="s">
        <v>1579</v>
      </c>
      <c r="B50" s="122">
        <f>IFERROR(SUMIFS('2.1 Relatório Diário'!$R:$R,'2.1 Relatório Diário'!$B:$B,"&gt;="&amp;B2,'2.1 Relatório Diário'!$B:$B,"&lt;="&amp;B3),"")</f>
        <v>0</v>
      </c>
      <c r="C50" s="122">
        <f>IFERROR(SUMIFS('2.1 Relatório Diário'!$R:$R,'2.1 Relatório Diário'!$B:$B,"&gt;="&amp;C2,'2.1 Relatório Diário'!$B:$B,"&lt;="&amp;C3),"")</f>
        <v>0</v>
      </c>
      <c r="D50" s="122">
        <f>IFERROR(SUMIFS('2.1 Relatório Diário'!$R:$R,'2.1 Relatório Diário'!$B:$B,"&gt;="&amp;D2,'2.1 Relatório Diário'!$B:$B,"&lt;="&amp;D3),"")</f>
        <v>0</v>
      </c>
      <c r="E50" s="122">
        <f>IFERROR(SUMIFS('2.1 Relatório Diário'!$R:$R,'2.1 Relatório Diário'!$B:$B,"&gt;="&amp;E2,'2.1 Relatório Diário'!$B:$B,"&lt;="&amp;E3),"")</f>
        <v>0</v>
      </c>
      <c r="F50" s="122">
        <f>IFERROR(SUMIFS('2.1 Relatório Diário'!$R:$R,'2.1 Relatório Diário'!$B:$B,"&gt;="&amp;F2,'2.1 Relatório Diário'!$B:$B,"&lt;="&amp;F3),"")</f>
        <v>0</v>
      </c>
      <c r="G50" s="123">
        <f>IFERROR(SUMIFS('2.1 Relatório Diário'!$R:$R,'2.1 Relatório Diário'!$B:$B,"&gt;="&amp;G2,'2.1 Relatório Diário'!$B:$B,"&lt;="&amp;G3),"")</f>
        <v>0</v>
      </c>
      <c r="H50" s="122">
        <f>IFERROR(SUMIFS('2.1 Relatório Diário'!$R:$R,'2.1 Relatório Diário'!$B:$B,"&gt;="&amp;H2,'2.1 Relatório Diário'!$B:$B,"&lt;="&amp;H3),"")</f>
        <v>0</v>
      </c>
      <c r="I50" s="122">
        <f>IFERROR(SUMIFS('2.1 Relatório Diário'!$R:$R,'2.1 Relatório Diário'!$B:$B,"&gt;="&amp;I2,'2.1 Relatório Diário'!$B:$B,"&lt;="&amp;I3),"")</f>
        <v>0</v>
      </c>
      <c r="J50" s="122">
        <f>IFERROR(SUMIFS('2.1 Relatório Diário'!$R:$R,'2.1 Relatório Diário'!$B:$B,"&gt;="&amp;J2,'2.1 Relatório Diário'!$B:$B,"&lt;="&amp;J3),"")</f>
        <v>0</v>
      </c>
      <c r="K50" s="122">
        <f>IFERROR(SUMIFS('2.1 Relatório Diário'!$R:$R,'2.1 Relatório Diário'!$B:$B,"&gt;="&amp;K2,'2.1 Relatório Diário'!$B:$B,"&lt;="&amp;K3),"")</f>
        <v>0</v>
      </c>
      <c r="L50" s="123">
        <f>IFERROR(SUMIFS('2.1 Relatório Diário'!$R:$R,'2.1 Relatório Diário'!$B:$B,"&gt;="&amp;L2,'2.1 Relatório Diário'!$B:$B,"&lt;="&amp;L3),"")</f>
        <v>0</v>
      </c>
      <c r="M50" s="122">
        <f>IFERROR(SUMIFS('2.1 Relatório Diário'!$R:$R,'2.1 Relatório Diário'!$B:$B,"&gt;="&amp;M2,'2.1 Relatório Diário'!$B:$B,"&lt;="&amp;M3),"")</f>
        <v>0</v>
      </c>
      <c r="N50" s="122">
        <f>IFERROR(SUMIFS('2.1 Relatório Diário'!$R:$R,'2.1 Relatório Diário'!$B:$B,"&gt;="&amp;N2,'2.1 Relatório Diário'!$B:$B,"&lt;="&amp;N3),"")</f>
        <v>0</v>
      </c>
      <c r="O50" s="122">
        <f>IFERROR(SUMIFS('2.1 Relatório Diário'!$R:$R,'2.1 Relatório Diário'!$B:$B,"&gt;="&amp;O2,'2.1 Relatório Diário'!$B:$B,"&lt;="&amp;O3),"")</f>
        <v>0</v>
      </c>
      <c r="P50" s="122">
        <f>IFERROR(SUMIFS('2.1 Relatório Diário'!$R:$R,'2.1 Relatório Diário'!$B:$B,"&gt;="&amp;P2,'2.1 Relatório Diário'!$B:$B,"&lt;="&amp;P3),"")</f>
        <v>0</v>
      </c>
      <c r="Q50" s="123">
        <f>IFERROR(SUMIFS('2.1 Relatório Diário'!$R:$R,'2.1 Relatório Diário'!$B:$B,"&gt;="&amp;Q2,'2.1 Relatório Diário'!$B:$B,"&lt;="&amp;Q3),"")</f>
        <v>0</v>
      </c>
      <c r="R50" s="122">
        <f>IFERROR(SUMIFS('2.1 Relatório Diário'!$R:$R,'2.1 Relatório Diário'!$B:$B,"&gt;="&amp;R2,'2.1 Relatório Diário'!$B:$B,"&lt;="&amp;R3),"")</f>
        <v>0</v>
      </c>
      <c r="S50" s="122">
        <f>IFERROR(SUMIFS('2.1 Relatório Diário'!$R:$R,'2.1 Relatório Diário'!$B:$B,"&gt;="&amp;S2,'2.1 Relatório Diário'!$B:$B,"&lt;="&amp;S3),"")</f>
        <v>0</v>
      </c>
      <c r="T50" s="122">
        <f>IFERROR(SUMIFS('2.1 Relatório Diário'!$R:$R,'2.1 Relatório Diário'!$B:$B,"&gt;="&amp;T2,'2.1 Relatório Diário'!$B:$B,"&lt;="&amp;T3),"")</f>
        <v>0</v>
      </c>
      <c r="U50" s="122">
        <f>IFERROR(SUMIFS('2.1 Relatório Diário'!$R:$R,'2.1 Relatório Diário'!$B:$B,"&gt;="&amp;U2,'2.1 Relatório Diário'!$B:$B,"&lt;="&amp;U3),"")</f>
        <v>0</v>
      </c>
      <c r="V50" s="123">
        <f>IFERROR(SUMIFS('2.1 Relatório Diário'!$R:$R,'2.1 Relatório Diário'!$B:$B,"&gt;="&amp;V2,'2.1 Relatório Diário'!$B:$B,"&lt;="&amp;V3),"")</f>
        <v>0</v>
      </c>
    </row>
    <row r="51" ht="6.0" customHeight="1">
      <c r="A51" s="99"/>
      <c r="B51" s="90"/>
      <c r="C51" s="90"/>
      <c r="D51" s="90"/>
      <c r="E51" s="90"/>
      <c r="F51" s="90"/>
      <c r="G51" s="91"/>
      <c r="H51" s="90"/>
      <c r="I51" s="90"/>
      <c r="J51" s="90"/>
      <c r="K51" s="90"/>
      <c r="L51" s="91"/>
      <c r="M51" s="90"/>
      <c r="N51" s="90"/>
      <c r="O51" s="90"/>
      <c r="P51" s="90"/>
      <c r="Q51" s="91"/>
      <c r="R51" s="90"/>
      <c r="S51" s="90"/>
      <c r="T51" s="90"/>
      <c r="U51" s="90"/>
      <c r="V51" s="91"/>
    </row>
    <row r="52">
      <c r="A52" s="124" t="s">
        <v>1580</v>
      </c>
      <c r="B52" s="87">
        <f>IFERROR(SUMIFS('2.1 Relatório Diário'!$S:$S,'2.1 Relatório Diário'!$B:$B,"&gt;="&amp;B2,'2.1 Relatório Diário'!$B:$B,"&lt;="&amp;B3),"")</f>
        <v>51</v>
      </c>
      <c r="C52" s="87">
        <f>IFERROR(SUMIFS('2.1 Relatório Diário'!$S:$S,'2.1 Relatório Diário'!$B:$B,"&gt;="&amp;C2,'2.1 Relatório Diário'!$B:$B,"&lt;="&amp;C3),"")</f>
        <v>61</v>
      </c>
      <c r="D52" s="87">
        <f>IFERROR(SUMIFS('2.1 Relatório Diário'!$S:$S,'2.1 Relatório Diário'!$B:$B,"&gt;="&amp;D2,'2.1 Relatório Diário'!$B:$B,"&lt;="&amp;D3),"")</f>
        <v>67</v>
      </c>
      <c r="E52" s="87">
        <f>IFERROR(SUMIFS('2.1 Relatório Diário'!$S:$S,'2.1 Relatório Diário'!$B:$B,"&gt;="&amp;E2,'2.1 Relatório Diário'!$B:$B,"&lt;="&amp;E3),"")</f>
        <v>86</v>
      </c>
      <c r="F52" s="87">
        <f>IFERROR(SUMIFS('2.1 Relatório Diário'!$S:$S,'2.1 Relatório Diário'!$B:$B,"&gt;="&amp;F2,'2.1 Relatório Diário'!$B:$B,"&lt;="&amp;F3),"")</f>
        <v>2192</v>
      </c>
      <c r="G52" s="88">
        <f>IFERROR(SUMIFS('2.1 Relatório Diário'!$S:$S,'2.1 Relatório Diário'!$B:$B,"&gt;="&amp;G2,'2.1 Relatório Diário'!$B:$B,"&lt;="&amp;G3),"")</f>
        <v>309</v>
      </c>
      <c r="H52" s="87">
        <f>IFERROR(SUMIFS('2.1 Relatório Diário'!$S:$S,'2.1 Relatório Diário'!$B:$B,"&gt;="&amp;H2,'2.1 Relatório Diário'!$B:$B,"&lt;="&amp;H3),"")</f>
        <v>8910</v>
      </c>
      <c r="I52" s="87">
        <f>IFERROR(SUMIFS('2.1 Relatório Diário'!$S:$S,'2.1 Relatório Diário'!$B:$B,"&gt;="&amp;I2,'2.1 Relatório Diário'!$B:$B,"&lt;="&amp;I3),"")</f>
        <v>7909</v>
      </c>
      <c r="J52" s="87">
        <f>IFERROR(SUMIFS('2.1 Relatório Diário'!$S:$S,'2.1 Relatório Diário'!$B:$B,"&gt;="&amp;J2,'2.1 Relatório Diário'!$B:$B,"&lt;="&amp;J3),"")</f>
        <v>8740</v>
      </c>
      <c r="K52" s="87">
        <f>IFERROR(SUMIFS('2.1 Relatório Diário'!$S:$S,'2.1 Relatório Diário'!$B:$B,"&gt;="&amp;K2,'2.1 Relatório Diário'!$B:$B,"&lt;="&amp;K3),"")</f>
        <v>5932</v>
      </c>
      <c r="L52" s="88">
        <f>IFERROR(SUMIFS('2.1 Relatório Diário'!$S:$S,'2.1 Relatório Diário'!$B:$B,"&gt;="&amp;L2,'2.1 Relatório Diário'!$B:$B,"&lt;="&amp;L3),"")</f>
        <v>32116</v>
      </c>
      <c r="M52" s="87">
        <f>IFERROR(SUMIFS('2.1 Relatório Diário'!$S:$S,'2.1 Relatório Diário'!$B:$B,"&gt;="&amp;M2,'2.1 Relatório Diário'!$B:$B,"&lt;="&amp;M3),"")</f>
        <v>3904</v>
      </c>
      <c r="N52" s="87">
        <f>IFERROR(SUMIFS('2.1 Relatório Diário'!$S:$S,'2.1 Relatório Diário'!$B:$B,"&gt;="&amp;N2,'2.1 Relatório Diário'!$B:$B,"&lt;="&amp;N3),"")</f>
        <v>3244</v>
      </c>
      <c r="O52" s="87">
        <f>IFERROR(SUMIFS('2.1 Relatório Diário'!$S:$S,'2.1 Relatório Diário'!$B:$B,"&gt;="&amp;O2,'2.1 Relatório Diário'!$B:$B,"&lt;="&amp;O3),"")</f>
        <v>1301</v>
      </c>
      <c r="P52" s="87">
        <f>IFERROR(SUMIFS('2.1 Relatório Diário'!$S:$S,'2.1 Relatório Diário'!$B:$B,"&gt;="&amp;P2,'2.1 Relatório Diário'!$B:$B,"&lt;="&amp;P3),"")</f>
        <v>104</v>
      </c>
      <c r="Q52" s="88">
        <f>IFERROR(SUMIFS('2.1 Relatório Diário'!$S:$S,'2.1 Relatório Diário'!$B:$B,"&gt;="&amp;Q2,'2.1 Relatório Diário'!$B:$B,"&lt;="&amp;Q3),"")</f>
        <v>10078</v>
      </c>
      <c r="R52" s="87">
        <f>IFERROR(SUMIFS('2.1 Relatório Diário'!$S:$S,'2.1 Relatório Diário'!$B:$B,"&gt;="&amp;R2,'2.1 Relatório Diário'!$B:$B,"&lt;="&amp;R3),"")</f>
        <v>43</v>
      </c>
      <c r="S52" s="87">
        <f>IFERROR(SUMIFS('2.1 Relatório Diário'!$S:$S,'2.1 Relatório Diário'!$B:$B,"&gt;="&amp;S2,'2.1 Relatório Diário'!$B:$B,"&lt;="&amp;S3),"")</f>
        <v>0</v>
      </c>
      <c r="T52" s="87">
        <f>IFERROR(SUMIFS('2.1 Relatório Diário'!$S:$S,'2.1 Relatório Diário'!$B:$B,"&gt;="&amp;T2,'2.1 Relatório Diário'!$B:$B,"&lt;="&amp;T3),"")</f>
        <v>0</v>
      </c>
      <c r="U52" s="87">
        <f>IFERROR(SUMIFS('2.1 Relatório Diário'!$S:$S,'2.1 Relatório Diário'!$B:$B,"&gt;="&amp;U2,'2.1 Relatório Diário'!$B:$B,"&lt;="&amp;U3),"")</f>
        <v>0</v>
      </c>
      <c r="V52" s="88">
        <f>IFERROR(SUMIFS('2.1 Relatório Diário'!$S:$S,'2.1 Relatório Diário'!$B:$B,"&gt;="&amp;V2,'2.1 Relatório Diário'!$B:$B,"&lt;="&amp;V3),"")</f>
        <v>41</v>
      </c>
    </row>
    <row r="53">
      <c r="A53" s="124" t="s">
        <v>1581</v>
      </c>
      <c r="B53" s="87">
        <f>IFERROR(SUMIFS('2.1 Relatório Diário'!$T:$T,'2.1 Relatório Diário'!$B:$B,"&gt;="&amp;B2,'2.1 Relatório Diário'!$B:$B,"&lt;="&amp;B3),"")</f>
        <v>13</v>
      </c>
      <c r="C53" s="87">
        <f>IFERROR(SUMIFS('2.1 Relatório Diário'!$T:$T,'2.1 Relatório Diário'!$B:$B,"&gt;="&amp;C2,'2.1 Relatório Diário'!$B:$B,"&lt;="&amp;C3),"")</f>
        <v>13</v>
      </c>
      <c r="D53" s="87">
        <f>IFERROR(SUMIFS('2.1 Relatório Diário'!$T:$T,'2.1 Relatório Diário'!$B:$B,"&gt;="&amp;D2,'2.1 Relatório Diário'!$B:$B,"&lt;="&amp;D3),"")</f>
        <v>9</v>
      </c>
      <c r="E53" s="87">
        <f>IFERROR(SUMIFS('2.1 Relatório Diário'!$T:$T,'2.1 Relatório Diário'!$B:$B,"&gt;="&amp;E2,'2.1 Relatório Diário'!$B:$B,"&lt;="&amp;E3),"")</f>
        <v>6</v>
      </c>
      <c r="F53" s="87">
        <f>IFERROR(SUMIFS('2.1 Relatório Diário'!$T:$T,'2.1 Relatório Diário'!$B:$B,"&gt;="&amp;F2,'2.1 Relatório Diário'!$B:$B,"&lt;="&amp;F3),"")</f>
        <v>27</v>
      </c>
      <c r="G53" s="88">
        <f>IFERROR(SUMIFS('2.1 Relatório Diário'!$T:$T,'2.1 Relatório Diário'!$B:$B,"&gt;="&amp;G2,'2.1 Relatório Diário'!$B:$B,"&lt;="&amp;G3),"")</f>
        <v>45</v>
      </c>
      <c r="H53" s="87">
        <f>IFERROR(SUMIFS('2.1 Relatório Diário'!$T:$T,'2.1 Relatório Diário'!$B:$B,"&gt;="&amp;H2,'2.1 Relatório Diário'!$B:$B,"&lt;="&amp;H3),"")</f>
        <v>95</v>
      </c>
      <c r="I53" s="87">
        <f>IFERROR(SUMIFS('2.1 Relatório Diário'!$T:$T,'2.1 Relatório Diário'!$B:$B,"&gt;="&amp;I2,'2.1 Relatório Diário'!$B:$B,"&lt;="&amp;I3),"")</f>
        <v>92</v>
      </c>
      <c r="J53" s="87">
        <f>IFERROR(SUMIFS('2.1 Relatório Diário'!$T:$T,'2.1 Relatório Diário'!$B:$B,"&gt;="&amp;J2,'2.1 Relatório Diário'!$B:$B,"&lt;="&amp;J3),"")</f>
        <v>97</v>
      </c>
      <c r="K53" s="87">
        <f>IFERROR(SUMIFS('2.1 Relatório Diário'!$T:$T,'2.1 Relatório Diário'!$B:$B,"&gt;="&amp;K2,'2.1 Relatório Diário'!$B:$B,"&lt;="&amp;K3),"")</f>
        <v>72</v>
      </c>
      <c r="L53" s="88">
        <f>IFERROR(SUMIFS('2.1 Relatório Diário'!$T:$T,'2.1 Relatório Diário'!$B:$B,"&gt;="&amp;L2,'2.1 Relatório Diário'!$B:$B,"&lt;="&amp;L3),"")</f>
        <v>355</v>
      </c>
      <c r="M53" s="87">
        <f>IFERROR(SUMIFS('2.1 Relatório Diário'!$T:$T,'2.1 Relatório Diário'!$B:$B,"&gt;="&amp;M2,'2.1 Relatório Diário'!$B:$B,"&lt;="&amp;M3),"")</f>
        <v>64</v>
      </c>
      <c r="N53" s="87">
        <f>IFERROR(SUMIFS('2.1 Relatório Diário'!$T:$T,'2.1 Relatório Diário'!$B:$B,"&gt;="&amp;N2,'2.1 Relatório Diário'!$B:$B,"&lt;="&amp;N3),"")</f>
        <v>47</v>
      </c>
      <c r="O53" s="87">
        <f>IFERROR(SUMIFS('2.1 Relatório Diário'!$T:$T,'2.1 Relatório Diário'!$B:$B,"&gt;="&amp;O2,'2.1 Relatório Diário'!$B:$B,"&lt;="&amp;O3),"")</f>
        <v>33</v>
      </c>
      <c r="P53" s="87">
        <f>IFERROR(SUMIFS('2.1 Relatório Diário'!$T:$T,'2.1 Relatório Diário'!$B:$B,"&gt;="&amp;P2,'2.1 Relatório Diário'!$B:$B,"&lt;="&amp;P3),"")</f>
        <v>15</v>
      </c>
      <c r="Q53" s="88">
        <f>IFERROR(SUMIFS('2.1 Relatório Diário'!$T:$T,'2.1 Relatório Diário'!$B:$B,"&gt;="&amp;Q2,'2.1 Relatório Diário'!$B:$B,"&lt;="&amp;Q3),"")</f>
        <v>184</v>
      </c>
      <c r="R53" s="87">
        <f>IFERROR(SUMIFS('2.1 Relatório Diário'!$T:$T,'2.1 Relatório Diário'!$B:$B,"&gt;="&amp;R2,'2.1 Relatório Diário'!$B:$B,"&lt;="&amp;R3),"")</f>
        <v>12</v>
      </c>
      <c r="S53" s="87">
        <f>IFERROR(SUMIFS('2.1 Relatório Diário'!$T:$T,'2.1 Relatório Diário'!$B:$B,"&gt;="&amp;S2,'2.1 Relatório Diário'!$B:$B,"&lt;="&amp;S3),"")</f>
        <v>0</v>
      </c>
      <c r="T53" s="87">
        <f>IFERROR(SUMIFS('2.1 Relatório Diário'!$T:$T,'2.1 Relatório Diário'!$B:$B,"&gt;="&amp;T2,'2.1 Relatório Diário'!$B:$B,"&lt;="&amp;T3),"")</f>
        <v>0</v>
      </c>
      <c r="U53" s="87">
        <f>IFERROR(SUMIFS('2.1 Relatório Diário'!$T:$T,'2.1 Relatório Diário'!$B:$B,"&gt;="&amp;U2,'2.1 Relatório Diário'!$B:$B,"&lt;="&amp;U3),"")</f>
        <v>0</v>
      </c>
      <c r="V53" s="88">
        <f>IFERROR(SUMIFS('2.1 Relatório Diário'!$T:$T,'2.1 Relatório Diário'!$B:$B,"&gt;="&amp;V2,'2.1 Relatório Diário'!$B:$B,"&lt;="&amp;V3),"")</f>
        <v>11</v>
      </c>
    </row>
    <row r="54">
      <c r="A54" s="124" t="s">
        <v>1583</v>
      </c>
      <c r="B54" s="125"/>
      <c r="C54" s="125"/>
      <c r="D54" s="125"/>
      <c r="E54" s="125"/>
      <c r="F54" s="125"/>
      <c r="G54" s="126"/>
      <c r="H54" s="125">
        <f>IFERROR(SUMIFS('2.1 Relatório Diário'!$AK:$AK,'2.1 Relatório Diário'!$B:$B,"&gt;="&amp;#REF!,'2.1 Relatório Diário'!$B:$B,"&lt;="&amp;#REF!),"")</f>
        <v>0</v>
      </c>
      <c r="I54" s="125">
        <f>IFERROR(SUMIFS('2.1 Relatório Diário'!$AK:$AK,'2.1 Relatório Diário'!$B:$B,"&gt;="&amp;#REF!,'2.1 Relatório Diário'!$B:$B,"&lt;="&amp;#REF!),"")</f>
        <v>0</v>
      </c>
      <c r="J54" s="125">
        <f>IFERROR(SUMIFS('2.1 Relatório Diário'!$AK:$AK,'2.1 Relatório Diário'!$B:$B,"&gt;="&amp;#REF!,'2.1 Relatório Diário'!$B:$B,"&lt;="&amp;#REF!),"")</f>
        <v>0</v>
      </c>
      <c r="K54" s="125">
        <f>IFERROR(SUMIFS('2.1 Relatório Diário'!$AK:$AK,'2.1 Relatório Diário'!$B:$B,"&gt;="&amp;#REF!,'2.1 Relatório Diário'!$B:$B,"&lt;="&amp;#REF!),"")</f>
        <v>0</v>
      </c>
      <c r="L54" s="126">
        <f>IFERROR(SUMIFS('2.1 Relatório Diário'!$AK:$AK,'2.1 Relatório Diário'!$B:$B,"&gt;="&amp;#REF!,'2.1 Relatório Diário'!$B:$B,"&lt;="&amp;#REF!),"")</f>
        <v>0</v>
      </c>
      <c r="M54" s="125">
        <f>IFERROR(SUMIFS('2.1 Relatório Diário'!$Z:$Z,'2.1 Relatório Diário'!$B:$B,"&gt;="&amp;M2,'2.1 Relatório Diário'!$B:$B,"&lt;="&amp;M3),"")</f>
        <v>1</v>
      </c>
      <c r="N54" s="125">
        <f>IFERROR(SUMIFS('2.1 Relatório Diário'!$Z:$Z,'2.1 Relatório Diário'!$B:$B,"&gt;="&amp;N2,'2.1 Relatório Diário'!$B:$B,"&lt;="&amp;N3),"")</f>
        <v>1</v>
      </c>
      <c r="O54" s="125">
        <f>IFERROR(SUMIFS('2.1 Relatório Diário'!$Z:$Z,'2.1 Relatório Diário'!$B:$B,"&gt;="&amp;O2,'2.1 Relatório Diário'!$B:$B,"&lt;="&amp;O3),"")</f>
        <v>0</v>
      </c>
      <c r="P54" s="125">
        <f>IFERROR(SUMIFS('2.1 Relatório Diário'!$Z:$Z,'2.1 Relatório Diário'!$B:$B,"&gt;="&amp;P2,'2.1 Relatório Diário'!$B:$B,"&lt;="&amp;P3),"")</f>
        <v>2</v>
      </c>
      <c r="Q54" s="126">
        <f>IFERROR(SUMIFS('2.1 Relatório Diário'!$Z:$Z,'2.1 Relatório Diário'!$B:$B,"&gt;="&amp;Q2,'2.1 Relatório Diário'!$B:$B,"&lt;="&amp;Q3),"")</f>
        <v>5</v>
      </c>
      <c r="R54" s="125">
        <f>IFERROR(SUMIFS('2.1 Relatório Diário'!$Z:$Z,'2.1 Relatório Diário'!$B:$B,"&gt;="&amp;R2,'2.1 Relatório Diário'!$B:$B,"&lt;="&amp;R3),"")</f>
        <v>0</v>
      </c>
      <c r="S54" s="125">
        <f>IFERROR(SUMIFS('2.1 Relatório Diário'!$Z:$Z,'2.1 Relatório Diário'!$B:$B,"&gt;="&amp;S2,'2.1 Relatório Diário'!$B:$B,"&lt;="&amp;S3),"")</f>
        <v>0</v>
      </c>
      <c r="T54" s="125">
        <f>IFERROR(SUMIFS('2.1 Relatório Diário'!$Z:$Z,'2.1 Relatório Diário'!$B:$B,"&gt;="&amp;T2,'2.1 Relatório Diário'!$B:$B,"&lt;="&amp;T3),"")</f>
        <v>0</v>
      </c>
      <c r="U54" s="125">
        <f>IFERROR(SUMIFS('2.1 Relatório Diário'!$Z:$Z,'2.1 Relatório Diário'!$B:$B,"&gt;="&amp;U2,'2.1 Relatório Diário'!$B:$B,"&lt;="&amp;U3),"")</f>
        <v>0</v>
      </c>
      <c r="V54" s="126">
        <f>IFERROR(SUMIFS('2.1 Relatório Diário'!$Z:$Z,'2.1 Relatório Diário'!$B:$B,"&gt;="&amp;V2,'2.1 Relatório Diário'!$B:$B,"&lt;="&amp;V3),"")</f>
        <v>0</v>
      </c>
    </row>
    <row r="55">
      <c r="A55" s="124" t="s">
        <v>1584</v>
      </c>
      <c r="B55" s="125"/>
      <c r="C55" s="125"/>
      <c r="D55" s="125"/>
      <c r="E55" s="125"/>
      <c r="F55" s="125"/>
      <c r="G55" s="126"/>
      <c r="H55" s="125">
        <f>IFERROR(SUMIFS('2.1 Relatório Diário'!$AL:$AL,'2.1 Relatório Diário'!$B:$B,"&gt;="&amp;#REF!,'2.1 Relatório Diário'!$B:$B,"&lt;="&amp;#REF!),"")</f>
        <v>0</v>
      </c>
      <c r="I55" s="125">
        <f>IFERROR(SUMIFS('2.1 Relatório Diário'!$AL:$AL,'2.1 Relatório Diário'!$B:$B,"&gt;="&amp;#REF!,'2.1 Relatório Diário'!$B:$B,"&lt;="&amp;#REF!),"")</f>
        <v>0</v>
      </c>
      <c r="J55" s="125">
        <f>IFERROR(SUMIFS('2.1 Relatório Diário'!$AL:$AL,'2.1 Relatório Diário'!$B:$B,"&gt;="&amp;#REF!,'2.1 Relatório Diário'!$B:$B,"&lt;="&amp;#REF!),"")</f>
        <v>0</v>
      </c>
      <c r="K55" s="125">
        <f>IFERROR(SUMIFS('2.1 Relatório Diário'!$AL:$AL,'2.1 Relatório Diário'!$B:$B,"&gt;="&amp;#REF!,'2.1 Relatório Diário'!$B:$B,"&lt;="&amp;#REF!),"")</f>
        <v>0</v>
      </c>
      <c r="L55" s="126">
        <f>IFERROR(SUMIFS('2.1 Relatório Diário'!$AL:$AL,'2.1 Relatório Diário'!$B:$B,"&gt;="&amp;#REF!,'2.1 Relatório Diário'!$B:$B,"&lt;="&amp;#REF!),"")</f>
        <v>0</v>
      </c>
      <c r="M55" s="125">
        <f>IFERROR(SUMIFS('2.1 Relatório Diário'!$AA:$AA,'2.1 Relatório Diário'!$B:$B,"&gt;="&amp;M2,'2.1 Relatório Diário'!$B:$B,"&lt;="&amp;M3),"")</f>
        <v>0</v>
      </c>
      <c r="N55" s="125">
        <f>IFERROR(SUMIFS('2.1 Relatório Diário'!$AA:$AA,'2.1 Relatório Diário'!$B:$B,"&gt;="&amp;N2,'2.1 Relatório Diário'!$B:$B,"&lt;="&amp;N3),"")</f>
        <v>0</v>
      </c>
      <c r="O55" s="125">
        <f>IFERROR(SUMIFS('2.1 Relatório Diário'!$AA:$AA,'2.1 Relatório Diário'!$B:$B,"&gt;="&amp;O2,'2.1 Relatório Diário'!$B:$B,"&lt;="&amp;O3),"")</f>
        <v>0</v>
      </c>
      <c r="P55" s="125">
        <f>IFERROR(SUMIFS('2.1 Relatório Diário'!$AA:$AA,'2.1 Relatório Diário'!$B:$B,"&gt;="&amp;P2,'2.1 Relatório Diário'!$B:$B,"&lt;="&amp;P3),"")</f>
        <v>2</v>
      </c>
      <c r="Q55" s="126">
        <f>IFERROR(SUMIFS('2.1 Relatório Diário'!$AA:$AA,'2.1 Relatório Diário'!$B:$B,"&gt;="&amp;Q2,'2.1 Relatório Diário'!$B:$B,"&lt;="&amp;Q3),"")</f>
        <v>3</v>
      </c>
      <c r="R55" s="125">
        <f>IFERROR(SUMIFS('2.1 Relatório Diário'!$AA:$AA,'2.1 Relatório Diário'!$B:$B,"&gt;="&amp;R2,'2.1 Relatório Diário'!$B:$B,"&lt;="&amp;R3),"")</f>
        <v>0</v>
      </c>
      <c r="S55" s="125">
        <f>IFERROR(SUMIFS('2.1 Relatório Diário'!$AA:$AA,'2.1 Relatório Diário'!$B:$B,"&gt;="&amp;S2,'2.1 Relatório Diário'!$B:$B,"&lt;="&amp;S3),"")</f>
        <v>0</v>
      </c>
      <c r="T55" s="125">
        <f>IFERROR(SUMIFS('2.1 Relatório Diário'!$AA:$AA,'2.1 Relatório Diário'!$B:$B,"&gt;="&amp;T2,'2.1 Relatório Diário'!$B:$B,"&lt;="&amp;T3),"")</f>
        <v>0</v>
      </c>
      <c r="U55" s="125">
        <f>IFERROR(SUMIFS('2.1 Relatório Diário'!$AA:$AA,'2.1 Relatório Diário'!$B:$B,"&gt;="&amp;U2,'2.1 Relatório Diário'!$B:$B,"&lt;="&amp;U3),"")</f>
        <v>0</v>
      </c>
      <c r="V55" s="126">
        <f>IFERROR(SUMIFS('2.1 Relatório Diário'!$AA:$AA,'2.1 Relatório Diário'!$B:$B,"&gt;="&amp;V2,'2.1 Relatório Diário'!$B:$B,"&lt;="&amp;V3),"")</f>
        <v>0</v>
      </c>
    </row>
    <row r="56">
      <c r="A56" s="124" t="s">
        <v>1585</v>
      </c>
      <c r="B56" s="125">
        <f>IFERROR(SUMIFS('2.1 Relatório Diário'!$W:$W,'2.1 Relatório Diário'!$B:$B,"&gt;="&amp;B2,'2.1 Relatório Diário'!$B:$B,"&lt;="&amp;B3),"")</f>
        <v>0</v>
      </c>
      <c r="C56" s="125">
        <f>IFERROR(SUMIFS('2.1 Relatório Diário'!$W:$W,'2.1 Relatório Diário'!$B:$B,"&gt;="&amp;C2,'2.1 Relatório Diário'!$B:$B,"&lt;="&amp;C3),"")</f>
        <v>0</v>
      </c>
      <c r="D56" s="125">
        <f>IFERROR(SUMIFS('2.1 Relatório Diário'!$W:$W,'2.1 Relatório Diário'!$B:$B,"&gt;="&amp;D2,'2.1 Relatório Diário'!$B:$B,"&lt;="&amp;D3),"")</f>
        <v>0</v>
      </c>
      <c r="E56" s="125">
        <f>IFERROR(SUMIFS('2.1 Relatório Diário'!$W:$W,'2.1 Relatório Diário'!$B:$B,"&gt;="&amp;E2,'2.1 Relatório Diário'!$B:$B,"&lt;="&amp;E3),"")</f>
        <v>0</v>
      </c>
      <c r="F56" s="125">
        <f>IFERROR(SUMIFS('2.1 Relatório Diário'!$W:$W,'2.1 Relatório Diário'!$B:$B,"&gt;="&amp;F2,'2.1 Relatório Diário'!$B:$B,"&lt;="&amp;F3),"")</f>
        <v>0</v>
      </c>
      <c r="G56" s="126">
        <f>IFERROR(SUMIFS('2.1 Relatório Diário'!$W:$W,'2.1 Relatório Diário'!$B:$B,"&gt;="&amp;G2,'2.1 Relatório Diário'!$B:$B,"&lt;="&amp;G3),"")</f>
        <v>0</v>
      </c>
      <c r="H56" s="125">
        <f>IFERROR(SUMIFS('2.1 Relatório Diário'!$W:$W,'2.1 Relatório Diário'!$B:$B,"&gt;="&amp;H2,'2.1 Relatório Diário'!$B:$B,"&lt;="&amp;H3),"")</f>
        <v>0</v>
      </c>
      <c r="I56" s="125">
        <f>IFERROR(SUMIFS('2.1 Relatório Diário'!$W:$W,'2.1 Relatório Diário'!$B:$B,"&gt;="&amp;I2,'2.1 Relatório Diário'!$B:$B,"&lt;="&amp;I3),"")</f>
        <v>0</v>
      </c>
      <c r="J56" s="125">
        <f>IFERROR(SUMIFS('2.1 Relatório Diário'!$W:$W,'2.1 Relatório Diário'!$B:$B,"&gt;="&amp;J2,'2.1 Relatório Diário'!$B:$B,"&lt;="&amp;J3),"")</f>
        <v>0</v>
      </c>
      <c r="K56" s="125">
        <f>IFERROR(SUMIFS('2.1 Relatório Diário'!$W:$W,'2.1 Relatório Diário'!$B:$B,"&gt;="&amp;K2,'2.1 Relatório Diário'!$B:$B,"&lt;="&amp;K3),"")</f>
        <v>0</v>
      </c>
      <c r="L56" s="126">
        <f>IFERROR(SUMIFS('2.1 Relatório Diário'!$W:$W,'2.1 Relatório Diário'!$B:$B,"&gt;="&amp;L2,'2.1 Relatório Diário'!$B:$B,"&lt;="&amp;L3),"")</f>
        <v>0</v>
      </c>
      <c r="M56" s="125">
        <f>IFERROR(SUMIFS('2.1 Relatório Diário'!$W:$W,'2.1 Relatório Diário'!$B:$B,"&gt;="&amp;M2,'2.1 Relatório Diário'!$B:$B,"&lt;="&amp;M3),"")</f>
        <v>0</v>
      </c>
      <c r="N56" s="125">
        <f>IFERROR(SUMIFS('2.1 Relatório Diário'!$W:$W,'2.1 Relatório Diário'!$B:$B,"&gt;="&amp;N2,'2.1 Relatório Diário'!$B:$B,"&lt;="&amp;N3),"")</f>
        <v>0</v>
      </c>
      <c r="O56" s="125">
        <f>IFERROR(SUMIFS('2.1 Relatório Diário'!$W:$W,'2.1 Relatório Diário'!$B:$B,"&gt;="&amp;O2,'2.1 Relatório Diário'!$B:$B,"&lt;="&amp;O3),"")</f>
        <v>0</v>
      </c>
      <c r="P56" s="125">
        <f>IFERROR(SUMIFS('2.1 Relatório Diário'!$W:$W,'2.1 Relatório Diário'!$B:$B,"&gt;="&amp;P2,'2.1 Relatório Diário'!$B:$B,"&lt;="&amp;P3),"")</f>
        <v>0</v>
      </c>
      <c r="Q56" s="126">
        <f>IFERROR(SUMIFS('2.1 Relatório Diário'!$W:$W,'2.1 Relatório Diário'!$B:$B,"&gt;="&amp;Q2,'2.1 Relatório Diário'!$B:$B,"&lt;="&amp;Q3),"")</f>
        <v>0</v>
      </c>
      <c r="R56" s="125">
        <f>IFERROR(SUMIFS('2.1 Relatório Diário'!$W:$W,'2.1 Relatório Diário'!$B:$B,"&gt;="&amp;R2,'2.1 Relatório Diário'!$B:$B,"&lt;="&amp;R3),"")</f>
        <v>0</v>
      </c>
      <c r="S56" s="125">
        <f>IFERROR(SUMIFS('2.1 Relatório Diário'!$W:$W,'2.1 Relatório Diário'!$B:$B,"&gt;="&amp;S2,'2.1 Relatório Diário'!$B:$B,"&lt;="&amp;S3),"")</f>
        <v>0</v>
      </c>
      <c r="T56" s="125">
        <f>IFERROR(SUMIFS('2.1 Relatório Diário'!$W:$W,'2.1 Relatório Diário'!$B:$B,"&gt;="&amp;T2,'2.1 Relatório Diário'!$B:$B,"&lt;="&amp;T3),"")</f>
        <v>0</v>
      </c>
      <c r="U56" s="125">
        <f>IFERROR(SUMIFS('2.1 Relatório Diário'!$W:$W,'2.1 Relatório Diário'!$B:$B,"&gt;="&amp;U2,'2.1 Relatório Diário'!$B:$B,"&lt;="&amp;U3),"")</f>
        <v>0</v>
      </c>
      <c r="V56" s="126">
        <f>IFERROR(SUMIFS('2.1 Relatório Diário'!$W:$W,'2.1 Relatório Diário'!$B:$B,"&gt;="&amp;V2,'2.1 Relatório Diário'!$B:$B,"&lt;="&amp;V3),"")</f>
        <v>0</v>
      </c>
    </row>
    <row r="57">
      <c r="A57" s="124" t="s">
        <v>1586</v>
      </c>
      <c r="B57" s="125">
        <f>IFERROR(SUMIFS('2.1 Relatório Diário'!$X:$X,'2.1 Relatório Diário'!$B:$B,"&gt;="&amp;B2,'2.1 Relatório Diário'!$B:$B,"&lt;="&amp;B3),"")</f>
        <v>0</v>
      </c>
      <c r="C57" s="125">
        <f>IFERROR(SUMIFS('2.1 Relatório Diário'!$X:$X,'2.1 Relatório Diário'!$B:$B,"&gt;="&amp;C2,'2.1 Relatório Diário'!$B:$B,"&lt;="&amp;C3),"")</f>
        <v>0</v>
      </c>
      <c r="D57" s="125">
        <f>IFERROR(SUMIFS('2.1 Relatório Diário'!$X:$X,'2.1 Relatório Diário'!$B:$B,"&gt;="&amp;D2,'2.1 Relatório Diário'!$B:$B,"&lt;="&amp;D3),"")</f>
        <v>0</v>
      </c>
      <c r="E57" s="125">
        <f>IFERROR(SUMIFS('2.1 Relatório Diário'!$X:$X,'2.1 Relatório Diário'!$B:$B,"&gt;="&amp;E2,'2.1 Relatório Diário'!$B:$B,"&lt;="&amp;E3),"")</f>
        <v>0</v>
      </c>
      <c r="F57" s="125">
        <f>IFERROR(SUMIFS('2.1 Relatório Diário'!$X:$X,'2.1 Relatório Diário'!$B:$B,"&gt;="&amp;F2,'2.1 Relatório Diário'!$B:$B,"&lt;="&amp;F3),"")</f>
        <v>0</v>
      </c>
      <c r="G57" s="126">
        <f>IFERROR(SUMIFS('2.1 Relatório Diário'!$X:$X,'2.1 Relatório Diário'!$B:$B,"&gt;="&amp;G2,'2.1 Relatório Diário'!$B:$B,"&lt;="&amp;G3),"")</f>
        <v>0</v>
      </c>
      <c r="H57" s="125">
        <f>IFERROR(SUMIFS('2.1 Relatório Diário'!$X:$X,'2.1 Relatório Diário'!$B:$B,"&gt;="&amp;H2,'2.1 Relatório Diário'!$B:$B,"&lt;="&amp;H3),"")</f>
        <v>0</v>
      </c>
      <c r="I57" s="125">
        <f>IFERROR(SUMIFS('2.1 Relatório Diário'!$X:$X,'2.1 Relatório Diário'!$B:$B,"&gt;="&amp;I2,'2.1 Relatório Diário'!$B:$B,"&lt;="&amp;I3),"")</f>
        <v>0</v>
      </c>
      <c r="J57" s="125">
        <f>IFERROR(SUMIFS('2.1 Relatório Diário'!$X:$X,'2.1 Relatório Diário'!$B:$B,"&gt;="&amp;J2,'2.1 Relatório Diário'!$B:$B,"&lt;="&amp;J3),"")</f>
        <v>0</v>
      </c>
      <c r="K57" s="125">
        <f>IFERROR(SUMIFS('2.1 Relatório Diário'!$X:$X,'2.1 Relatório Diário'!$B:$B,"&gt;="&amp;K2,'2.1 Relatório Diário'!$B:$B,"&lt;="&amp;K3),"")</f>
        <v>0</v>
      </c>
      <c r="L57" s="126">
        <f>IFERROR(SUMIFS('2.1 Relatório Diário'!$X:$X,'2.1 Relatório Diário'!$B:$B,"&gt;="&amp;L2,'2.1 Relatório Diário'!$B:$B,"&lt;="&amp;L3),"")</f>
        <v>0</v>
      </c>
      <c r="M57" s="125">
        <f>IFERROR(SUMIFS('2.1 Relatório Diário'!$X:$X,'2.1 Relatório Diário'!$B:$B,"&gt;="&amp;M2,'2.1 Relatório Diário'!$B:$B,"&lt;="&amp;M3),"")</f>
        <v>0</v>
      </c>
      <c r="N57" s="125">
        <f>IFERROR(SUMIFS('2.1 Relatório Diário'!$X:$X,'2.1 Relatório Diário'!$B:$B,"&gt;="&amp;N2,'2.1 Relatório Diário'!$B:$B,"&lt;="&amp;N3),"")</f>
        <v>0</v>
      </c>
      <c r="O57" s="125">
        <f>IFERROR(SUMIFS('2.1 Relatório Diário'!$X:$X,'2.1 Relatório Diário'!$B:$B,"&gt;="&amp;O2,'2.1 Relatório Diário'!$B:$B,"&lt;="&amp;O3),"")</f>
        <v>0</v>
      </c>
      <c r="P57" s="125">
        <f>IFERROR(SUMIFS('2.1 Relatório Diário'!$X:$X,'2.1 Relatório Diário'!$B:$B,"&gt;="&amp;P2,'2.1 Relatório Diário'!$B:$B,"&lt;="&amp;P3),"")</f>
        <v>0</v>
      </c>
      <c r="Q57" s="126">
        <f>IFERROR(SUMIFS('2.1 Relatório Diário'!$X:$X,'2.1 Relatório Diário'!$B:$B,"&gt;="&amp;Q2,'2.1 Relatório Diário'!$B:$B,"&lt;="&amp;Q3),"")</f>
        <v>0</v>
      </c>
      <c r="R57" s="125">
        <f>IFERROR(SUMIFS('2.1 Relatório Diário'!$X:$X,'2.1 Relatório Diário'!$B:$B,"&gt;="&amp;R2,'2.1 Relatório Diário'!$B:$B,"&lt;="&amp;R3),"")</f>
        <v>0</v>
      </c>
      <c r="S57" s="125">
        <f>IFERROR(SUMIFS('2.1 Relatório Diário'!$X:$X,'2.1 Relatório Diário'!$B:$B,"&gt;="&amp;S2,'2.1 Relatório Diário'!$B:$B,"&lt;="&amp;S3),"")</f>
        <v>0</v>
      </c>
      <c r="T57" s="125">
        <f>IFERROR(SUMIFS('2.1 Relatório Diário'!$X:$X,'2.1 Relatório Diário'!$B:$B,"&gt;="&amp;T2,'2.1 Relatório Diário'!$B:$B,"&lt;="&amp;T3),"")</f>
        <v>0</v>
      </c>
      <c r="U57" s="125">
        <f>IFERROR(SUMIFS('2.1 Relatório Diário'!$X:$X,'2.1 Relatório Diário'!$B:$B,"&gt;="&amp;U2,'2.1 Relatório Diário'!$B:$B,"&lt;="&amp;U3),"")</f>
        <v>0</v>
      </c>
      <c r="V57" s="126">
        <f>IFERROR(SUMIFS('2.1 Relatório Diário'!$X:$X,'2.1 Relatório Diário'!$B:$B,"&gt;="&amp;V2,'2.1 Relatório Diário'!$B:$B,"&lt;="&amp;V3),"")</f>
        <v>0</v>
      </c>
    </row>
    <row r="58">
      <c r="A58" s="121" t="s">
        <v>1587</v>
      </c>
      <c r="B58" s="125">
        <f>IFERROR(SUMIFS('2.1 Relatório Diário'!$Y:$Y,'2.1 Relatório Diário'!$B:$B,"&gt;="&amp;B2,'2.1 Relatório Diário'!$B:$B,"&lt;="&amp;B3),"")</f>
        <v>0</v>
      </c>
      <c r="C58" s="125">
        <f>IFERROR(SUMIFS('2.1 Relatório Diário'!$Y:$Y,'2.1 Relatório Diário'!$B:$B,"&gt;="&amp;C2,'2.1 Relatório Diário'!$B:$B,"&lt;="&amp;C3),"")</f>
        <v>0</v>
      </c>
      <c r="D58" s="125">
        <f>IFERROR(SUMIFS('2.1 Relatório Diário'!$Y:$Y,'2.1 Relatório Diário'!$B:$B,"&gt;="&amp;D2,'2.1 Relatório Diário'!$B:$B,"&lt;="&amp;D3),"")</f>
        <v>0</v>
      </c>
      <c r="E58" s="125">
        <f>IFERROR(SUMIFS('2.1 Relatório Diário'!$Y:$Y,'2.1 Relatório Diário'!$B:$B,"&gt;="&amp;E2,'2.1 Relatório Diário'!$B:$B,"&lt;="&amp;E3),"")</f>
        <v>0</v>
      </c>
      <c r="F58" s="125">
        <f>IFERROR(SUMIFS('2.1 Relatório Diário'!$Y:$Y,'2.1 Relatório Diário'!$B:$B,"&gt;="&amp;F2,'2.1 Relatório Diário'!$B:$B,"&lt;="&amp;F3),"")</f>
        <v>0</v>
      </c>
      <c r="G58" s="126">
        <f>IFERROR(SUMIFS('2.1 Relatório Diário'!$Y:$Y,'2.1 Relatório Diário'!$B:$B,"&gt;="&amp;G2,'2.1 Relatório Diário'!$B:$B,"&lt;="&amp;G3),"")</f>
        <v>0</v>
      </c>
      <c r="H58" s="125">
        <f>IFERROR(SUMIFS('2.1 Relatório Diário'!$Y:$Y,'2.1 Relatório Diário'!$B:$B,"&gt;="&amp;H2,'2.1 Relatório Diário'!$B:$B,"&lt;="&amp;H3),"")</f>
        <v>0</v>
      </c>
      <c r="I58" s="125">
        <f>IFERROR(SUMIFS('2.1 Relatório Diário'!$Y:$Y,'2.1 Relatório Diário'!$B:$B,"&gt;="&amp;I2,'2.1 Relatório Diário'!$B:$B,"&lt;="&amp;I3),"")</f>
        <v>0</v>
      </c>
      <c r="J58" s="125">
        <f>IFERROR(SUMIFS('2.1 Relatório Diário'!$Y:$Y,'2.1 Relatório Diário'!$B:$B,"&gt;="&amp;J2,'2.1 Relatório Diário'!$B:$B,"&lt;="&amp;J3),"")</f>
        <v>0</v>
      </c>
      <c r="K58" s="125">
        <f>IFERROR(SUMIFS('2.1 Relatório Diário'!$Y:$Y,'2.1 Relatório Diário'!$B:$B,"&gt;="&amp;K2,'2.1 Relatório Diário'!$B:$B,"&lt;="&amp;K3),"")</f>
        <v>0</v>
      </c>
      <c r="L58" s="126">
        <f>IFERROR(SUMIFS('2.1 Relatório Diário'!$Y:$Y,'2.1 Relatório Diário'!$B:$B,"&gt;="&amp;L2,'2.1 Relatório Diário'!$B:$B,"&lt;="&amp;L3),"")</f>
        <v>0</v>
      </c>
      <c r="M58" s="125">
        <f>IFERROR(SUMIFS('2.1 Relatório Diário'!$Y:$Y,'2.1 Relatório Diário'!$B:$B,"&gt;="&amp;M2,'2.1 Relatório Diário'!$B:$B,"&lt;="&amp;M3),"")</f>
        <v>0</v>
      </c>
      <c r="N58" s="125">
        <f>IFERROR(SUMIFS('2.1 Relatório Diário'!$Y:$Y,'2.1 Relatório Diário'!$B:$B,"&gt;="&amp;N2,'2.1 Relatório Diário'!$B:$B,"&lt;="&amp;N3),"")</f>
        <v>0</v>
      </c>
      <c r="O58" s="125">
        <f>IFERROR(SUMIFS('2.1 Relatório Diário'!$Y:$Y,'2.1 Relatório Diário'!$B:$B,"&gt;="&amp;O2,'2.1 Relatório Diário'!$B:$B,"&lt;="&amp;O3),"")</f>
        <v>0</v>
      </c>
      <c r="P58" s="125">
        <f>IFERROR(SUMIFS('2.1 Relatório Diário'!$Y:$Y,'2.1 Relatório Diário'!$B:$B,"&gt;="&amp;P2,'2.1 Relatório Diário'!$B:$B,"&lt;="&amp;P3),"")</f>
        <v>0</v>
      </c>
      <c r="Q58" s="126">
        <f>IFERROR(SUMIFS('2.1 Relatório Diário'!$Y:$Y,'2.1 Relatório Diário'!$B:$B,"&gt;="&amp;Q2,'2.1 Relatório Diário'!$B:$B,"&lt;="&amp;Q3),"")</f>
        <v>0</v>
      </c>
      <c r="R58" s="125">
        <f>IFERROR(SUMIFS('2.1 Relatório Diário'!$Y:$Y,'2.1 Relatório Diário'!$B:$B,"&gt;="&amp;R2,'2.1 Relatório Diário'!$B:$B,"&lt;="&amp;R3),"")</f>
        <v>0</v>
      </c>
      <c r="S58" s="125">
        <f>IFERROR(SUMIFS('2.1 Relatório Diário'!$Y:$Y,'2.1 Relatório Diário'!$B:$B,"&gt;="&amp;S2,'2.1 Relatório Diário'!$B:$B,"&lt;="&amp;S3),"")</f>
        <v>0</v>
      </c>
      <c r="T58" s="125">
        <f>IFERROR(SUMIFS('2.1 Relatório Diário'!$Y:$Y,'2.1 Relatório Diário'!$B:$B,"&gt;="&amp;T2,'2.1 Relatório Diário'!$B:$B,"&lt;="&amp;T3),"")</f>
        <v>0</v>
      </c>
      <c r="U58" s="125">
        <f>IFERROR(SUMIFS('2.1 Relatório Diário'!$Y:$Y,'2.1 Relatório Diário'!$B:$B,"&gt;="&amp;U2,'2.1 Relatório Diário'!$B:$B,"&lt;="&amp;U3),"")</f>
        <v>0</v>
      </c>
      <c r="V58" s="126">
        <f>IFERROR(SUMIFS('2.1 Relatório Diário'!$Y:$Y,'2.1 Relatório Diário'!$B:$B,"&gt;="&amp;V2,'2.1 Relatório Diário'!$B:$B,"&lt;="&amp;V3),"")</f>
        <v>0</v>
      </c>
    </row>
    <row r="59" ht="6.0" customHeight="1">
      <c r="A59" s="82"/>
      <c r="B59" s="90"/>
      <c r="C59" s="90"/>
      <c r="D59" s="90"/>
      <c r="E59" s="90"/>
      <c r="F59" s="90"/>
      <c r="G59" s="91"/>
      <c r="H59" s="90"/>
      <c r="I59" s="90"/>
      <c r="J59" s="90"/>
      <c r="K59" s="90"/>
      <c r="L59" s="91"/>
      <c r="M59" s="90"/>
      <c r="N59" s="90"/>
      <c r="O59" s="90"/>
      <c r="P59" s="90"/>
      <c r="Q59" s="91"/>
      <c r="R59" s="90"/>
      <c r="S59" s="90"/>
      <c r="T59" s="90"/>
      <c r="U59" s="90"/>
      <c r="V59" s="91"/>
    </row>
    <row r="60">
      <c r="A60" s="124" t="s">
        <v>1588</v>
      </c>
      <c r="B60" s="93">
        <f t="shared" ref="B60:V60" si="51">IFERROR(B53/B52,"")</f>
        <v>0.2549019608</v>
      </c>
      <c r="C60" s="93">
        <f t="shared" si="51"/>
        <v>0.2131147541</v>
      </c>
      <c r="D60" s="93">
        <f t="shared" si="51"/>
        <v>0.1343283582</v>
      </c>
      <c r="E60" s="93">
        <f t="shared" si="51"/>
        <v>0.06976744186</v>
      </c>
      <c r="F60" s="93">
        <f t="shared" si="51"/>
        <v>0.01231751825</v>
      </c>
      <c r="G60" s="94">
        <f t="shared" si="51"/>
        <v>0.145631068</v>
      </c>
      <c r="H60" s="93">
        <f t="shared" si="51"/>
        <v>0.01066217733</v>
      </c>
      <c r="I60" s="93">
        <f t="shared" si="51"/>
        <v>0.01163231761</v>
      </c>
      <c r="J60" s="93">
        <f t="shared" si="51"/>
        <v>0.01109839817</v>
      </c>
      <c r="K60" s="93">
        <f t="shared" si="51"/>
        <v>0.012137559</v>
      </c>
      <c r="L60" s="94">
        <f t="shared" si="51"/>
        <v>0.01105368041</v>
      </c>
      <c r="M60" s="93">
        <f t="shared" si="51"/>
        <v>0.01639344262</v>
      </c>
      <c r="N60" s="93">
        <f t="shared" si="51"/>
        <v>0.01448828607</v>
      </c>
      <c r="O60" s="93">
        <f t="shared" si="51"/>
        <v>0.02536510377</v>
      </c>
      <c r="P60" s="93">
        <f t="shared" si="51"/>
        <v>0.1442307692</v>
      </c>
      <c r="Q60" s="94">
        <f t="shared" si="51"/>
        <v>0.01825759079</v>
      </c>
      <c r="R60" s="93">
        <f t="shared" si="51"/>
        <v>0.2790697674</v>
      </c>
      <c r="S60" s="93" t="str">
        <f t="shared" si="51"/>
        <v/>
      </c>
      <c r="T60" s="93" t="str">
        <f t="shared" si="51"/>
        <v/>
      </c>
      <c r="U60" s="93" t="str">
        <f t="shared" si="51"/>
        <v/>
      </c>
      <c r="V60" s="94">
        <f t="shared" si="51"/>
        <v>0.2682926829</v>
      </c>
    </row>
    <row r="61">
      <c r="A61" s="124" t="s">
        <v>1589</v>
      </c>
      <c r="B61" s="93">
        <f t="shared" ref="B61:V61" si="52">IFERROR(B54/B53,"")</f>
        <v>0</v>
      </c>
      <c r="C61" s="93">
        <f t="shared" si="52"/>
        <v>0</v>
      </c>
      <c r="D61" s="93">
        <f t="shared" si="52"/>
        <v>0</v>
      </c>
      <c r="E61" s="93">
        <f t="shared" si="52"/>
        <v>0</v>
      </c>
      <c r="F61" s="93">
        <f t="shared" si="52"/>
        <v>0</v>
      </c>
      <c r="G61" s="94">
        <f t="shared" si="52"/>
        <v>0</v>
      </c>
      <c r="H61" s="93">
        <f t="shared" si="52"/>
        <v>0</v>
      </c>
      <c r="I61" s="93">
        <f t="shared" si="52"/>
        <v>0</v>
      </c>
      <c r="J61" s="93">
        <f t="shared" si="52"/>
        <v>0</v>
      </c>
      <c r="K61" s="93">
        <f t="shared" si="52"/>
        <v>0</v>
      </c>
      <c r="L61" s="94">
        <f t="shared" si="52"/>
        <v>0</v>
      </c>
      <c r="M61" s="93">
        <f t="shared" si="52"/>
        <v>0.015625</v>
      </c>
      <c r="N61" s="93">
        <f t="shared" si="52"/>
        <v>0.02127659574</v>
      </c>
      <c r="O61" s="93">
        <f t="shared" si="52"/>
        <v>0</v>
      </c>
      <c r="P61" s="93">
        <f t="shared" si="52"/>
        <v>0.1333333333</v>
      </c>
      <c r="Q61" s="94">
        <f t="shared" si="52"/>
        <v>0.02717391304</v>
      </c>
      <c r="R61" s="93">
        <f t="shared" si="52"/>
        <v>0</v>
      </c>
      <c r="S61" s="93" t="str">
        <f t="shared" si="52"/>
        <v/>
      </c>
      <c r="T61" s="93" t="str">
        <f t="shared" si="52"/>
        <v/>
      </c>
      <c r="U61" s="93" t="str">
        <f t="shared" si="52"/>
        <v/>
      </c>
      <c r="V61" s="94">
        <f t="shared" si="52"/>
        <v>0</v>
      </c>
    </row>
    <row r="62">
      <c r="A62" s="124" t="s">
        <v>1590</v>
      </c>
      <c r="B62" s="93" t="str">
        <f t="shared" ref="B62:V62" si="53">IFERROR(B56/B54,"")</f>
        <v/>
      </c>
      <c r="C62" s="93" t="str">
        <f t="shared" si="53"/>
        <v/>
      </c>
      <c r="D62" s="93" t="str">
        <f t="shared" si="53"/>
        <v/>
      </c>
      <c r="E62" s="93" t="str">
        <f t="shared" si="53"/>
        <v/>
      </c>
      <c r="F62" s="93" t="str">
        <f t="shared" si="53"/>
        <v/>
      </c>
      <c r="G62" s="94" t="str">
        <f t="shared" si="53"/>
        <v/>
      </c>
      <c r="H62" s="93" t="str">
        <f t="shared" si="53"/>
        <v/>
      </c>
      <c r="I62" s="93" t="str">
        <f t="shared" si="53"/>
        <v/>
      </c>
      <c r="J62" s="93" t="str">
        <f t="shared" si="53"/>
        <v/>
      </c>
      <c r="K62" s="93" t="str">
        <f t="shared" si="53"/>
        <v/>
      </c>
      <c r="L62" s="94" t="str">
        <f t="shared" si="53"/>
        <v/>
      </c>
      <c r="M62" s="93">
        <f t="shared" si="53"/>
        <v>0</v>
      </c>
      <c r="N62" s="93">
        <f t="shared" si="53"/>
        <v>0</v>
      </c>
      <c r="O62" s="93" t="str">
        <f t="shared" si="53"/>
        <v/>
      </c>
      <c r="P62" s="93">
        <f t="shared" si="53"/>
        <v>0</v>
      </c>
      <c r="Q62" s="94">
        <f t="shared" si="53"/>
        <v>0</v>
      </c>
      <c r="R62" s="93" t="str">
        <f t="shared" si="53"/>
        <v/>
      </c>
      <c r="S62" s="93" t="str">
        <f t="shared" si="53"/>
        <v/>
      </c>
      <c r="T62" s="93" t="str">
        <f t="shared" si="53"/>
        <v/>
      </c>
      <c r="U62" s="93" t="str">
        <f t="shared" si="53"/>
        <v/>
      </c>
      <c r="V62" s="94" t="str">
        <f t="shared" si="53"/>
        <v/>
      </c>
    </row>
    <row r="63">
      <c r="A63" s="124" t="s">
        <v>1591</v>
      </c>
      <c r="B63" s="93" t="str">
        <f t="shared" ref="B63:V63" si="54">IFERROR(B57/B56,"")</f>
        <v/>
      </c>
      <c r="C63" s="93" t="str">
        <f t="shared" si="54"/>
        <v/>
      </c>
      <c r="D63" s="93" t="str">
        <f t="shared" si="54"/>
        <v/>
      </c>
      <c r="E63" s="93" t="str">
        <f t="shared" si="54"/>
        <v/>
      </c>
      <c r="F63" s="93" t="str">
        <f t="shared" si="54"/>
        <v/>
      </c>
      <c r="G63" s="94" t="str">
        <f t="shared" si="54"/>
        <v/>
      </c>
      <c r="H63" s="93" t="str">
        <f t="shared" si="54"/>
        <v/>
      </c>
      <c r="I63" s="93" t="str">
        <f t="shared" si="54"/>
        <v/>
      </c>
      <c r="J63" s="93" t="str">
        <f t="shared" si="54"/>
        <v/>
      </c>
      <c r="K63" s="93" t="str">
        <f t="shared" si="54"/>
        <v/>
      </c>
      <c r="L63" s="94" t="str">
        <f t="shared" si="54"/>
        <v/>
      </c>
      <c r="M63" s="93" t="str">
        <f t="shared" si="54"/>
        <v/>
      </c>
      <c r="N63" s="93" t="str">
        <f t="shared" si="54"/>
        <v/>
      </c>
      <c r="O63" s="93" t="str">
        <f t="shared" si="54"/>
        <v/>
      </c>
      <c r="P63" s="93" t="str">
        <f t="shared" si="54"/>
        <v/>
      </c>
      <c r="Q63" s="94" t="str">
        <f t="shared" si="54"/>
        <v/>
      </c>
      <c r="R63" s="93" t="str">
        <f t="shared" si="54"/>
        <v/>
      </c>
      <c r="S63" s="93" t="str">
        <f t="shared" si="54"/>
        <v/>
      </c>
      <c r="T63" s="93" t="str">
        <f t="shared" si="54"/>
        <v/>
      </c>
      <c r="U63" s="93" t="str">
        <f t="shared" si="54"/>
        <v/>
      </c>
      <c r="V63" s="94" t="str">
        <f t="shared" si="54"/>
        <v/>
      </c>
    </row>
    <row r="64">
      <c r="A64" s="124" t="s">
        <v>1593</v>
      </c>
      <c r="B64" s="93" t="str">
        <f t="shared" ref="B64:V64" si="55">IFERROR(B58/B56,"")</f>
        <v/>
      </c>
      <c r="C64" s="93" t="str">
        <f t="shared" si="55"/>
        <v/>
      </c>
      <c r="D64" s="93" t="str">
        <f t="shared" si="55"/>
        <v/>
      </c>
      <c r="E64" s="93" t="str">
        <f t="shared" si="55"/>
        <v/>
      </c>
      <c r="F64" s="93" t="str">
        <f t="shared" si="55"/>
        <v/>
      </c>
      <c r="G64" s="94" t="str">
        <f t="shared" si="55"/>
        <v/>
      </c>
      <c r="H64" s="93" t="str">
        <f t="shared" si="55"/>
        <v/>
      </c>
      <c r="I64" s="93" t="str">
        <f t="shared" si="55"/>
        <v/>
      </c>
      <c r="J64" s="93" t="str">
        <f t="shared" si="55"/>
        <v/>
      </c>
      <c r="K64" s="93" t="str">
        <f t="shared" si="55"/>
        <v/>
      </c>
      <c r="L64" s="94" t="str">
        <f t="shared" si="55"/>
        <v/>
      </c>
      <c r="M64" s="93" t="str">
        <f t="shared" si="55"/>
        <v/>
      </c>
      <c r="N64" s="93" t="str">
        <f t="shared" si="55"/>
        <v/>
      </c>
      <c r="O64" s="93" t="str">
        <f t="shared" si="55"/>
        <v/>
      </c>
      <c r="P64" s="93" t="str">
        <f t="shared" si="55"/>
        <v/>
      </c>
      <c r="Q64" s="94" t="str">
        <f t="shared" si="55"/>
        <v/>
      </c>
      <c r="R64" s="93" t="str">
        <f t="shared" si="55"/>
        <v/>
      </c>
      <c r="S64" s="93" t="str">
        <f t="shared" si="55"/>
        <v/>
      </c>
      <c r="T64" s="93" t="str">
        <f t="shared" si="55"/>
        <v/>
      </c>
      <c r="U64" s="93" t="str">
        <f t="shared" si="55"/>
        <v/>
      </c>
      <c r="V64" s="94" t="str">
        <f t="shared" si="55"/>
        <v/>
      </c>
    </row>
    <row r="65">
      <c r="A65" s="124" t="s">
        <v>1592</v>
      </c>
      <c r="B65" s="93" t="str">
        <f t="shared" ref="B65:V65" si="56">IFERROR(B58/B57,"")</f>
        <v/>
      </c>
      <c r="C65" s="93" t="str">
        <f t="shared" si="56"/>
        <v/>
      </c>
      <c r="D65" s="93" t="str">
        <f t="shared" si="56"/>
        <v/>
      </c>
      <c r="E65" s="93" t="str">
        <f t="shared" si="56"/>
        <v/>
      </c>
      <c r="F65" s="93" t="str">
        <f t="shared" si="56"/>
        <v/>
      </c>
      <c r="G65" s="94" t="str">
        <f t="shared" si="56"/>
        <v/>
      </c>
      <c r="H65" s="93" t="str">
        <f t="shared" si="56"/>
        <v/>
      </c>
      <c r="I65" s="93" t="str">
        <f t="shared" si="56"/>
        <v/>
      </c>
      <c r="J65" s="93" t="str">
        <f t="shared" si="56"/>
        <v/>
      </c>
      <c r="K65" s="93" t="str">
        <f t="shared" si="56"/>
        <v/>
      </c>
      <c r="L65" s="94" t="str">
        <f t="shared" si="56"/>
        <v/>
      </c>
      <c r="M65" s="93" t="str">
        <f t="shared" si="56"/>
        <v/>
      </c>
      <c r="N65" s="93" t="str">
        <f t="shared" si="56"/>
        <v/>
      </c>
      <c r="O65" s="93" t="str">
        <f t="shared" si="56"/>
        <v/>
      </c>
      <c r="P65" s="93" t="str">
        <f t="shared" si="56"/>
        <v/>
      </c>
      <c r="Q65" s="94" t="str">
        <f t="shared" si="56"/>
        <v/>
      </c>
      <c r="R65" s="93" t="str">
        <f t="shared" si="56"/>
        <v/>
      </c>
      <c r="S65" s="93" t="str">
        <f t="shared" si="56"/>
        <v/>
      </c>
      <c r="T65" s="93" t="str">
        <f t="shared" si="56"/>
        <v/>
      </c>
      <c r="U65" s="93" t="str">
        <f t="shared" si="56"/>
        <v/>
      </c>
      <c r="V65" s="94" t="str">
        <f t="shared" si="56"/>
        <v/>
      </c>
    </row>
    <row r="66" ht="6.0" customHeight="1">
      <c r="A66" s="99"/>
      <c r="B66" s="95"/>
      <c r="C66" s="95"/>
      <c r="D66" s="95"/>
      <c r="E66" s="95"/>
      <c r="F66" s="95"/>
      <c r="G66" s="96"/>
      <c r="H66" s="95"/>
      <c r="I66" s="95"/>
      <c r="J66" s="95"/>
      <c r="K66" s="95"/>
      <c r="L66" s="96"/>
      <c r="M66" s="95"/>
      <c r="N66" s="95"/>
      <c r="O66" s="95"/>
      <c r="P66" s="95"/>
      <c r="Q66" s="96"/>
      <c r="R66" s="95"/>
      <c r="S66" s="95"/>
      <c r="T66" s="95"/>
      <c r="U66" s="95"/>
      <c r="V66" s="96"/>
    </row>
    <row r="67">
      <c r="A67" s="124" t="s">
        <v>1596</v>
      </c>
      <c r="B67" s="97">
        <f t="shared" ref="B67:V67" si="57">IFERROR((B49/B52)*1000,"")</f>
        <v>406.4705882</v>
      </c>
      <c r="C67" s="97">
        <f t="shared" si="57"/>
        <v>589.0163934</v>
      </c>
      <c r="D67" s="97">
        <f t="shared" si="57"/>
        <v>1448.955224</v>
      </c>
      <c r="E67" s="97">
        <f t="shared" si="57"/>
        <v>566.1627907</v>
      </c>
      <c r="F67" s="97">
        <f t="shared" si="57"/>
        <v>68.48540146</v>
      </c>
      <c r="G67" s="98">
        <f t="shared" si="57"/>
        <v>669.0291262</v>
      </c>
      <c r="H67" s="97">
        <f t="shared" si="57"/>
        <v>25.16161616</v>
      </c>
      <c r="I67" s="97">
        <f t="shared" si="57"/>
        <v>45.47477557</v>
      </c>
      <c r="J67" s="97">
        <f t="shared" si="57"/>
        <v>40.01830664</v>
      </c>
      <c r="K67" s="97">
        <f t="shared" si="57"/>
        <v>32.6449764</v>
      </c>
      <c r="L67" s="98">
        <f t="shared" si="57"/>
        <v>37.49875451</v>
      </c>
      <c r="M67" s="97">
        <f t="shared" si="57"/>
        <v>46.43186475</v>
      </c>
      <c r="N67" s="97">
        <f t="shared" si="57"/>
        <v>54.8027127</v>
      </c>
      <c r="O67" s="97">
        <f t="shared" si="57"/>
        <v>127.4019985</v>
      </c>
      <c r="P67" s="97">
        <f t="shared" si="57"/>
        <v>745.2884615</v>
      </c>
      <c r="Q67" s="98">
        <f t="shared" si="57"/>
        <v>66.85453463</v>
      </c>
      <c r="R67" s="97">
        <f t="shared" si="57"/>
        <v>646.9767442</v>
      </c>
      <c r="S67" s="97" t="str">
        <f t="shared" si="57"/>
        <v/>
      </c>
      <c r="T67" s="97" t="str">
        <f t="shared" si="57"/>
        <v/>
      </c>
      <c r="U67" s="97" t="str">
        <f t="shared" si="57"/>
        <v/>
      </c>
      <c r="V67" s="98">
        <f t="shared" si="57"/>
        <v>613.1707317</v>
      </c>
    </row>
    <row r="68">
      <c r="A68" s="124" t="s">
        <v>1597</v>
      </c>
      <c r="B68" s="97">
        <f t="shared" ref="B68:V68" si="58">IFERROR(B49/B53,"")</f>
        <v>1.594615385</v>
      </c>
      <c r="C68" s="97">
        <f t="shared" si="58"/>
        <v>2.763846154</v>
      </c>
      <c r="D68" s="97">
        <f t="shared" si="58"/>
        <v>10.78666667</v>
      </c>
      <c r="E68" s="97">
        <f t="shared" si="58"/>
        <v>8.115</v>
      </c>
      <c r="F68" s="97">
        <f t="shared" si="58"/>
        <v>5.56</v>
      </c>
      <c r="G68" s="98">
        <f t="shared" si="58"/>
        <v>4.594</v>
      </c>
      <c r="H68" s="97">
        <f t="shared" si="58"/>
        <v>2.359894737</v>
      </c>
      <c r="I68" s="97">
        <f t="shared" si="58"/>
        <v>3.909347826</v>
      </c>
      <c r="J68" s="97">
        <f t="shared" si="58"/>
        <v>3.605773196</v>
      </c>
      <c r="K68" s="97">
        <f t="shared" si="58"/>
        <v>2.689583333</v>
      </c>
      <c r="L68" s="98">
        <f t="shared" si="58"/>
        <v>3.392422535</v>
      </c>
      <c r="M68" s="97">
        <f t="shared" si="58"/>
        <v>2.83234375</v>
      </c>
      <c r="N68" s="97">
        <f t="shared" si="58"/>
        <v>3.782553191</v>
      </c>
      <c r="O68" s="97">
        <f t="shared" si="58"/>
        <v>5.022727273</v>
      </c>
      <c r="P68" s="97">
        <f t="shared" si="58"/>
        <v>5.167333333</v>
      </c>
      <c r="Q68" s="98">
        <f t="shared" si="58"/>
        <v>3.66173913</v>
      </c>
      <c r="R68" s="97">
        <f t="shared" si="58"/>
        <v>2.318333333</v>
      </c>
      <c r="S68" s="97" t="str">
        <f t="shared" si="58"/>
        <v/>
      </c>
      <c r="T68" s="97" t="str">
        <f t="shared" si="58"/>
        <v/>
      </c>
      <c r="U68" s="97" t="str">
        <f t="shared" si="58"/>
        <v/>
      </c>
      <c r="V68" s="98">
        <f t="shared" si="58"/>
        <v>2.285454545</v>
      </c>
    </row>
    <row r="69">
      <c r="A69" s="124" t="s">
        <v>1602</v>
      </c>
      <c r="B69" s="97"/>
      <c r="C69" s="97"/>
      <c r="D69" s="97"/>
      <c r="E69" s="97"/>
      <c r="F69" s="97"/>
      <c r="G69" s="98"/>
      <c r="H69" s="97">
        <f t="shared" ref="H69:L69" si="59">IFERROR(H42/H48,"")</f>
        <v>0</v>
      </c>
      <c r="I69" s="97">
        <f t="shared" si="59"/>
        <v>0</v>
      </c>
      <c r="J69" s="97">
        <f t="shared" si="59"/>
        <v>0</v>
      </c>
      <c r="K69" s="97">
        <f t="shared" si="59"/>
        <v>0</v>
      </c>
      <c r="L69" s="98" t="str">
        <f t="shared" si="59"/>
        <v/>
      </c>
      <c r="M69" s="97">
        <f t="shared" ref="M69:V69" si="60">IFERROR(M49/M54,"")</f>
        <v>181.27</v>
      </c>
      <c r="N69" s="97">
        <f t="shared" si="60"/>
        <v>177.78</v>
      </c>
      <c r="O69" s="97" t="str">
        <f t="shared" si="60"/>
        <v/>
      </c>
      <c r="P69" s="97">
        <f t="shared" si="60"/>
        <v>38.755</v>
      </c>
      <c r="Q69" s="98">
        <f t="shared" si="60"/>
        <v>134.752</v>
      </c>
      <c r="R69" s="97" t="str">
        <f t="shared" si="60"/>
        <v/>
      </c>
      <c r="S69" s="97" t="str">
        <f t="shared" si="60"/>
        <v/>
      </c>
      <c r="T69" s="97" t="str">
        <f t="shared" si="60"/>
        <v/>
      </c>
      <c r="U69" s="97" t="str">
        <f t="shared" si="60"/>
        <v/>
      </c>
      <c r="V69" s="98" t="str">
        <f t="shared" si="60"/>
        <v/>
      </c>
    </row>
    <row r="70">
      <c r="A70" s="124" t="s">
        <v>1603</v>
      </c>
      <c r="B70" s="97"/>
      <c r="C70" s="97"/>
      <c r="D70" s="97"/>
      <c r="E70" s="97"/>
      <c r="F70" s="97"/>
      <c r="G70" s="98"/>
      <c r="H70" s="97">
        <f t="shared" ref="H70:L70" si="61">IFERROR(H42/H49,"")</f>
        <v>0</v>
      </c>
      <c r="I70" s="97">
        <f t="shared" si="61"/>
        <v>0</v>
      </c>
      <c r="J70" s="97">
        <f t="shared" si="61"/>
        <v>0</v>
      </c>
      <c r="K70" s="97">
        <f t="shared" si="61"/>
        <v>0</v>
      </c>
      <c r="L70" s="98">
        <f t="shared" si="61"/>
        <v>0</v>
      </c>
      <c r="M70" s="97">
        <f t="shared" ref="M70:V70" si="62">IFERROR(M55/M49,"")</f>
        <v>0</v>
      </c>
      <c r="N70" s="97">
        <f t="shared" si="62"/>
        <v>0</v>
      </c>
      <c r="O70" s="97">
        <f t="shared" si="62"/>
        <v>0</v>
      </c>
      <c r="P70" s="97">
        <f t="shared" si="62"/>
        <v>0.02580312218</v>
      </c>
      <c r="Q70" s="98">
        <f t="shared" si="62"/>
        <v>0.00445262408</v>
      </c>
      <c r="R70" s="97">
        <f t="shared" si="62"/>
        <v>0</v>
      </c>
      <c r="S70" s="97" t="str">
        <f t="shared" si="62"/>
        <v/>
      </c>
      <c r="T70" s="97" t="str">
        <f t="shared" si="62"/>
        <v/>
      </c>
      <c r="U70" s="97" t="str">
        <f t="shared" si="62"/>
        <v/>
      </c>
      <c r="V70" s="98">
        <f t="shared" si="62"/>
        <v>0</v>
      </c>
    </row>
    <row r="71">
      <c r="A71" s="124" t="s">
        <v>1599</v>
      </c>
      <c r="B71" s="97" t="str">
        <f t="shared" ref="B71:V71" si="63">IFERROR(B49/B56,"")</f>
        <v/>
      </c>
      <c r="C71" s="97" t="str">
        <f t="shared" si="63"/>
        <v/>
      </c>
      <c r="D71" s="97" t="str">
        <f t="shared" si="63"/>
        <v/>
      </c>
      <c r="E71" s="97" t="str">
        <f t="shared" si="63"/>
        <v/>
      </c>
      <c r="F71" s="97" t="str">
        <f t="shared" si="63"/>
        <v/>
      </c>
      <c r="G71" s="98" t="str">
        <f t="shared" si="63"/>
        <v/>
      </c>
      <c r="H71" s="97" t="str">
        <f t="shared" si="63"/>
        <v/>
      </c>
      <c r="I71" s="97" t="str">
        <f t="shared" si="63"/>
        <v/>
      </c>
      <c r="J71" s="97" t="str">
        <f t="shared" si="63"/>
        <v/>
      </c>
      <c r="K71" s="97" t="str">
        <f t="shared" si="63"/>
        <v/>
      </c>
      <c r="L71" s="98" t="str">
        <f t="shared" si="63"/>
        <v/>
      </c>
      <c r="M71" s="97" t="str">
        <f t="shared" si="63"/>
        <v/>
      </c>
      <c r="N71" s="97" t="str">
        <f t="shared" si="63"/>
        <v/>
      </c>
      <c r="O71" s="97" t="str">
        <f t="shared" si="63"/>
        <v/>
      </c>
      <c r="P71" s="97" t="str">
        <f t="shared" si="63"/>
        <v/>
      </c>
      <c r="Q71" s="98" t="str">
        <f t="shared" si="63"/>
        <v/>
      </c>
      <c r="R71" s="97" t="str">
        <f t="shared" si="63"/>
        <v/>
      </c>
      <c r="S71" s="97" t="str">
        <f t="shared" si="63"/>
        <v/>
      </c>
      <c r="T71" s="97" t="str">
        <f t="shared" si="63"/>
        <v/>
      </c>
      <c r="U71" s="97" t="str">
        <f t="shared" si="63"/>
        <v/>
      </c>
      <c r="V71" s="98" t="str">
        <f t="shared" si="63"/>
        <v/>
      </c>
    </row>
    <row r="72">
      <c r="A72" s="124" t="s">
        <v>1613</v>
      </c>
      <c r="B72" s="97" t="str">
        <f t="shared" ref="B72:V72" si="64">IFERROR(B49/B57,"")</f>
        <v/>
      </c>
      <c r="C72" s="97" t="str">
        <f t="shared" si="64"/>
        <v/>
      </c>
      <c r="D72" s="97" t="str">
        <f t="shared" si="64"/>
        <v/>
      </c>
      <c r="E72" s="97" t="str">
        <f t="shared" si="64"/>
        <v/>
      </c>
      <c r="F72" s="97" t="str">
        <f t="shared" si="64"/>
        <v/>
      </c>
      <c r="G72" s="98" t="str">
        <f t="shared" si="64"/>
        <v/>
      </c>
      <c r="H72" s="97" t="str">
        <f t="shared" si="64"/>
        <v/>
      </c>
      <c r="I72" s="97" t="str">
        <f t="shared" si="64"/>
        <v/>
      </c>
      <c r="J72" s="97" t="str">
        <f t="shared" si="64"/>
        <v/>
      </c>
      <c r="K72" s="97" t="str">
        <f t="shared" si="64"/>
        <v/>
      </c>
      <c r="L72" s="98" t="str">
        <f t="shared" si="64"/>
        <v/>
      </c>
      <c r="M72" s="97" t="str">
        <f t="shared" si="64"/>
        <v/>
      </c>
      <c r="N72" s="97" t="str">
        <f t="shared" si="64"/>
        <v/>
      </c>
      <c r="O72" s="97" t="str">
        <f t="shared" si="64"/>
        <v/>
      </c>
      <c r="P72" s="97" t="str">
        <f t="shared" si="64"/>
        <v/>
      </c>
      <c r="Q72" s="98" t="str">
        <f t="shared" si="64"/>
        <v/>
      </c>
      <c r="R72" s="97" t="str">
        <f t="shared" si="64"/>
        <v/>
      </c>
      <c r="S72" s="97" t="str">
        <f t="shared" si="64"/>
        <v/>
      </c>
      <c r="T72" s="97" t="str">
        <f t="shared" si="64"/>
        <v/>
      </c>
      <c r="U72" s="97" t="str">
        <f t="shared" si="64"/>
        <v/>
      </c>
      <c r="V72" s="98" t="str">
        <f t="shared" si="64"/>
        <v/>
      </c>
    </row>
    <row r="73">
      <c r="A73" s="124" t="s">
        <v>1601</v>
      </c>
      <c r="B73" s="97" t="str">
        <f t="shared" ref="B73:V73" si="65">IFERROR(B49/B58,"")</f>
        <v/>
      </c>
      <c r="C73" s="97" t="str">
        <f t="shared" si="65"/>
        <v/>
      </c>
      <c r="D73" s="97" t="str">
        <f t="shared" si="65"/>
        <v/>
      </c>
      <c r="E73" s="97" t="str">
        <f t="shared" si="65"/>
        <v/>
      </c>
      <c r="F73" s="97" t="str">
        <f t="shared" si="65"/>
        <v/>
      </c>
      <c r="G73" s="98" t="str">
        <f t="shared" si="65"/>
        <v/>
      </c>
      <c r="H73" s="97" t="str">
        <f t="shared" si="65"/>
        <v/>
      </c>
      <c r="I73" s="97" t="str">
        <f t="shared" si="65"/>
        <v/>
      </c>
      <c r="J73" s="97" t="str">
        <f t="shared" si="65"/>
        <v/>
      </c>
      <c r="K73" s="97" t="str">
        <f t="shared" si="65"/>
        <v/>
      </c>
      <c r="L73" s="98" t="str">
        <f t="shared" si="65"/>
        <v/>
      </c>
      <c r="M73" s="97" t="str">
        <f t="shared" si="65"/>
        <v/>
      </c>
      <c r="N73" s="97" t="str">
        <f t="shared" si="65"/>
        <v/>
      </c>
      <c r="O73" s="97" t="str">
        <f t="shared" si="65"/>
        <v/>
      </c>
      <c r="P73" s="97" t="str">
        <f t="shared" si="65"/>
        <v/>
      </c>
      <c r="Q73" s="98" t="str">
        <f t="shared" si="65"/>
        <v/>
      </c>
      <c r="R73" s="97" t="str">
        <f t="shared" si="65"/>
        <v/>
      </c>
      <c r="S73" s="97" t="str">
        <f t="shared" si="65"/>
        <v/>
      </c>
      <c r="T73" s="97" t="str">
        <f t="shared" si="65"/>
        <v/>
      </c>
      <c r="U73" s="97" t="str">
        <f t="shared" si="65"/>
        <v/>
      </c>
      <c r="V73" s="98" t="str">
        <f t="shared" si="65"/>
        <v/>
      </c>
    </row>
    <row r="74" ht="6.0" customHeight="1">
      <c r="A74" s="99"/>
      <c r="B74" s="127"/>
      <c r="C74" s="127"/>
      <c r="D74" s="127"/>
      <c r="E74" s="127"/>
      <c r="F74" s="127"/>
      <c r="G74" s="128"/>
      <c r="H74" s="127"/>
      <c r="I74" s="127"/>
      <c r="J74" s="127"/>
      <c r="K74" s="127"/>
      <c r="L74" s="128"/>
      <c r="M74" s="127"/>
      <c r="N74" s="127"/>
      <c r="O74" s="127"/>
      <c r="P74" s="127"/>
      <c r="Q74" s="128"/>
      <c r="R74" s="127"/>
      <c r="S74" s="127"/>
      <c r="T74" s="127"/>
      <c r="U74" s="127"/>
      <c r="V74" s="128"/>
    </row>
    <row r="75">
      <c r="A75" s="121" t="s">
        <v>1604</v>
      </c>
      <c r="B75" s="102">
        <f t="shared" ref="B75:V75" si="66">IFERROR(B50/B49,"")</f>
        <v>0</v>
      </c>
      <c r="C75" s="102">
        <f t="shared" si="66"/>
        <v>0</v>
      </c>
      <c r="D75" s="102">
        <f t="shared" si="66"/>
        <v>0</v>
      </c>
      <c r="E75" s="102">
        <f t="shared" si="66"/>
        <v>0</v>
      </c>
      <c r="F75" s="102">
        <f t="shared" si="66"/>
        <v>0</v>
      </c>
      <c r="G75" s="103">
        <f t="shared" si="66"/>
        <v>0</v>
      </c>
      <c r="H75" s="102">
        <f t="shared" si="66"/>
        <v>0</v>
      </c>
      <c r="I75" s="102">
        <f t="shared" si="66"/>
        <v>0</v>
      </c>
      <c r="J75" s="102">
        <f t="shared" si="66"/>
        <v>0</v>
      </c>
      <c r="K75" s="102">
        <f t="shared" si="66"/>
        <v>0</v>
      </c>
      <c r="L75" s="103">
        <f t="shared" si="66"/>
        <v>0</v>
      </c>
      <c r="M75" s="102">
        <f t="shared" si="66"/>
        <v>0</v>
      </c>
      <c r="N75" s="102">
        <f t="shared" si="66"/>
        <v>0</v>
      </c>
      <c r="O75" s="102">
        <f t="shared" si="66"/>
        <v>0</v>
      </c>
      <c r="P75" s="102">
        <f t="shared" si="66"/>
        <v>0</v>
      </c>
      <c r="Q75" s="103">
        <f t="shared" si="66"/>
        <v>0</v>
      </c>
      <c r="R75" s="102">
        <f t="shared" si="66"/>
        <v>0</v>
      </c>
      <c r="S75" s="102" t="str">
        <f t="shared" si="66"/>
        <v/>
      </c>
      <c r="T75" s="102" t="str">
        <f t="shared" si="66"/>
        <v/>
      </c>
      <c r="U75" s="102" t="str">
        <f t="shared" si="66"/>
        <v/>
      </c>
      <c r="V75" s="103">
        <f t="shared" si="66"/>
        <v>0</v>
      </c>
    </row>
    <row r="76">
      <c r="A76" s="124" t="s">
        <v>1605</v>
      </c>
      <c r="B76" s="97" t="str">
        <f t="shared" ref="B76:V76" si="67">IFERROR(B50/B58,"")</f>
        <v/>
      </c>
      <c r="C76" s="97" t="str">
        <f t="shared" si="67"/>
        <v/>
      </c>
      <c r="D76" s="97" t="str">
        <f t="shared" si="67"/>
        <v/>
      </c>
      <c r="E76" s="97" t="str">
        <f t="shared" si="67"/>
        <v/>
      </c>
      <c r="F76" s="97" t="str">
        <f t="shared" si="67"/>
        <v/>
      </c>
      <c r="G76" s="98" t="str">
        <f t="shared" si="67"/>
        <v/>
      </c>
      <c r="H76" s="97" t="str">
        <f t="shared" si="67"/>
        <v/>
      </c>
      <c r="I76" s="97" t="str">
        <f t="shared" si="67"/>
        <v/>
      </c>
      <c r="J76" s="97" t="str">
        <f t="shared" si="67"/>
        <v/>
      </c>
      <c r="K76" s="97" t="str">
        <f t="shared" si="67"/>
        <v/>
      </c>
      <c r="L76" s="98" t="str">
        <f t="shared" si="67"/>
        <v/>
      </c>
      <c r="M76" s="97" t="str">
        <f t="shared" si="67"/>
        <v/>
      </c>
      <c r="N76" s="97" t="str">
        <f t="shared" si="67"/>
        <v/>
      </c>
      <c r="O76" s="97" t="str">
        <f t="shared" si="67"/>
        <v/>
      </c>
      <c r="P76" s="97" t="str">
        <f t="shared" si="67"/>
        <v/>
      </c>
      <c r="Q76" s="98" t="str">
        <f t="shared" si="67"/>
        <v/>
      </c>
      <c r="R76" s="97" t="str">
        <f t="shared" si="67"/>
        <v/>
      </c>
      <c r="S76" s="97" t="str">
        <f t="shared" si="67"/>
        <v/>
      </c>
      <c r="T76" s="97" t="str">
        <f t="shared" si="67"/>
        <v/>
      </c>
      <c r="U76" s="97" t="str">
        <f t="shared" si="67"/>
        <v/>
      </c>
      <c r="V76" s="98" t="str">
        <f t="shared" si="67"/>
        <v/>
      </c>
    </row>
    <row r="77">
      <c r="A77" s="129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</row>
    <row r="78">
      <c r="A78" s="131"/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</row>
    <row r="79">
      <c r="A79" s="133" t="s">
        <v>1614</v>
      </c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</row>
    <row r="80">
      <c r="A80" s="119" t="s">
        <v>1577</v>
      </c>
      <c r="B80" s="120">
        <f t="shared" ref="B80:V80" si="68">B48</f>
        <v>46082</v>
      </c>
      <c r="C80" s="120">
        <f t="shared" si="68"/>
        <v>46089</v>
      </c>
      <c r="D80" s="120">
        <f t="shared" si="68"/>
        <v>46096</v>
      </c>
      <c r="E80" s="120">
        <f t="shared" si="68"/>
        <v>46103</v>
      </c>
      <c r="F80" s="120">
        <f t="shared" si="68"/>
        <v>46110</v>
      </c>
      <c r="G80" s="120" t="str">
        <f t="shared" si="68"/>
        <v>Março</v>
      </c>
      <c r="H80" s="120">
        <f t="shared" si="68"/>
        <v>46117</v>
      </c>
      <c r="I80" s="120">
        <f t="shared" si="68"/>
        <v>46124</v>
      </c>
      <c r="J80" s="120">
        <f t="shared" si="68"/>
        <v>46131</v>
      </c>
      <c r="K80" s="120">
        <f t="shared" si="68"/>
        <v>46138</v>
      </c>
      <c r="L80" s="120" t="str">
        <f t="shared" si="68"/>
        <v>Abril</v>
      </c>
      <c r="M80" s="120">
        <f t="shared" si="68"/>
        <v>46145</v>
      </c>
      <c r="N80" s="120">
        <f t="shared" si="68"/>
        <v>46152</v>
      </c>
      <c r="O80" s="120">
        <f t="shared" si="68"/>
        <v>46159</v>
      </c>
      <c r="P80" s="120">
        <f t="shared" si="68"/>
        <v>46166</v>
      </c>
      <c r="Q80" s="120" t="str">
        <f t="shared" si="68"/>
        <v>Maio</v>
      </c>
      <c r="R80" s="120">
        <f t="shared" si="68"/>
        <v>46173</v>
      </c>
      <c r="S80" s="120">
        <f t="shared" si="68"/>
        <v>46180</v>
      </c>
      <c r="T80" s="120">
        <f t="shared" si="68"/>
        <v>46187</v>
      </c>
      <c r="U80" s="120">
        <f t="shared" si="68"/>
        <v>46194</v>
      </c>
      <c r="V80" s="120" t="str">
        <f t="shared" si="68"/>
        <v>Junho</v>
      </c>
    </row>
    <row r="81">
      <c r="A81" s="135" t="s">
        <v>1578</v>
      </c>
      <c r="B81" s="80">
        <f>IFERROR(SUMIFS('2.1 Relatório Diário'!$AB:$AB,'2.1 Relatório Diário'!$B:$B,"&gt;="&amp;B2,'2.1 Relatório Diário'!$B:$B,"&lt;="&amp;B3),"")</f>
        <v>0</v>
      </c>
      <c r="C81" s="80">
        <f>IFERROR(SUMIFS('2.1 Relatório Diário'!$AB:$AB,'2.1 Relatório Diário'!$B:$B,"&gt;="&amp;C2,'2.1 Relatório Diário'!$B:$B,"&lt;="&amp;C3),"")</f>
        <v>0</v>
      </c>
      <c r="D81" s="80">
        <f>IFERROR(SUMIFS('2.1 Relatório Diário'!$AB:$AB,'2.1 Relatório Diário'!$B:$B,"&gt;="&amp;D2,'2.1 Relatório Diário'!$B:$B,"&lt;="&amp;D3),"")</f>
        <v>68.46</v>
      </c>
      <c r="E81" s="80">
        <f>IFERROR(SUMIFS('2.1 Relatório Diário'!$AB:$AB,'2.1 Relatório Diário'!$B:$B,"&gt;="&amp;E2,'2.1 Relatório Diário'!$B:$B,"&lt;="&amp;E3),"")</f>
        <v>159.62</v>
      </c>
      <c r="F81" s="80">
        <f>IFERROR(SUMIFS('2.1 Relatório Diário'!$AB:$AB,'2.1 Relatório Diário'!$B:$B,"&gt;="&amp;F2,'2.1 Relatório Diário'!$B:$B,"&lt;="&amp;F3),"")</f>
        <v>204.55</v>
      </c>
      <c r="G81" s="81">
        <f>IFERROR(SUMIFS('2.1 Relatório Diário'!$AB:$AB,'2.1 Relatório Diário'!$B:$B,"&gt;="&amp;G2,'2.1 Relatório Diário'!$B:$B,"&lt;="&amp;G3),"")</f>
        <v>318.56</v>
      </c>
      <c r="H81" s="80">
        <f>IFERROR(SUMIFS('2.1 Relatório Diário'!$AB:$AB,'2.1 Relatório Diário'!$B:$B,"&gt;="&amp;H2,'2.1 Relatório Diário'!$B:$B,"&lt;="&amp;H3),"")</f>
        <v>271.93</v>
      </c>
      <c r="I81" s="80">
        <f>IFERROR(SUMIFS('2.1 Relatório Diário'!$AB:$AB,'2.1 Relatório Diário'!$B:$B,"&gt;="&amp;I2,'2.1 Relatório Diário'!$B:$B,"&lt;="&amp;I3),"")</f>
        <v>367.1</v>
      </c>
      <c r="J81" s="80">
        <f>IFERROR(SUMIFS('2.1 Relatório Diário'!$AB:$AB,'2.1 Relatório Diário'!$B:$B,"&gt;="&amp;J2,'2.1 Relatório Diário'!$B:$B,"&lt;="&amp;J3),"")</f>
        <v>322.45</v>
      </c>
      <c r="K81" s="80">
        <f>IFERROR(SUMIFS('2.1 Relatório Diário'!$AB:$AB,'2.1 Relatório Diário'!$B:$B,"&gt;="&amp;K2,'2.1 Relatório Diário'!$B:$B,"&lt;="&amp;K3),"")</f>
        <v>227.24</v>
      </c>
      <c r="L81" s="81">
        <f>IFERROR(SUMIFS('2.1 Relatório Diário'!$AB:$AB,'2.1 Relatório Diário'!$B:$B,"&gt;="&amp;L2,'2.1 Relatório Diário'!$B:$B,"&lt;="&amp;L3),"")</f>
        <v>1225.32</v>
      </c>
      <c r="M81" s="80">
        <f>IFERROR(SUMIFS('2.1 Relatório Diário'!$AB:$AB,'2.1 Relatório Diário'!$B:$B,"&gt;="&amp;M2,'2.1 Relatório Diário'!$B:$B,"&lt;="&amp;M3),"")</f>
        <v>184.4</v>
      </c>
      <c r="N81" s="80">
        <f>IFERROR(SUMIFS('2.1 Relatório Diário'!$AB:$AB,'2.1 Relatório Diário'!$B:$B,"&gt;="&amp;N2,'2.1 Relatório Diário'!$B:$B,"&lt;="&amp;N3),"")</f>
        <v>119.41</v>
      </c>
      <c r="O81" s="80">
        <f>IFERROR(SUMIFS('2.1 Relatório Diário'!$AB:$AB,'2.1 Relatório Diário'!$B:$B,"&gt;="&amp;O2,'2.1 Relatório Diário'!$B:$B,"&lt;="&amp;O3),"")</f>
        <v>105.57</v>
      </c>
      <c r="P81" s="80">
        <f>IFERROR(SUMIFS('2.1 Relatório Diário'!$AB:$AB,'2.1 Relatório Diário'!$B:$B,"&gt;="&amp;P2,'2.1 Relatório Diário'!$B:$B,"&lt;="&amp;P3),"")</f>
        <v>103.58</v>
      </c>
      <c r="Q81" s="81">
        <f>IFERROR(SUMIFS('2.1 Relatório Diário'!$AB:$AB,'2.1 Relatório Diário'!$B:$B,"&gt;="&amp;Q2,'2.1 Relatório Diário'!$B:$B,"&lt;="&amp;Q3),"")</f>
        <v>618.32</v>
      </c>
      <c r="R81" s="80">
        <f>IFERROR(SUMIFS('2.1 Relatório Diário'!$AB:$AB,'2.1 Relatório Diário'!$B:$B,"&gt;="&amp;R2,'2.1 Relatório Diário'!$B:$B,"&lt;="&amp;R3),"")</f>
        <v>126.64</v>
      </c>
      <c r="S81" s="80">
        <f>IFERROR(SUMIFS('2.1 Relatório Diário'!$AB:$AB,'2.1 Relatório Diário'!$B:$B,"&gt;="&amp;S2,'2.1 Relatório Diário'!$B:$B,"&lt;="&amp;S3),"")</f>
        <v>0</v>
      </c>
      <c r="T81" s="80">
        <f>IFERROR(SUMIFS('2.1 Relatório Diário'!$AB:$AB,'2.1 Relatório Diário'!$B:$B,"&gt;="&amp;T2,'2.1 Relatório Diário'!$B:$B,"&lt;="&amp;T3),"")</f>
        <v>0</v>
      </c>
      <c r="U81" s="80">
        <f>IFERROR(SUMIFS('2.1 Relatório Diário'!$AB:$AB,'2.1 Relatório Diário'!$B:$B,"&gt;="&amp;U2,'2.1 Relatório Diário'!$B:$B,"&lt;="&amp;U3),"")</f>
        <v>0</v>
      </c>
      <c r="V81" s="81">
        <f>IFERROR(SUMIFS('2.1 Relatório Diário'!$AB:$AB,'2.1 Relatório Diário'!$B:$B,"&gt;="&amp;V2,'2.1 Relatório Diário'!$B:$B,"&lt;="&amp;V3),"")</f>
        <v>98.75</v>
      </c>
    </row>
    <row r="82">
      <c r="A82" s="135" t="s">
        <v>1579</v>
      </c>
      <c r="B82" s="122">
        <f>IFERROR(SUMIFS('2.1 Relatório Diário'!$AD:$AD,'2.1 Relatório Diário'!$B:$B,"&gt;="&amp;B2,'2.1 Relatório Diário'!$B:$B,"&lt;="&amp;B3),"")</f>
        <v>0</v>
      </c>
      <c r="C82" s="122">
        <f>IFERROR(SUMIFS('2.1 Relatório Diário'!$AD:$AD,'2.1 Relatório Diário'!$B:$B,"&gt;="&amp;C2,'2.1 Relatório Diário'!$B:$B,"&lt;="&amp;C3),"")</f>
        <v>0</v>
      </c>
      <c r="D82" s="122">
        <f>IFERROR(SUMIFS('2.1 Relatório Diário'!$AD:$AD,'2.1 Relatório Diário'!$B:$B,"&gt;="&amp;D2,'2.1 Relatório Diário'!$B:$B,"&lt;="&amp;D3),"")</f>
        <v>0</v>
      </c>
      <c r="E82" s="122">
        <f>IFERROR(SUMIFS('2.1 Relatório Diário'!$AD:$AD,'2.1 Relatório Diário'!$B:$B,"&gt;="&amp;E2,'2.1 Relatório Diário'!$B:$B,"&lt;="&amp;E3),"")</f>
        <v>0</v>
      </c>
      <c r="F82" s="122">
        <f>IFERROR(SUMIFS('2.1 Relatório Diário'!$AD:$AD,'2.1 Relatório Diário'!$B:$B,"&gt;="&amp;F2,'2.1 Relatório Diário'!$B:$B,"&lt;="&amp;F3),"")</f>
        <v>0</v>
      </c>
      <c r="G82" s="123">
        <f>IFERROR(SUMIFS('2.1 Relatório Diário'!$AD:$AD,'2.1 Relatório Diário'!$B:$B,"&gt;="&amp;G2,'2.1 Relatório Diário'!$B:$B,"&lt;="&amp;G3),"")</f>
        <v>0</v>
      </c>
      <c r="H82" s="122">
        <f>IFERROR(SUMIFS('2.1 Relatório Diário'!$AD:$AD,'2.1 Relatório Diário'!$B:$B,"&gt;="&amp;H2,'2.1 Relatório Diário'!$B:$B,"&lt;="&amp;H3),"")</f>
        <v>0</v>
      </c>
      <c r="I82" s="122">
        <f>IFERROR(SUMIFS('2.1 Relatório Diário'!$AD:$AD,'2.1 Relatório Diário'!$B:$B,"&gt;="&amp;I2,'2.1 Relatório Diário'!$B:$B,"&lt;="&amp;I3),"")</f>
        <v>0</v>
      </c>
      <c r="J82" s="122">
        <f>IFERROR(SUMIFS('2.1 Relatório Diário'!$AD:$AD,'2.1 Relatório Diário'!$B:$B,"&gt;="&amp;J2,'2.1 Relatório Diário'!$B:$B,"&lt;="&amp;J3),"")</f>
        <v>0</v>
      </c>
      <c r="K82" s="122">
        <f>IFERROR(SUMIFS('2.1 Relatório Diário'!$AD:$AD,'2.1 Relatório Diário'!$B:$B,"&gt;="&amp;K2,'2.1 Relatório Diário'!$B:$B,"&lt;="&amp;K3),"")</f>
        <v>0</v>
      </c>
      <c r="L82" s="123">
        <f>IFERROR(SUMIFS('2.1 Relatório Diário'!$AD:$AD,'2.1 Relatório Diário'!$B:$B,"&gt;="&amp;L2,'2.1 Relatório Diário'!$B:$B,"&lt;="&amp;L3),"")</f>
        <v>0</v>
      </c>
      <c r="M82" s="122">
        <f>IFERROR(SUMIFS('2.1 Relatório Diário'!$AD:$AD,'2.1 Relatório Diário'!$B:$B,"&gt;="&amp;M2,'2.1 Relatório Diário'!$B:$B,"&lt;="&amp;M3),"")</f>
        <v>0</v>
      </c>
      <c r="N82" s="122">
        <f>IFERROR(SUMIFS('2.1 Relatório Diário'!$AD:$AD,'2.1 Relatório Diário'!$B:$B,"&gt;="&amp;N2,'2.1 Relatório Diário'!$B:$B,"&lt;="&amp;N3),"")</f>
        <v>0</v>
      </c>
      <c r="O82" s="122">
        <f>IFERROR(SUMIFS('2.1 Relatório Diário'!$AD:$AD,'2.1 Relatório Diário'!$B:$B,"&gt;="&amp;O2,'2.1 Relatório Diário'!$B:$B,"&lt;="&amp;O3),"")</f>
        <v>0</v>
      </c>
      <c r="P82" s="122">
        <f>IFERROR(SUMIFS('2.1 Relatório Diário'!$AD:$AD,'2.1 Relatório Diário'!$B:$B,"&gt;="&amp;P2,'2.1 Relatório Diário'!$B:$B,"&lt;="&amp;P3),"")</f>
        <v>0</v>
      </c>
      <c r="Q82" s="123">
        <f>IFERROR(SUMIFS('2.1 Relatório Diário'!$AD:$AD,'2.1 Relatório Diário'!$B:$B,"&gt;="&amp;Q2,'2.1 Relatório Diário'!$B:$B,"&lt;="&amp;Q3),"")</f>
        <v>0</v>
      </c>
      <c r="R82" s="122">
        <f>IFERROR(SUMIFS('2.1 Relatório Diário'!$AD:$AD,'2.1 Relatório Diário'!$B:$B,"&gt;="&amp;R2,'2.1 Relatório Diário'!$B:$B,"&lt;="&amp;R3),"")</f>
        <v>0</v>
      </c>
      <c r="S82" s="122">
        <f>IFERROR(SUMIFS('2.1 Relatório Diário'!$AD:$AD,'2.1 Relatório Diário'!$B:$B,"&gt;="&amp;S2,'2.1 Relatório Diário'!$B:$B,"&lt;="&amp;S3),"")</f>
        <v>0</v>
      </c>
      <c r="T82" s="122">
        <f>IFERROR(SUMIFS('2.1 Relatório Diário'!$AD:$AD,'2.1 Relatório Diário'!$B:$B,"&gt;="&amp;T2,'2.1 Relatório Diário'!$B:$B,"&lt;="&amp;T3),"")</f>
        <v>0</v>
      </c>
      <c r="U82" s="122">
        <f>IFERROR(SUMIFS('2.1 Relatório Diário'!$AD:$AD,'2.1 Relatório Diário'!$B:$B,"&gt;="&amp;U2,'2.1 Relatório Diário'!$B:$B,"&lt;="&amp;U3),"")</f>
        <v>0</v>
      </c>
      <c r="V82" s="123">
        <f>IFERROR(SUMIFS('2.1 Relatório Diário'!$AD:$AD,'2.1 Relatório Diário'!$B:$B,"&gt;="&amp;V2,'2.1 Relatório Diário'!$B:$B,"&lt;="&amp;V3),"")</f>
        <v>0</v>
      </c>
    </row>
    <row r="83" ht="6.0" customHeight="1">
      <c r="A83" s="99"/>
      <c r="B83" s="90"/>
      <c r="C83" s="90"/>
      <c r="D83" s="90"/>
      <c r="E83" s="90"/>
      <c r="F83" s="90"/>
      <c r="G83" s="91"/>
      <c r="H83" s="90"/>
      <c r="I83" s="90"/>
      <c r="J83" s="90"/>
      <c r="K83" s="90"/>
      <c r="L83" s="91"/>
      <c r="M83" s="90"/>
      <c r="N83" s="90"/>
      <c r="O83" s="90"/>
      <c r="P83" s="90"/>
      <c r="Q83" s="91"/>
      <c r="R83" s="90"/>
      <c r="S83" s="90"/>
      <c r="T83" s="90"/>
      <c r="U83" s="90"/>
      <c r="V83" s="91"/>
    </row>
    <row r="84">
      <c r="A84" s="136" t="s">
        <v>1580</v>
      </c>
      <c r="B84" s="87">
        <f>IFERROR(SUMIFS('2.1 Relatório Diário'!$AE:$AE,'2.1 Relatório Diário'!$B:$B,"&gt;="&amp;B2,'2.1 Relatório Diário'!$B:$B,"&lt;="&amp;B3),"")</f>
        <v>0</v>
      </c>
      <c r="C84" s="87">
        <f>IFERROR(SUMIFS('2.1 Relatório Diário'!$AE:$AE,'2.1 Relatório Diário'!$B:$B,"&gt;="&amp;C2,'2.1 Relatório Diário'!$B:$B,"&lt;="&amp;C3),"")</f>
        <v>0</v>
      </c>
      <c r="D84" s="87">
        <f>IFERROR(SUMIFS('2.1 Relatório Diário'!$AE:$AE,'2.1 Relatório Diário'!$B:$B,"&gt;="&amp;D2,'2.1 Relatório Diário'!$B:$B,"&lt;="&amp;D3),"")</f>
        <v>11835</v>
      </c>
      <c r="E84" s="87">
        <f>IFERROR(SUMIFS('2.1 Relatório Diário'!$AE:$AE,'2.1 Relatório Diário'!$B:$B,"&gt;="&amp;E2,'2.1 Relatório Diário'!$B:$B,"&lt;="&amp;E3),"")</f>
        <v>27553</v>
      </c>
      <c r="F84" s="87">
        <f>IFERROR(SUMIFS('2.1 Relatório Diário'!$AE:$AE,'2.1 Relatório Diário'!$B:$B,"&gt;="&amp;F2,'2.1 Relatório Diário'!$B:$B,"&lt;="&amp;F3),"")</f>
        <v>39454</v>
      </c>
      <c r="G84" s="88">
        <f>IFERROR(SUMIFS('2.1 Relatório Diário'!$AE:$AE,'2.1 Relatório Diário'!$B:$B,"&gt;="&amp;G2,'2.1 Relatório Diário'!$B:$B,"&lt;="&amp;G3),"")</f>
        <v>57073</v>
      </c>
      <c r="H84" s="87">
        <f>IFERROR(SUMIFS('2.1 Relatório Diário'!$AE:$AE,'2.1 Relatório Diário'!$B:$B,"&gt;="&amp;H2,'2.1 Relatório Diário'!$B:$B,"&lt;="&amp;H3),"")</f>
        <v>32573</v>
      </c>
      <c r="I84" s="87">
        <f>IFERROR(SUMIFS('2.1 Relatório Diário'!$AE:$AE,'2.1 Relatório Diário'!$B:$B,"&gt;="&amp;I2,'2.1 Relatório Diário'!$B:$B,"&lt;="&amp;I3),"")</f>
        <v>43637</v>
      </c>
      <c r="J84" s="87">
        <f>IFERROR(SUMIFS('2.1 Relatório Diário'!$AE:$AE,'2.1 Relatório Diário'!$B:$B,"&gt;="&amp;J2,'2.1 Relatório Diário'!$B:$B,"&lt;="&amp;J3),"")</f>
        <v>36769</v>
      </c>
      <c r="K84" s="87">
        <f>IFERROR(SUMIFS('2.1 Relatório Diário'!$AE:$AE,'2.1 Relatório Diário'!$B:$B,"&gt;="&amp;K2,'2.1 Relatório Diário'!$B:$B,"&lt;="&amp;K3),"")</f>
        <v>16978</v>
      </c>
      <c r="L84" s="88">
        <f>IFERROR(SUMIFS('2.1 Relatório Diário'!$AE:$AE,'2.1 Relatório Diário'!$B:$B,"&gt;="&amp;L2,'2.1 Relatório Diário'!$B:$B,"&lt;="&amp;L3),"")</f>
        <v>146676</v>
      </c>
      <c r="M84" s="87">
        <f>IFERROR(SUMIFS('2.1 Relatório Diário'!$AE:$AE,'2.1 Relatório Diário'!$B:$B,"&gt;="&amp;M2,'2.1 Relatório Diário'!$B:$B,"&lt;="&amp;M3),"")</f>
        <v>11593</v>
      </c>
      <c r="N84" s="87">
        <f>IFERROR(SUMIFS('2.1 Relatório Diário'!$AE:$AE,'2.1 Relatório Diário'!$B:$B,"&gt;="&amp;N2,'2.1 Relatório Diário'!$B:$B,"&lt;="&amp;N3),"")</f>
        <v>8779</v>
      </c>
      <c r="O84" s="87">
        <f>IFERROR(SUMIFS('2.1 Relatório Diário'!$AE:$AE,'2.1 Relatório Diário'!$B:$B,"&gt;="&amp;O2,'2.1 Relatório Diário'!$B:$B,"&lt;="&amp;O3),"")</f>
        <v>7756</v>
      </c>
      <c r="P84" s="87">
        <f>IFERROR(SUMIFS('2.1 Relatório Diário'!$AE:$AE,'2.1 Relatório Diário'!$B:$B,"&gt;="&amp;P2,'2.1 Relatório Diário'!$B:$B,"&lt;="&amp;P3),"")</f>
        <v>7785</v>
      </c>
      <c r="Q84" s="88">
        <f>IFERROR(SUMIFS('2.1 Relatório Diário'!$AE:$AE,'2.1 Relatório Diário'!$B:$B,"&gt;="&amp;Q2,'2.1 Relatório Diário'!$B:$B,"&lt;="&amp;Q3),"")</f>
        <v>43105</v>
      </c>
      <c r="R84" s="87">
        <f>IFERROR(SUMIFS('2.1 Relatório Diário'!$AE:$AE,'2.1 Relatório Diário'!$B:$B,"&gt;="&amp;R2,'2.1 Relatório Diário'!$B:$B,"&lt;="&amp;R3),"")</f>
        <v>8424</v>
      </c>
      <c r="S84" s="87">
        <f>IFERROR(SUMIFS('2.1 Relatório Diário'!$AE:$AE,'2.1 Relatório Diário'!$B:$B,"&gt;="&amp;S2,'2.1 Relatório Diário'!$B:$B,"&lt;="&amp;S3),"")</f>
        <v>0</v>
      </c>
      <c r="T84" s="87">
        <f>IFERROR(SUMIFS('2.1 Relatório Diário'!$AE:$AE,'2.1 Relatório Diário'!$B:$B,"&gt;="&amp;T2,'2.1 Relatório Diário'!$B:$B,"&lt;="&amp;T3),"")</f>
        <v>0</v>
      </c>
      <c r="U84" s="87">
        <f>IFERROR(SUMIFS('2.1 Relatório Diário'!$AE:$AE,'2.1 Relatório Diário'!$B:$B,"&gt;="&amp;U2,'2.1 Relatório Diário'!$B:$B,"&lt;="&amp;U3),"")</f>
        <v>0</v>
      </c>
      <c r="V84" s="88">
        <f>IFERROR(SUMIFS('2.1 Relatório Diário'!$AE:$AE,'2.1 Relatório Diário'!$B:$B,"&gt;="&amp;V2,'2.1 Relatório Diário'!$B:$B,"&lt;="&amp;V3),"")</f>
        <v>6282</v>
      </c>
    </row>
    <row r="85">
      <c r="A85" s="136" t="s">
        <v>1581</v>
      </c>
      <c r="B85" s="87">
        <f>IFERROR(SUMIFS('2.1 Relatório Diário'!$AF:$AF,'2.1 Relatório Diário'!$B:$B,"&gt;="&amp;B2,'2.1 Relatório Diário'!$B:$B,"&lt;="&amp;B3),"")</f>
        <v>0</v>
      </c>
      <c r="C85" s="87">
        <f>IFERROR(SUMIFS('2.1 Relatório Diário'!$AF:$AF,'2.1 Relatório Diário'!$B:$B,"&gt;="&amp;C2,'2.1 Relatório Diário'!$B:$B,"&lt;="&amp;C3),"")</f>
        <v>0</v>
      </c>
      <c r="D85" s="87">
        <f>IFERROR(SUMIFS('2.1 Relatório Diário'!$AF:$AF,'2.1 Relatório Diário'!$B:$B,"&gt;="&amp;D2,'2.1 Relatório Diário'!$B:$B,"&lt;="&amp;D3),"")</f>
        <v>17</v>
      </c>
      <c r="E85" s="87">
        <f>IFERROR(SUMIFS('2.1 Relatório Diário'!$AF:$AF,'2.1 Relatório Diário'!$B:$B,"&gt;="&amp;E2,'2.1 Relatório Diário'!$B:$B,"&lt;="&amp;E3),"")</f>
        <v>29</v>
      </c>
      <c r="F85" s="87">
        <f>IFERROR(SUMIFS('2.1 Relatório Diário'!$AF:$AF,'2.1 Relatório Diário'!$B:$B,"&gt;="&amp;F2,'2.1 Relatório Diário'!$B:$B,"&lt;="&amp;F3),"")</f>
        <v>85</v>
      </c>
      <c r="G85" s="88">
        <f>IFERROR(SUMIFS('2.1 Relatório Diário'!$AF:$AF,'2.1 Relatório Diário'!$B:$B,"&gt;="&amp;G2,'2.1 Relatório Diário'!$B:$B,"&lt;="&amp;G3),"")</f>
        <v>74</v>
      </c>
      <c r="H85" s="87">
        <f>IFERROR(SUMIFS('2.1 Relatório Diário'!$AF:$AF,'2.1 Relatório Diário'!$B:$B,"&gt;="&amp;H2,'2.1 Relatório Diário'!$B:$B,"&lt;="&amp;H3),"")</f>
        <v>429</v>
      </c>
      <c r="I85" s="87">
        <f>IFERROR(SUMIFS('2.1 Relatório Diário'!$AF:$AF,'2.1 Relatório Diário'!$B:$B,"&gt;="&amp;I2,'2.1 Relatório Diário'!$B:$B,"&lt;="&amp;I3),"")</f>
        <v>1267</v>
      </c>
      <c r="J85" s="87">
        <f>IFERROR(SUMIFS('2.1 Relatório Diário'!$AF:$AF,'2.1 Relatório Diário'!$B:$B,"&gt;="&amp;J2,'2.1 Relatório Diário'!$B:$B,"&lt;="&amp;J3),"")</f>
        <v>726</v>
      </c>
      <c r="K85" s="87">
        <f>IFERROR(SUMIFS('2.1 Relatório Diário'!$AF:$AF,'2.1 Relatório Diário'!$B:$B,"&gt;="&amp;K2,'2.1 Relatório Diário'!$B:$B,"&lt;="&amp;K3),"")</f>
        <v>223</v>
      </c>
      <c r="L85" s="88">
        <f>IFERROR(SUMIFS('2.1 Relatório Diário'!$AF:$AF,'2.1 Relatório Diário'!$B:$B,"&gt;="&amp;L2,'2.1 Relatório Diário'!$B:$B,"&lt;="&amp;L3),"")</f>
        <v>2629</v>
      </c>
      <c r="M85" s="87">
        <f>IFERROR(SUMIFS('2.1 Relatório Diário'!$AF:$AF,'2.1 Relatório Diário'!$B:$B,"&gt;="&amp;M2,'2.1 Relatório Diário'!$B:$B,"&lt;="&amp;M3),"")</f>
        <v>197</v>
      </c>
      <c r="N85" s="87">
        <f>IFERROR(SUMIFS('2.1 Relatório Diário'!$AF:$AF,'2.1 Relatório Diário'!$B:$B,"&gt;="&amp;N2,'2.1 Relatório Diário'!$B:$B,"&lt;="&amp;N3),"")</f>
        <v>166</v>
      </c>
      <c r="O85" s="87">
        <f>IFERROR(SUMIFS('2.1 Relatório Diário'!$AF:$AF,'2.1 Relatório Diário'!$B:$B,"&gt;="&amp;O2,'2.1 Relatório Diário'!$B:$B,"&lt;="&amp;O3),"")</f>
        <v>375</v>
      </c>
      <c r="P85" s="87">
        <f>IFERROR(SUMIFS('2.1 Relatório Diário'!$AF:$AF,'2.1 Relatório Diário'!$B:$B,"&gt;="&amp;P2,'2.1 Relatório Diário'!$B:$B,"&lt;="&amp;P3),"")</f>
        <v>508</v>
      </c>
      <c r="Q85" s="88">
        <f>IFERROR(SUMIFS('2.1 Relatório Diário'!$AF:$AF,'2.1 Relatório Diário'!$B:$B,"&gt;="&amp;Q2,'2.1 Relatório Diário'!$B:$B,"&lt;="&amp;Q3),"")</f>
        <v>1430</v>
      </c>
      <c r="R85" s="87">
        <f>IFERROR(SUMIFS('2.1 Relatório Diário'!$AF:$AF,'2.1 Relatório Diário'!$B:$B,"&gt;="&amp;R2,'2.1 Relatório Diário'!$B:$B,"&lt;="&amp;R3),"")</f>
        <v>404</v>
      </c>
      <c r="S85" s="87">
        <f>IFERROR(SUMIFS('2.1 Relatório Diário'!$AF:$AF,'2.1 Relatório Diário'!$B:$B,"&gt;="&amp;S2,'2.1 Relatório Diário'!$B:$B,"&lt;="&amp;S3),"")</f>
        <v>0</v>
      </c>
      <c r="T85" s="87">
        <f>IFERROR(SUMIFS('2.1 Relatório Diário'!$AF:$AF,'2.1 Relatório Diário'!$B:$B,"&gt;="&amp;T2,'2.1 Relatório Diário'!$B:$B,"&lt;="&amp;T3),"")</f>
        <v>0</v>
      </c>
      <c r="U85" s="87">
        <f>IFERROR(SUMIFS('2.1 Relatório Diário'!$AF:$AF,'2.1 Relatório Diário'!$B:$B,"&gt;="&amp;U2,'2.1 Relatório Diário'!$B:$B,"&lt;="&amp;U3),"")</f>
        <v>0</v>
      </c>
      <c r="V85" s="88">
        <f>IFERROR(SUMIFS('2.1 Relatório Diário'!$AF:$AF,'2.1 Relatório Diário'!$B:$B,"&gt;="&amp;V2,'2.1 Relatório Diário'!$B:$B,"&lt;="&amp;V3),"")</f>
        <v>293</v>
      </c>
    </row>
    <row r="86" hidden="1">
      <c r="A86" s="136" t="s">
        <v>1582</v>
      </c>
      <c r="B86" s="125">
        <f>IFERROR(SUMIFS('2.1 Relatório Diário'!$AG:$AG,'2.1 Relatório Diário'!$B:$B,"&gt;="&amp;B2,'2.1 Relatório Diário'!$B:$B,"&lt;="&amp;B3),"")</f>
        <v>0</v>
      </c>
      <c r="C86" s="125">
        <f>IFERROR(SUMIFS('2.1 Relatório Diário'!$AG:$AG,'2.1 Relatório Diário'!$B:$B,"&gt;="&amp;C2,'2.1 Relatório Diário'!$B:$B,"&lt;="&amp;C3),"")</f>
        <v>0</v>
      </c>
      <c r="D86" s="125">
        <f>IFERROR(SUMIFS('2.1 Relatório Diário'!$AG:$AG,'2.1 Relatório Diário'!$B:$B,"&gt;="&amp;D2,'2.1 Relatório Diário'!$B:$B,"&lt;="&amp;D3),"")</f>
        <v>0</v>
      </c>
      <c r="E86" s="125">
        <f>IFERROR(SUMIFS('2.1 Relatório Diário'!$AG:$AG,'2.1 Relatório Diário'!$B:$B,"&gt;="&amp;E2,'2.1 Relatório Diário'!$B:$B,"&lt;="&amp;E3),"")</f>
        <v>0</v>
      </c>
      <c r="F86" s="125">
        <f>IFERROR(SUMIFS('2.1 Relatório Diário'!$AG:$AG,'2.1 Relatório Diário'!$B:$B,"&gt;="&amp;F2,'2.1 Relatório Diário'!$B:$B,"&lt;="&amp;F3),"")</f>
        <v>0</v>
      </c>
      <c r="G86" s="126">
        <f>IFERROR(SUMIFS('2.1 Relatório Diário'!$AG:$AG,'2.1 Relatório Diário'!$B:$B,"&gt;="&amp;G2,'2.1 Relatório Diário'!$B:$B,"&lt;="&amp;G3),"")</f>
        <v>0</v>
      </c>
      <c r="H86" s="125">
        <f>IFERROR(SUMIFS('2.1 Relatório Diário'!$AG:$AG,'2.1 Relatório Diário'!$B:$B,"&gt;="&amp;H2,'2.1 Relatório Diário'!$B:$B,"&lt;="&amp;H3),"")</f>
        <v>3</v>
      </c>
      <c r="I86" s="125">
        <f>IFERROR(SUMIFS('2.1 Relatório Diário'!$AG:$AG,'2.1 Relatório Diário'!$B:$B,"&gt;="&amp;I2,'2.1 Relatório Diário'!$B:$B,"&lt;="&amp;I3),"")</f>
        <v>5</v>
      </c>
      <c r="J86" s="125">
        <f>IFERROR(SUMIFS('2.1 Relatório Diário'!$AG:$AG,'2.1 Relatório Diário'!$B:$B,"&gt;="&amp;J2,'2.1 Relatório Diário'!$B:$B,"&lt;="&amp;J3),"")</f>
        <v>4</v>
      </c>
      <c r="K86" s="125">
        <f>IFERROR(SUMIFS('2.1 Relatório Diário'!$AG:$AG,'2.1 Relatório Diário'!$B:$B,"&gt;="&amp;K2,'2.1 Relatório Diário'!$B:$B,"&lt;="&amp;K3),"")</f>
        <v>0</v>
      </c>
      <c r="L86" s="126">
        <f>IFERROR(SUMIFS('2.1 Relatório Diário'!$AG:$AG,'2.1 Relatório Diário'!$B:$B,"&gt;="&amp;L2,'2.1 Relatório Diário'!$B:$B,"&lt;="&amp;L3),"")</f>
        <v>12</v>
      </c>
      <c r="M86" s="125">
        <f>IFERROR(SUMIFS('2.1 Relatório Diário'!$AG:$AG,'2.1 Relatório Diário'!$B:$B,"&gt;="&amp;M2,'2.1 Relatório Diário'!$B:$B,"&lt;="&amp;M3),"")</f>
        <v>0</v>
      </c>
      <c r="N86" s="125">
        <f>IFERROR(SUMIFS('2.1 Relatório Diário'!$AG:$AG,'2.1 Relatório Diário'!$B:$B,"&gt;="&amp;N2,'2.1 Relatório Diário'!$B:$B,"&lt;="&amp;N3),"")</f>
        <v>0</v>
      </c>
      <c r="O86" s="125">
        <f>IFERROR(SUMIFS('2.1 Relatório Diário'!$AG:$AG,'2.1 Relatório Diário'!$B:$B,"&gt;="&amp;O2,'2.1 Relatório Diário'!$B:$B,"&lt;="&amp;O3),"")</f>
        <v>1</v>
      </c>
      <c r="P86" s="125">
        <f>IFERROR(SUMIFS('2.1 Relatório Diário'!$AG:$AG,'2.1 Relatório Diário'!$B:$B,"&gt;="&amp;P2,'2.1 Relatório Diário'!$B:$B,"&lt;="&amp;P3),"")</f>
        <v>6</v>
      </c>
      <c r="Q86" s="126">
        <f>IFERROR(SUMIFS('2.1 Relatório Diário'!$AG:$AG,'2.1 Relatório Diário'!$B:$B,"&gt;="&amp;Q2,'2.1 Relatório Diário'!$B:$B,"&lt;="&amp;Q3),"")</f>
        <v>9</v>
      </c>
      <c r="R86" s="125">
        <f>IFERROR(SUMIFS('2.1 Relatório Diário'!$AG:$AG,'2.1 Relatório Diário'!$B:$B,"&gt;="&amp;R2,'2.1 Relatório Diário'!$B:$B,"&lt;="&amp;R3),"")</f>
        <v>11</v>
      </c>
      <c r="S86" s="125">
        <f>IFERROR(SUMIFS('2.1 Relatório Diário'!$AG:$AG,'2.1 Relatório Diário'!$B:$B,"&gt;="&amp;S2,'2.1 Relatório Diário'!$B:$B,"&lt;="&amp;S3),"")</f>
        <v>0</v>
      </c>
      <c r="T86" s="125">
        <f>IFERROR(SUMIFS('2.1 Relatório Diário'!$AG:$AG,'2.1 Relatório Diário'!$B:$B,"&gt;="&amp;T2,'2.1 Relatório Diário'!$B:$B,"&lt;="&amp;T3),"")</f>
        <v>0</v>
      </c>
      <c r="U86" s="125">
        <f>IFERROR(SUMIFS('2.1 Relatório Diário'!$AG:$AG,'2.1 Relatório Diário'!$B:$B,"&gt;="&amp;U2,'2.1 Relatório Diário'!$B:$B,"&lt;="&amp;U3),"")</f>
        <v>0</v>
      </c>
      <c r="V86" s="126">
        <f>IFERROR(SUMIFS('2.1 Relatório Diário'!$AG:$AG,'2.1 Relatório Diário'!$B:$B,"&gt;="&amp;V2,'2.1 Relatório Diário'!$B:$B,"&lt;="&amp;V3),"")</f>
        <v>9</v>
      </c>
    </row>
    <row r="87">
      <c r="A87" s="136" t="s">
        <v>1583</v>
      </c>
      <c r="B87" s="125"/>
      <c r="C87" s="125"/>
      <c r="D87" s="125"/>
      <c r="E87" s="125"/>
      <c r="F87" s="125"/>
      <c r="G87" s="126"/>
      <c r="H87" s="125">
        <f>IFERROR(SUMIFS('2.1 Relatório Diário'!$AK:$AK,'2.1 Relatório Diário'!$B:$B,"&gt;="&amp;H2,'2.1 Relatório Diário'!$B:$B,"&lt;="&amp;H3),"")</f>
        <v>25</v>
      </c>
      <c r="I87" s="125">
        <f>IFERROR(SUMIFS('2.1 Relatório Diário'!$AK:$AK,'2.1 Relatório Diário'!$B:$B,"&gt;="&amp;I2,'2.1 Relatório Diário'!$B:$B,"&lt;="&amp;I3),"")</f>
        <v>105</v>
      </c>
      <c r="J87" s="125">
        <f>IFERROR(SUMIFS('2.1 Relatório Diário'!$AK:$AK,'2.1 Relatório Diário'!$B:$B,"&gt;="&amp;J2,'2.1 Relatório Diário'!$B:$B,"&lt;="&amp;J3),"")</f>
        <v>35</v>
      </c>
      <c r="K87" s="125">
        <f>IFERROR(SUMIFS('2.1 Relatório Diário'!$AK:$AK,'2.1 Relatório Diário'!$B:$B,"&gt;="&amp;K2,'2.1 Relatório Diário'!$B:$B,"&lt;="&amp;K3),"")</f>
        <v>6</v>
      </c>
      <c r="L87" s="126">
        <f>IFERROR(SUMIFS('2.1 Relatório Diário'!$AK:$AK,'2.1 Relatório Diário'!$B:$B,"&gt;="&amp;L2,'2.1 Relatório Diário'!$B:$B,"&lt;="&amp;L3),"")</f>
        <v>168</v>
      </c>
      <c r="M87" s="125">
        <f>IFERROR(SUMIFS('2.1 Relatório Diário'!$AK:$AK,'2.1 Relatório Diário'!$B:$B,"&gt;="&amp;M2,'2.1 Relatório Diário'!$B:$B,"&lt;="&amp;M3),"")</f>
        <v>10</v>
      </c>
      <c r="N87" s="125">
        <f>IFERROR(SUMIFS('2.1 Relatório Diário'!$AK:$AK,'2.1 Relatório Diário'!$B:$B,"&gt;="&amp;N2,'2.1 Relatório Diário'!$B:$B,"&lt;="&amp;N3),"")</f>
        <v>11</v>
      </c>
      <c r="O87" s="125">
        <f>IFERROR(SUMIFS('2.1 Relatório Diário'!$AK:$AK,'2.1 Relatório Diário'!$B:$B,"&gt;="&amp;O2,'2.1 Relatório Diário'!$B:$B,"&lt;="&amp;O3),"")</f>
        <v>39</v>
      </c>
      <c r="P87" s="125">
        <f>IFERROR(SUMIFS('2.1 Relatório Diário'!$AK:$AK,'2.1 Relatório Diário'!$B:$B,"&gt;="&amp;P2,'2.1 Relatório Diário'!$B:$B,"&lt;="&amp;P3),"")</f>
        <v>49</v>
      </c>
      <c r="Q87" s="126">
        <f>IFERROR(SUMIFS('2.1 Relatório Diário'!$AK:$AK,'2.1 Relatório Diário'!$B:$B,"&gt;="&amp;Q2,'2.1 Relatório Diário'!$B:$B,"&lt;="&amp;Q3),"")</f>
        <v>122</v>
      </c>
      <c r="R87" s="125">
        <f>IFERROR(SUMIFS('2.1 Relatório Diário'!$AK:$AK,'2.1 Relatório Diário'!$B:$B,"&gt;="&amp;R2,'2.1 Relatório Diário'!$B:$B,"&lt;="&amp;R3),"")</f>
        <v>36</v>
      </c>
      <c r="S87" s="125">
        <f>IFERROR(SUMIFS('2.1 Relatório Diário'!$AK:$AK,'2.1 Relatório Diário'!$B:$B,"&gt;="&amp;S2,'2.1 Relatório Diário'!$B:$B,"&lt;="&amp;S3),"")</f>
        <v>0</v>
      </c>
      <c r="T87" s="125">
        <f>IFERROR(SUMIFS('2.1 Relatório Diário'!$AK:$AK,'2.1 Relatório Diário'!$B:$B,"&gt;="&amp;T2,'2.1 Relatório Diário'!$B:$B,"&lt;="&amp;T3),"")</f>
        <v>0</v>
      </c>
      <c r="U87" s="125">
        <f>IFERROR(SUMIFS('2.1 Relatório Diário'!$AK:$AK,'2.1 Relatório Diário'!$B:$B,"&gt;="&amp;U2,'2.1 Relatório Diário'!$B:$B,"&lt;="&amp;U3),"")</f>
        <v>0</v>
      </c>
      <c r="V87" s="126">
        <f>IFERROR(SUMIFS('2.1 Relatório Diário'!$AK:$AK,'2.1 Relatório Diário'!$B:$B,"&gt;="&amp;V2,'2.1 Relatório Diário'!$B:$B,"&lt;="&amp;V3),"")</f>
        <v>26</v>
      </c>
    </row>
    <row r="88">
      <c r="A88" s="136" t="s">
        <v>1584</v>
      </c>
      <c r="B88" s="125"/>
      <c r="C88" s="125"/>
      <c r="D88" s="125"/>
      <c r="E88" s="125"/>
      <c r="F88" s="125"/>
      <c r="G88" s="126"/>
      <c r="H88" s="125">
        <f>IFERROR(SUMIFS('2.1 Relatório Diário'!$AL:$AL,'2.1 Relatório Diário'!$B:$B,"&gt;="&amp;H2,'2.1 Relatório Diário'!$B:$B,"&lt;="&amp;H3),"")</f>
        <v>15</v>
      </c>
      <c r="I88" s="125">
        <f>IFERROR(SUMIFS('2.1 Relatório Diário'!$AL:$AL,'2.1 Relatório Diário'!$B:$B,"&gt;="&amp;I2,'2.1 Relatório Diário'!$B:$B,"&lt;="&amp;I3),"")</f>
        <v>83</v>
      </c>
      <c r="J88" s="125">
        <f>IFERROR(SUMIFS('2.1 Relatório Diário'!$AL:$AL,'2.1 Relatório Diário'!$B:$B,"&gt;="&amp;J2,'2.1 Relatório Diário'!$B:$B,"&lt;="&amp;J3),"")</f>
        <v>23</v>
      </c>
      <c r="K88" s="125">
        <f>IFERROR(SUMIFS('2.1 Relatório Diário'!$AL:$AL,'2.1 Relatório Diário'!$B:$B,"&gt;="&amp;K2,'2.1 Relatório Diário'!$B:$B,"&lt;="&amp;K3),"")</f>
        <v>5</v>
      </c>
      <c r="L88" s="126">
        <f>IFERROR(SUMIFS('2.1 Relatório Diário'!$AL:$AL,'2.1 Relatório Diário'!$B:$B,"&gt;="&amp;L2,'2.1 Relatório Diário'!$B:$B,"&lt;="&amp;L3),"")</f>
        <v>123</v>
      </c>
      <c r="M88" s="125">
        <f>IFERROR(SUMIFS('2.1 Relatório Diário'!$AL:$AL,'2.1 Relatório Diário'!$B:$B,"&gt;="&amp;M2,'2.1 Relatório Diário'!$B:$B,"&lt;="&amp;M3),"")</f>
        <v>6</v>
      </c>
      <c r="N88" s="125">
        <f>IFERROR(SUMIFS('2.1 Relatório Diário'!$AL:$AL,'2.1 Relatório Diário'!$B:$B,"&gt;="&amp;N2,'2.1 Relatório Diário'!$B:$B,"&lt;="&amp;N3),"")</f>
        <v>8</v>
      </c>
      <c r="O88" s="125">
        <f>IFERROR(SUMIFS('2.1 Relatório Diário'!$AL:$AL,'2.1 Relatório Diário'!$B:$B,"&gt;="&amp;O2,'2.1 Relatório Diário'!$B:$B,"&lt;="&amp;O3),"")</f>
        <v>26</v>
      </c>
      <c r="P88" s="125">
        <f>IFERROR(SUMIFS('2.1 Relatório Diário'!$AL:$AL,'2.1 Relatório Diário'!$B:$B,"&gt;="&amp;P2,'2.1 Relatório Diário'!$B:$B,"&lt;="&amp;P3),"")</f>
        <v>39</v>
      </c>
      <c r="Q88" s="126">
        <f>IFERROR(SUMIFS('2.1 Relatório Diário'!$AL:$AL,'2.1 Relatório Diário'!$B:$B,"&gt;="&amp;Q2,'2.1 Relatório Diário'!$B:$B,"&lt;="&amp;Q3),"")</f>
        <v>89</v>
      </c>
      <c r="R88" s="125">
        <f>IFERROR(SUMIFS('2.1 Relatório Diário'!$AL:$AL,'2.1 Relatório Diário'!$B:$B,"&gt;="&amp;R2,'2.1 Relatório Diário'!$B:$B,"&lt;="&amp;R3),"")</f>
        <v>28</v>
      </c>
      <c r="S88" s="125">
        <f>IFERROR(SUMIFS('2.1 Relatório Diário'!$AL:$AL,'2.1 Relatório Diário'!$B:$B,"&gt;="&amp;S2,'2.1 Relatório Diário'!$B:$B,"&lt;="&amp;S3),"")</f>
        <v>0</v>
      </c>
      <c r="T88" s="125">
        <f>IFERROR(SUMIFS('2.1 Relatório Diário'!$AL:$AL,'2.1 Relatório Diário'!$B:$B,"&gt;="&amp;T2,'2.1 Relatório Diário'!$B:$B,"&lt;="&amp;T3),"")</f>
        <v>0</v>
      </c>
      <c r="U88" s="125">
        <f>IFERROR(SUMIFS('2.1 Relatório Diário'!$AL:$AL,'2.1 Relatório Diário'!$B:$B,"&gt;="&amp;U2,'2.1 Relatório Diário'!$B:$B,"&lt;="&amp;U3),"")</f>
        <v>0</v>
      </c>
      <c r="V88" s="126">
        <f>IFERROR(SUMIFS('2.1 Relatório Diário'!$AL:$AL,'2.1 Relatório Diário'!$B:$B,"&gt;="&amp;V2,'2.1 Relatório Diário'!$B:$B,"&lt;="&amp;V3),"")</f>
        <v>21</v>
      </c>
    </row>
    <row r="89">
      <c r="A89" s="136" t="s">
        <v>1585</v>
      </c>
      <c r="B89" s="125">
        <f>IFERROR(SUMIFS('2.1 Relatório Diário'!$AH:$AH,'2.1 Relatório Diário'!$B:$B,"&gt;="&amp;B2,'2.1 Relatório Diário'!$B:$B,"&lt;="&amp;B3),"")</f>
        <v>0</v>
      </c>
      <c r="C89" s="125">
        <f>IFERROR(SUMIFS('2.1 Relatório Diário'!$AH:$AH,'2.1 Relatório Diário'!$B:$B,"&gt;="&amp;C2,'2.1 Relatório Diário'!$B:$B,"&lt;="&amp;C3),"")</f>
        <v>0</v>
      </c>
      <c r="D89" s="125">
        <f>IFERROR(SUMIFS('2.1 Relatório Diário'!$AH:$AH,'2.1 Relatório Diário'!$B:$B,"&gt;="&amp;D2,'2.1 Relatório Diário'!$B:$B,"&lt;="&amp;D3),"")</f>
        <v>0</v>
      </c>
      <c r="E89" s="125">
        <f>IFERROR(SUMIFS('2.1 Relatório Diário'!$AH:$AH,'2.1 Relatório Diário'!$B:$B,"&gt;="&amp;E2,'2.1 Relatório Diário'!$B:$B,"&lt;="&amp;E3),"")</f>
        <v>0</v>
      </c>
      <c r="F89" s="125">
        <f>IFERROR(SUMIFS('2.1 Relatório Diário'!$AH:$AH,'2.1 Relatório Diário'!$B:$B,"&gt;="&amp;F2,'2.1 Relatório Diário'!$B:$B,"&lt;="&amp;F3),"")</f>
        <v>0</v>
      </c>
      <c r="G89" s="126">
        <f>IFERROR(SUMIFS('2.1 Relatório Diário'!$AH:$AH,'2.1 Relatório Diário'!$B:$B,"&gt;="&amp;G2,'2.1 Relatório Diário'!$B:$B,"&lt;="&amp;G3),"")</f>
        <v>0</v>
      </c>
      <c r="H89" s="125">
        <f>IFERROR(SUMIFS('2.1 Relatório Diário'!$AH:$AH,'2.1 Relatório Diário'!$B:$B,"&gt;="&amp;H2,'2.1 Relatório Diário'!$B:$B,"&lt;="&amp;H3),"")</f>
        <v>0</v>
      </c>
      <c r="I89" s="125">
        <f>IFERROR(SUMIFS('2.1 Relatório Diário'!$AH:$AH,'2.1 Relatório Diário'!$B:$B,"&gt;="&amp;I2,'2.1 Relatório Diário'!$B:$B,"&lt;="&amp;I3),"")</f>
        <v>0</v>
      </c>
      <c r="J89" s="125">
        <f>IFERROR(SUMIFS('2.1 Relatório Diário'!$AH:$AH,'2.1 Relatório Diário'!$B:$B,"&gt;="&amp;J2,'2.1 Relatório Diário'!$B:$B,"&lt;="&amp;J3),"")</f>
        <v>0</v>
      </c>
      <c r="K89" s="125">
        <f>IFERROR(SUMIFS('2.1 Relatório Diário'!$AH:$AH,'2.1 Relatório Diário'!$B:$B,"&gt;="&amp;K2,'2.1 Relatório Diário'!$B:$B,"&lt;="&amp;K3),"")</f>
        <v>0</v>
      </c>
      <c r="L89" s="126">
        <f>IFERROR(SUMIFS('2.1 Relatório Diário'!$AH:$AH,'2.1 Relatório Diário'!$B:$B,"&gt;="&amp;L2,'2.1 Relatório Diário'!$B:$B,"&lt;="&amp;L3),"")</f>
        <v>0</v>
      </c>
      <c r="M89" s="125">
        <f>IFERROR(SUMIFS('2.1 Relatório Diário'!$AH:$AH,'2.1 Relatório Diário'!$B:$B,"&gt;="&amp;M2,'2.1 Relatório Diário'!$B:$B,"&lt;="&amp;M3),"")</f>
        <v>0</v>
      </c>
      <c r="N89" s="125">
        <f>IFERROR(SUMIFS('2.1 Relatório Diário'!$AH:$AH,'2.1 Relatório Diário'!$B:$B,"&gt;="&amp;N2,'2.1 Relatório Diário'!$B:$B,"&lt;="&amp;N3),"")</f>
        <v>0</v>
      </c>
      <c r="O89" s="125">
        <f>IFERROR(SUMIFS('2.1 Relatório Diário'!$AH:$AH,'2.1 Relatório Diário'!$B:$B,"&gt;="&amp;O2,'2.1 Relatório Diário'!$B:$B,"&lt;="&amp;O3),"")</f>
        <v>0</v>
      </c>
      <c r="P89" s="125">
        <f>IFERROR(SUMIFS('2.1 Relatório Diário'!$AH:$AH,'2.1 Relatório Diário'!$B:$B,"&gt;="&amp;P2,'2.1 Relatório Diário'!$B:$B,"&lt;="&amp;P3),"")</f>
        <v>0</v>
      </c>
      <c r="Q89" s="126">
        <f>IFERROR(SUMIFS('2.1 Relatório Diário'!$AH:$AH,'2.1 Relatório Diário'!$B:$B,"&gt;="&amp;Q2,'2.1 Relatório Diário'!$B:$B,"&lt;="&amp;Q3),"")</f>
        <v>0</v>
      </c>
      <c r="R89" s="125">
        <f>IFERROR(SUMIFS('2.1 Relatório Diário'!$AH:$AH,'2.1 Relatório Diário'!$B:$B,"&gt;="&amp;R2,'2.1 Relatório Diário'!$B:$B,"&lt;="&amp;R3),"")</f>
        <v>0</v>
      </c>
      <c r="S89" s="125">
        <f>IFERROR(SUMIFS('2.1 Relatório Diário'!$AH:$AH,'2.1 Relatório Diário'!$B:$B,"&gt;="&amp;S2,'2.1 Relatório Diário'!$B:$B,"&lt;="&amp;S3),"")</f>
        <v>0</v>
      </c>
      <c r="T89" s="125">
        <f>IFERROR(SUMIFS('2.1 Relatório Diário'!$AH:$AH,'2.1 Relatório Diário'!$B:$B,"&gt;="&amp;T2,'2.1 Relatório Diário'!$B:$B,"&lt;="&amp;T3),"")</f>
        <v>0</v>
      </c>
      <c r="U89" s="125">
        <f>IFERROR(SUMIFS('2.1 Relatório Diário'!$AH:$AH,'2.1 Relatório Diário'!$B:$B,"&gt;="&amp;U2,'2.1 Relatório Diário'!$B:$B,"&lt;="&amp;U3),"")</f>
        <v>0</v>
      </c>
      <c r="V89" s="126">
        <f>IFERROR(SUMIFS('2.1 Relatório Diário'!$AH:$AH,'2.1 Relatório Diário'!$B:$B,"&gt;="&amp;V2,'2.1 Relatório Diário'!$B:$B,"&lt;="&amp;V3),"")</f>
        <v>0</v>
      </c>
    </row>
    <row r="90">
      <c r="A90" s="136" t="s">
        <v>1586</v>
      </c>
      <c r="B90" s="125">
        <f>IFERROR(SUMIFS('2.1 Relatório Diário'!$AI:$AI,'2.1 Relatório Diário'!$B:$B,"&gt;="&amp;B2,'2.1 Relatório Diário'!$B:$B,"&lt;="&amp;B3),"")</f>
        <v>0</v>
      </c>
      <c r="C90" s="125">
        <f>IFERROR(SUMIFS('2.1 Relatório Diário'!$AI:$AI,'2.1 Relatório Diário'!$B:$B,"&gt;="&amp;C2,'2.1 Relatório Diário'!$B:$B,"&lt;="&amp;C3),"")</f>
        <v>0</v>
      </c>
      <c r="D90" s="125">
        <f>IFERROR(SUMIFS('2.1 Relatório Diário'!$AI:$AI,'2.1 Relatório Diário'!$B:$B,"&gt;="&amp;D2,'2.1 Relatório Diário'!$B:$B,"&lt;="&amp;D3),"")</f>
        <v>0</v>
      </c>
      <c r="E90" s="125">
        <f>IFERROR(SUMIFS('2.1 Relatório Diário'!$AI:$AI,'2.1 Relatório Diário'!$B:$B,"&gt;="&amp;E2,'2.1 Relatório Diário'!$B:$B,"&lt;="&amp;E3),"")</f>
        <v>0</v>
      </c>
      <c r="F90" s="125">
        <f>IFERROR(SUMIFS('2.1 Relatório Diário'!$AI:$AI,'2.1 Relatório Diário'!$B:$B,"&gt;="&amp;F2,'2.1 Relatório Diário'!$B:$B,"&lt;="&amp;F3),"")</f>
        <v>0</v>
      </c>
      <c r="G90" s="126">
        <f>IFERROR(SUMIFS('2.1 Relatório Diário'!$AI:$AI,'2.1 Relatório Diário'!$B:$B,"&gt;="&amp;G2,'2.1 Relatório Diário'!$B:$B,"&lt;="&amp;G3),"")</f>
        <v>0</v>
      </c>
      <c r="H90" s="125">
        <f>IFERROR(SUMIFS('2.1 Relatório Diário'!$AI:$AI,'2.1 Relatório Diário'!$B:$B,"&gt;="&amp;H2,'2.1 Relatório Diário'!$B:$B,"&lt;="&amp;H3),"")</f>
        <v>0</v>
      </c>
      <c r="I90" s="125">
        <f>IFERROR(SUMIFS('2.1 Relatório Diário'!$AI:$AI,'2.1 Relatório Diário'!$B:$B,"&gt;="&amp;I2,'2.1 Relatório Diário'!$B:$B,"&lt;="&amp;I3),"")</f>
        <v>0</v>
      </c>
      <c r="J90" s="125">
        <f>IFERROR(SUMIFS('2.1 Relatório Diário'!$AI:$AI,'2.1 Relatório Diário'!$B:$B,"&gt;="&amp;J2,'2.1 Relatório Diário'!$B:$B,"&lt;="&amp;J3),"")</f>
        <v>0</v>
      </c>
      <c r="K90" s="125">
        <f>IFERROR(SUMIFS('2.1 Relatório Diário'!$AI:$AI,'2.1 Relatório Diário'!$B:$B,"&gt;="&amp;K2,'2.1 Relatório Diário'!$B:$B,"&lt;="&amp;K3),"")</f>
        <v>0</v>
      </c>
      <c r="L90" s="126">
        <f>IFERROR(SUMIFS('2.1 Relatório Diário'!$AI:$AI,'2.1 Relatório Diário'!$B:$B,"&gt;="&amp;L2,'2.1 Relatório Diário'!$B:$B,"&lt;="&amp;L3),"")</f>
        <v>0</v>
      </c>
      <c r="M90" s="125">
        <f>IFERROR(SUMIFS('2.1 Relatório Diário'!$AI:$AI,'2.1 Relatório Diário'!$B:$B,"&gt;="&amp;M2,'2.1 Relatório Diário'!$B:$B,"&lt;="&amp;M3),"")</f>
        <v>0</v>
      </c>
      <c r="N90" s="125">
        <f>IFERROR(SUMIFS('2.1 Relatório Diário'!$AI:$AI,'2.1 Relatório Diário'!$B:$B,"&gt;="&amp;N2,'2.1 Relatório Diário'!$B:$B,"&lt;="&amp;N3),"")</f>
        <v>0</v>
      </c>
      <c r="O90" s="125">
        <f>IFERROR(SUMIFS('2.1 Relatório Diário'!$AI:$AI,'2.1 Relatório Diário'!$B:$B,"&gt;="&amp;O2,'2.1 Relatório Diário'!$B:$B,"&lt;="&amp;O3),"")</f>
        <v>0</v>
      </c>
      <c r="P90" s="125">
        <f>IFERROR(SUMIFS('2.1 Relatório Diário'!$AI:$AI,'2.1 Relatório Diário'!$B:$B,"&gt;="&amp;P2,'2.1 Relatório Diário'!$B:$B,"&lt;="&amp;P3),"")</f>
        <v>0</v>
      </c>
      <c r="Q90" s="126">
        <f>IFERROR(SUMIFS('2.1 Relatório Diário'!$AI:$AI,'2.1 Relatório Diário'!$B:$B,"&gt;="&amp;Q2,'2.1 Relatório Diário'!$B:$B,"&lt;="&amp;Q3),"")</f>
        <v>0</v>
      </c>
      <c r="R90" s="125">
        <f>IFERROR(SUMIFS('2.1 Relatório Diário'!$AI:$AI,'2.1 Relatório Diário'!$B:$B,"&gt;="&amp;R2,'2.1 Relatório Diário'!$B:$B,"&lt;="&amp;R3),"")</f>
        <v>0</v>
      </c>
      <c r="S90" s="125">
        <f>IFERROR(SUMIFS('2.1 Relatório Diário'!$AI:$AI,'2.1 Relatório Diário'!$B:$B,"&gt;="&amp;S2,'2.1 Relatório Diário'!$B:$B,"&lt;="&amp;S3),"")</f>
        <v>0</v>
      </c>
      <c r="T90" s="125">
        <f>IFERROR(SUMIFS('2.1 Relatório Diário'!$AI:$AI,'2.1 Relatório Diário'!$B:$B,"&gt;="&amp;T2,'2.1 Relatório Diário'!$B:$B,"&lt;="&amp;T3),"")</f>
        <v>0</v>
      </c>
      <c r="U90" s="125">
        <f>IFERROR(SUMIFS('2.1 Relatório Diário'!$AI:$AI,'2.1 Relatório Diário'!$B:$B,"&gt;="&amp;U2,'2.1 Relatório Diário'!$B:$B,"&lt;="&amp;U3),"")</f>
        <v>0</v>
      </c>
      <c r="V90" s="126">
        <f>IFERROR(SUMIFS('2.1 Relatório Diário'!$AI:$AI,'2.1 Relatório Diário'!$B:$B,"&gt;="&amp;V2,'2.1 Relatório Diário'!$B:$B,"&lt;="&amp;V3),"")</f>
        <v>0</v>
      </c>
    </row>
    <row r="91">
      <c r="A91" s="135" t="s">
        <v>1587</v>
      </c>
      <c r="B91" s="125">
        <f>IFERROR(SUMIFS('2.1 Relatório Diário'!$AJ:$AJ,'2.1 Relatório Diário'!$B:$B,"&gt;="&amp;B2,'2.1 Relatório Diário'!$B:$B,"&lt;="&amp;B3),"")</f>
        <v>0</v>
      </c>
      <c r="C91" s="125">
        <f>IFERROR(SUMIFS('2.1 Relatório Diário'!$AJ:$AJ,'2.1 Relatório Diário'!$B:$B,"&gt;="&amp;C2,'2.1 Relatório Diário'!$B:$B,"&lt;="&amp;C3),"")</f>
        <v>0</v>
      </c>
      <c r="D91" s="125">
        <f>IFERROR(SUMIFS('2.1 Relatório Diário'!$AJ:$AJ,'2.1 Relatório Diário'!$B:$B,"&gt;="&amp;D2,'2.1 Relatório Diário'!$B:$B,"&lt;="&amp;D3),"")</f>
        <v>0</v>
      </c>
      <c r="E91" s="125">
        <f>IFERROR(SUMIFS('2.1 Relatório Diário'!$AJ:$AJ,'2.1 Relatório Diário'!$B:$B,"&gt;="&amp;E2,'2.1 Relatório Diário'!$B:$B,"&lt;="&amp;E3),"")</f>
        <v>0</v>
      </c>
      <c r="F91" s="125">
        <f>IFERROR(SUMIFS('2.1 Relatório Diário'!$AJ:$AJ,'2.1 Relatório Diário'!$B:$B,"&gt;="&amp;F2,'2.1 Relatório Diário'!$B:$B,"&lt;="&amp;F3),"")</f>
        <v>0</v>
      </c>
      <c r="G91" s="126">
        <f>IFERROR(SUMIFS('2.1 Relatório Diário'!$AJ:$AJ,'2.1 Relatório Diário'!$B:$B,"&gt;="&amp;G2,'2.1 Relatório Diário'!$B:$B,"&lt;="&amp;G3),"")</f>
        <v>0</v>
      </c>
      <c r="H91" s="125">
        <f>IFERROR(SUMIFS('2.1 Relatório Diário'!$AJ:$AJ,'2.1 Relatório Diário'!$B:$B,"&gt;="&amp;H2,'2.1 Relatório Diário'!$B:$B,"&lt;="&amp;H3),"")</f>
        <v>0</v>
      </c>
      <c r="I91" s="125">
        <f>IFERROR(SUMIFS('2.1 Relatório Diário'!$AJ:$AJ,'2.1 Relatório Diário'!$B:$B,"&gt;="&amp;I2,'2.1 Relatório Diário'!$B:$B,"&lt;="&amp;I3),"")</f>
        <v>0</v>
      </c>
      <c r="J91" s="125">
        <f>IFERROR(SUMIFS('2.1 Relatório Diário'!$AJ:$AJ,'2.1 Relatório Diário'!$B:$B,"&gt;="&amp;J2,'2.1 Relatório Diário'!$B:$B,"&lt;="&amp;J3),"")</f>
        <v>0</v>
      </c>
      <c r="K91" s="125">
        <f>IFERROR(SUMIFS('2.1 Relatório Diário'!$AJ:$AJ,'2.1 Relatório Diário'!$B:$B,"&gt;="&amp;K2,'2.1 Relatório Diário'!$B:$B,"&lt;="&amp;K3),"")</f>
        <v>0</v>
      </c>
      <c r="L91" s="126">
        <f>IFERROR(SUMIFS('2.1 Relatório Diário'!$AJ:$AJ,'2.1 Relatório Diário'!$B:$B,"&gt;="&amp;L2,'2.1 Relatório Diário'!$B:$B,"&lt;="&amp;L3),"")</f>
        <v>0</v>
      </c>
      <c r="M91" s="125">
        <f>IFERROR(SUMIFS('2.1 Relatório Diário'!$AJ:$AJ,'2.1 Relatório Diário'!$B:$B,"&gt;="&amp;M2,'2.1 Relatório Diário'!$B:$B,"&lt;="&amp;M3),"")</f>
        <v>0</v>
      </c>
      <c r="N91" s="125">
        <f>IFERROR(SUMIFS('2.1 Relatório Diário'!$AJ:$AJ,'2.1 Relatório Diário'!$B:$B,"&gt;="&amp;N2,'2.1 Relatório Diário'!$B:$B,"&lt;="&amp;N3),"")</f>
        <v>0</v>
      </c>
      <c r="O91" s="125">
        <f>IFERROR(SUMIFS('2.1 Relatório Diário'!$AJ:$AJ,'2.1 Relatório Diário'!$B:$B,"&gt;="&amp;O2,'2.1 Relatório Diário'!$B:$B,"&lt;="&amp;O3),"")</f>
        <v>0</v>
      </c>
      <c r="P91" s="125">
        <f>IFERROR(SUMIFS('2.1 Relatório Diário'!$AJ:$AJ,'2.1 Relatório Diário'!$B:$B,"&gt;="&amp;P2,'2.1 Relatório Diário'!$B:$B,"&lt;="&amp;P3),"")</f>
        <v>0</v>
      </c>
      <c r="Q91" s="126">
        <f>IFERROR(SUMIFS('2.1 Relatório Diário'!$AJ:$AJ,'2.1 Relatório Diário'!$B:$B,"&gt;="&amp;Q2,'2.1 Relatório Diário'!$B:$B,"&lt;="&amp;Q3),"")</f>
        <v>0</v>
      </c>
      <c r="R91" s="125">
        <f>IFERROR(SUMIFS('2.1 Relatório Diário'!$AJ:$AJ,'2.1 Relatório Diário'!$B:$B,"&gt;="&amp;R2,'2.1 Relatório Diário'!$B:$B,"&lt;="&amp;R3),"")</f>
        <v>0</v>
      </c>
      <c r="S91" s="125">
        <f>IFERROR(SUMIFS('2.1 Relatório Diário'!$AJ:$AJ,'2.1 Relatório Diário'!$B:$B,"&gt;="&amp;S2,'2.1 Relatório Diário'!$B:$B,"&lt;="&amp;S3),"")</f>
        <v>0</v>
      </c>
      <c r="T91" s="125">
        <f>IFERROR(SUMIFS('2.1 Relatório Diário'!$AJ:$AJ,'2.1 Relatório Diário'!$B:$B,"&gt;="&amp;T2,'2.1 Relatório Diário'!$B:$B,"&lt;="&amp;T3),"")</f>
        <v>0</v>
      </c>
      <c r="U91" s="125">
        <f>IFERROR(SUMIFS('2.1 Relatório Diário'!$AJ:$AJ,'2.1 Relatório Diário'!$B:$B,"&gt;="&amp;U2,'2.1 Relatório Diário'!$B:$B,"&lt;="&amp;U3),"")</f>
        <v>0</v>
      </c>
      <c r="V91" s="126">
        <f>IFERROR(SUMIFS('2.1 Relatório Diário'!$AJ:$AJ,'2.1 Relatório Diário'!$B:$B,"&gt;="&amp;V2,'2.1 Relatório Diário'!$B:$B,"&lt;="&amp;V3),"")</f>
        <v>0</v>
      </c>
    </row>
    <row r="92" ht="6.0" customHeight="1">
      <c r="A92" s="82"/>
      <c r="B92" s="90"/>
      <c r="C92" s="90"/>
      <c r="D92" s="90"/>
      <c r="E92" s="90"/>
      <c r="F92" s="90"/>
      <c r="G92" s="91"/>
      <c r="H92" s="90"/>
      <c r="I92" s="90"/>
      <c r="J92" s="90"/>
      <c r="K92" s="90"/>
      <c r="L92" s="91"/>
      <c r="M92" s="90"/>
      <c r="N92" s="90"/>
      <c r="O92" s="90"/>
      <c r="P92" s="90"/>
      <c r="Q92" s="91"/>
      <c r="R92" s="90"/>
      <c r="S92" s="90"/>
      <c r="T92" s="90"/>
      <c r="U92" s="90"/>
      <c r="V92" s="91"/>
    </row>
    <row r="93">
      <c r="A93" s="136" t="s">
        <v>1588</v>
      </c>
      <c r="B93" s="93" t="str">
        <f t="shared" ref="B93:V93" si="69">IFERROR(B85/B84,"")</f>
        <v/>
      </c>
      <c r="C93" s="93" t="str">
        <f t="shared" si="69"/>
        <v/>
      </c>
      <c r="D93" s="93">
        <f t="shared" si="69"/>
        <v>0.001436417406</v>
      </c>
      <c r="E93" s="93">
        <f t="shared" si="69"/>
        <v>0.001052516967</v>
      </c>
      <c r="F93" s="93">
        <f t="shared" si="69"/>
        <v>0.002154407665</v>
      </c>
      <c r="G93" s="94">
        <f t="shared" si="69"/>
        <v>0.001296585075</v>
      </c>
      <c r="H93" s="93">
        <f t="shared" si="69"/>
        <v>0.01317041722</v>
      </c>
      <c r="I93" s="93">
        <f t="shared" si="69"/>
        <v>0.02903499324</v>
      </c>
      <c r="J93" s="93">
        <f t="shared" si="69"/>
        <v>0.0197448938</v>
      </c>
      <c r="K93" s="93">
        <f t="shared" si="69"/>
        <v>0.01313464483</v>
      </c>
      <c r="L93" s="94">
        <f t="shared" si="69"/>
        <v>0.01792385939</v>
      </c>
      <c r="M93" s="93">
        <f t="shared" si="69"/>
        <v>0.01699301303</v>
      </c>
      <c r="N93" s="93">
        <f t="shared" si="69"/>
        <v>0.01890875954</v>
      </c>
      <c r="O93" s="93">
        <f t="shared" si="69"/>
        <v>0.04834966478</v>
      </c>
      <c r="P93" s="93">
        <f t="shared" si="69"/>
        <v>0.065253693</v>
      </c>
      <c r="Q93" s="94">
        <f t="shared" si="69"/>
        <v>0.03317480571</v>
      </c>
      <c r="R93" s="93">
        <f t="shared" si="69"/>
        <v>0.04795821462</v>
      </c>
      <c r="S93" s="93" t="str">
        <f t="shared" si="69"/>
        <v/>
      </c>
      <c r="T93" s="93" t="str">
        <f t="shared" si="69"/>
        <v/>
      </c>
      <c r="U93" s="93" t="str">
        <f t="shared" si="69"/>
        <v/>
      </c>
      <c r="V93" s="94">
        <f t="shared" si="69"/>
        <v>0.04664119707</v>
      </c>
    </row>
    <row r="94">
      <c r="A94" s="136" t="s">
        <v>1589</v>
      </c>
      <c r="B94" s="93" t="str">
        <f t="shared" ref="B94:V94" si="70">IFERROR(B86/B85,"")</f>
        <v/>
      </c>
      <c r="C94" s="93" t="str">
        <f t="shared" si="70"/>
        <v/>
      </c>
      <c r="D94" s="93">
        <f t="shared" si="70"/>
        <v>0</v>
      </c>
      <c r="E94" s="93">
        <f t="shared" si="70"/>
        <v>0</v>
      </c>
      <c r="F94" s="93">
        <f t="shared" si="70"/>
        <v>0</v>
      </c>
      <c r="G94" s="94">
        <f t="shared" si="70"/>
        <v>0</v>
      </c>
      <c r="H94" s="93">
        <f t="shared" si="70"/>
        <v>0.006993006993</v>
      </c>
      <c r="I94" s="93">
        <f t="shared" si="70"/>
        <v>0.003946329913</v>
      </c>
      <c r="J94" s="93">
        <f t="shared" si="70"/>
        <v>0.005509641873</v>
      </c>
      <c r="K94" s="93">
        <f t="shared" si="70"/>
        <v>0</v>
      </c>
      <c r="L94" s="94">
        <f t="shared" si="70"/>
        <v>0.004564473184</v>
      </c>
      <c r="M94" s="93">
        <f t="shared" si="70"/>
        <v>0</v>
      </c>
      <c r="N94" s="93">
        <f t="shared" si="70"/>
        <v>0</v>
      </c>
      <c r="O94" s="93">
        <f t="shared" si="70"/>
        <v>0.002666666667</v>
      </c>
      <c r="P94" s="93">
        <f t="shared" si="70"/>
        <v>0.01181102362</v>
      </c>
      <c r="Q94" s="94">
        <f t="shared" si="70"/>
        <v>0.006293706294</v>
      </c>
      <c r="R94" s="93">
        <f t="shared" si="70"/>
        <v>0.02722772277</v>
      </c>
      <c r="S94" s="93" t="str">
        <f t="shared" si="70"/>
        <v/>
      </c>
      <c r="T94" s="93" t="str">
        <f t="shared" si="70"/>
        <v/>
      </c>
      <c r="U94" s="93" t="str">
        <f t="shared" si="70"/>
        <v/>
      </c>
      <c r="V94" s="94">
        <f t="shared" si="70"/>
        <v>0.03071672355</v>
      </c>
    </row>
    <row r="95">
      <c r="A95" s="136" t="s">
        <v>1590</v>
      </c>
      <c r="B95" s="93" t="str">
        <f t="shared" ref="B95:V95" si="71">IFERROR(B89/B86,"")</f>
        <v/>
      </c>
      <c r="C95" s="93" t="str">
        <f t="shared" si="71"/>
        <v/>
      </c>
      <c r="D95" s="93" t="str">
        <f t="shared" si="71"/>
        <v/>
      </c>
      <c r="E95" s="93" t="str">
        <f t="shared" si="71"/>
        <v/>
      </c>
      <c r="F95" s="93" t="str">
        <f t="shared" si="71"/>
        <v/>
      </c>
      <c r="G95" s="94" t="str">
        <f t="shared" si="71"/>
        <v/>
      </c>
      <c r="H95" s="93">
        <f t="shared" si="71"/>
        <v>0</v>
      </c>
      <c r="I95" s="93">
        <f t="shared" si="71"/>
        <v>0</v>
      </c>
      <c r="J95" s="93">
        <f t="shared" si="71"/>
        <v>0</v>
      </c>
      <c r="K95" s="93" t="str">
        <f t="shared" si="71"/>
        <v/>
      </c>
      <c r="L95" s="94">
        <f t="shared" si="71"/>
        <v>0</v>
      </c>
      <c r="M95" s="93" t="str">
        <f t="shared" si="71"/>
        <v/>
      </c>
      <c r="N95" s="93" t="str">
        <f t="shared" si="71"/>
        <v/>
      </c>
      <c r="O95" s="93">
        <f t="shared" si="71"/>
        <v>0</v>
      </c>
      <c r="P95" s="93">
        <f t="shared" si="71"/>
        <v>0</v>
      </c>
      <c r="Q95" s="94">
        <f t="shared" si="71"/>
        <v>0</v>
      </c>
      <c r="R95" s="93">
        <f t="shared" si="71"/>
        <v>0</v>
      </c>
      <c r="S95" s="93" t="str">
        <f t="shared" si="71"/>
        <v/>
      </c>
      <c r="T95" s="93" t="str">
        <f t="shared" si="71"/>
        <v/>
      </c>
      <c r="U95" s="93" t="str">
        <f t="shared" si="71"/>
        <v/>
      </c>
      <c r="V95" s="94">
        <f t="shared" si="71"/>
        <v>0</v>
      </c>
    </row>
    <row r="96">
      <c r="A96" s="136" t="s">
        <v>1591</v>
      </c>
      <c r="B96" s="93" t="str">
        <f t="shared" ref="B96:V96" si="72">IFERROR(B90/B89,"")</f>
        <v/>
      </c>
      <c r="C96" s="93" t="str">
        <f t="shared" si="72"/>
        <v/>
      </c>
      <c r="D96" s="93" t="str">
        <f t="shared" si="72"/>
        <v/>
      </c>
      <c r="E96" s="93" t="str">
        <f t="shared" si="72"/>
        <v/>
      </c>
      <c r="F96" s="93" t="str">
        <f t="shared" si="72"/>
        <v/>
      </c>
      <c r="G96" s="94" t="str">
        <f t="shared" si="72"/>
        <v/>
      </c>
      <c r="H96" s="93" t="str">
        <f t="shared" si="72"/>
        <v/>
      </c>
      <c r="I96" s="93" t="str">
        <f t="shared" si="72"/>
        <v/>
      </c>
      <c r="J96" s="93" t="str">
        <f t="shared" si="72"/>
        <v/>
      </c>
      <c r="K96" s="93" t="str">
        <f t="shared" si="72"/>
        <v/>
      </c>
      <c r="L96" s="94" t="str">
        <f t="shared" si="72"/>
        <v/>
      </c>
      <c r="M96" s="93" t="str">
        <f t="shared" si="72"/>
        <v/>
      </c>
      <c r="N96" s="93" t="str">
        <f t="shared" si="72"/>
        <v/>
      </c>
      <c r="O96" s="93" t="str">
        <f t="shared" si="72"/>
        <v/>
      </c>
      <c r="P96" s="93" t="str">
        <f t="shared" si="72"/>
        <v/>
      </c>
      <c r="Q96" s="94" t="str">
        <f t="shared" si="72"/>
        <v/>
      </c>
      <c r="R96" s="93" t="str">
        <f t="shared" si="72"/>
        <v/>
      </c>
      <c r="S96" s="93" t="str">
        <f t="shared" si="72"/>
        <v/>
      </c>
      <c r="T96" s="93" t="str">
        <f t="shared" si="72"/>
        <v/>
      </c>
      <c r="U96" s="93" t="str">
        <f t="shared" si="72"/>
        <v/>
      </c>
      <c r="V96" s="94" t="str">
        <f t="shared" si="72"/>
        <v/>
      </c>
    </row>
    <row r="97">
      <c r="A97" s="136" t="s">
        <v>1593</v>
      </c>
      <c r="B97" s="93" t="str">
        <f t="shared" ref="B97:V97" si="73">IFERROR(B91/B89,"")</f>
        <v/>
      </c>
      <c r="C97" s="93" t="str">
        <f t="shared" si="73"/>
        <v/>
      </c>
      <c r="D97" s="93" t="str">
        <f t="shared" si="73"/>
        <v/>
      </c>
      <c r="E97" s="93" t="str">
        <f t="shared" si="73"/>
        <v/>
      </c>
      <c r="F97" s="93" t="str">
        <f t="shared" si="73"/>
        <v/>
      </c>
      <c r="G97" s="94" t="str">
        <f t="shared" si="73"/>
        <v/>
      </c>
      <c r="H97" s="93" t="str">
        <f t="shared" si="73"/>
        <v/>
      </c>
      <c r="I97" s="93" t="str">
        <f t="shared" si="73"/>
        <v/>
      </c>
      <c r="J97" s="93" t="str">
        <f t="shared" si="73"/>
        <v/>
      </c>
      <c r="K97" s="93" t="str">
        <f t="shared" si="73"/>
        <v/>
      </c>
      <c r="L97" s="94" t="str">
        <f t="shared" si="73"/>
        <v/>
      </c>
      <c r="M97" s="93" t="str">
        <f t="shared" si="73"/>
        <v/>
      </c>
      <c r="N97" s="93" t="str">
        <f t="shared" si="73"/>
        <v/>
      </c>
      <c r="O97" s="93" t="str">
        <f t="shared" si="73"/>
        <v/>
      </c>
      <c r="P97" s="93" t="str">
        <f t="shared" si="73"/>
        <v/>
      </c>
      <c r="Q97" s="94" t="str">
        <f t="shared" si="73"/>
        <v/>
      </c>
      <c r="R97" s="93" t="str">
        <f t="shared" si="73"/>
        <v/>
      </c>
      <c r="S97" s="93" t="str">
        <f t="shared" si="73"/>
        <v/>
      </c>
      <c r="T97" s="93" t="str">
        <f t="shared" si="73"/>
        <v/>
      </c>
      <c r="U97" s="93" t="str">
        <f t="shared" si="73"/>
        <v/>
      </c>
      <c r="V97" s="94" t="str">
        <f t="shared" si="73"/>
        <v/>
      </c>
    </row>
    <row r="98">
      <c r="A98" s="136" t="s">
        <v>1592</v>
      </c>
      <c r="B98" s="93" t="str">
        <f t="shared" ref="B98:V98" si="74">IFERROR(B91/B90,"")</f>
        <v/>
      </c>
      <c r="C98" s="93" t="str">
        <f t="shared" si="74"/>
        <v/>
      </c>
      <c r="D98" s="93" t="str">
        <f t="shared" si="74"/>
        <v/>
      </c>
      <c r="E98" s="93" t="str">
        <f t="shared" si="74"/>
        <v/>
      </c>
      <c r="F98" s="93" t="str">
        <f t="shared" si="74"/>
        <v/>
      </c>
      <c r="G98" s="94" t="str">
        <f t="shared" si="74"/>
        <v/>
      </c>
      <c r="H98" s="93" t="str">
        <f t="shared" si="74"/>
        <v/>
      </c>
      <c r="I98" s="93" t="str">
        <f t="shared" si="74"/>
        <v/>
      </c>
      <c r="J98" s="93" t="str">
        <f t="shared" si="74"/>
        <v/>
      </c>
      <c r="K98" s="93" t="str">
        <f t="shared" si="74"/>
        <v/>
      </c>
      <c r="L98" s="94" t="str">
        <f t="shared" si="74"/>
        <v/>
      </c>
      <c r="M98" s="93" t="str">
        <f t="shared" si="74"/>
        <v/>
      </c>
      <c r="N98" s="93" t="str">
        <f t="shared" si="74"/>
        <v/>
      </c>
      <c r="O98" s="93" t="str">
        <f t="shared" si="74"/>
        <v/>
      </c>
      <c r="P98" s="93" t="str">
        <f t="shared" si="74"/>
        <v/>
      </c>
      <c r="Q98" s="94" t="str">
        <f t="shared" si="74"/>
        <v/>
      </c>
      <c r="R98" s="93" t="str">
        <f t="shared" si="74"/>
        <v/>
      </c>
      <c r="S98" s="93" t="str">
        <f t="shared" si="74"/>
        <v/>
      </c>
      <c r="T98" s="93" t="str">
        <f t="shared" si="74"/>
        <v/>
      </c>
      <c r="U98" s="93" t="str">
        <f t="shared" si="74"/>
        <v/>
      </c>
      <c r="V98" s="94" t="str">
        <f t="shared" si="74"/>
        <v/>
      </c>
    </row>
    <row r="99">
      <c r="A99" s="136" t="s">
        <v>1594</v>
      </c>
      <c r="B99" s="93"/>
      <c r="C99" s="93"/>
      <c r="D99" s="93"/>
      <c r="E99" s="93"/>
      <c r="F99" s="93"/>
      <c r="G99" s="94"/>
      <c r="H99" s="93">
        <f t="shared" ref="H99:V99" si="75">IFERROR(H87/H85,"")</f>
        <v>0.05827505828</v>
      </c>
      <c r="I99" s="93">
        <f t="shared" si="75"/>
        <v>0.08287292818</v>
      </c>
      <c r="J99" s="93">
        <f t="shared" si="75"/>
        <v>0.04820936639</v>
      </c>
      <c r="K99" s="93">
        <f t="shared" si="75"/>
        <v>0.0269058296</v>
      </c>
      <c r="L99" s="94">
        <f t="shared" si="75"/>
        <v>0.06390262457</v>
      </c>
      <c r="M99" s="93">
        <f t="shared" si="75"/>
        <v>0.05076142132</v>
      </c>
      <c r="N99" s="93">
        <f t="shared" si="75"/>
        <v>0.06626506024</v>
      </c>
      <c r="O99" s="93">
        <f t="shared" si="75"/>
        <v>0.104</v>
      </c>
      <c r="P99" s="93">
        <f t="shared" si="75"/>
        <v>0.09645669291</v>
      </c>
      <c r="Q99" s="94">
        <f t="shared" si="75"/>
        <v>0.08531468531</v>
      </c>
      <c r="R99" s="93">
        <f t="shared" si="75"/>
        <v>0.08910891089</v>
      </c>
      <c r="S99" s="93" t="str">
        <f t="shared" si="75"/>
        <v/>
      </c>
      <c r="T99" s="93" t="str">
        <f t="shared" si="75"/>
        <v/>
      </c>
      <c r="U99" s="93" t="str">
        <f t="shared" si="75"/>
        <v/>
      </c>
      <c r="V99" s="94">
        <f t="shared" si="75"/>
        <v>0.08873720137</v>
      </c>
    </row>
    <row r="100">
      <c r="A100" s="136" t="s">
        <v>1595</v>
      </c>
      <c r="B100" s="93"/>
      <c r="C100" s="93"/>
      <c r="D100" s="93"/>
      <c r="E100" s="93"/>
      <c r="F100" s="93"/>
      <c r="G100" s="94"/>
      <c r="H100" s="93">
        <f t="shared" ref="H100:V100" si="76">IFERROR(H88/H87,"")</f>
        <v>0.6</v>
      </c>
      <c r="I100" s="93">
        <f t="shared" si="76"/>
        <v>0.7904761905</v>
      </c>
      <c r="J100" s="93">
        <f t="shared" si="76"/>
        <v>0.6571428571</v>
      </c>
      <c r="K100" s="93">
        <f t="shared" si="76"/>
        <v>0.8333333333</v>
      </c>
      <c r="L100" s="94">
        <f t="shared" si="76"/>
        <v>0.7321428571</v>
      </c>
      <c r="M100" s="93">
        <f t="shared" si="76"/>
        <v>0.6</v>
      </c>
      <c r="N100" s="93">
        <f t="shared" si="76"/>
        <v>0.7272727273</v>
      </c>
      <c r="O100" s="93">
        <f t="shared" si="76"/>
        <v>0.6666666667</v>
      </c>
      <c r="P100" s="93">
        <f t="shared" si="76"/>
        <v>0.7959183673</v>
      </c>
      <c r="Q100" s="94">
        <f t="shared" si="76"/>
        <v>0.7295081967</v>
      </c>
      <c r="R100" s="93">
        <f t="shared" si="76"/>
        <v>0.7777777778</v>
      </c>
      <c r="S100" s="93" t="str">
        <f t="shared" si="76"/>
        <v/>
      </c>
      <c r="T100" s="93" t="str">
        <f t="shared" si="76"/>
        <v/>
      </c>
      <c r="U100" s="93" t="str">
        <f t="shared" si="76"/>
        <v/>
      </c>
      <c r="V100" s="94">
        <f t="shared" si="76"/>
        <v>0.8076923077</v>
      </c>
    </row>
    <row r="101" ht="6.0" customHeight="1">
      <c r="A101" s="99"/>
      <c r="B101" s="95"/>
      <c r="C101" s="95"/>
      <c r="D101" s="95"/>
      <c r="E101" s="95"/>
      <c r="F101" s="95"/>
      <c r="G101" s="96"/>
      <c r="H101" s="95"/>
      <c r="I101" s="95"/>
      <c r="J101" s="95"/>
      <c r="K101" s="95"/>
      <c r="L101" s="96"/>
      <c r="M101" s="95"/>
      <c r="N101" s="95"/>
      <c r="O101" s="95"/>
      <c r="P101" s="95"/>
      <c r="Q101" s="96"/>
      <c r="R101" s="95"/>
      <c r="S101" s="95"/>
      <c r="T101" s="95"/>
      <c r="U101" s="95"/>
      <c r="V101" s="96"/>
    </row>
    <row r="102">
      <c r="A102" s="136" t="s">
        <v>1596</v>
      </c>
      <c r="B102" s="97" t="str">
        <f t="shared" ref="B102:V102" si="77">IFERROR((B81/B84)*1000,"")</f>
        <v/>
      </c>
      <c r="C102" s="97" t="str">
        <f t="shared" si="77"/>
        <v/>
      </c>
      <c r="D102" s="97">
        <f t="shared" si="77"/>
        <v>5.784537389</v>
      </c>
      <c r="E102" s="97">
        <f t="shared" si="77"/>
        <v>5.793198563</v>
      </c>
      <c r="F102" s="97">
        <f t="shared" si="77"/>
        <v>5.18451868</v>
      </c>
      <c r="G102" s="98">
        <f t="shared" si="77"/>
        <v>5.581623535</v>
      </c>
      <c r="H102" s="97">
        <f t="shared" si="77"/>
        <v>8.3483253</v>
      </c>
      <c r="I102" s="97">
        <f t="shared" si="77"/>
        <v>8.41258565</v>
      </c>
      <c r="J102" s="97">
        <f t="shared" si="77"/>
        <v>8.769615709</v>
      </c>
      <c r="K102" s="97">
        <f t="shared" si="77"/>
        <v>13.38437979</v>
      </c>
      <c r="L102" s="98">
        <f t="shared" si="77"/>
        <v>8.353922932</v>
      </c>
      <c r="M102" s="97">
        <f t="shared" si="77"/>
        <v>15.90615026</v>
      </c>
      <c r="N102" s="97">
        <f t="shared" si="77"/>
        <v>13.60177697</v>
      </c>
      <c r="O102" s="97">
        <f t="shared" si="77"/>
        <v>13.61139763</v>
      </c>
      <c r="P102" s="97">
        <f t="shared" si="77"/>
        <v>13.30507386</v>
      </c>
      <c r="Q102" s="98">
        <f t="shared" si="77"/>
        <v>14.3445076</v>
      </c>
      <c r="R102" s="97">
        <f t="shared" si="77"/>
        <v>15.03323837</v>
      </c>
      <c r="S102" s="97" t="str">
        <f t="shared" si="77"/>
        <v/>
      </c>
      <c r="T102" s="97" t="str">
        <f t="shared" si="77"/>
        <v/>
      </c>
      <c r="U102" s="97" t="str">
        <f t="shared" si="77"/>
        <v/>
      </c>
      <c r="V102" s="98">
        <f t="shared" si="77"/>
        <v>15.71951608</v>
      </c>
    </row>
    <row r="103" hidden="1">
      <c r="A103" s="136" t="s">
        <v>1597</v>
      </c>
      <c r="B103" s="97" t="str">
        <f t="shared" ref="B103:V103" si="78">IFERROR(B81/B85,"")</f>
        <v/>
      </c>
      <c r="C103" s="97" t="str">
        <f t="shared" si="78"/>
        <v/>
      </c>
      <c r="D103" s="97">
        <f t="shared" si="78"/>
        <v>4.027058824</v>
      </c>
      <c r="E103" s="97">
        <f t="shared" si="78"/>
        <v>5.504137931</v>
      </c>
      <c r="F103" s="97">
        <f t="shared" si="78"/>
        <v>2.406470588</v>
      </c>
      <c r="G103" s="98">
        <f t="shared" si="78"/>
        <v>4.304864865</v>
      </c>
      <c r="H103" s="97">
        <f t="shared" si="78"/>
        <v>0.6338694639</v>
      </c>
      <c r="I103" s="97">
        <f t="shared" si="78"/>
        <v>0.2897395422</v>
      </c>
      <c r="J103" s="97">
        <f t="shared" si="78"/>
        <v>0.4441460055</v>
      </c>
      <c r="K103" s="97">
        <f t="shared" si="78"/>
        <v>1.019013453</v>
      </c>
      <c r="L103" s="98">
        <f t="shared" si="78"/>
        <v>0.4660783568</v>
      </c>
      <c r="M103" s="97">
        <f t="shared" si="78"/>
        <v>0.9360406091</v>
      </c>
      <c r="N103" s="97">
        <f t="shared" si="78"/>
        <v>0.7193373494</v>
      </c>
      <c r="O103" s="97">
        <f t="shared" si="78"/>
        <v>0.28152</v>
      </c>
      <c r="P103" s="97">
        <f t="shared" si="78"/>
        <v>0.2038976378</v>
      </c>
      <c r="Q103" s="98">
        <f t="shared" si="78"/>
        <v>0.4323916084</v>
      </c>
      <c r="R103" s="97">
        <f t="shared" si="78"/>
        <v>0.3134653465</v>
      </c>
      <c r="S103" s="97" t="str">
        <f t="shared" si="78"/>
        <v/>
      </c>
      <c r="T103" s="97" t="str">
        <f t="shared" si="78"/>
        <v/>
      </c>
      <c r="U103" s="97" t="str">
        <f t="shared" si="78"/>
        <v/>
      </c>
      <c r="V103" s="98">
        <f t="shared" si="78"/>
        <v>0.3370307167</v>
      </c>
    </row>
    <row r="104" hidden="1">
      <c r="A104" s="136" t="s">
        <v>1598</v>
      </c>
      <c r="B104" s="97" t="str">
        <f t="shared" ref="B104:V104" si="79">IFERROR(B81/B86,"")</f>
        <v/>
      </c>
      <c r="C104" s="97" t="str">
        <f t="shared" si="79"/>
        <v/>
      </c>
      <c r="D104" s="97" t="str">
        <f t="shared" si="79"/>
        <v/>
      </c>
      <c r="E104" s="97" t="str">
        <f t="shared" si="79"/>
        <v/>
      </c>
      <c r="F104" s="97" t="str">
        <f t="shared" si="79"/>
        <v/>
      </c>
      <c r="G104" s="98" t="str">
        <f t="shared" si="79"/>
        <v/>
      </c>
      <c r="H104" s="97">
        <f t="shared" si="79"/>
        <v>90.64333333</v>
      </c>
      <c r="I104" s="97">
        <f t="shared" si="79"/>
        <v>73.42</v>
      </c>
      <c r="J104" s="97">
        <f t="shared" si="79"/>
        <v>80.6125</v>
      </c>
      <c r="K104" s="97" t="str">
        <f t="shared" si="79"/>
        <v/>
      </c>
      <c r="L104" s="98">
        <f t="shared" si="79"/>
        <v>102.11</v>
      </c>
      <c r="M104" s="97" t="str">
        <f t="shared" si="79"/>
        <v/>
      </c>
      <c r="N104" s="97" t="str">
        <f t="shared" si="79"/>
        <v/>
      </c>
      <c r="O104" s="97">
        <f t="shared" si="79"/>
        <v>105.57</v>
      </c>
      <c r="P104" s="97">
        <f t="shared" si="79"/>
        <v>17.26333333</v>
      </c>
      <c r="Q104" s="98">
        <f t="shared" si="79"/>
        <v>68.70222222</v>
      </c>
      <c r="R104" s="97">
        <f t="shared" si="79"/>
        <v>11.51272727</v>
      </c>
      <c r="S104" s="97" t="str">
        <f t="shared" si="79"/>
        <v/>
      </c>
      <c r="T104" s="97" t="str">
        <f t="shared" si="79"/>
        <v/>
      </c>
      <c r="U104" s="97" t="str">
        <f t="shared" si="79"/>
        <v/>
      </c>
      <c r="V104" s="98">
        <f t="shared" si="79"/>
        <v>10.97222222</v>
      </c>
    </row>
    <row r="105" hidden="1">
      <c r="A105" s="136" t="s">
        <v>1599</v>
      </c>
      <c r="B105" s="97" t="str">
        <f t="shared" ref="B105:V105" si="80">IFERROR(B81/B89,"")</f>
        <v/>
      </c>
      <c r="C105" s="97" t="str">
        <f t="shared" si="80"/>
        <v/>
      </c>
      <c r="D105" s="97" t="str">
        <f t="shared" si="80"/>
        <v/>
      </c>
      <c r="E105" s="97" t="str">
        <f t="shared" si="80"/>
        <v/>
      </c>
      <c r="F105" s="97" t="str">
        <f t="shared" si="80"/>
        <v/>
      </c>
      <c r="G105" s="98" t="str">
        <f t="shared" si="80"/>
        <v/>
      </c>
      <c r="H105" s="97" t="str">
        <f t="shared" si="80"/>
        <v/>
      </c>
      <c r="I105" s="97" t="str">
        <f t="shared" si="80"/>
        <v/>
      </c>
      <c r="J105" s="97" t="str">
        <f t="shared" si="80"/>
        <v/>
      </c>
      <c r="K105" s="97" t="str">
        <f t="shared" si="80"/>
        <v/>
      </c>
      <c r="L105" s="98" t="str">
        <f t="shared" si="80"/>
        <v/>
      </c>
      <c r="M105" s="97" t="str">
        <f t="shared" si="80"/>
        <v/>
      </c>
      <c r="N105" s="97" t="str">
        <f t="shared" si="80"/>
        <v/>
      </c>
      <c r="O105" s="97" t="str">
        <f t="shared" si="80"/>
        <v/>
      </c>
      <c r="P105" s="97" t="str">
        <f t="shared" si="80"/>
        <v/>
      </c>
      <c r="Q105" s="98" t="str">
        <f t="shared" si="80"/>
        <v/>
      </c>
      <c r="R105" s="97" t="str">
        <f t="shared" si="80"/>
        <v/>
      </c>
      <c r="S105" s="97" t="str">
        <f t="shared" si="80"/>
        <v/>
      </c>
      <c r="T105" s="97" t="str">
        <f t="shared" si="80"/>
        <v/>
      </c>
      <c r="U105" s="97" t="str">
        <f t="shared" si="80"/>
        <v/>
      </c>
      <c r="V105" s="98" t="str">
        <f t="shared" si="80"/>
        <v/>
      </c>
    </row>
    <row r="106" hidden="1">
      <c r="A106" s="136" t="s">
        <v>1613</v>
      </c>
      <c r="B106" s="97" t="str">
        <f t="shared" ref="B106:V106" si="81">IFERROR(B81/B90,"")</f>
        <v/>
      </c>
      <c r="C106" s="97" t="str">
        <f t="shared" si="81"/>
        <v/>
      </c>
      <c r="D106" s="97" t="str">
        <f t="shared" si="81"/>
        <v/>
      </c>
      <c r="E106" s="97" t="str">
        <f t="shared" si="81"/>
        <v/>
      </c>
      <c r="F106" s="97" t="str">
        <f t="shared" si="81"/>
        <v/>
      </c>
      <c r="G106" s="98" t="str">
        <f t="shared" si="81"/>
        <v/>
      </c>
      <c r="H106" s="97" t="str">
        <f t="shared" si="81"/>
        <v/>
      </c>
      <c r="I106" s="97" t="str">
        <f t="shared" si="81"/>
        <v/>
      </c>
      <c r="J106" s="97" t="str">
        <f t="shared" si="81"/>
        <v/>
      </c>
      <c r="K106" s="97" t="str">
        <f t="shared" si="81"/>
        <v/>
      </c>
      <c r="L106" s="98" t="str">
        <f t="shared" si="81"/>
        <v/>
      </c>
      <c r="M106" s="97" t="str">
        <f t="shared" si="81"/>
        <v/>
      </c>
      <c r="N106" s="97" t="str">
        <f t="shared" si="81"/>
        <v/>
      </c>
      <c r="O106" s="97" t="str">
        <f t="shared" si="81"/>
        <v/>
      </c>
      <c r="P106" s="97" t="str">
        <f t="shared" si="81"/>
        <v/>
      </c>
      <c r="Q106" s="98" t="str">
        <f t="shared" si="81"/>
        <v/>
      </c>
      <c r="R106" s="97" t="str">
        <f t="shared" si="81"/>
        <v/>
      </c>
      <c r="S106" s="97" t="str">
        <f t="shared" si="81"/>
        <v/>
      </c>
      <c r="T106" s="97" t="str">
        <f t="shared" si="81"/>
        <v/>
      </c>
      <c r="U106" s="97" t="str">
        <f t="shared" si="81"/>
        <v/>
      </c>
      <c r="V106" s="98" t="str">
        <f t="shared" si="81"/>
        <v/>
      </c>
    </row>
    <row r="107" hidden="1">
      <c r="A107" s="136" t="s">
        <v>1601</v>
      </c>
      <c r="B107" s="97" t="str">
        <f t="shared" ref="B107:V107" si="82">IFERROR(B81/B91,"")</f>
        <v/>
      </c>
      <c r="C107" s="97" t="str">
        <f t="shared" si="82"/>
        <v/>
      </c>
      <c r="D107" s="97" t="str">
        <f t="shared" si="82"/>
        <v/>
      </c>
      <c r="E107" s="97" t="str">
        <f t="shared" si="82"/>
        <v/>
      </c>
      <c r="F107" s="97" t="str">
        <f t="shared" si="82"/>
        <v/>
      </c>
      <c r="G107" s="98" t="str">
        <f t="shared" si="82"/>
        <v/>
      </c>
      <c r="H107" s="97" t="str">
        <f t="shared" si="82"/>
        <v/>
      </c>
      <c r="I107" s="97" t="str">
        <f t="shared" si="82"/>
        <v/>
      </c>
      <c r="J107" s="97" t="str">
        <f t="shared" si="82"/>
        <v/>
      </c>
      <c r="K107" s="97" t="str">
        <f t="shared" si="82"/>
        <v/>
      </c>
      <c r="L107" s="98" t="str">
        <f t="shared" si="82"/>
        <v/>
      </c>
      <c r="M107" s="97" t="str">
        <f t="shared" si="82"/>
        <v/>
      </c>
      <c r="N107" s="97" t="str">
        <f t="shared" si="82"/>
        <v/>
      </c>
      <c r="O107" s="97" t="str">
        <f t="shared" si="82"/>
        <v/>
      </c>
      <c r="P107" s="97" t="str">
        <f t="shared" si="82"/>
        <v/>
      </c>
      <c r="Q107" s="98" t="str">
        <f t="shared" si="82"/>
        <v/>
      </c>
      <c r="R107" s="97" t="str">
        <f t="shared" si="82"/>
        <v/>
      </c>
      <c r="S107" s="97" t="str">
        <f t="shared" si="82"/>
        <v/>
      </c>
      <c r="T107" s="97" t="str">
        <f t="shared" si="82"/>
        <v/>
      </c>
      <c r="U107" s="97" t="str">
        <f t="shared" si="82"/>
        <v/>
      </c>
      <c r="V107" s="98" t="str">
        <f t="shared" si="82"/>
        <v/>
      </c>
    </row>
    <row r="108">
      <c r="A108" s="136" t="s">
        <v>1602</v>
      </c>
      <c r="B108" s="97"/>
      <c r="C108" s="97"/>
      <c r="D108" s="97"/>
      <c r="E108" s="97"/>
      <c r="F108" s="97"/>
      <c r="G108" s="98"/>
      <c r="H108" s="97">
        <f t="shared" ref="H108:V108" si="83">IFERROR(H81/H87,"")</f>
        <v>10.8772</v>
      </c>
      <c r="I108" s="97">
        <f t="shared" si="83"/>
        <v>3.496190476</v>
      </c>
      <c r="J108" s="97">
        <f t="shared" si="83"/>
        <v>9.212857143</v>
      </c>
      <c r="K108" s="97">
        <f t="shared" si="83"/>
        <v>37.87333333</v>
      </c>
      <c r="L108" s="98">
        <f t="shared" si="83"/>
        <v>7.293571429</v>
      </c>
      <c r="M108" s="97">
        <f t="shared" si="83"/>
        <v>18.44</v>
      </c>
      <c r="N108" s="97">
        <f t="shared" si="83"/>
        <v>10.85545455</v>
      </c>
      <c r="O108" s="97">
        <f t="shared" si="83"/>
        <v>2.706923077</v>
      </c>
      <c r="P108" s="97">
        <f t="shared" si="83"/>
        <v>2.113877551</v>
      </c>
      <c r="Q108" s="98">
        <f t="shared" si="83"/>
        <v>5.068196721</v>
      </c>
      <c r="R108" s="97">
        <f t="shared" si="83"/>
        <v>3.517777778</v>
      </c>
      <c r="S108" s="97" t="str">
        <f t="shared" si="83"/>
        <v/>
      </c>
      <c r="T108" s="97" t="str">
        <f t="shared" si="83"/>
        <v/>
      </c>
      <c r="U108" s="97" t="str">
        <f t="shared" si="83"/>
        <v/>
      </c>
      <c r="V108" s="98">
        <f t="shared" si="83"/>
        <v>3.798076923</v>
      </c>
    </row>
    <row r="109">
      <c r="A109" s="136" t="s">
        <v>1603</v>
      </c>
      <c r="B109" s="97"/>
      <c r="C109" s="97"/>
      <c r="D109" s="97"/>
      <c r="E109" s="97"/>
      <c r="F109" s="97"/>
      <c r="G109" s="98"/>
      <c r="H109" s="97">
        <f t="shared" ref="H109:V109" si="84">IFERROR(H81/H88,"")</f>
        <v>18.12866667</v>
      </c>
      <c r="I109" s="97">
        <f t="shared" si="84"/>
        <v>4.422891566</v>
      </c>
      <c r="J109" s="97">
        <f t="shared" si="84"/>
        <v>14.01956522</v>
      </c>
      <c r="K109" s="97">
        <f t="shared" si="84"/>
        <v>45.448</v>
      </c>
      <c r="L109" s="98">
        <f t="shared" si="84"/>
        <v>9.96195122</v>
      </c>
      <c r="M109" s="97">
        <f t="shared" si="84"/>
        <v>30.73333333</v>
      </c>
      <c r="N109" s="97">
        <f t="shared" si="84"/>
        <v>14.92625</v>
      </c>
      <c r="O109" s="97">
        <f t="shared" si="84"/>
        <v>4.060384615</v>
      </c>
      <c r="P109" s="97">
        <f t="shared" si="84"/>
        <v>2.655897436</v>
      </c>
      <c r="Q109" s="98">
        <f t="shared" si="84"/>
        <v>6.94741573</v>
      </c>
      <c r="R109" s="97">
        <f t="shared" si="84"/>
        <v>4.522857143</v>
      </c>
      <c r="S109" s="97" t="str">
        <f t="shared" si="84"/>
        <v/>
      </c>
      <c r="T109" s="97" t="str">
        <f t="shared" si="84"/>
        <v/>
      </c>
      <c r="U109" s="97" t="str">
        <f t="shared" si="84"/>
        <v/>
      </c>
      <c r="V109" s="98">
        <f t="shared" si="84"/>
        <v>4.702380952</v>
      </c>
    </row>
    <row r="110" ht="6.0" customHeight="1">
      <c r="A110" s="99"/>
      <c r="B110" s="127"/>
      <c r="C110" s="127"/>
      <c r="D110" s="127"/>
      <c r="E110" s="127"/>
      <c r="F110" s="127"/>
      <c r="G110" s="128"/>
      <c r="H110" s="127"/>
      <c r="I110" s="127"/>
      <c r="J110" s="127"/>
      <c r="K110" s="127"/>
      <c r="L110" s="128"/>
      <c r="M110" s="127"/>
      <c r="N110" s="127"/>
      <c r="O110" s="127"/>
      <c r="P110" s="127"/>
      <c r="Q110" s="128"/>
      <c r="R110" s="127"/>
      <c r="S110" s="127"/>
      <c r="T110" s="127"/>
      <c r="U110" s="127"/>
      <c r="V110" s="128"/>
    </row>
    <row r="111">
      <c r="A111" s="135" t="s">
        <v>1604</v>
      </c>
      <c r="B111" s="102" t="str">
        <f t="shared" ref="B111:V111" si="85">IFERROR(B82/B81,"")</f>
        <v/>
      </c>
      <c r="C111" s="102" t="str">
        <f t="shared" si="85"/>
        <v/>
      </c>
      <c r="D111" s="102">
        <f t="shared" si="85"/>
        <v>0</v>
      </c>
      <c r="E111" s="102">
        <f t="shared" si="85"/>
        <v>0</v>
      </c>
      <c r="F111" s="102">
        <f t="shared" si="85"/>
        <v>0</v>
      </c>
      <c r="G111" s="103">
        <f t="shared" si="85"/>
        <v>0</v>
      </c>
      <c r="H111" s="102">
        <f t="shared" si="85"/>
        <v>0</v>
      </c>
      <c r="I111" s="102">
        <f t="shared" si="85"/>
        <v>0</v>
      </c>
      <c r="J111" s="102">
        <f t="shared" si="85"/>
        <v>0</v>
      </c>
      <c r="K111" s="102">
        <f t="shared" si="85"/>
        <v>0</v>
      </c>
      <c r="L111" s="103">
        <f t="shared" si="85"/>
        <v>0</v>
      </c>
      <c r="M111" s="102">
        <f t="shared" si="85"/>
        <v>0</v>
      </c>
      <c r="N111" s="102">
        <f t="shared" si="85"/>
        <v>0</v>
      </c>
      <c r="O111" s="102">
        <f t="shared" si="85"/>
        <v>0</v>
      </c>
      <c r="P111" s="102">
        <f t="shared" si="85"/>
        <v>0</v>
      </c>
      <c r="Q111" s="103">
        <f t="shared" si="85"/>
        <v>0</v>
      </c>
      <c r="R111" s="102">
        <f t="shared" si="85"/>
        <v>0</v>
      </c>
      <c r="S111" s="102" t="str">
        <f t="shared" si="85"/>
        <v/>
      </c>
      <c r="T111" s="102" t="str">
        <f t="shared" si="85"/>
        <v/>
      </c>
      <c r="U111" s="102" t="str">
        <f t="shared" si="85"/>
        <v/>
      </c>
      <c r="V111" s="103">
        <f t="shared" si="85"/>
        <v>0</v>
      </c>
    </row>
    <row r="112">
      <c r="A112" s="136" t="s">
        <v>1605</v>
      </c>
      <c r="B112" s="97" t="str">
        <f t="shared" ref="B112:V112" si="86">IFERROR(B82/B91,"")</f>
        <v/>
      </c>
      <c r="C112" s="97" t="str">
        <f t="shared" si="86"/>
        <v/>
      </c>
      <c r="D112" s="97" t="str">
        <f t="shared" si="86"/>
        <v/>
      </c>
      <c r="E112" s="97" t="str">
        <f t="shared" si="86"/>
        <v/>
      </c>
      <c r="F112" s="97" t="str">
        <f t="shared" si="86"/>
        <v/>
      </c>
      <c r="G112" s="98" t="str">
        <f t="shared" si="86"/>
        <v/>
      </c>
      <c r="H112" s="97" t="str">
        <f t="shared" si="86"/>
        <v/>
      </c>
      <c r="I112" s="97" t="str">
        <f t="shared" si="86"/>
        <v/>
      </c>
      <c r="J112" s="97" t="str">
        <f t="shared" si="86"/>
        <v/>
      </c>
      <c r="K112" s="97" t="str">
        <f t="shared" si="86"/>
        <v/>
      </c>
      <c r="L112" s="98" t="str">
        <f t="shared" si="86"/>
        <v/>
      </c>
      <c r="M112" s="97" t="str">
        <f t="shared" si="86"/>
        <v/>
      </c>
      <c r="N112" s="97" t="str">
        <f t="shared" si="86"/>
        <v/>
      </c>
      <c r="O112" s="97" t="str">
        <f t="shared" si="86"/>
        <v/>
      </c>
      <c r="P112" s="97" t="str">
        <f t="shared" si="86"/>
        <v/>
      </c>
      <c r="Q112" s="98" t="str">
        <f t="shared" si="86"/>
        <v/>
      </c>
      <c r="R112" s="97" t="str">
        <f t="shared" si="86"/>
        <v/>
      </c>
      <c r="S112" s="97" t="str">
        <f t="shared" si="86"/>
        <v/>
      </c>
      <c r="T112" s="97" t="str">
        <f t="shared" si="86"/>
        <v/>
      </c>
      <c r="U112" s="97" t="str">
        <f t="shared" si="86"/>
        <v/>
      </c>
      <c r="V112" s="98" t="str">
        <f t="shared" si="86"/>
        <v/>
      </c>
    </row>
    <row r="113">
      <c r="A113" s="137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</row>
    <row r="114">
      <c r="A114" s="131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</row>
    <row r="115">
      <c r="A115" s="1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</row>
    <row r="116">
      <c r="A116" s="1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</row>
    <row r="117">
      <c r="A117" s="1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</row>
    <row r="118">
      <c r="A118" s="1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</row>
    <row r="119">
      <c r="A119" s="1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</row>
    <row r="120">
      <c r="A120" s="1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</row>
    <row r="121">
      <c r="A121" s="1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</row>
    <row r="122">
      <c r="A122" s="1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</row>
    <row r="123">
      <c r="A123" s="1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</row>
    <row r="124">
      <c r="A124" s="1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</row>
    <row r="125">
      <c r="A125" s="1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</row>
    <row r="126">
      <c r="A126" s="1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</row>
    <row r="127">
      <c r="A127" s="1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</row>
    <row r="128">
      <c r="A128" s="1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</row>
    <row r="129">
      <c r="A129" s="1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</row>
    <row r="130">
      <c r="A130" s="1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</row>
    <row r="131">
      <c r="A131" s="1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</row>
    <row r="132">
      <c r="A132" s="1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</row>
    <row r="133">
      <c r="A133" s="1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</row>
    <row r="134">
      <c r="A134" s="1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</row>
    <row r="135">
      <c r="A135" s="1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</row>
    <row r="136">
      <c r="A136" s="1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</row>
    <row r="137">
      <c r="A137" s="1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</row>
    <row r="138">
      <c r="A138" s="1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</row>
    <row r="139">
      <c r="A139" s="1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</row>
    <row r="140">
      <c r="A140" s="1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</row>
    <row r="141">
      <c r="A141" s="1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</row>
    <row r="142">
      <c r="A142" s="1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</row>
    <row r="143">
      <c r="A143" s="1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</row>
    <row r="144">
      <c r="A144" s="1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</row>
    <row r="145">
      <c r="A145" s="1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</row>
    <row r="146">
      <c r="A146" s="1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</row>
    <row r="147">
      <c r="A147" s="1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</row>
    <row r="148">
      <c r="A148" s="1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</row>
    <row r="149">
      <c r="A149" s="1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</row>
    <row r="150">
      <c r="A150" s="1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</row>
    <row r="151">
      <c r="A151" s="1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</row>
    <row r="152">
      <c r="A152" s="1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</row>
    <row r="153">
      <c r="A153" s="1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</row>
    <row r="154">
      <c r="A154" s="1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</row>
    <row r="155">
      <c r="A155" s="1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</row>
    <row r="156">
      <c r="A156" s="1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</row>
    <row r="157">
      <c r="A157" s="1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</row>
    <row r="158">
      <c r="A158" s="1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</row>
    <row r="159">
      <c r="A159" s="1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</row>
    <row r="160">
      <c r="A160" s="1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</row>
    <row r="161">
      <c r="A161" s="1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</row>
    <row r="162">
      <c r="A162" s="1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</row>
    <row r="163">
      <c r="A163" s="1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</row>
    <row r="164">
      <c r="A164" s="1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</row>
    <row r="165">
      <c r="A165" s="1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</row>
    <row r="166">
      <c r="A166" s="1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</row>
    <row r="167">
      <c r="A167" s="1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</row>
    <row r="168">
      <c r="A168" s="1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</row>
    <row r="169">
      <c r="A169" s="1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</row>
    <row r="170">
      <c r="A170" s="1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</row>
    <row r="171">
      <c r="A171" s="1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</row>
    <row r="172">
      <c r="A172" s="1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</row>
    <row r="173">
      <c r="A173" s="1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</row>
    <row r="174">
      <c r="A174" s="1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</row>
    <row r="175">
      <c r="A175" s="1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</row>
    <row r="176">
      <c r="A176" s="1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</row>
    <row r="177">
      <c r="A177" s="1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</row>
    <row r="178">
      <c r="A178" s="1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</row>
    <row r="179">
      <c r="A179" s="1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</row>
    <row r="180">
      <c r="A180" s="1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</row>
    <row r="181">
      <c r="A181" s="1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</row>
    <row r="182">
      <c r="A182" s="1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</row>
    <row r="183">
      <c r="A183" s="1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</row>
    <row r="184">
      <c r="A184" s="1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</row>
    <row r="185">
      <c r="A185" s="1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</row>
    <row r="186">
      <c r="A186" s="1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</row>
    <row r="187">
      <c r="A187" s="1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</row>
    <row r="188">
      <c r="A188" s="1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</row>
    <row r="189">
      <c r="A189" s="1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</row>
    <row r="190">
      <c r="A190" s="1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</row>
    <row r="191">
      <c r="A191" s="1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</row>
    <row r="192">
      <c r="A192" s="1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</row>
    <row r="193">
      <c r="A193" s="1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</row>
    <row r="194">
      <c r="A194" s="1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</row>
    <row r="195">
      <c r="A195" s="1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</row>
    <row r="196">
      <c r="A196" s="1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</row>
    <row r="197">
      <c r="A197" s="1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</row>
    <row r="198">
      <c r="A198" s="1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</row>
    <row r="199">
      <c r="A199" s="1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</row>
    <row r="200">
      <c r="A200" s="1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</row>
    <row r="201">
      <c r="A201" s="1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</row>
    <row r="202">
      <c r="A202" s="1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</row>
    <row r="203">
      <c r="A203" s="1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</row>
    <row r="204">
      <c r="A204" s="1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</row>
    <row r="205">
      <c r="A205" s="1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</row>
    <row r="206">
      <c r="A206" s="1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</row>
    <row r="207">
      <c r="A207" s="1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</row>
    <row r="208">
      <c r="A208" s="1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</row>
    <row r="209">
      <c r="A209" s="1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</row>
    <row r="210">
      <c r="A210" s="1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</row>
    <row r="211">
      <c r="A211" s="1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</row>
    <row r="212">
      <c r="A212" s="1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</row>
    <row r="213">
      <c r="A213" s="1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</row>
    <row r="214">
      <c r="A214" s="1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</row>
    <row r="215">
      <c r="A215" s="1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</row>
    <row r="216">
      <c r="A216" s="1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</row>
    <row r="217">
      <c r="A217" s="1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</row>
    <row r="218">
      <c r="A218" s="1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</row>
    <row r="219">
      <c r="A219" s="1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</row>
    <row r="220">
      <c r="A220" s="1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</row>
    <row r="221">
      <c r="A221" s="1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</row>
    <row r="222">
      <c r="A222" s="1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</row>
    <row r="223">
      <c r="A223" s="1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</row>
    <row r="224">
      <c r="A224" s="1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</row>
    <row r="225">
      <c r="A225" s="1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</row>
    <row r="226">
      <c r="A226" s="1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</row>
    <row r="227">
      <c r="A227" s="1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</row>
    <row r="228">
      <c r="A228" s="1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</row>
    <row r="229">
      <c r="A229" s="1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</row>
    <row r="230">
      <c r="A230" s="1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</row>
    <row r="231">
      <c r="A231" s="1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</row>
    <row r="232">
      <c r="A232" s="1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</row>
    <row r="233">
      <c r="A233" s="1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</row>
    <row r="234">
      <c r="A234" s="1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</row>
    <row r="235">
      <c r="A235" s="1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</row>
    <row r="236">
      <c r="A236" s="1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</row>
    <row r="237">
      <c r="A237" s="1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</row>
    <row r="238">
      <c r="A238" s="1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</row>
    <row r="239">
      <c r="A239" s="1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</row>
    <row r="240">
      <c r="A240" s="1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</row>
    <row r="241">
      <c r="A241" s="1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</row>
    <row r="242">
      <c r="A242" s="1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</row>
    <row r="243">
      <c r="A243" s="1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</row>
    <row r="244">
      <c r="A244" s="1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</row>
    <row r="245">
      <c r="A245" s="1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</row>
    <row r="246">
      <c r="A246" s="1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</row>
    <row r="247">
      <c r="A247" s="1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</row>
    <row r="248">
      <c r="A248" s="1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</row>
    <row r="249">
      <c r="A249" s="1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</row>
    <row r="250">
      <c r="A250" s="1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</row>
    <row r="251">
      <c r="A251" s="1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</row>
    <row r="252">
      <c r="A252" s="1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</row>
    <row r="253">
      <c r="A253" s="1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</row>
    <row r="254">
      <c r="A254" s="1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</row>
    <row r="255">
      <c r="A255" s="1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</row>
    <row r="256">
      <c r="A256" s="1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</row>
    <row r="257">
      <c r="A257" s="1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</row>
    <row r="258">
      <c r="A258" s="1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</row>
    <row r="259">
      <c r="A259" s="1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</row>
    <row r="260">
      <c r="A260" s="1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</row>
    <row r="261">
      <c r="A261" s="1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</row>
    <row r="262">
      <c r="A262" s="1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</row>
    <row r="263">
      <c r="A263" s="1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</row>
    <row r="264">
      <c r="A264" s="1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</row>
    <row r="265">
      <c r="A265" s="1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</row>
    <row r="266">
      <c r="A266" s="1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</row>
    <row r="267">
      <c r="A267" s="1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</row>
    <row r="268">
      <c r="A268" s="1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</row>
    <row r="269">
      <c r="A269" s="1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</row>
    <row r="270">
      <c r="A270" s="1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</row>
    <row r="271">
      <c r="A271" s="1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</row>
    <row r="272">
      <c r="A272" s="1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</row>
    <row r="273">
      <c r="A273" s="1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</row>
    <row r="274">
      <c r="A274" s="1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</row>
    <row r="275">
      <c r="A275" s="1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</row>
    <row r="276">
      <c r="A276" s="1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</row>
    <row r="277">
      <c r="A277" s="1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</row>
    <row r="278">
      <c r="A278" s="1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</row>
    <row r="279">
      <c r="A279" s="1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</row>
    <row r="280">
      <c r="A280" s="1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</row>
    <row r="281">
      <c r="A281" s="1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</row>
    <row r="282">
      <c r="A282" s="1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</row>
    <row r="283">
      <c r="A283" s="1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</row>
    <row r="284">
      <c r="A284" s="1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</row>
    <row r="285">
      <c r="A285" s="1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</row>
    <row r="286">
      <c r="A286" s="1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</row>
    <row r="287">
      <c r="A287" s="1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</row>
    <row r="288">
      <c r="A288" s="1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</row>
    <row r="289">
      <c r="A289" s="1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</row>
    <row r="290">
      <c r="A290" s="1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</row>
    <row r="291">
      <c r="A291" s="1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</row>
    <row r="292">
      <c r="A292" s="1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</row>
    <row r="293">
      <c r="A293" s="1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</row>
    <row r="294">
      <c r="A294" s="1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</row>
    <row r="295">
      <c r="A295" s="1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</row>
    <row r="296">
      <c r="A296" s="1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</row>
    <row r="297">
      <c r="A297" s="1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</row>
    <row r="298">
      <c r="A298" s="1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</row>
    <row r="299">
      <c r="A299" s="1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</row>
    <row r="300">
      <c r="A300" s="1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</row>
    <row r="301">
      <c r="A301" s="1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</row>
    <row r="302">
      <c r="A302" s="1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</row>
    <row r="303">
      <c r="A303" s="1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</row>
    <row r="304">
      <c r="A304" s="1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</row>
    <row r="305">
      <c r="A305" s="1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</row>
    <row r="306">
      <c r="A306" s="1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</row>
    <row r="307">
      <c r="A307" s="1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</row>
    <row r="308">
      <c r="A308" s="1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</row>
    <row r="309">
      <c r="A309" s="1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</row>
    <row r="310">
      <c r="A310" s="1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</row>
    <row r="311">
      <c r="A311" s="1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</row>
    <row r="312">
      <c r="A312" s="1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</row>
    <row r="313">
      <c r="A313" s="1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</row>
    <row r="314">
      <c r="A314" s="1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</row>
    <row r="315">
      <c r="A315" s="1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</row>
    <row r="316">
      <c r="A316" s="1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</row>
    <row r="317">
      <c r="A317" s="1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</row>
    <row r="318">
      <c r="A318" s="1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</row>
    <row r="319">
      <c r="A319" s="1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</row>
    <row r="320">
      <c r="A320" s="1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</row>
    <row r="321">
      <c r="A321" s="1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</row>
    <row r="322">
      <c r="A322" s="1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</row>
    <row r="323">
      <c r="A323" s="1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</row>
    <row r="324">
      <c r="A324" s="1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</row>
    <row r="325">
      <c r="A325" s="1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</row>
    <row r="326">
      <c r="A326" s="1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</row>
    <row r="327">
      <c r="A327" s="1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</row>
    <row r="328">
      <c r="A328" s="1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</row>
    <row r="329">
      <c r="A329" s="1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</row>
    <row r="330">
      <c r="A330" s="1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</row>
    <row r="331">
      <c r="A331" s="1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</row>
    <row r="332">
      <c r="A332" s="1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</row>
    <row r="333">
      <c r="A333" s="1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</row>
    <row r="334">
      <c r="A334" s="1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</row>
    <row r="335">
      <c r="A335" s="1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</row>
    <row r="336">
      <c r="A336" s="1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</row>
    <row r="337">
      <c r="A337" s="1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</row>
    <row r="338">
      <c r="A338" s="1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</row>
    <row r="339">
      <c r="A339" s="1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</row>
    <row r="340">
      <c r="A340" s="1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</row>
    <row r="341">
      <c r="A341" s="1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</row>
    <row r="342">
      <c r="A342" s="1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</row>
    <row r="343">
      <c r="A343" s="1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</row>
    <row r="344">
      <c r="A344" s="1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</row>
    <row r="345">
      <c r="A345" s="1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</row>
    <row r="346">
      <c r="A346" s="1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</row>
    <row r="347">
      <c r="A347" s="1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</row>
    <row r="348">
      <c r="A348" s="1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</row>
    <row r="349">
      <c r="A349" s="1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</row>
    <row r="350">
      <c r="A350" s="1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</row>
    <row r="351">
      <c r="A351" s="1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</row>
    <row r="352">
      <c r="A352" s="1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</row>
    <row r="353">
      <c r="A353" s="1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</row>
    <row r="354">
      <c r="A354" s="1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</row>
    <row r="355">
      <c r="A355" s="1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</row>
    <row r="356">
      <c r="A356" s="1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</row>
    <row r="357">
      <c r="A357" s="1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</row>
    <row r="358">
      <c r="A358" s="1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</row>
    <row r="359">
      <c r="A359" s="1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</row>
    <row r="360">
      <c r="A360" s="1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</row>
    <row r="361">
      <c r="A361" s="1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</row>
    <row r="362">
      <c r="A362" s="1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</row>
    <row r="363">
      <c r="A363" s="1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</row>
    <row r="364">
      <c r="A364" s="1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</row>
    <row r="365">
      <c r="A365" s="1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</row>
    <row r="366">
      <c r="A366" s="1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</row>
    <row r="367">
      <c r="A367" s="1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</row>
    <row r="368">
      <c r="A368" s="1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</row>
    <row r="369">
      <c r="A369" s="1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</row>
    <row r="370">
      <c r="A370" s="1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</row>
    <row r="371">
      <c r="A371" s="1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</row>
    <row r="372">
      <c r="A372" s="1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</row>
    <row r="373">
      <c r="A373" s="1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</row>
    <row r="374">
      <c r="A374" s="1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</row>
    <row r="375">
      <c r="A375" s="1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</row>
    <row r="376">
      <c r="A376" s="1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</row>
    <row r="377">
      <c r="A377" s="1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</row>
    <row r="378">
      <c r="A378" s="1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</row>
    <row r="379">
      <c r="A379" s="1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</row>
    <row r="380">
      <c r="A380" s="1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</row>
    <row r="381">
      <c r="A381" s="1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</row>
    <row r="382">
      <c r="A382" s="1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</row>
    <row r="383">
      <c r="A383" s="1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</row>
    <row r="384">
      <c r="A384" s="1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</row>
    <row r="385">
      <c r="A385" s="1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</row>
    <row r="386">
      <c r="A386" s="1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</row>
    <row r="387">
      <c r="A387" s="1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</row>
    <row r="388">
      <c r="A388" s="1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</row>
    <row r="389">
      <c r="A389" s="1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</row>
    <row r="390">
      <c r="A390" s="1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</row>
    <row r="391">
      <c r="A391" s="1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</row>
    <row r="392">
      <c r="A392" s="1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</row>
    <row r="393">
      <c r="A393" s="1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</row>
    <row r="394">
      <c r="A394" s="1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</row>
    <row r="395">
      <c r="A395" s="1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</row>
    <row r="396">
      <c r="A396" s="1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</row>
    <row r="397">
      <c r="A397" s="1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</row>
    <row r="398">
      <c r="A398" s="1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</row>
    <row r="399">
      <c r="A399" s="1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</row>
    <row r="400">
      <c r="A400" s="1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</row>
    <row r="401">
      <c r="A401" s="1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</row>
    <row r="402">
      <c r="A402" s="1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</row>
    <row r="403">
      <c r="A403" s="1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</row>
    <row r="404">
      <c r="A404" s="1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</row>
    <row r="405">
      <c r="A405" s="1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</row>
    <row r="406">
      <c r="A406" s="1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</row>
    <row r="407">
      <c r="A407" s="1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</row>
    <row r="408">
      <c r="A408" s="1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</row>
    <row r="409">
      <c r="A409" s="1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</row>
    <row r="410">
      <c r="A410" s="1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</row>
    <row r="411">
      <c r="A411" s="1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</row>
    <row r="412">
      <c r="A412" s="1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</row>
    <row r="413">
      <c r="A413" s="1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</row>
    <row r="414">
      <c r="A414" s="1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</row>
    <row r="415">
      <c r="A415" s="1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</row>
    <row r="416">
      <c r="A416" s="1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</row>
    <row r="417">
      <c r="A417" s="1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</row>
    <row r="418">
      <c r="A418" s="1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</row>
    <row r="419">
      <c r="A419" s="1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</row>
    <row r="420">
      <c r="A420" s="1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</row>
    <row r="421">
      <c r="A421" s="1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</row>
    <row r="422">
      <c r="A422" s="1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</row>
    <row r="423">
      <c r="A423" s="1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</row>
    <row r="424">
      <c r="A424" s="1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</row>
    <row r="425">
      <c r="A425" s="1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</row>
    <row r="426">
      <c r="A426" s="1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</row>
    <row r="427">
      <c r="A427" s="1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</row>
    <row r="428">
      <c r="A428" s="1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</row>
    <row r="429">
      <c r="A429" s="1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</row>
    <row r="430">
      <c r="A430" s="1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</row>
    <row r="431">
      <c r="A431" s="1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</row>
    <row r="432">
      <c r="A432" s="1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</row>
    <row r="433">
      <c r="A433" s="1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</row>
    <row r="434">
      <c r="A434" s="1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</row>
    <row r="435">
      <c r="A435" s="1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</row>
    <row r="436">
      <c r="A436" s="1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</row>
    <row r="437">
      <c r="A437" s="1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</row>
    <row r="438">
      <c r="A438" s="1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</row>
    <row r="439">
      <c r="A439" s="1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</row>
    <row r="440">
      <c r="A440" s="1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</row>
    <row r="441">
      <c r="A441" s="1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</row>
    <row r="442">
      <c r="A442" s="1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</row>
    <row r="443">
      <c r="A443" s="1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</row>
    <row r="444">
      <c r="A444" s="1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</row>
    <row r="445">
      <c r="A445" s="1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</row>
    <row r="446">
      <c r="A446" s="1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</row>
    <row r="447">
      <c r="A447" s="1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</row>
    <row r="448">
      <c r="A448" s="1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</row>
    <row r="449">
      <c r="A449" s="1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</row>
    <row r="450">
      <c r="A450" s="1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</row>
    <row r="451">
      <c r="A451" s="1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</row>
    <row r="452">
      <c r="A452" s="1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</row>
    <row r="453">
      <c r="A453" s="1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</row>
    <row r="454">
      <c r="A454" s="1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</row>
    <row r="455">
      <c r="A455" s="1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</row>
    <row r="456">
      <c r="A456" s="1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</row>
    <row r="457">
      <c r="A457" s="1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</row>
    <row r="458">
      <c r="A458" s="1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</row>
    <row r="459">
      <c r="A459" s="1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</row>
    <row r="460">
      <c r="A460" s="1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</row>
    <row r="461">
      <c r="A461" s="1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</row>
    <row r="462">
      <c r="A462" s="1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</row>
    <row r="463">
      <c r="A463" s="1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</row>
    <row r="464">
      <c r="A464" s="1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</row>
    <row r="465">
      <c r="A465" s="1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</row>
    <row r="466">
      <c r="A466" s="1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</row>
    <row r="467">
      <c r="A467" s="1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</row>
    <row r="468">
      <c r="A468" s="1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</row>
    <row r="469">
      <c r="A469" s="1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</row>
    <row r="470">
      <c r="A470" s="1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</row>
    <row r="471">
      <c r="A471" s="1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</row>
    <row r="472">
      <c r="A472" s="1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</row>
    <row r="473">
      <c r="A473" s="1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</row>
    <row r="474">
      <c r="A474" s="1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</row>
    <row r="475">
      <c r="A475" s="1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</row>
    <row r="476">
      <c r="A476" s="1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</row>
    <row r="477">
      <c r="A477" s="1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</row>
    <row r="478">
      <c r="A478" s="1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</row>
    <row r="479">
      <c r="A479" s="1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</row>
    <row r="480">
      <c r="A480" s="1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</row>
    <row r="481">
      <c r="A481" s="1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</row>
    <row r="482">
      <c r="A482" s="1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</row>
    <row r="483">
      <c r="A483" s="1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</row>
    <row r="484">
      <c r="A484" s="1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</row>
    <row r="485">
      <c r="A485" s="1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</row>
    <row r="486">
      <c r="A486" s="1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</row>
    <row r="487">
      <c r="A487" s="1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</row>
    <row r="488">
      <c r="A488" s="1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</row>
    <row r="489">
      <c r="A489" s="1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</row>
    <row r="490">
      <c r="A490" s="1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</row>
    <row r="491">
      <c r="A491" s="1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</row>
    <row r="492">
      <c r="A492" s="1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</row>
    <row r="493">
      <c r="A493" s="1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</row>
    <row r="494">
      <c r="A494" s="1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</row>
    <row r="495">
      <c r="A495" s="1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</row>
    <row r="496">
      <c r="A496" s="1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</row>
    <row r="497">
      <c r="A497" s="1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</row>
    <row r="498">
      <c r="A498" s="1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</row>
    <row r="499">
      <c r="A499" s="1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</row>
    <row r="500">
      <c r="A500" s="1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</row>
    <row r="501">
      <c r="A501" s="1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</row>
    <row r="502">
      <c r="A502" s="1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</row>
    <row r="503">
      <c r="A503" s="1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</row>
    <row r="504">
      <c r="A504" s="1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</row>
    <row r="505">
      <c r="A505" s="1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</row>
    <row r="506">
      <c r="A506" s="1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</row>
    <row r="507">
      <c r="A507" s="1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</row>
    <row r="508">
      <c r="A508" s="1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</row>
    <row r="509">
      <c r="A509" s="1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</row>
    <row r="510">
      <c r="A510" s="1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</row>
    <row r="511">
      <c r="A511" s="1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</row>
    <row r="512">
      <c r="A512" s="1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</row>
    <row r="513">
      <c r="A513" s="1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</row>
    <row r="514">
      <c r="A514" s="1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</row>
    <row r="515">
      <c r="A515" s="1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</row>
    <row r="516">
      <c r="A516" s="1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</row>
    <row r="517">
      <c r="A517" s="1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</row>
    <row r="518">
      <c r="A518" s="1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</row>
    <row r="519">
      <c r="A519" s="1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</row>
    <row r="520">
      <c r="A520" s="1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</row>
    <row r="521">
      <c r="A521" s="1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</row>
    <row r="522">
      <c r="A522" s="1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</row>
    <row r="523">
      <c r="A523" s="1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</row>
    <row r="524">
      <c r="A524" s="1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</row>
    <row r="525">
      <c r="A525" s="1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</row>
    <row r="526">
      <c r="A526" s="1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</row>
    <row r="527">
      <c r="A527" s="1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</row>
    <row r="528">
      <c r="A528" s="1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</row>
    <row r="529">
      <c r="A529" s="1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</row>
    <row r="530">
      <c r="A530" s="1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</row>
    <row r="531">
      <c r="A531" s="1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</row>
    <row r="532">
      <c r="A532" s="1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</row>
    <row r="533">
      <c r="A533" s="1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</row>
    <row r="534">
      <c r="A534" s="1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</row>
    <row r="535">
      <c r="A535" s="1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</row>
    <row r="536">
      <c r="A536" s="1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</row>
    <row r="537">
      <c r="A537" s="1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</row>
    <row r="538">
      <c r="A538" s="1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</row>
    <row r="539">
      <c r="A539" s="1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</row>
    <row r="540">
      <c r="A540" s="1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</row>
    <row r="541">
      <c r="A541" s="1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</row>
    <row r="542">
      <c r="A542" s="1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</row>
    <row r="543">
      <c r="A543" s="1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</row>
    <row r="544">
      <c r="A544" s="1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</row>
    <row r="545">
      <c r="A545" s="1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</row>
    <row r="546">
      <c r="A546" s="1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</row>
    <row r="547">
      <c r="A547" s="1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</row>
    <row r="548">
      <c r="A548" s="1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</row>
    <row r="549">
      <c r="A549" s="1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</row>
    <row r="550">
      <c r="A550" s="1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</row>
    <row r="551">
      <c r="A551" s="1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</row>
    <row r="552">
      <c r="A552" s="1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</row>
    <row r="553">
      <c r="A553" s="1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</row>
    <row r="554">
      <c r="A554" s="1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</row>
    <row r="555">
      <c r="A555" s="1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</row>
    <row r="556">
      <c r="A556" s="1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</row>
    <row r="557">
      <c r="A557" s="1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</row>
    <row r="558">
      <c r="A558" s="1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</row>
    <row r="559">
      <c r="A559" s="1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</row>
    <row r="560">
      <c r="A560" s="1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</row>
    <row r="561">
      <c r="A561" s="1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</row>
    <row r="562">
      <c r="A562" s="1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</row>
    <row r="563">
      <c r="A563" s="1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</row>
    <row r="564">
      <c r="A564" s="1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</row>
    <row r="565">
      <c r="A565" s="1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</row>
    <row r="566">
      <c r="A566" s="1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</row>
    <row r="567">
      <c r="A567" s="1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</row>
    <row r="568">
      <c r="A568" s="1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</row>
    <row r="569">
      <c r="A569" s="1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</row>
    <row r="570">
      <c r="A570" s="1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</row>
    <row r="571">
      <c r="A571" s="1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</row>
    <row r="572">
      <c r="A572" s="1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</row>
    <row r="573">
      <c r="A573" s="1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</row>
    <row r="574">
      <c r="A574" s="1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</row>
    <row r="575">
      <c r="A575" s="1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</row>
    <row r="576">
      <c r="A576" s="1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</row>
    <row r="577">
      <c r="A577" s="1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</row>
    <row r="578">
      <c r="A578" s="1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</row>
    <row r="579">
      <c r="A579" s="1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</row>
    <row r="580">
      <c r="A580" s="1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</row>
    <row r="581">
      <c r="A581" s="1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</row>
    <row r="582">
      <c r="A582" s="1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</row>
    <row r="583">
      <c r="A583" s="1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</row>
    <row r="584">
      <c r="A584" s="1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</row>
    <row r="585">
      <c r="A585" s="1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</row>
    <row r="586">
      <c r="A586" s="1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</row>
    <row r="587">
      <c r="A587" s="1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</row>
    <row r="588">
      <c r="A588" s="1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</row>
    <row r="589">
      <c r="A589" s="1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</row>
    <row r="590">
      <c r="A590" s="1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</row>
    <row r="591">
      <c r="A591" s="1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</row>
    <row r="592">
      <c r="A592" s="1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</row>
    <row r="593">
      <c r="A593" s="1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</row>
    <row r="594">
      <c r="A594" s="1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</row>
    <row r="595">
      <c r="A595" s="1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</row>
    <row r="596">
      <c r="A596" s="1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</row>
    <row r="597">
      <c r="A597" s="1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</row>
    <row r="598">
      <c r="A598" s="1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</row>
    <row r="599">
      <c r="A599" s="1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</row>
    <row r="600">
      <c r="A600" s="1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</row>
    <row r="601">
      <c r="A601" s="1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</row>
    <row r="602">
      <c r="A602" s="1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</row>
    <row r="603">
      <c r="A603" s="1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</row>
    <row r="604">
      <c r="A604" s="1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</row>
    <row r="605">
      <c r="A605" s="1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</row>
    <row r="606">
      <c r="A606" s="1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</row>
    <row r="607">
      <c r="A607" s="1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</row>
    <row r="608">
      <c r="A608" s="1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</row>
    <row r="609">
      <c r="A609" s="1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</row>
    <row r="610">
      <c r="A610" s="1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</row>
    <row r="611">
      <c r="A611" s="1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</row>
    <row r="612">
      <c r="A612" s="1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</row>
    <row r="613">
      <c r="A613" s="1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</row>
    <row r="614">
      <c r="A614" s="1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</row>
    <row r="615">
      <c r="A615" s="1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</row>
    <row r="616">
      <c r="A616" s="1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</row>
    <row r="617">
      <c r="A617" s="1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</row>
    <row r="618">
      <c r="A618" s="1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</row>
    <row r="619">
      <c r="A619" s="1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</row>
    <row r="620">
      <c r="A620" s="1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</row>
    <row r="621">
      <c r="A621" s="1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</row>
    <row r="622">
      <c r="A622" s="1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</row>
    <row r="623">
      <c r="A623" s="1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</row>
    <row r="624">
      <c r="A624" s="1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</row>
    <row r="625">
      <c r="A625" s="1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</row>
    <row r="626">
      <c r="A626" s="1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</row>
    <row r="627">
      <c r="A627" s="1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</row>
    <row r="628">
      <c r="A628" s="1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</row>
    <row r="629">
      <c r="A629" s="1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</row>
    <row r="630">
      <c r="A630" s="1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</row>
    <row r="631">
      <c r="A631" s="1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</row>
    <row r="632">
      <c r="A632" s="1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</row>
    <row r="633">
      <c r="A633" s="1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</row>
    <row r="634">
      <c r="A634" s="1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</row>
    <row r="635">
      <c r="A635" s="1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</row>
    <row r="636">
      <c r="A636" s="1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</row>
    <row r="637">
      <c r="A637" s="1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</row>
    <row r="638">
      <c r="A638" s="1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</row>
    <row r="639">
      <c r="A639" s="1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</row>
    <row r="640">
      <c r="A640" s="1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</row>
    <row r="641">
      <c r="A641" s="1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</row>
    <row r="642">
      <c r="A642" s="1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</row>
    <row r="643">
      <c r="A643" s="1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</row>
    <row r="644">
      <c r="A644" s="1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</row>
    <row r="645">
      <c r="A645" s="1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</row>
    <row r="646">
      <c r="A646" s="1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</row>
    <row r="647">
      <c r="A647" s="1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</row>
    <row r="648">
      <c r="A648" s="1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</row>
    <row r="649">
      <c r="A649" s="1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</row>
    <row r="650">
      <c r="A650" s="1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</row>
    <row r="651">
      <c r="A651" s="1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</row>
    <row r="652">
      <c r="A652" s="1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</row>
    <row r="653">
      <c r="A653" s="1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</row>
    <row r="654">
      <c r="A654" s="1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</row>
    <row r="655">
      <c r="A655" s="1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</row>
    <row r="656">
      <c r="A656" s="1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</row>
    <row r="657">
      <c r="A657" s="1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</row>
    <row r="658">
      <c r="A658" s="1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</row>
    <row r="659">
      <c r="A659" s="1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</row>
    <row r="660">
      <c r="A660" s="1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</row>
    <row r="661">
      <c r="A661" s="1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</row>
    <row r="662">
      <c r="A662" s="1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</row>
    <row r="663">
      <c r="A663" s="1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</row>
    <row r="664">
      <c r="A664" s="1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</row>
    <row r="665">
      <c r="A665" s="1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</row>
    <row r="666">
      <c r="A666" s="1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</row>
    <row r="667">
      <c r="A667" s="1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</row>
    <row r="668">
      <c r="A668" s="1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</row>
    <row r="669">
      <c r="A669" s="1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</row>
    <row r="670">
      <c r="A670" s="1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</row>
    <row r="671">
      <c r="A671" s="1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</row>
    <row r="672">
      <c r="A672" s="1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</row>
    <row r="673">
      <c r="A673" s="1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</row>
    <row r="674">
      <c r="A674" s="1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</row>
    <row r="675">
      <c r="A675" s="1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</row>
    <row r="676">
      <c r="A676" s="1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</row>
    <row r="677">
      <c r="A677" s="1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</row>
    <row r="678">
      <c r="A678" s="1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</row>
    <row r="679">
      <c r="A679" s="1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</row>
    <row r="680">
      <c r="A680" s="1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</row>
    <row r="681">
      <c r="A681" s="1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</row>
    <row r="682">
      <c r="A682" s="1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</row>
    <row r="683">
      <c r="A683" s="1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</row>
    <row r="684">
      <c r="A684" s="1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</row>
    <row r="685">
      <c r="A685" s="1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</row>
    <row r="686">
      <c r="A686" s="1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</row>
    <row r="687">
      <c r="A687" s="1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</row>
    <row r="688">
      <c r="A688" s="1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</row>
    <row r="689">
      <c r="A689" s="1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</row>
    <row r="690">
      <c r="A690" s="1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</row>
    <row r="691">
      <c r="A691" s="1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</row>
    <row r="692">
      <c r="A692" s="1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</row>
    <row r="693">
      <c r="A693" s="1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</row>
    <row r="694">
      <c r="A694" s="1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</row>
    <row r="695">
      <c r="A695" s="1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</row>
    <row r="696">
      <c r="A696" s="1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</row>
    <row r="697">
      <c r="A697" s="1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</row>
    <row r="698">
      <c r="A698" s="1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</row>
    <row r="699">
      <c r="A699" s="1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</row>
    <row r="700">
      <c r="A700" s="1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</row>
    <row r="701">
      <c r="A701" s="1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</row>
    <row r="702">
      <c r="A702" s="1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</row>
    <row r="703">
      <c r="A703" s="1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</row>
    <row r="704">
      <c r="A704" s="1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</row>
    <row r="705">
      <c r="A705" s="1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</row>
    <row r="706">
      <c r="A706" s="1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</row>
    <row r="707">
      <c r="A707" s="1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</row>
    <row r="708">
      <c r="A708" s="1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</row>
    <row r="709">
      <c r="A709" s="1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</row>
    <row r="710">
      <c r="A710" s="1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</row>
    <row r="711">
      <c r="A711" s="1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</row>
    <row r="712">
      <c r="A712" s="1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</row>
    <row r="713">
      <c r="A713" s="1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</row>
    <row r="714">
      <c r="A714" s="1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</row>
    <row r="715">
      <c r="A715" s="1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</row>
    <row r="716">
      <c r="A716" s="1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</row>
    <row r="717">
      <c r="A717" s="1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</row>
    <row r="718">
      <c r="A718" s="1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</row>
    <row r="719">
      <c r="A719" s="1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</row>
    <row r="720">
      <c r="A720" s="1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</row>
    <row r="721">
      <c r="A721" s="1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</row>
    <row r="722">
      <c r="A722" s="1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</row>
    <row r="723">
      <c r="A723" s="1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</row>
    <row r="724">
      <c r="A724" s="1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</row>
    <row r="725">
      <c r="A725" s="1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</row>
    <row r="726">
      <c r="A726" s="1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</row>
    <row r="727">
      <c r="A727" s="1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</row>
    <row r="728">
      <c r="A728" s="1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</row>
    <row r="729">
      <c r="A729" s="1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</row>
    <row r="730">
      <c r="A730" s="1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</row>
    <row r="731">
      <c r="A731" s="1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</row>
    <row r="732">
      <c r="A732" s="1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</row>
    <row r="733">
      <c r="A733" s="1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</row>
    <row r="734">
      <c r="A734" s="1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</row>
    <row r="735">
      <c r="A735" s="1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</row>
    <row r="736">
      <c r="A736" s="1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</row>
    <row r="737">
      <c r="A737" s="1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</row>
    <row r="738">
      <c r="A738" s="1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</row>
    <row r="739">
      <c r="A739" s="1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</row>
    <row r="740">
      <c r="A740" s="1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</row>
    <row r="741">
      <c r="A741" s="1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</row>
    <row r="742">
      <c r="A742" s="1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</row>
    <row r="743">
      <c r="A743" s="1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</row>
    <row r="744">
      <c r="A744" s="1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</row>
    <row r="745">
      <c r="A745" s="1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</row>
    <row r="746">
      <c r="A746" s="1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</row>
    <row r="747">
      <c r="A747" s="1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</row>
    <row r="748">
      <c r="A748" s="1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</row>
    <row r="749">
      <c r="A749" s="1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</row>
    <row r="750">
      <c r="A750" s="1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</row>
    <row r="751">
      <c r="A751" s="1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</row>
    <row r="752">
      <c r="A752" s="1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</row>
    <row r="753">
      <c r="A753" s="1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</row>
    <row r="754">
      <c r="A754" s="1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</row>
    <row r="755">
      <c r="A755" s="1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</row>
    <row r="756">
      <c r="A756" s="1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</row>
    <row r="757">
      <c r="A757" s="1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</row>
    <row r="758">
      <c r="A758" s="1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</row>
    <row r="759">
      <c r="A759" s="1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</row>
    <row r="760">
      <c r="A760" s="1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</row>
    <row r="761">
      <c r="A761" s="1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</row>
    <row r="762">
      <c r="A762" s="1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</row>
    <row r="763">
      <c r="A763" s="1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</row>
    <row r="764">
      <c r="A764" s="1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</row>
    <row r="765">
      <c r="A765" s="1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</row>
    <row r="766">
      <c r="A766" s="1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</row>
    <row r="767">
      <c r="A767" s="1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</row>
    <row r="768">
      <c r="A768" s="1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</row>
    <row r="769">
      <c r="A769" s="1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</row>
    <row r="770">
      <c r="A770" s="1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</row>
    <row r="771">
      <c r="A771" s="1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</row>
    <row r="772">
      <c r="A772" s="1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</row>
    <row r="773">
      <c r="A773" s="1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</row>
    <row r="774">
      <c r="A774" s="1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</row>
    <row r="775">
      <c r="A775" s="1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</row>
    <row r="776">
      <c r="A776" s="1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</row>
    <row r="777">
      <c r="A777" s="1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</row>
    <row r="778">
      <c r="A778" s="1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</row>
    <row r="779">
      <c r="A779" s="1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</row>
    <row r="780">
      <c r="A780" s="1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</row>
    <row r="781">
      <c r="A781" s="1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</row>
    <row r="782">
      <c r="A782" s="1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</row>
    <row r="783">
      <c r="A783" s="1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</row>
    <row r="784">
      <c r="A784" s="1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</row>
    <row r="785">
      <c r="A785" s="1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</row>
    <row r="786">
      <c r="A786" s="1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</row>
    <row r="787">
      <c r="A787" s="1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</row>
    <row r="788">
      <c r="A788" s="1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</row>
    <row r="789">
      <c r="A789" s="1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</row>
    <row r="790">
      <c r="A790" s="1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</row>
    <row r="791">
      <c r="A791" s="1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</row>
    <row r="792">
      <c r="A792" s="1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</row>
    <row r="793">
      <c r="A793" s="1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</row>
    <row r="794">
      <c r="A794" s="1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</row>
    <row r="795">
      <c r="A795" s="1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</row>
    <row r="796">
      <c r="A796" s="1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</row>
    <row r="797">
      <c r="A797" s="1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</row>
    <row r="798">
      <c r="A798" s="1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</row>
    <row r="799">
      <c r="A799" s="1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</row>
    <row r="800">
      <c r="A800" s="1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</row>
    <row r="801">
      <c r="A801" s="1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</row>
    <row r="802">
      <c r="A802" s="1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</row>
    <row r="803">
      <c r="A803" s="1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</row>
    <row r="804">
      <c r="A804" s="1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</row>
    <row r="805">
      <c r="A805" s="1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</row>
    <row r="806">
      <c r="A806" s="1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</row>
    <row r="807">
      <c r="A807" s="1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</row>
    <row r="808">
      <c r="A808" s="1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</row>
    <row r="809">
      <c r="A809" s="1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</row>
    <row r="810">
      <c r="A810" s="1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</row>
    <row r="811">
      <c r="A811" s="1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</row>
    <row r="812">
      <c r="A812" s="1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</row>
    <row r="813">
      <c r="A813" s="1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</row>
    <row r="814">
      <c r="A814" s="1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</row>
    <row r="815">
      <c r="A815" s="1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</row>
    <row r="816">
      <c r="A816" s="1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</row>
    <row r="817">
      <c r="A817" s="1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</row>
    <row r="818">
      <c r="A818" s="1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</row>
    <row r="819">
      <c r="A819" s="1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</row>
    <row r="820">
      <c r="A820" s="1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</row>
    <row r="821">
      <c r="A821" s="1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</row>
    <row r="822">
      <c r="A822" s="1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</row>
    <row r="823">
      <c r="A823" s="1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</row>
    <row r="824">
      <c r="A824" s="1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</row>
    <row r="825">
      <c r="A825" s="1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</row>
    <row r="826">
      <c r="A826" s="1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</row>
    <row r="827">
      <c r="A827" s="1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</row>
    <row r="828">
      <c r="A828" s="1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</row>
    <row r="829">
      <c r="A829" s="1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</row>
    <row r="830">
      <c r="A830" s="1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</row>
    <row r="831">
      <c r="A831" s="1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</row>
    <row r="832">
      <c r="A832" s="1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</row>
    <row r="833">
      <c r="A833" s="1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</row>
    <row r="834">
      <c r="A834" s="1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</row>
    <row r="835">
      <c r="A835" s="1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</row>
    <row r="836">
      <c r="A836" s="1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</row>
    <row r="837">
      <c r="A837" s="1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</row>
    <row r="838">
      <c r="A838" s="1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</row>
    <row r="839">
      <c r="A839" s="1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</row>
    <row r="840">
      <c r="A840" s="1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</row>
    <row r="841">
      <c r="A841" s="1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</row>
    <row r="842">
      <c r="A842" s="1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</row>
    <row r="843">
      <c r="A843" s="1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</row>
    <row r="844">
      <c r="A844" s="1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</row>
    <row r="845">
      <c r="A845" s="1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</row>
    <row r="846">
      <c r="A846" s="1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</row>
    <row r="847">
      <c r="A847" s="1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</row>
    <row r="848">
      <c r="A848" s="1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</row>
    <row r="849">
      <c r="A849" s="1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</row>
    <row r="850">
      <c r="A850" s="1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</row>
    <row r="851">
      <c r="A851" s="1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</row>
    <row r="852">
      <c r="A852" s="1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</row>
    <row r="853">
      <c r="A853" s="1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</row>
    <row r="854">
      <c r="A854" s="1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</row>
    <row r="855">
      <c r="A855" s="1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</row>
    <row r="856">
      <c r="A856" s="1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</row>
    <row r="857">
      <c r="A857" s="1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</row>
    <row r="858">
      <c r="A858" s="1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</row>
    <row r="859">
      <c r="A859" s="1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</row>
    <row r="860">
      <c r="A860" s="1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</row>
    <row r="861">
      <c r="A861" s="1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</row>
    <row r="862">
      <c r="A862" s="1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</row>
    <row r="863">
      <c r="A863" s="1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</row>
    <row r="864">
      <c r="A864" s="1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</row>
    <row r="865">
      <c r="A865" s="1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</row>
    <row r="866">
      <c r="A866" s="1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</row>
    <row r="867">
      <c r="A867" s="1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</row>
    <row r="868">
      <c r="A868" s="1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</row>
    <row r="869">
      <c r="A869" s="1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</row>
    <row r="870">
      <c r="A870" s="1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</row>
    <row r="871">
      <c r="A871" s="1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</row>
    <row r="872">
      <c r="A872" s="1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</row>
    <row r="873">
      <c r="A873" s="1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</row>
    <row r="874">
      <c r="A874" s="1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</row>
    <row r="875">
      <c r="A875" s="1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</row>
    <row r="876">
      <c r="A876" s="1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</row>
    <row r="877">
      <c r="A877" s="1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</row>
    <row r="878">
      <c r="A878" s="1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</row>
    <row r="879">
      <c r="A879" s="1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</row>
    <row r="880">
      <c r="A880" s="1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</row>
    <row r="881">
      <c r="A881" s="1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</row>
    <row r="882">
      <c r="A882" s="1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</row>
    <row r="883">
      <c r="A883" s="1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</row>
    <row r="884">
      <c r="A884" s="1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</row>
    <row r="885">
      <c r="A885" s="1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</row>
    <row r="886">
      <c r="A886" s="1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</row>
    <row r="887">
      <c r="A887" s="1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</row>
    <row r="888">
      <c r="A888" s="1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</row>
    <row r="889">
      <c r="A889" s="1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</row>
    <row r="890">
      <c r="A890" s="1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</row>
    <row r="891">
      <c r="A891" s="1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</row>
    <row r="892">
      <c r="A892" s="1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</row>
    <row r="893">
      <c r="A893" s="1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</row>
    <row r="894">
      <c r="A894" s="1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</row>
    <row r="895">
      <c r="A895" s="1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</row>
    <row r="896">
      <c r="A896" s="1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</row>
    <row r="897">
      <c r="A897" s="1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</row>
    <row r="898">
      <c r="A898" s="1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</row>
    <row r="899">
      <c r="A899" s="1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</row>
    <row r="900">
      <c r="A900" s="1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</row>
    <row r="901">
      <c r="A901" s="1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</row>
    <row r="902">
      <c r="A902" s="1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</row>
    <row r="903">
      <c r="A903" s="1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</row>
    <row r="904">
      <c r="A904" s="1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</row>
    <row r="905">
      <c r="A905" s="1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</row>
    <row r="906">
      <c r="A906" s="1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</row>
    <row r="907">
      <c r="A907" s="1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</row>
    <row r="908">
      <c r="A908" s="1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</row>
    <row r="909">
      <c r="A909" s="1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</row>
    <row r="910">
      <c r="A910" s="1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</row>
    <row r="911">
      <c r="A911" s="1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</row>
    <row r="912">
      <c r="A912" s="1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</row>
    <row r="913">
      <c r="A913" s="1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</row>
    <row r="914">
      <c r="A914" s="1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</row>
    <row r="915">
      <c r="A915" s="1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</row>
    <row r="916">
      <c r="A916" s="1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</row>
    <row r="917">
      <c r="A917" s="1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</row>
    <row r="918">
      <c r="A918" s="1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</row>
    <row r="919">
      <c r="A919" s="1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</row>
    <row r="920">
      <c r="A920" s="1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</row>
    <row r="921">
      <c r="A921" s="1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</row>
    <row r="922">
      <c r="A922" s="1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</row>
    <row r="923">
      <c r="A923" s="1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</row>
    <row r="924">
      <c r="A924" s="1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</row>
    <row r="925">
      <c r="A925" s="1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</row>
    <row r="926">
      <c r="A926" s="1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</row>
    <row r="927">
      <c r="A927" s="1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</row>
    <row r="928">
      <c r="A928" s="1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</row>
    <row r="929">
      <c r="A929" s="1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</row>
    <row r="930">
      <c r="A930" s="1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</row>
    <row r="931">
      <c r="A931" s="1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</row>
    <row r="932">
      <c r="A932" s="1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</row>
    <row r="933">
      <c r="A933" s="1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</row>
    <row r="934">
      <c r="A934" s="1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</row>
    <row r="935">
      <c r="A935" s="1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</row>
    <row r="936">
      <c r="A936" s="1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</row>
    <row r="937">
      <c r="A937" s="1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</row>
    <row r="938">
      <c r="A938" s="1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</row>
    <row r="939">
      <c r="A939" s="1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</row>
    <row r="940">
      <c r="A940" s="1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</row>
    <row r="941">
      <c r="A941" s="1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</row>
    <row r="942">
      <c r="A942" s="1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</row>
    <row r="943">
      <c r="A943" s="1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</row>
    <row r="944">
      <c r="A944" s="1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</row>
    <row r="945">
      <c r="A945" s="1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</row>
    <row r="946">
      <c r="A946" s="1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</row>
    <row r="947">
      <c r="A947" s="1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</row>
    <row r="948">
      <c r="A948" s="1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</row>
    <row r="949">
      <c r="A949" s="1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</row>
    <row r="950">
      <c r="A950" s="1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</row>
    <row r="951">
      <c r="A951" s="1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</row>
    <row r="952">
      <c r="A952" s="1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</row>
    <row r="953">
      <c r="A953" s="1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</row>
    <row r="954">
      <c r="A954" s="1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</row>
    <row r="955">
      <c r="A955" s="1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</row>
    <row r="956">
      <c r="A956" s="1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</row>
    <row r="957">
      <c r="A957" s="1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</row>
    <row r="958">
      <c r="A958" s="1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</row>
    <row r="959">
      <c r="A959" s="1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</row>
    <row r="960">
      <c r="A960" s="1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</row>
    <row r="961">
      <c r="A961" s="1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</row>
    <row r="962">
      <c r="A962" s="1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</row>
    <row r="963">
      <c r="A963" s="1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</row>
    <row r="964">
      <c r="A964" s="1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</row>
    <row r="965">
      <c r="A965" s="1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</row>
    <row r="966">
      <c r="A966" s="1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</row>
    <row r="967">
      <c r="A967" s="1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</row>
    <row r="968">
      <c r="A968" s="1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</row>
    <row r="969">
      <c r="A969" s="1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</row>
    <row r="970">
      <c r="A970" s="1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</row>
    <row r="971">
      <c r="A971" s="1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</row>
    <row r="972">
      <c r="A972" s="1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</row>
    <row r="973">
      <c r="A973" s="1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</row>
    <row r="974">
      <c r="A974" s="1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</row>
    <row r="975">
      <c r="A975" s="1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</row>
    <row r="976">
      <c r="A976" s="1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</row>
    <row r="977">
      <c r="A977" s="1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</row>
    <row r="978">
      <c r="A978" s="1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</row>
    <row r="979">
      <c r="A979" s="1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</row>
    <row r="980">
      <c r="A980" s="1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</row>
    <row r="981">
      <c r="A981" s="1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</row>
    <row r="982">
      <c r="A982" s="1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</row>
    <row r="983">
      <c r="A983" s="1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</row>
    <row r="984">
      <c r="A984" s="1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</row>
    <row r="985">
      <c r="A985" s="1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</row>
    <row r="986">
      <c r="A986" s="1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</row>
    <row r="987">
      <c r="A987" s="1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</row>
    <row r="988">
      <c r="A988" s="1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</row>
    <row r="989">
      <c r="A989" s="1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</row>
    <row r="990">
      <c r="A990" s="1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</row>
    <row r="991">
      <c r="A991" s="1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</row>
    <row r="992">
      <c r="A992" s="1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</row>
    <row r="993">
      <c r="A993" s="1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</row>
    <row r="994">
      <c r="A994" s="1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</row>
    <row r="995">
      <c r="A995" s="1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</row>
    <row r="996">
      <c r="A996" s="1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</row>
    <row r="997">
      <c r="A997" s="1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</row>
    <row r="998">
      <c r="A998" s="1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</row>
    <row r="999">
      <c r="A999" s="1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</row>
    <row r="1000">
      <c r="A1000" s="1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</row>
    <row r="1001">
      <c r="A1001" s="1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</row>
    <row r="1002">
      <c r="A1002" s="1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</row>
    <row r="1003">
      <c r="A1003" s="1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</row>
    <row r="1004">
      <c r="A1004" s="1"/>
      <c r="B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</row>
    <row r="1005">
      <c r="A1005" s="1"/>
      <c r="B1005" s="37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</row>
    <row r="1006">
      <c r="A1006" s="1"/>
      <c r="B1006" s="37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</row>
    <row r="1007">
      <c r="A1007" s="1"/>
      <c r="B1007" s="37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</row>
    <row r="1008">
      <c r="A1008" s="1"/>
      <c r="B1008" s="37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</row>
    <row r="1009">
      <c r="A1009" s="1"/>
      <c r="B1009" s="37"/>
      <c r="C1009" s="37"/>
      <c r="D1009" s="37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</row>
    <row r="1010">
      <c r="A1010" s="1"/>
      <c r="B1010" s="37"/>
      <c r="C1010" s="37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</row>
    <row r="1011">
      <c r="A1011" s="1"/>
      <c r="B1011" s="37"/>
      <c r="C1011" s="37"/>
      <c r="D1011" s="37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</row>
    <row r="1012">
      <c r="A1012" s="1"/>
      <c r="B1012" s="37"/>
      <c r="C1012" s="37"/>
      <c r="D1012" s="37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</row>
    <row r="1013">
      <c r="A1013" s="1"/>
      <c r="B1013" s="37"/>
      <c r="C1013" s="37"/>
      <c r="D1013" s="37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</row>
    <row r="1014">
      <c r="A1014" s="1"/>
      <c r="B1014" s="37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</row>
    <row r="1015">
      <c r="A1015" s="1"/>
      <c r="B1015" s="37"/>
      <c r="C1015" s="37"/>
      <c r="D1015" s="37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</row>
    <row r="1016">
      <c r="A1016" s="1"/>
      <c r="B1016" s="37"/>
      <c r="C1016" s="37"/>
      <c r="D1016" s="37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</row>
    <row r="1017">
      <c r="A1017" s="1"/>
      <c r="B1017" s="37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</row>
    <row r="1018">
      <c r="A1018" s="1"/>
      <c r="B1018" s="37"/>
      <c r="C1018" s="37"/>
      <c r="D1018" s="37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</row>
    <row r="1019">
      <c r="A1019" s="1"/>
      <c r="B1019" s="37"/>
      <c r="C1019" s="37"/>
      <c r="D1019" s="37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</row>
    <row r="1020">
      <c r="A1020" s="1"/>
      <c r="B1020" s="37"/>
      <c r="C1020" s="37"/>
      <c r="D1020" s="37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</row>
    <row r="1021">
      <c r="A1021" s="1"/>
      <c r="B1021" s="37"/>
      <c r="C1021" s="37"/>
      <c r="D1021" s="37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</row>
    <row r="1022">
      <c r="A1022" s="1"/>
      <c r="B1022" s="37"/>
      <c r="C1022" s="37"/>
      <c r="D1022" s="37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</row>
    <row r="1023">
      <c r="A1023" s="1"/>
      <c r="B1023" s="37"/>
      <c r="C1023" s="37"/>
      <c r="D1023" s="37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</row>
    <row r="1024">
      <c r="A1024" s="1"/>
      <c r="B1024" s="37"/>
      <c r="C1024" s="37"/>
      <c r="D1024" s="37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</row>
    <row r="1025">
      <c r="A1025" s="1"/>
      <c r="B1025" s="37"/>
      <c r="C1025" s="37"/>
      <c r="D1025" s="37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</row>
    <row r="1026">
      <c r="A1026" s="1"/>
      <c r="B1026" s="37"/>
      <c r="C1026" s="37"/>
      <c r="D1026" s="37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</row>
    <row r="1027">
      <c r="A1027" s="1"/>
      <c r="B1027" s="37"/>
      <c r="C1027" s="37"/>
      <c r="D1027" s="37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</row>
    <row r="1028">
      <c r="A1028" s="1"/>
      <c r="B1028" s="37"/>
      <c r="C1028" s="37"/>
      <c r="D1028" s="37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</row>
    <row r="1029">
      <c r="A1029" s="1"/>
      <c r="B1029" s="37"/>
      <c r="C1029" s="37"/>
      <c r="D1029" s="37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</row>
    <row r="1030">
      <c r="A1030" s="1"/>
      <c r="B1030" s="37"/>
      <c r="C1030" s="37"/>
      <c r="D1030" s="37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</row>
    <row r="1031">
      <c r="A1031" s="1"/>
      <c r="B1031" s="37"/>
      <c r="C1031" s="37"/>
      <c r="D1031" s="37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</row>
    <row r="1032">
      <c r="A1032" s="1"/>
      <c r="B1032" s="37"/>
      <c r="C1032" s="37"/>
      <c r="D1032" s="37"/>
      <c r="E1032" s="37"/>
      <c r="F1032" s="37"/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</row>
    <row r="1033">
      <c r="A1033" s="1"/>
      <c r="B1033" s="37"/>
      <c r="C1033" s="37"/>
      <c r="D1033" s="37"/>
      <c r="E1033" s="37"/>
      <c r="F1033" s="37"/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</row>
    <row r="1034">
      <c r="A1034" s="1"/>
      <c r="B1034" s="37"/>
      <c r="C1034" s="37"/>
      <c r="D1034" s="37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37"/>
      <c r="S1034" s="37"/>
      <c r="T1034" s="37"/>
      <c r="U1034" s="37"/>
      <c r="V1034" s="37"/>
    </row>
    <row r="1035">
      <c r="A1035" s="1"/>
      <c r="B1035" s="37"/>
      <c r="C1035" s="37"/>
      <c r="D1035" s="37"/>
      <c r="E1035" s="37"/>
      <c r="F1035" s="37"/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</row>
    <row r="1036">
      <c r="A1036" s="1"/>
      <c r="B1036" s="37"/>
      <c r="C1036" s="37"/>
      <c r="D1036" s="37"/>
      <c r="E1036" s="37"/>
      <c r="F1036" s="37"/>
      <c r="G1036" s="37"/>
      <c r="H1036" s="37"/>
      <c r="I1036" s="37"/>
      <c r="J1036" s="37"/>
      <c r="K1036" s="37"/>
      <c r="L1036" s="37"/>
      <c r="M1036" s="37"/>
      <c r="N1036" s="37"/>
      <c r="O1036" s="37"/>
      <c r="P1036" s="37"/>
      <c r="Q1036" s="37"/>
      <c r="R1036" s="37"/>
      <c r="S1036" s="37"/>
      <c r="T1036" s="37"/>
      <c r="U1036" s="37"/>
      <c r="V1036" s="37"/>
    </row>
    <row r="1037">
      <c r="A1037" s="1"/>
      <c r="B1037" s="37"/>
      <c r="C1037" s="37"/>
      <c r="D1037" s="37"/>
      <c r="E1037" s="37"/>
      <c r="F1037" s="37"/>
      <c r="G1037" s="37"/>
      <c r="H1037" s="37"/>
      <c r="I1037" s="37"/>
      <c r="J1037" s="37"/>
      <c r="K1037" s="37"/>
      <c r="L1037" s="37"/>
      <c r="M1037" s="37"/>
      <c r="N1037" s="37"/>
      <c r="O1037" s="37"/>
      <c r="P1037" s="37"/>
      <c r="Q1037" s="37"/>
      <c r="R1037" s="37"/>
      <c r="S1037" s="37"/>
      <c r="T1037" s="37"/>
      <c r="U1037" s="37"/>
      <c r="V1037" s="37"/>
    </row>
    <row r="1038">
      <c r="A1038" s="1"/>
      <c r="B1038" s="37"/>
      <c r="C1038" s="37"/>
      <c r="D1038" s="37"/>
      <c r="E1038" s="37"/>
      <c r="F1038" s="37"/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37"/>
      <c r="S1038" s="37"/>
      <c r="T1038" s="37"/>
      <c r="U1038" s="37"/>
      <c r="V1038" s="37"/>
    </row>
    <row r="1039">
      <c r="A1039" s="1"/>
      <c r="B1039" s="37"/>
      <c r="C1039" s="37"/>
      <c r="D1039" s="37"/>
      <c r="E1039" s="37"/>
      <c r="F1039" s="37"/>
      <c r="G1039" s="37"/>
      <c r="H1039" s="37"/>
      <c r="I1039" s="37"/>
      <c r="J1039" s="37"/>
      <c r="K1039" s="37"/>
      <c r="L1039" s="37"/>
      <c r="M1039" s="37"/>
      <c r="N1039" s="37"/>
      <c r="O1039" s="37"/>
      <c r="P1039" s="37"/>
      <c r="Q1039" s="37"/>
      <c r="R1039" s="37"/>
      <c r="S1039" s="37"/>
      <c r="T1039" s="37"/>
      <c r="U1039" s="37"/>
      <c r="V1039" s="37"/>
    </row>
    <row r="1040">
      <c r="A1040" s="1"/>
      <c r="B1040" s="37"/>
      <c r="C1040" s="37"/>
      <c r="D1040" s="37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</row>
    <row r="1041">
      <c r="A1041" s="1"/>
      <c r="B1041" s="37"/>
      <c r="C1041" s="37"/>
      <c r="D1041" s="37"/>
      <c r="E1041" s="37"/>
      <c r="F1041" s="37"/>
      <c r="G1041" s="37"/>
      <c r="H1041" s="37"/>
      <c r="I1041" s="37"/>
      <c r="J1041" s="37"/>
      <c r="K1041" s="37"/>
      <c r="L1041" s="37"/>
      <c r="M1041" s="37"/>
      <c r="N1041" s="37"/>
      <c r="O1041" s="37"/>
      <c r="P1041" s="37"/>
      <c r="Q1041" s="37"/>
      <c r="R1041" s="37"/>
      <c r="S1041" s="37"/>
      <c r="T1041" s="37"/>
      <c r="U1041" s="37"/>
      <c r="V1041" s="37"/>
    </row>
    <row r="1042">
      <c r="A1042" s="1"/>
      <c r="B1042" s="37"/>
      <c r="C1042" s="37"/>
      <c r="D1042" s="37"/>
      <c r="E1042" s="37"/>
      <c r="F1042" s="37"/>
      <c r="G1042" s="37"/>
      <c r="H1042" s="37"/>
      <c r="I1042" s="37"/>
      <c r="J1042" s="37"/>
      <c r="K1042" s="37"/>
      <c r="L1042" s="37"/>
      <c r="M1042" s="37"/>
      <c r="N1042" s="37"/>
      <c r="O1042" s="37"/>
      <c r="P1042" s="37"/>
      <c r="Q1042" s="37"/>
      <c r="R1042" s="37"/>
      <c r="S1042" s="37"/>
      <c r="T1042" s="37"/>
      <c r="U1042" s="37"/>
      <c r="V1042" s="37"/>
    </row>
    <row r="1043">
      <c r="A1043" s="1"/>
      <c r="B1043" s="37"/>
      <c r="C1043" s="37"/>
      <c r="D1043" s="37"/>
      <c r="E1043" s="37"/>
      <c r="F1043" s="37"/>
      <c r="G1043" s="37"/>
      <c r="H1043" s="37"/>
      <c r="I1043" s="37"/>
      <c r="J1043" s="37"/>
      <c r="K1043" s="37"/>
      <c r="L1043" s="37"/>
      <c r="M1043" s="37"/>
      <c r="N1043" s="37"/>
      <c r="O1043" s="37"/>
      <c r="P1043" s="37"/>
      <c r="Q1043" s="37"/>
      <c r="R1043" s="37"/>
      <c r="S1043" s="37"/>
      <c r="T1043" s="37"/>
      <c r="U1043" s="37"/>
      <c r="V1043" s="37"/>
    </row>
    <row r="1044">
      <c r="A1044" s="1"/>
      <c r="B1044" s="37"/>
      <c r="C1044" s="37"/>
      <c r="D1044" s="37"/>
      <c r="E1044" s="37"/>
      <c r="F1044" s="37"/>
      <c r="G1044" s="37"/>
      <c r="H1044" s="37"/>
      <c r="I1044" s="37"/>
      <c r="J1044" s="37"/>
      <c r="K1044" s="37"/>
      <c r="L1044" s="37"/>
      <c r="M1044" s="37"/>
      <c r="N1044" s="37"/>
      <c r="O1044" s="37"/>
      <c r="P1044" s="37"/>
      <c r="Q1044" s="37"/>
      <c r="R1044" s="37"/>
      <c r="S1044" s="37"/>
      <c r="T1044" s="37"/>
      <c r="U1044" s="37"/>
      <c r="V1044" s="37"/>
    </row>
    <row r="1045">
      <c r="A1045" s="1"/>
      <c r="B1045" s="37"/>
      <c r="C1045" s="37"/>
      <c r="D1045" s="37"/>
      <c r="E1045" s="37"/>
      <c r="F1045" s="37"/>
      <c r="G1045" s="37"/>
      <c r="H1045" s="37"/>
      <c r="I1045" s="37"/>
      <c r="J1045" s="37"/>
      <c r="K1045" s="37"/>
      <c r="L1045" s="37"/>
      <c r="M1045" s="37"/>
      <c r="N1045" s="37"/>
      <c r="O1045" s="37"/>
      <c r="P1045" s="37"/>
      <c r="Q1045" s="37"/>
      <c r="R1045" s="37"/>
      <c r="S1045" s="37"/>
      <c r="T1045" s="37"/>
      <c r="U1045" s="37"/>
      <c r="V1045" s="37"/>
    </row>
    <row r="1046">
      <c r="A1046" s="1"/>
      <c r="B1046" s="37"/>
      <c r="C1046" s="37"/>
      <c r="D1046" s="37"/>
      <c r="E1046" s="37"/>
      <c r="F1046" s="37"/>
      <c r="G1046" s="37"/>
      <c r="H1046" s="37"/>
      <c r="I1046" s="37"/>
      <c r="J1046" s="37"/>
      <c r="K1046" s="37"/>
      <c r="L1046" s="37"/>
      <c r="M1046" s="37"/>
      <c r="N1046" s="37"/>
      <c r="O1046" s="37"/>
      <c r="P1046" s="37"/>
      <c r="Q1046" s="37"/>
      <c r="R1046" s="37"/>
      <c r="S1046" s="37"/>
      <c r="T1046" s="37"/>
      <c r="U1046" s="37"/>
      <c r="V1046" s="37"/>
    </row>
    <row r="1047">
      <c r="A1047" s="1"/>
      <c r="B1047" s="37"/>
      <c r="C1047" s="37"/>
      <c r="D1047" s="37"/>
      <c r="E1047" s="37"/>
      <c r="F1047" s="37"/>
      <c r="G1047" s="37"/>
      <c r="H1047" s="37"/>
      <c r="I1047" s="37"/>
      <c r="J1047" s="37"/>
      <c r="K1047" s="37"/>
      <c r="L1047" s="37"/>
      <c r="M1047" s="37"/>
      <c r="N1047" s="37"/>
      <c r="O1047" s="37"/>
      <c r="P1047" s="37"/>
      <c r="Q1047" s="37"/>
      <c r="R1047" s="37"/>
      <c r="S1047" s="37"/>
      <c r="T1047" s="37"/>
      <c r="U1047" s="37"/>
      <c r="V1047" s="37"/>
    </row>
    <row r="1048">
      <c r="A1048" s="1"/>
      <c r="B1048" s="37"/>
      <c r="C1048" s="37"/>
      <c r="D1048" s="37"/>
      <c r="E1048" s="37"/>
      <c r="F1048" s="37"/>
      <c r="G1048" s="37"/>
      <c r="H1048" s="37"/>
      <c r="I1048" s="37"/>
      <c r="J1048" s="37"/>
      <c r="K1048" s="37"/>
      <c r="L1048" s="37"/>
      <c r="M1048" s="37"/>
      <c r="N1048" s="37"/>
      <c r="O1048" s="37"/>
      <c r="P1048" s="37"/>
      <c r="Q1048" s="37"/>
      <c r="R1048" s="37"/>
      <c r="S1048" s="37"/>
      <c r="T1048" s="37"/>
      <c r="U1048" s="37"/>
      <c r="V1048" s="37"/>
    </row>
    <row r="1049">
      <c r="A1049" s="1"/>
      <c r="B1049" s="37"/>
      <c r="C1049" s="37"/>
      <c r="D1049" s="37"/>
      <c r="E1049" s="37"/>
      <c r="F1049" s="37"/>
      <c r="G1049" s="37"/>
      <c r="H1049" s="37"/>
      <c r="I1049" s="37"/>
      <c r="J1049" s="37"/>
      <c r="K1049" s="37"/>
      <c r="L1049" s="37"/>
      <c r="M1049" s="37"/>
      <c r="N1049" s="37"/>
      <c r="O1049" s="37"/>
      <c r="P1049" s="37"/>
      <c r="Q1049" s="37"/>
      <c r="R1049" s="37"/>
      <c r="S1049" s="37"/>
      <c r="T1049" s="37"/>
      <c r="U1049" s="37"/>
      <c r="V1049" s="37"/>
    </row>
    <row r="1050">
      <c r="A1050" s="1"/>
      <c r="B1050" s="37"/>
      <c r="C1050" s="37"/>
      <c r="D1050" s="37"/>
      <c r="E1050" s="37"/>
      <c r="F1050" s="37"/>
      <c r="G1050" s="37"/>
      <c r="H1050" s="37"/>
      <c r="I1050" s="37"/>
      <c r="J1050" s="37"/>
      <c r="K1050" s="37"/>
      <c r="L1050" s="37"/>
      <c r="M1050" s="37"/>
      <c r="N1050" s="37"/>
      <c r="O1050" s="37"/>
      <c r="P1050" s="37"/>
      <c r="Q1050" s="37"/>
      <c r="R1050" s="37"/>
      <c r="S1050" s="37"/>
      <c r="T1050" s="37"/>
      <c r="U1050" s="37"/>
      <c r="V1050" s="37"/>
    </row>
    <row r="1051">
      <c r="A1051" s="1"/>
      <c r="B1051" s="37"/>
      <c r="C1051" s="37"/>
      <c r="D1051" s="37"/>
      <c r="E1051" s="37"/>
      <c r="F1051" s="37"/>
      <c r="G1051" s="37"/>
      <c r="H1051" s="37"/>
      <c r="I1051" s="37"/>
      <c r="J1051" s="37"/>
      <c r="K1051" s="37"/>
      <c r="L1051" s="37"/>
      <c r="M1051" s="37"/>
      <c r="N1051" s="37"/>
      <c r="O1051" s="37"/>
      <c r="P1051" s="37"/>
      <c r="Q1051" s="37"/>
      <c r="R1051" s="37"/>
      <c r="S1051" s="37"/>
      <c r="T1051" s="37"/>
      <c r="U1051" s="37"/>
      <c r="V1051" s="37"/>
    </row>
    <row r="1052">
      <c r="A1052" s="1"/>
      <c r="B1052" s="37"/>
      <c r="C1052" s="37"/>
      <c r="D1052" s="37"/>
      <c r="E1052" s="37"/>
      <c r="F1052" s="37"/>
      <c r="G1052" s="37"/>
      <c r="H1052" s="37"/>
      <c r="I1052" s="37"/>
      <c r="J1052" s="37"/>
      <c r="K1052" s="37"/>
      <c r="L1052" s="37"/>
      <c r="M1052" s="37"/>
      <c r="N1052" s="37"/>
      <c r="O1052" s="37"/>
      <c r="P1052" s="37"/>
      <c r="Q1052" s="37"/>
      <c r="R1052" s="37"/>
      <c r="S1052" s="37"/>
      <c r="T1052" s="37"/>
      <c r="U1052" s="37"/>
      <c r="V1052" s="37"/>
    </row>
    <row r="1053">
      <c r="A1053" s="1"/>
      <c r="B1053" s="37"/>
      <c r="C1053" s="37"/>
      <c r="D1053" s="37"/>
      <c r="E1053" s="37"/>
      <c r="F1053" s="37"/>
      <c r="G1053" s="37"/>
      <c r="H1053" s="37"/>
      <c r="I1053" s="37"/>
      <c r="J1053" s="37"/>
      <c r="K1053" s="37"/>
      <c r="L1053" s="37"/>
      <c r="M1053" s="37"/>
      <c r="N1053" s="37"/>
      <c r="O1053" s="37"/>
      <c r="P1053" s="37"/>
      <c r="Q1053" s="37"/>
      <c r="R1053" s="37"/>
      <c r="S1053" s="37"/>
      <c r="T1053" s="37"/>
      <c r="U1053" s="37"/>
      <c r="V1053" s="37"/>
    </row>
    <row r="1054">
      <c r="A1054" s="1"/>
      <c r="B1054" s="37"/>
      <c r="C1054" s="37"/>
      <c r="D1054" s="37"/>
      <c r="E1054" s="37"/>
      <c r="F1054" s="37"/>
      <c r="G1054" s="37"/>
      <c r="H1054" s="37"/>
      <c r="I1054" s="37"/>
      <c r="J1054" s="37"/>
      <c r="K1054" s="37"/>
      <c r="L1054" s="37"/>
      <c r="M1054" s="37"/>
      <c r="N1054" s="37"/>
      <c r="O1054" s="37"/>
      <c r="P1054" s="37"/>
      <c r="Q1054" s="37"/>
      <c r="R1054" s="37"/>
      <c r="S1054" s="37"/>
      <c r="T1054" s="37"/>
      <c r="U1054" s="37"/>
      <c r="V1054" s="37"/>
    </row>
    <row r="1055">
      <c r="A1055" s="1"/>
      <c r="B1055" s="37"/>
      <c r="C1055" s="37"/>
      <c r="D1055" s="37"/>
      <c r="E1055" s="37"/>
      <c r="F1055" s="37"/>
      <c r="G1055" s="37"/>
      <c r="H1055" s="37"/>
      <c r="I1055" s="37"/>
      <c r="J1055" s="37"/>
      <c r="K1055" s="37"/>
      <c r="L1055" s="37"/>
      <c r="M1055" s="37"/>
      <c r="N1055" s="37"/>
      <c r="O1055" s="37"/>
      <c r="P1055" s="37"/>
      <c r="Q1055" s="37"/>
      <c r="R1055" s="37"/>
      <c r="S1055" s="37"/>
      <c r="T1055" s="37"/>
      <c r="U1055" s="37"/>
      <c r="V1055" s="37"/>
    </row>
    <row r="1056">
      <c r="A1056" s="1"/>
      <c r="B1056" s="37"/>
      <c r="C1056" s="37"/>
      <c r="D1056" s="37"/>
      <c r="E1056" s="37"/>
      <c r="F1056" s="37"/>
      <c r="G1056" s="37"/>
      <c r="H1056" s="37"/>
      <c r="I1056" s="37"/>
      <c r="J1056" s="37"/>
      <c r="K1056" s="37"/>
      <c r="L1056" s="37"/>
      <c r="M1056" s="37"/>
      <c r="N1056" s="37"/>
      <c r="O1056" s="37"/>
      <c r="P1056" s="37"/>
      <c r="Q1056" s="37"/>
      <c r="R1056" s="37"/>
      <c r="S1056" s="37"/>
      <c r="T1056" s="37"/>
      <c r="U1056" s="37"/>
      <c r="V1056" s="37"/>
    </row>
    <row r="1057">
      <c r="A1057" s="1"/>
      <c r="B1057" s="37"/>
      <c r="C1057" s="37"/>
      <c r="D1057" s="37"/>
      <c r="E1057" s="37"/>
      <c r="F1057" s="37"/>
      <c r="G1057" s="37"/>
      <c r="H1057" s="37"/>
      <c r="I1057" s="37"/>
      <c r="J1057" s="37"/>
      <c r="K1057" s="37"/>
      <c r="L1057" s="37"/>
      <c r="M1057" s="37"/>
      <c r="N1057" s="37"/>
      <c r="O1057" s="37"/>
      <c r="P1057" s="37"/>
      <c r="Q1057" s="37"/>
      <c r="R1057" s="37"/>
      <c r="S1057" s="37"/>
      <c r="T1057" s="37"/>
      <c r="U1057" s="37"/>
      <c r="V1057" s="37"/>
    </row>
    <row r="1058">
      <c r="A1058" s="1"/>
      <c r="B1058" s="37"/>
      <c r="C1058" s="37"/>
      <c r="D1058" s="37"/>
      <c r="E1058" s="37"/>
      <c r="F1058" s="37"/>
      <c r="G1058" s="37"/>
      <c r="H1058" s="37"/>
      <c r="I1058" s="37"/>
      <c r="J1058" s="37"/>
      <c r="K1058" s="37"/>
      <c r="L1058" s="37"/>
      <c r="M1058" s="37"/>
      <c r="N1058" s="37"/>
      <c r="O1058" s="37"/>
      <c r="P1058" s="37"/>
      <c r="Q1058" s="37"/>
      <c r="R1058" s="37"/>
      <c r="S1058" s="37"/>
      <c r="T1058" s="37"/>
      <c r="U1058" s="37"/>
      <c r="V1058" s="37"/>
    </row>
    <row r="1059">
      <c r="A1059" s="1"/>
      <c r="B1059" s="37"/>
      <c r="C1059" s="37"/>
      <c r="D1059" s="37"/>
      <c r="E1059" s="37"/>
      <c r="F1059" s="37"/>
      <c r="G1059" s="37"/>
      <c r="H1059" s="37"/>
      <c r="I1059" s="37"/>
      <c r="J1059" s="37"/>
      <c r="K1059" s="37"/>
      <c r="L1059" s="37"/>
      <c r="M1059" s="37"/>
      <c r="N1059" s="37"/>
      <c r="O1059" s="37"/>
      <c r="P1059" s="37"/>
      <c r="Q1059" s="37"/>
      <c r="R1059" s="37"/>
      <c r="S1059" s="37"/>
      <c r="T1059" s="37"/>
      <c r="U1059" s="37"/>
      <c r="V1059" s="37"/>
    </row>
    <row r="1060">
      <c r="A1060" s="1"/>
      <c r="B1060" s="37"/>
      <c r="C1060" s="37"/>
      <c r="D1060" s="37"/>
      <c r="E1060" s="37"/>
      <c r="F1060" s="37"/>
      <c r="G1060" s="37"/>
      <c r="H1060" s="37"/>
      <c r="I1060" s="37"/>
      <c r="J1060" s="37"/>
      <c r="K1060" s="37"/>
      <c r="L1060" s="37"/>
      <c r="M1060" s="37"/>
      <c r="N1060" s="37"/>
      <c r="O1060" s="37"/>
      <c r="P1060" s="37"/>
      <c r="Q1060" s="37"/>
      <c r="R1060" s="37"/>
      <c r="S1060" s="37"/>
      <c r="T1060" s="37"/>
      <c r="U1060" s="37"/>
      <c r="V1060" s="37"/>
    </row>
    <row r="1061">
      <c r="A1061" s="1"/>
      <c r="B1061" s="37"/>
      <c r="C1061" s="37"/>
      <c r="D1061" s="37"/>
      <c r="E1061" s="37"/>
      <c r="F1061" s="37"/>
      <c r="G1061" s="37"/>
      <c r="H1061" s="37"/>
      <c r="I1061" s="37"/>
      <c r="J1061" s="37"/>
      <c r="K1061" s="37"/>
      <c r="L1061" s="37"/>
      <c r="M1061" s="37"/>
      <c r="N1061" s="37"/>
      <c r="O1061" s="37"/>
      <c r="P1061" s="37"/>
      <c r="Q1061" s="37"/>
      <c r="R1061" s="37"/>
      <c r="S1061" s="37"/>
      <c r="T1061" s="37"/>
      <c r="U1061" s="37"/>
      <c r="V1061" s="37"/>
    </row>
    <row r="1062">
      <c r="A1062" s="1"/>
      <c r="B1062" s="37"/>
      <c r="C1062" s="37"/>
      <c r="D1062" s="37"/>
      <c r="E1062" s="37"/>
      <c r="F1062" s="37"/>
      <c r="G1062" s="37"/>
      <c r="H1062" s="37"/>
      <c r="I1062" s="37"/>
      <c r="J1062" s="37"/>
      <c r="K1062" s="37"/>
      <c r="L1062" s="37"/>
      <c r="M1062" s="37"/>
      <c r="N1062" s="37"/>
      <c r="O1062" s="37"/>
      <c r="P1062" s="37"/>
      <c r="Q1062" s="37"/>
      <c r="R1062" s="37"/>
      <c r="S1062" s="37"/>
      <c r="T1062" s="37"/>
      <c r="U1062" s="37"/>
      <c r="V1062" s="37"/>
    </row>
    <row r="1063">
      <c r="A1063" s="1"/>
      <c r="B1063" s="37"/>
      <c r="C1063" s="37"/>
      <c r="D1063" s="37"/>
      <c r="E1063" s="37"/>
      <c r="F1063" s="37"/>
      <c r="G1063" s="37"/>
      <c r="H1063" s="37"/>
      <c r="I1063" s="37"/>
      <c r="J1063" s="37"/>
      <c r="K1063" s="37"/>
      <c r="L1063" s="37"/>
      <c r="M1063" s="37"/>
      <c r="N1063" s="37"/>
      <c r="O1063" s="37"/>
      <c r="P1063" s="37"/>
      <c r="Q1063" s="37"/>
      <c r="R1063" s="37"/>
      <c r="S1063" s="37"/>
      <c r="T1063" s="37"/>
      <c r="U1063" s="37"/>
      <c r="V1063" s="37"/>
    </row>
    <row r="1064">
      <c r="A1064" s="1"/>
      <c r="B1064" s="37"/>
      <c r="C1064" s="37"/>
      <c r="D1064" s="37"/>
      <c r="E1064" s="37"/>
      <c r="F1064" s="37"/>
      <c r="G1064" s="37"/>
      <c r="H1064" s="37"/>
      <c r="I1064" s="37"/>
      <c r="J1064" s="37"/>
      <c r="K1064" s="37"/>
      <c r="L1064" s="37"/>
      <c r="M1064" s="37"/>
      <c r="N1064" s="37"/>
      <c r="O1064" s="37"/>
      <c r="P1064" s="37"/>
      <c r="Q1064" s="37"/>
      <c r="R1064" s="37"/>
      <c r="S1064" s="37"/>
      <c r="T1064" s="37"/>
      <c r="U1064" s="37"/>
      <c r="V1064" s="37"/>
    </row>
    <row r="1065">
      <c r="A1065" s="1"/>
      <c r="B1065" s="37"/>
      <c r="C1065" s="37"/>
      <c r="D1065" s="37"/>
      <c r="E1065" s="37"/>
      <c r="F1065" s="37"/>
      <c r="G1065" s="37"/>
      <c r="H1065" s="37"/>
      <c r="I1065" s="37"/>
      <c r="J1065" s="37"/>
      <c r="K1065" s="37"/>
      <c r="L1065" s="37"/>
      <c r="M1065" s="37"/>
      <c r="N1065" s="37"/>
      <c r="O1065" s="37"/>
      <c r="P1065" s="37"/>
      <c r="Q1065" s="37"/>
      <c r="R1065" s="37"/>
      <c r="S1065" s="37"/>
      <c r="T1065" s="37"/>
      <c r="U1065" s="37"/>
      <c r="V1065" s="37"/>
    </row>
    <row r="1066">
      <c r="A1066" s="1"/>
      <c r="B1066" s="37"/>
      <c r="C1066" s="37"/>
      <c r="D1066" s="37"/>
      <c r="E1066" s="37"/>
      <c r="F1066" s="37"/>
      <c r="G1066" s="37"/>
      <c r="H1066" s="37"/>
      <c r="I1066" s="37"/>
      <c r="J1066" s="37"/>
      <c r="K1066" s="37"/>
      <c r="L1066" s="37"/>
      <c r="M1066" s="37"/>
      <c r="N1066" s="37"/>
      <c r="O1066" s="37"/>
      <c r="P1066" s="37"/>
      <c r="Q1066" s="37"/>
      <c r="R1066" s="37"/>
      <c r="S1066" s="37"/>
      <c r="T1066" s="37"/>
      <c r="U1066" s="37"/>
      <c r="V1066" s="37"/>
    </row>
    <row r="1067">
      <c r="A1067" s="1"/>
      <c r="B1067" s="37"/>
      <c r="C1067" s="37"/>
      <c r="D1067" s="37"/>
      <c r="E1067" s="37"/>
      <c r="F1067" s="37"/>
      <c r="G1067" s="37"/>
      <c r="H1067" s="37"/>
      <c r="I1067" s="37"/>
      <c r="J1067" s="37"/>
      <c r="K1067" s="37"/>
      <c r="L1067" s="37"/>
      <c r="M1067" s="37"/>
      <c r="N1067" s="37"/>
      <c r="O1067" s="37"/>
      <c r="P1067" s="37"/>
      <c r="Q1067" s="37"/>
      <c r="R1067" s="37"/>
      <c r="S1067" s="37"/>
      <c r="T1067" s="37"/>
      <c r="U1067" s="37"/>
      <c r="V1067" s="37"/>
    </row>
    <row r="1068">
      <c r="A1068" s="1"/>
      <c r="B1068" s="37"/>
      <c r="C1068" s="37"/>
      <c r="D1068" s="37"/>
      <c r="E1068" s="37"/>
      <c r="F1068" s="37"/>
      <c r="G1068" s="37"/>
      <c r="H1068" s="37"/>
      <c r="I1068" s="37"/>
      <c r="J1068" s="37"/>
      <c r="K1068" s="37"/>
      <c r="L1068" s="37"/>
      <c r="M1068" s="37"/>
      <c r="N1068" s="37"/>
      <c r="O1068" s="37"/>
      <c r="P1068" s="37"/>
      <c r="Q1068" s="37"/>
      <c r="R1068" s="37"/>
      <c r="S1068" s="37"/>
      <c r="T1068" s="37"/>
      <c r="U1068" s="37"/>
      <c r="V1068" s="37"/>
    </row>
    <row r="1069">
      <c r="A1069" s="1"/>
      <c r="B1069" s="37"/>
      <c r="C1069" s="37"/>
      <c r="D1069" s="37"/>
      <c r="E1069" s="37"/>
      <c r="F1069" s="37"/>
      <c r="G1069" s="37"/>
      <c r="H1069" s="37"/>
      <c r="I1069" s="37"/>
      <c r="J1069" s="37"/>
      <c r="K1069" s="37"/>
      <c r="L1069" s="37"/>
      <c r="M1069" s="37"/>
      <c r="N1069" s="37"/>
      <c r="O1069" s="37"/>
      <c r="P1069" s="37"/>
      <c r="Q1069" s="37"/>
      <c r="R1069" s="37"/>
      <c r="S1069" s="37"/>
      <c r="T1069" s="37"/>
      <c r="U1069" s="37"/>
      <c r="V1069" s="37"/>
    </row>
    <row r="1070">
      <c r="A1070" s="1"/>
      <c r="B1070" s="37"/>
      <c r="C1070" s="37"/>
      <c r="D1070" s="37"/>
      <c r="E1070" s="37"/>
      <c r="F1070" s="37"/>
      <c r="G1070" s="37"/>
      <c r="H1070" s="37"/>
      <c r="I1070" s="37"/>
      <c r="J1070" s="37"/>
      <c r="K1070" s="37"/>
      <c r="L1070" s="37"/>
      <c r="M1070" s="37"/>
      <c r="N1070" s="37"/>
      <c r="O1070" s="37"/>
      <c r="P1070" s="37"/>
      <c r="Q1070" s="37"/>
      <c r="R1070" s="37"/>
      <c r="S1070" s="37"/>
      <c r="T1070" s="37"/>
      <c r="U1070" s="37"/>
      <c r="V1070" s="37"/>
    </row>
    <row r="1071">
      <c r="A1071" s="1"/>
      <c r="B1071" s="37"/>
      <c r="C1071" s="37"/>
      <c r="D1071" s="37"/>
      <c r="E1071" s="37"/>
      <c r="F1071" s="37"/>
      <c r="G1071" s="37"/>
      <c r="H1071" s="37"/>
      <c r="I1071" s="37"/>
      <c r="J1071" s="37"/>
      <c r="K1071" s="37"/>
      <c r="L1071" s="37"/>
      <c r="M1071" s="37"/>
      <c r="N1071" s="37"/>
      <c r="O1071" s="37"/>
      <c r="P1071" s="37"/>
      <c r="Q1071" s="37"/>
      <c r="R1071" s="37"/>
      <c r="S1071" s="37"/>
      <c r="T1071" s="37"/>
      <c r="U1071" s="37"/>
      <c r="V1071" s="37"/>
    </row>
    <row r="1072">
      <c r="A1072" s="1"/>
      <c r="B1072" s="37"/>
      <c r="C1072" s="37"/>
      <c r="D1072" s="37"/>
      <c r="E1072" s="37"/>
      <c r="F1072" s="37"/>
      <c r="G1072" s="37"/>
      <c r="H1072" s="37"/>
      <c r="I1072" s="37"/>
      <c r="J1072" s="37"/>
      <c r="K1072" s="37"/>
      <c r="L1072" s="37"/>
      <c r="M1072" s="37"/>
      <c r="N1072" s="37"/>
      <c r="O1072" s="37"/>
      <c r="P1072" s="37"/>
      <c r="Q1072" s="37"/>
      <c r="R1072" s="37"/>
      <c r="S1072" s="37"/>
      <c r="T1072" s="37"/>
      <c r="U1072" s="37"/>
      <c r="V1072" s="37"/>
    </row>
    <row r="1073">
      <c r="A1073" s="1"/>
      <c r="B1073" s="37"/>
      <c r="C1073" s="37"/>
      <c r="D1073" s="37"/>
      <c r="E1073" s="37"/>
      <c r="F1073" s="37"/>
      <c r="G1073" s="37"/>
      <c r="H1073" s="37"/>
      <c r="I1073" s="37"/>
      <c r="J1073" s="37"/>
      <c r="K1073" s="37"/>
      <c r="L1073" s="37"/>
      <c r="M1073" s="37"/>
      <c r="N1073" s="37"/>
      <c r="O1073" s="37"/>
      <c r="P1073" s="37"/>
      <c r="Q1073" s="37"/>
      <c r="R1073" s="37"/>
      <c r="S1073" s="37"/>
      <c r="T1073" s="37"/>
      <c r="U1073" s="37"/>
      <c r="V1073" s="37"/>
    </row>
    <row r="1074">
      <c r="A1074" s="1"/>
      <c r="B1074" s="37"/>
      <c r="C1074" s="37"/>
      <c r="D1074" s="37"/>
      <c r="E1074" s="37"/>
      <c r="F1074" s="37"/>
      <c r="G1074" s="37"/>
      <c r="H1074" s="37"/>
      <c r="I1074" s="37"/>
      <c r="J1074" s="37"/>
      <c r="K1074" s="37"/>
      <c r="L1074" s="37"/>
      <c r="M1074" s="37"/>
      <c r="N1074" s="37"/>
      <c r="O1074" s="37"/>
      <c r="P1074" s="37"/>
      <c r="Q1074" s="37"/>
      <c r="R1074" s="37"/>
      <c r="S1074" s="37"/>
      <c r="T1074" s="37"/>
      <c r="U1074" s="37"/>
      <c r="V1074" s="37"/>
    </row>
    <row r="1075">
      <c r="A1075" s="1"/>
      <c r="B1075" s="37"/>
      <c r="C1075" s="37"/>
      <c r="D1075" s="37"/>
      <c r="E1075" s="37"/>
      <c r="F1075" s="37"/>
      <c r="G1075" s="37"/>
      <c r="H1075" s="37"/>
      <c r="I1075" s="37"/>
      <c r="J1075" s="37"/>
      <c r="K1075" s="37"/>
      <c r="L1075" s="37"/>
      <c r="M1075" s="37"/>
      <c r="N1075" s="37"/>
      <c r="O1075" s="37"/>
      <c r="P1075" s="37"/>
      <c r="Q1075" s="37"/>
      <c r="R1075" s="37"/>
      <c r="S1075" s="37"/>
      <c r="T1075" s="37"/>
      <c r="U1075" s="37"/>
      <c r="V1075" s="37"/>
    </row>
    <row r="1076">
      <c r="A1076" s="1"/>
      <c r="B1076" s="37"/>
      <c r="C1076" s="37"/>
      <c r="D1076" s="37"/>
      <c r="E1076" s="37"/>
      <c r="F1076" s="37"/>
      <c r="G1076" s="37"/>
      <c r="H1076" s="37"/>
      <c r="I1076" s="37"/>
      <c r="J1076" s="37"/>
      <c r="K1076" s="37"/>
      <c r="L1076" s="37"/>
      <c r="M1076" s="37"/>
      <c r="N1076" s="37"/>
      <c r="O1076" s="37"/>
      <c r="P1076" s="37"/>
      <c r="Q1076" s="37"/>
      <c r="R1076" s="37"/>
      <c r="S1076" s="37"/>
      <c r="T1076" s="37"/>
      <c r="U1076" s="37"/>
      <c r="V1076" s="37"/>
    </row>
    <row r="1077">
      <c r="A1077" s="1"/>
      <c r="B1077" s="37"/>
      <c r="C1077" s="37"/>
      <c r="D1077" s="37"/>
      <c r="E1077" s="37"/>
      <c r="F1077" s="37"/>
      <c r="G1077" s="37"/>
      <c r="H1077" s="37"/>
      <c r="I1077" s="37"/>
      <c r="J1077" s="37"/>
      <c r="K1077" s="37"/>
      <c r="L1077" s="37"/>
      <c r="M1077" s="37"/>
      <c r="N1077" s="37"/>
      <c r="O1077" s="37"/>
      <c r="P1077" s="37"/>
      <c r="Q1077" s="37"/>
      <c r="R1077" s="37"/>
      <c r="S1077" s="37"/>
      <c r="T1077" s="37"/>
      <c r="U1077" s="37"/>
      <c r="V1077" s="37"/>
    </row>
    <row r="1078">
      <c r="A1078" s="1"/>
      <c r="B1078" s="37"/>
      <c r="C1078" s="37"/>
      <c r="D1078" s="37"/>
      <c r="E1078" s="37"/>
      <c r="F1078" s="37"/>
      <c r="G1078" s="37"/>
      <c r="H1078" s="37"/>
      <c r="I1078" s="37"/>
      <c r="J1078" s="37"/>
      <c r="K1078" s="37"/>
      <c r="L1078" s="37"/>
      <c r="M1078" s="37"/>
      <c r="N1078" s="37"/>
      <c r="O1078" s="37"/>
      <c r="P1078" s="37"/>
      <c r="Q1078" s="37"/>
      <c r="R1078" s="37"/>
      <c r="S1078" s="37"/>
      <c r="T1078" s="37"/>
      <c r="U1078" s="37"/>
      <c r="V1078" s="37"/>
    </row>
    <row r="1079">
      <c r="A1079" s="1"/>
      <c r="B1079" s="37"/>
      <c r="C1079" s="37"/>
      <c r="D1079" s="37"/>
      <c r="E1079" s="37"/>
      <c r="F1079" s="37"/>
      <c r="G1079" s="37"/>
      <c r="H1079" s="37"/>
      <c r="I1079" s="37"/>
      <c r="J1079" s="37"/>
      <c r="K1079" s="37"/>
      <c r="L1079" s="37"/>
      <c r="M1079" s="37"/>
      <c r="N1079" s="37"/>
      <c r="O1079" s="37"/>
      <c r="P1079" s="37"/>
      <c r="Q1079" s="37"/>
      <c r="R1079" s="37"/>
      <c r="S1079" s="37"/>
      <c r="T1079" s="37"/>
      <c r="U1079" s="37"/>
      <c r="V1079" s="3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1.38"/>
    <col customWidth="1" min="2" max="2" width="12.0"/>
    <col customWidth="1" min="3" max="3" width="30.75"/>
    <col customWidth="1" min="4" max="4" width="13.38"/>
    <col customWidth="1" min="5" max="5" width="12.88"/>
    <col customWidth="1" min="6" max="6" width="15.38"/>
    <col customWidth="1" min="7" max="9" width="14.0"/>
    <col customWidth="1" min="10" max="12" width="13.38"/>
    <col customWidth="1" min="13" max="13" width="10.5"/>
    <col customWidth="1" min="14" max="15" width="15.13"/>
    <col customWidth="1" min="16" max="16" width="12.88"/>
    <col customWidth="1" hidden="1" min="17" max="17" width="15.38"/>
    <col customWidth="1" min="18" max="20" width="14.0"/>
    <col customWidth="1" min="21" max="24" width="13.38"/>
    <col customWidth="1" min="25" max="26" width="12.88"/>
    <col customWidth="1" min="27" max="27" width="20.0"/>
    <col customWidth="1" min="28" max="28" width="12.88"/>
    <col customWidth="1" min="29" max="29" width="15.38"/>
    <col customWidth="1" min="30" max="32" width="14.0"/>
    <col customWidth="1" min="33" max="35" width="13.38"/>
    <col customWidth="1" min="36" max="38" width="15.13"/>
  </cols>
  <sheetData>
    <row r="1" ht="51.75" customHeight="1">
      <c r="A1" s="139" t="s">
        <v>1615</v>
      </c>
      <c r="B1" s="139" t="s">
        <v>23</v>
      </c>
      <c r="C1" s="139" t="s">
        <v>1616</v>
      </c>
      <c r="D1" s="139" t="s">
        <v>1617</v>
      </c>
      <c r="E1" s="139" t="s">
        <v>1618</v>
      </c>
      <c r="F1" s="139" t="s">
        <v>1619</v>
      </c>
      <c r="G1" s="140" t="s">
        <v>1620</v>
      </c>
      <c r="H1" s="141" t="s">
        <v>1621</v>
      </c>
      <c r="I1" s="141" t="s">
        <v>1622</v>
      </c>
      <c r="J1" s="141" t="s">
        <v>1623</v>
      </c>
      <c r="K1" s="141" t="s">
        <v>1624</v>
      </c>
      <c r="L1" s="141" t="s">
        <v>1625</v>
      </c>
      <c r="M1" s="141" t="s">
        <v>1626</v>
      </c>
      <c r="N1" s="141" t="s">
        <v>1627</v>
      </c>
      <c r="O1" s="141" t="s">
        <v>1628</v>
      </c>
      <c r="P1" s="142" t="s">
        <v>1629</v>
      </c>
      <c r="Q1" s="142" t="s">
        <v>1630</v>
      </c>
      <c r="R1" s="143" t="s">
        <v>1631</v>
      </c>
      <c r="S1" s="144" t="s">
        <v>1632</v>
      </c>
      <c r="T1" s="144" t="s">
        <v>1633</v>
      </c>
      <c r="U1" s="144" t="s">
        <v>1634</v>
      </c>
      <c r="V1" s="145" t="s">
        <v>1635</v>
      </c>
      <c r="W1" s="145" t="s">
        <v>1636</v>
      </c>
      <c r="X1" s="145" t="s">
        <v>1637</v>
      </c>
      <c r="Y1" s="145" t="s">
        <v>1638</v>
      </c>
      <c r="Z1" s="145" t="s">
        <v>1639</v>
      </c>
      <c r="AA1" s="145" t="s">
        <v>1640</v>
      </c>
      <c r="AB1" s="146" t="s">
        <v>1641</v>
      </c>
      <c r="AC1" s="146" t="s">
        <v>1642</v>
      </c>
      <c r="AD1" s="147" t="s">
        <v>1643</v>
      </c>
      <c r="AE1" s="148" t="s">
        <v>1644</v>
      </c>
      <c r="AF1" s="148" t="s">
        <v>1645</v>
      </c>
      <c r="AG1" s="148" t="s">
        <v>1646</v>
      </c>
      <c r="AH1" s="148" t="s">
        <v>1647</v>
      </c>
      <c r="AI1" s="148" t="s">
        <v>1648</v>
      </c>
      <c r="AJ1" s="148" t="s">
        <v>1649</v>
      </c>
      <c r="AK1" s="148" t="s">
        <v>1639</v>
      </c>
      <c r="AL1" s="148" t="s">
        <v>1640</v>
      </c>
    </row>
    <row r="2" ht="15.75" hidden="1" customHeight="1">
      <c r="A2" s="149" t="str">
        <f t="array" ref="A2">XLOOKUP(MONTH(B2),BASE!$F$16:$F$27,BASE!$G$16:$G$27)</f>
        <v>Janeiro</v>
      </c>
      <c r="B2" s="150">
        <v>46023.0</v>
      </c>
      <c r="C2" s="151"/>
      <c r="D2" s="149" t="str">
        <f t="shared" ref="D2:D366" si="4">TEXT(B2,"dddd")</f>
        <v>quinta-feira</v>
      </c>
      <c r="E2" s="152">
        <f t="shared" ref="E2:F2" si="1">IFERROR(SUM(P2,AB2)," ")</f>
        <v>0</v>
      </c>
      <c r="F2" s="152">
        <f t="shared" si="1"/>
        <v>0</v>
      </c>
      <c r="G2" s="152">
        <f>IFERROR(SUM(R2,AD2),"")</f>
        <v>0</v>
      </c>
      <c r="H2" s="153">
        <f t="shared" ref="H2:J2" si="2">IFERROR(SUM(S2,AE2)," ")</f>
        <v>0</v>
      </c>
      <c r="I2" s="153">
        <f t="shared" si="2"/>
        <v>0</v>
      </c>
      <c r="J2" s="153">
        <f t="shared" si="2"/>
        <v>0</v>
      </c>
      <c r="K2" s="153">
        <f t="shared" ref="K2:M2" si="3">IFERROR(SUM(W2,AH2)," ")</f>
        <v>0</v>
      </c>
      <c r="L2" s="153">
        <f t="shared" si="3"/>
        <v>0</v>
      </c>
      <c r="M2" s="153">
        <f t="shared" si="3"/>
        <v>0</v>
      </c>
      <c r="N2" s="153"/>
      <c r="O2" s="153"/>
      <c r="P2" s="152" t="str">
        <f t="array" ref="P2">IFERROR(XLOOKUP(B2,'ImportaçãoGoogleAds - Adveronix'!$F:$F,'ImportaçãoGoogleAds - Adveronix'!$B:$B)," ")</f>
        <v> </v>
      </c>
      <c r="Q2" s="154"/>
      <c r="R2" s="154"/>
      <c r="S2" s="155" t="str">
        <f t="array" ref="S2">IFERROR(XLOOKUP(B2,'ImportaçãoGoogleAds - Adveronix'!$F:$F,'ImportaçãoGoogleAds - Adveronix'!C:C)," ")</f>
        <v> </v>
      </c>
      <c r="T2" s="155" t="str">
        <f t="array" ref="T2">IFERROR(XLOOKUP(B2,'ImportaçãoGoogleAds - Adveronix'!$F:$F,'ImportaçãoGoogleAds - Adveronix'!D:D)," ")</f>
        <v> </v>
      </c>
      <c r="U2" s="155" t="str">
        <f t="array" ref="U2">IFERROR(XLOOKUP(B2,'ImportaçãoGoogleAds - Adveronix'!$F:$F,'ImportaçãoGoogleAds - Adveronix'!E:E)," ")</f>
        <v> </v>
      </c>
      <c r="V2" s="156"/>
      <c r="W2" s="157"/>
      <c r="X2" s="157"/>
      <c r="Y2" s="158"/>
      <c r="Z2" s="158"/>
      <c r="AA2" s="158"/>
      <c r="AB2" s="152" t="str">
        <f t="array" ref="AB2">IFERROR(XLOOKUP(B2,'ImportaçãoMeta - Adveronix'!F:F,'ImportaçãoMeta - Adveronix'!B:B),"")</f>
        <v/>
      </c>
      <c r="AC2" s="154"/>
      <c r="AD2" s="154"/>
      <c r="AE2" s="159" t="str">
        <f t="array" ref="AE2">IFERROR(XLOOKUP(B2,'ImportaçãoMeta - Adveronix'!$F:$F,'ImportaçãoMeta - Adveronix'!C:C),"")</f>
        <v/>
      </c>
      <c r="AF2" s="159" t="str">
        <f t="array" ref="AF2">IFERROR(XLOOKUP(B2,'ImportaçãoMeta - Adveronix'!$F:$F,'ImportaçãoMeta - Adveronix'!D:D),"")</f>
        <v/>
      </c>
      <c r="AG2" s="159" t="str">
        <f t="array" ref="AG2">IFERROR(XLOOKUP(B2,'ImportaçãoMeta - Adveronix'!$F:$F,'ImportaçãoMeta - Adveronix'!E:E),"")</f>
        <v/>
      </c>
      <c r="AH2" s="157"/>
      <c r="AI2" s="157"/>
      <c r="AJ2" s="156"/>
      <c r="AK2" s="160"/>
      <c r="AL2" s="160"/>
    </row>
    <row r="3" ht="15.75" hidden="1" customHeight="1">
      <c r="A3" s="149" t="str">
        <f t="array" ref="A3">XLOOKUP(MONTH(B3),BASE!$F$16:$F$27,BASE!$G$16:$G$27)</f>
        <v>Janeiro</v>
      </c>
      <c r="B3" s="150">
        <v>46024.0</v>
      </c>
      <c r="C3" s="151"/>
      <c r="D3" s="149" t="str">
        <f t="shared" si="4"/>
        <v>sexta-feira</v>
      </c>
      <c r="E3" s="152">
        <f t="shared" ref="E3:J3" si="5">IFERROR(SUM(P3,AB3)," ")</f>
        <v>0</v>
      </c>
      <c r="F3" s="152">
        <f t="shared" si="5"/>
        <v>0</v>
      </c>
      <c r="G3" s="152">
        <f t="shared" si="5"/>
        <v>0</v>
      </c>
      <c r="H3" s="153">
        <f t="shared" si="5"/>
        <v>0</v>
      </c>
      <c r="I3" s="153">
        <f t="shared" si="5"/>
        <v>0</v>
      </c>
      <c r="J3" s="153">
        <f t="shared" si="5"/>
        <v>0</v>
      </c>
      <c r="K3" s="153">
        <f t="shared" ref="K3:M3" si="6">IFERROR(SUM(W3,AH3)," ")</f>
        <v>0</v>
      </c>
      <c r="L3" s="153">
        <f t="shared" si="6"/>
        <v>0</v>
      </c>
      <c r="M3" s="153">
        <f t="shared" si="6"/>
        <v>0</v>
      </c>
      <c r="N3" s="153"/>
      <c r="O3" s="153"/>
      <c r="P3" s="152" t="str">
        <f t="array" ref="P3">IFERROR(XLOOKUP(B3,'ImportaçãoGoogleAds - Adveronix'!$F:$F,'ImportaçãoGoogleAds - Adveronix'!$B:$B)," ")</f>
        <v> </v>
      </c>
      <c r="Q3" s="154"/>
      <c r="R3" s="154"/>
      <c r="S3" s="155" t="str">
        <f t="array" ref="S3">IFERROR(XLOOKUP(B3,'ImportaçãoGoogleAds - Adveronix'!$F:$F,'ImportaçãoGoogleAds - Adveronix'!C:C)," ")</f>
        <v> </v>
      </c>
      <c r="T3" s="155" t="str">
        <f t="array" ref="T3">IFERROR(XLOOKUP(B3,'ImportaçãoGoogleAds - Adveronix'!$F:$F,'ImportaçãoGoogleAds - Adveronix'!D:D)," ")</f>
        <v> </v>
      </c>
      <c r="U3" s="155" t="str">
        <f t="array" ref="U3">IFERROR(XLOOKUP(B3,'ImportaçãoGoogleAds - Adveronix'!$F:$F,'ImportaçãoGoogleAds - Adveronix'!E:E)," ")</f>
        <v> </v>
      </c>
      <c r="V3" s="156"/>
      <c r="W3" s="157"/>
      <c r="X3" s="157"/>
      <c r="Y3" s="158"/>
      <c r="Z3" s="158"/>
      <c r="AA3" s="158"/>
      <c r="AB3" s="152" t="str">
        <f t="array" ref="AB3">IFERROR(XLOOKUP(B3,'ImportaçãoMeta - Adveronix'!F:F,'ImportaçãoMeta - Adveronix'!B:B),"")</f>
        <v/>
      </c>
      <c r="AC3" s="154"/>
      <c r="AD3" s="154"/>
      <c r="AE3" s="159" t="str">
        <f t="array" ref="AE3">IFERROR(XLOOKUP(B3,'ImportaçãoMeta - Adveronix'!$F:$F,'ImportaçãoMeta - Adveronix'!C:C),"")</f>
        <v/>
      </c>
      <c r="AF3" s="159" t="str">
        <f t="array" ref="AF3">IFERROR(XLOOKUP(B3,'ImportaçãoMeta - Adveronix'!$F:$F,'ImportaçãoMeta - Adveronix'!D:D),"")</f>
        <v/>
      </c>
      <c r="AG3" s="159" t="str">
        <f t="array" ref="AG3">IFERROR(XLOOKUP(B3,'ImportaçãoMeta - Adveronix'!$F:$F,'ImportaçãoMeta - Adveronix'!E:E),"")</f>
        <v/>
      </c>
      <c r="AH3" s="157"/>
      <c r="AI3" s="157"/>
      <c r="AJ3" s="156"/>
      <c r="AK3" s="160"/>
      <c r="AL3" s="160"/>
    </row>
    <row r="4" ht="15.75" hidden="1" customHeight="1">
      <c r="A4" s="149" t="str">
        <f t="array" ref="A4">XLOOKUP(MONTH(B4),BASE!$F$16:$F$27,BASE!$G$16:$G$27)</f>
        <v>Janeiro</v>
      </c>
      <c r="B4" s="150">
        <v>46025.0</v>
      </c>
      <c r="C4" s="151"/>
      <c r="D4" s="149" t="str">
        <f t="shared" si="4"/>
        <v>sábado</v>
      </c>
      <c r="E4" s="152">
        <f t="shared" ref="E4:J4" si="7">IFERROR(SUM(P4,AB4)," ")</f>
        <v>0</v>
      </c>
      <c r="F4" s="152">
        <f t="shared" si="7"/>
        <v>0</v>
      </c>
      <c r="G4" s="152">
        <f t="shared" si="7"/>
        <v>0</v>
      </c>
      <c r="H4" s="153">
        <f t="shared" si="7"/>
        <v>0</v>
      </c>
      <c r="I4" s="153">
        <f t="shared" si="7"/>
        <v>0</v>
      </c>
      <c r="J4" s="153">
        <f t="shared" si="7"/>
        <v>0</v>
      </c>
      <c r="K4" s="153">
        <f t="shared" ref="K4:M4" si="8">IFERROR(SUM(W4,AH4)," ")</f>
        <v>0</v>
      </c>
      <c r="L4" s="153">
        <f t="shared" si="8"/>
        <v>0</v>
      </c>
      <c r="M4" s="153">
        <f t="shared" si="8"/>
        <v>0</v>
      </c>
      <c r="N4" s="153"/>
      <c r="O4" s="153"/>
      <c r="P4" s="152" t="str">
        <f t="array" ref="P4">IFERROR(XLOOKUP(B4,'ImportaçãoGoogleAds - Adveronix'!$F:$F,'ImportaçãoGoogleAds - Adveronix'!$B:$B)," ")</f>
        <v> </v>
      </c>
      <c r="Q4" s="154"/>
      <c r="R4" s="154"/>
      <c r="S4" s="155" t="str">
        <f t="array" ref="S4">IFERROR(XLOOKUP(B4,'ImportaçãoGoogleAds - Adveronix'!$F:$F,'ImportaçãoGoogleAds - Adveronix'!C:C)," ")</f>
        <v> </v>
      </c>
      <c r="T4" s="155" t="str">
        <f t="array" ref="T4">IFERROR(XLOOKUP(B4,'ImportaçãoGoogleAds - Adveronix'!$F:$F,'ImportaçãoGoogleAds - Adveronix'!D:D)," ")</f>
        <v> </v>
      </c>
      <c r="U4" s="155" t="str">
        <f t="array" ref="U4">IFERROR(XLOOKUP(B4,'ImportaçãoGoogleAds - Adveronix'!$F:$F,'ImportaçãoGoogleAds - Adveronix'!E:E)," ")</f>
        <v> </v>
      </c>
      <c r="V4" s="156"/>
      <c r="W4" s="157"/>
      <c r="X4" s="157"/>
      <c r="Y4" s="158"/>
      <c r="Z4" s="158"/>
      <c r="AA4" s="158"/>
      <c r="AB4" s="152" t="str">
        <f t="array" ref="AB4">IFERROR(XLOOKUP(B4,'ImportaçãoMeta - Adveronix'!F:F,'ImportaçãoMeta - Adveronix'!B:B),"")</f>
        <v/>
      </c>
      <c r="AC4" s="154"/>
      <c r="AD4" s="154"/>
      <c r="AE4" s="159" t="str">
        <f t="array" ref="AE4">IFERROR(XLOOKUP(B4,'ImportaçãoMeta - Adveronix'!$F:$F,'ImportaçãoMeta - Adveronix'!C:C),"")</f>
        <v/>
      </c>
      <c r="AF4" s="159" t="str">
        <f t="array" ref="AF4">IFERROR(XLOOKUP(B4,'ImportaçãoMeta - Adveronix'!$F:$F,'ImportaçãoMeta - Adveronix'!D:D),"")</f>
        <v/>
      </c>
      <c r="AG4" s="159" t="str">
        <f t="array" ref="AG4">IFERROR(XLOOKUP(B4,'ImportaçãoMeta - Adveronix'!$F:$F,'ImportaçãoMeta - Adveronix'!E:E),"")</f>
        <v/>
      </c>
      <c r="AH4" s="157"/>
      <c r="AI4" s="157"/>
      <c r="AJ4" s="156"/>
      <c r="AK4" s="160"/>
      <c r="AL4" s="160"/>
    </row>
    <row r="5" ht="15.75" hidden="1" customHeight="1">
      <c r="A5" s="149" t="str">
        <f t="array" ref="A5">XLOOKUP(MONTH(B5),BASE!$F$16:$F$27,BASE!$G$16:$G$27)</f>
        <v>Janeiro</v>
      </c>
      <c r="B5" s="150">
        <v>46026.0</v>
      </c>
      <c r="C5" s="151"/>
      <c r="D5" s="149" t="str">
        <f t="shared" si="4"/>
        <v>domingo</v>
      </c>
      <c r="E5" s="152">
        <f t="shared" ref="E5:J5" si="9">IFERROR(SUM(P5,AB5)," ")</f>
        <v>0</v>
      </c>
      <c r="F5" s="152">
        <f t="shared" si="9"/>
        <v>0</v>
      </c>
      <c r="G5" s="152">
        <f t="shared" si="9"/>
        <v>0</v>
      </c>
      <c r="H5" s="153">
        <f t="shared" si="9"/>
        <v>0</v>
      </c>
      <c r="I5" s="153">
        <f t="shared" si="9"/>
        <v>0</v>
      </c>
      <c r="J5" s="153">
        <f t="shared" si="9"/>
        <v>0</v>
      </c>
      <c r="K5" s="153">
        <f t="shared" ref="K5:M5" si="10">IFERROR(SUM(W5,AH5)," ")</f>
        <v>0</v>
      </c>
      <c r="L5" s="153">
        <f t="shared" si="10"/>
        <v>0</v>
      </c>
      <c r="M5" s="153">
        <f t="shared" si="10"/>
        <v>0</v>
      </c>
      <c r="N5" s="153"/>
      <c r="O5" s="153"/>
      <c r="P5" s="152" t="str">
        <f t="array" ref="P5">IFERROR(XLOOKUP(B5,'ImportaçãoGoogleAds - Adveronix'!$F:$F,'ImportaçãoGoogleAds - Adveronix'!$B:$B)," ")</f>
        <v> </v>
      </c>
      <c r="Q5" s="154"/>
      <c r="R5" s="154"/>
      <c r="S5" s="155" t="str">
        <f t="array" ref="S5">IFERROR(XLOOKUP(B5,'ImportaçãoGoogleAds - Adveronix'!$F:$F,'ImportaçãoGoogleAds - Adveronix'!C:C)," ")</f>
        <v> </v>
      </c>
      <c r="T5" s="155" t="str">
        <f t="array" ref="T5">IFERROR(XLOOKUP(B5,'ImportaçãoGoogleAds - Adveronix'!$F:$F,'ImportaçãoGoogleAds - Adveronix'!D:D)," ")</f>
        <v> </v>
      </c>
      <c r="U5" s="155" t="str">
        <f t="array" ref="U5">IFERROR(XLOOKUP(B5,'ImportaçãoGoogleAds - Adveronix'!$F:$F,'ImportaçãoGoogleAds - Adveronix'!E:E)," ")</f>
        <v> </v>
      </c>
      <c r="V5" s="156"/>
      <c r="W5" s="157"/>
      <c r="X5" s="157"/>
      <c r="Y5" s="158"/>
      <c r="Z5" s="158"/>
      <c r="AA5" s="158"/>
      <c r="AB5" s="152" t="str">
        <f t="array" ref="AB5">IFERROR(XLOOKUP(B5,'ImportaçãoMeta - Adveronix'!F:F,'ImportaçãoMeta - Adveronix'!B:B),"")</f>
        <v/>
      </c>
      <c r="AC5" s="154"/>
      <c r="AD5" s="154"/>
      <c r="AE5" s="159" t="str">
        <f t="array" ref="AE5">IFERROR(XLOOKUP(B5,'ImportaçãoMeta - Adveronix'!$F:$F,'ImportaçãoMeta - Adveronix'!C:C),"")</f>
        <v/>
      </c>
      <c r="AF5" s="159" t="str">
        <f t="array" ref="AF5">IFERROR(XLOOKUP(B5,'ImportaçãoMeta - Adveronix'!$F:$F,'ImportaçãoMeta - Adveronix'!D:D),"")</f>
        <v/>
      </c>
      <c r="AG5" s="159" t="str">
        <f t="array" ref="AG5">IFERROR(XLOOKUP(B5,'ImportaçãoMeta - Adveronix'!$F:$F,'ImportaçãoMeta - Adveronix'!E:E),"")</f>
        <v/>
      </c>
      <c r="AH5" s="157"/>
      <c r="AI5" s="157"/>
      <c r="AJ5" s="156"/>
      <c r="AK5" s="160"/>
      <c r="AL5" s="160"/>
    </row>
    <row r="6" ht="15.75" hidden="1" customHeight="1">
      <c r="A6" s="149" t="str">
        <f t="array" ref="A6">XLOOKUP(MONTH(B6),BASE!$F$16:$F$27,BASE!$G$16:$G$27)</f>
        <v>Janeiro</v>
      </c>
      <c r="B6" s="150">
        <v>46027.0</v>
      </c>
      <c r="C6" s="151"/>
      <c r="D6" s="149" t="str">
        <f t="shared" si="4"/>
        <v>segunda-feira</v>
      </c>
      <c r="E6" s="152">
        <f t="shared" ref="E6:J6" si="11">IFERROR(SUM(P6,AB6)," ")</f>
        <v>0</v>
      </c>
      <c r="F6" s="152">
        <f t="shared" si="11"/>
        <v>0</v>
      </c>
      <c r="G6" s="152">
        <f t="shared" si="11"/>
        <v>0</v>
      </c>
      <c r="H6" s="153">
        <f t="shared" si="11"/>
        <v>0</v>
      </c>
      <c r="I6" s="153">
        <f t="shared" si="11"/>
        <v>0</v>
      </c>
      <c r="J6" s="153">
        <f t="shared" si="11"/>
        <v>0</v>
      </c>
      <c r="K6" s="153">
        <f t="shared" ref="K6:M6" si="12">IFERROR(SUM(W6,AH6)," ")</f>
        <v>0</v>
      </c>
      <c r="L6" s="153">
        <f t="shared" si="12"/>
        <v>0</v>
      </c>
      <c r="M6" s="153">
        <f t="shared" si="12"/>
        <v>0</v>
      </c>
      <c r="N6" s="153"/>
      <c r="O6" s="153"/>
      <c r="P6" s="152" t="str">
        <f t="array" ref="P6">IFERROR(XLOOKUP(B6,'ImportaçãoGoogleAds - Adveronix'!$F:$F,'ImportaçãoGoogleAds - Adveronix'!$B:$B)," ")</f>
        <v> </v>
      </c>
      <c r="Q6" s="154"/>
      <c r="R6" s="154"/>
      <c r="S6" s="155" t="str">
        <f t="array" ref="S6">IFERROR(XLOOKUP(B6,'ImportaçãoGoogleAds - Adveronix'!$F:$F,'ImportaçãoGoogleAds - Adveronix'!C:C)," ")</f>
        <v> </v>
      </c>
      <c r="T6" s="155" t="str">
        <f t="array" ref="T6">IFERROR(XLOOKUP(B6,'ImportaçãoGoogleAds - Adveronix'!$F:$F,'ImportaçãoGoogleAds - Adveronix'!D:D)," ")</f>
        <v> </v>
      </c>
      <c r="U6" s="155" t="str">
        <f t="array" ref="U6">IFERROR(XLOOKUP(B6,'ImportaçãoGoogleAds - Adveronix'!$F:$F,'ImportaçãoGoogleAds - Adveronix'!E:E)," ")</f>
        <v> </v>
      </c>
      <c r="V6" s="156"/>
      <c r="W6" s="157"/>
      <c r="X6" s="157"/>
      <c r="Y6" s="158"/>
      <c r="Z6" s="158"/>
      <c r="AA6" s="158"/>
      <c r="AB6" s="152" t="str">
        <f t="array" ref="AB6">IFERROR(XLOOKUP(B6,'ImportaçãoMeta - Adveronix'!F:F,'ImportaçãoMeta - Adveronix'!B:B),"")</f>
        <v/>
      </c>
      <c r="AC6" s="154"/>
      <c r="AD6" s="154"/>
      <c r="AE6" s="159" t="str">
        <f t="array" ref="AE6">IFERROR(XLOOKUP(B6,'ImportaçãoMeta - Adveronix'!$F:$F,'ImportaçãoMeta - Adveronix'!C:C),"")</f>
        <v/>
      </c>
      <c r="AF6" s="159" t="str">
        <f t="array" ref="AF6">IFERROR(XLOOKUP(B6,'ImportaçãoMeta - Adveronix'!$F:$F,'ImportaçãoMeta - Adveronix'!D:D),"")</f>
        <v/>
      </c>
      <c r="AG6" s="159" t="str">
        <f t="array" ref="AG6">IFERROR(XLOOKUP(B6,'ImportaçãoMeta - Adveronix'!$F:$F,'ImportaçãoMeta - Adveronix'!E:E),"")</f>
        <v/>
      </c>
      <c r="AH6" s="157"/>
      <c r="AI6" s="157"/>
      <c r="AJ6" s="156"/>
      <c r="AK6" s="160"/>
      <c r="AL6" s="160"/>
    </row>
    <row r="7" ht="15.75" hidden="1" customHeight="1">
      <c r="A7" s="149" t="str">
        <f t="array" ref="A7">XLOOKUP(MONTH(B7),BASE!$F$16:$F$27,BASE!$G$16:$G$27)</f>
        <v>Janeiro</v>
      </c>
      <c r="B7" s="150">
        <v>46028.0</v>
      </c>
      <c r="C7" s="151"/>
      <c r="D7" s="149" t="str">
        <f t="shared" si="4"/>
        <v>terça-feira</v>
      </c>
      <c r="E7" s="152">
        <f t="shared" ref="E7:J7" si="13">IFERROR(SUM(P7,AB7)," ")</f>
        <v>0</v>
      </c>
      <c r="F7" s="152">
        <f t="shared" si="13"/>
        <v>0</v>
      </c>
      <c r="G7" s="152">
        <f t="shared" si="13"/>
        <v>0</v>
      </c>
      <c r="H7" s="153">
        <f t="shared" si="13"/>
        <v>0</v>
      </c>
      <c r="I7" s="153">
        <f t="shared" si="13"/>
        <v>0</v>
      </c>
      <c r="J7" s="153">
        <f t="shared" si="13"/>
        <v>0</v>
      </c>
      <c r="K7" s="153">
        <f t="shared" ref="K7:M7" si="14">IFERROR(SUM(W7,AH7)," ")</f>
        <v>0</v>
      </c>
      <c r="L7" s="153">
        <f t="shared" si="14"/>
        <v>0</v>
      </c>
      <c r="M7" s="153">
        <f t="shared" si="14"/>
        <v>0</v>
      </c>
      <c r="N7" s="153"/>
      <c r="O7" s="153"/>
      <c r="P7" s="152" t="str">
        <f t="array" ref="P7">IFERROR(XLOOKUP(B7,'ImportaçãoGoogleAds - Adveronix'!$F:$F,'ImportaçãoGoogleAds - Adveronix'!$B:$B)," ")</f>
        <v> </v>
      </c>
      <c r="Q7" s="154"/>
      <c r="R7" s="154"/>
      <c r="S7" s="155" t="str">
        <f t="array" ref="S7">IFERROR(XLOOKUP(B7,'ImportaçãoGoogleAds - Adveronix'!$F:$F,'ImportaçãoGoogleAds - Adveronix'!C:C)," ")</f>
        <v> </v>
      </c>
      <c r="T7" s="155" t="str">
        <f t="array" ref="T7">IFERROR(XLOOKUP(B7,'ImportaçãoGoogleAds - Adveronix'!$F:$F,'ImportaçãoGoogleAds - Adveronix'!D:D)," ")</f>
        <v> </v>
      </c>
      <c r="U7" s="155" t="str">
        <f t="array" ref="U7">IFERROR(XLOOKUP(B7,'ImportaçãoGoogleAds - Adveronix'!$F:$F,'ImportaçãoGoogleAds - Adveronix'!E:E)," ")</f>
        <v> </v>
      </c>
      <c r="V7" s="156"/>
      <c r="W7" s="157"/>
      <c r="X7" s="157"/>
      <c r="Y7" s="158"/>
      <c r="Z7" s="158"/>
      <c r="AA7" s="158"/>
      <c r="AB7" s="152" t="str">
        <f t="array" ref="AB7">IFERROR(XLOOKUP(B7,'ImportaçãoMeta - Adveronix'!F:F,'ImportaçãoMeta - Adveronix'!B:B),"")</f>
        <v/>
      </c>
      <c r="AC7" s="154"/>
      <c r="AD7" s="154"/>
      <c r="AE7" s="159" t="str">
        <f t="array" ref="AE7">IFERROR(XLOOKUP(B7,'ImportaçãoMeta - Adveronix'!$F:$F,'ImportaçãoMeta - Adveronix'!C:C),"")</f>
        <v/>
      </c>
      <c r="AF7" s="159" t="str">
        <f t="array" ref="AF7">IFERROR(XLOOKUP(B7,'ImportaçãoMeta - Adveronix'!$F:$F,'ImportaçãoMeta - Adveronix'!D:D),"")</f>
        <v/>
      </c>
      <c r="AG7" s="159" t="str">
        <f t="array" ref="AG7">IFERROR(XLOOKUP(B7,'ImportaçãoMeta - Adveronix'!$F:$F,'ImportaçãoMeta - Adveronix'!E:E),"")</f>
        <v/>
      </c>
      <c r="AH7" s="157"/>
      <c r="AI7" s="157"/>
      <c r="AJ7" s="156"/>
      <c r="AK7" s="160"/>
      <c r="AL7" s="160"/>
    </row>
    <row r="8" ht="15.75" hidden="1" customHeight="1">
      <c r="A8" s="149" t="str">
        <f t="array" ref="A8">XLOOKUP(MONTH(B8),BASE!$F$16:$F$27,BASE!$G$16:$G$27)</f>
        <v>Janeiro</v>
      </c>
      <c r="B8" s="150">
        <v>46029.0</v>
      </c>
      <c r="C8" s="151"/>
      <c r="D8" s="149" t="str">
        <f t="shared" si="4"/>
        <v>quarta-feira</v>
      </c>
      <c r="E8" s="152">
        <f t="shared" ref="E8:J8" si="15">IFERROR(SUM(P8,AB8)," ")</f>
        <v>0</v>
      </c>
      <c r="F8" s="152">
        <f t="shared" si="15"/>
        <v>0</v>
      </c>
      <c r="G8" s="152">
        <f t="shared" si="15"/>
        <v>0</v>
      </c>
      <c r="H8" s="153">
        <f t="shared" si="15"/>
        <v>0</v>
      </c>
      <c r="I8" s="153">
        <f t="shared" si="15"/>
        <v>0</v>
      </c>
      <c r="J8" s="153">
        <f t="shared" si="15"/>
        <v>0</v>
      </c>
      <c r="K8" s="153">
        <f t="shared" ref="K8:M8" si="16">IFERROR(SUM(W8,AH8)," ")</f>
        <v>0</v>
      </c>
      <c r="L8" s="153">
        <f t="shared" si="16"/>
        <v>0</v>
      </c>
      <c r="M8" s="153">
        <f t="shared" si="16"/>
        <v>0</v>
      </c>
      <c r="N8" s="153"/>
      <c r="O8" s="153"/>
      <c r="P8" s="152" t="str">
        <f t="array" ref="P8">IFERROR(XLOOKUP(B8,'ImportaçãoGoogleAds - Adveronix'!$F:$F,'ImportaçãoGoogleAds - Adveronix'!$B:$B)," ")</f>
        <v> </v>
      </c>
      <c r="Q8" s="154"/>
      <c r="R8" s="154"/>
      <c r="S8" s="155" t="str">
        <f t="array" ref="S8">IFERROR(XLOOKUP(B8,'ImportaçãoGoogleAds - Adveronix'!$F:$F,'ImportaçãoGoogleAds - Adveronix'!C:C)," ")</f>
        <v> </v>
      </c>
      <c r="T8" s="155" t="str">
        <f t="array" ref="T8">IFERROR(XLOOKUP(B8,'ImportaçãoGoogleAds - Adveronix'!$F:$F,'ImportaçãoGoogleAds - Adveronix'!D:D)," ")</f>
        <v> </v>
      </c>
      <c r="U8" s="155" t="str">
        <f t="array" ref="U8">IFERROR(XLOOKUP(B8,'ImportaçãoGoogleAds - Adveronix'!$F:$F,'ImportaçãoGoogleAds - Adveronix'!E:E)," ")</f>
        <v> </v>
      </c>
      <c r="V8" s="156"/>
      <c r="W8" s="157"/>
      <c r="X8" s="157"/>
      <c r="Y8" s="158"/>
      <c r="Z8" s="158"/>
      <c r="AA8" s="158"/>
      <c r="AB8" s="152" t="str">
        <f t="array" ref="AB8">IFERROR(XLOOKUP(B8,'ImportaçãoMeta - Adveronix'!F:F,'ImportaçãoMeta - Adveronix'!B:B),"")</f>
        <v/>
      </c>
      <c r="AC8" s="154"/>
      <c r="AD8" s="154"/>
      <c r="AE8" s="159" t="str">
        <f t="array" ref="AE8">IFERROR(XLOOKUP(B8,'ImportaçãoMeta - Adveronix'!$F:$F,'ImportaçãoMeta - Adveronix'!C:C),"")</f>
        <v/>
      </c>
      <c r="AF8" s="159" t="str">
        <f t="array" ref="AF8">IFERROR(XLOOKUP(B8,'ImportaçãoMeta - Adveronix'!$F:$F,'ImportaçãoMeta - Adveronix'!D:D),"")</f>
        <v/>
      </c>
      <c r="AG8" s="159" t="str">
        <f t="array" ref="AG8">IFERROR(XLOOKUP(B8,'ImportaçãoMeta - Adveronix'!$F:$F,'ImportaçãoMeta - Adveronix'!E:E),"")</f>
        <v/>
      </c>
      <c r="AH8" s="157"/>
      <c r="AI8" s="157"/>
      <c r="AJ8" s="156"/>
      <c r="AK8" s="160"/>
      <c r="AL8" s="160"/>
    </row>
    <row r="9" ht="15.75" hidden="1" customHeight="1">
      <c r="A9" s="149" t="str">
        <f t="array" ref="A9">XLOOKUP(MONTH(B9),BASE!$F$16:$F$27,BASE!$G$16:$G$27)</f>
        <v>Janeiro</v>
      </c>
      <c r="B9" s="150">
        <v>46030.0</v>
      </c>
      <c r="C9" s="151"/>
      <c r="D9" s="149" t="str">
        <f t="shared" si="4"/>
        <v>quinta-feira</v>
      </c>
      <c r="E9" s="152">
        <f t="shared" ref="E9:J9" si="17">IFERROR(SUM(P9,AB9)," ")</f>
        <v>0</v>
      </c>
      <c r="F9" s="152">
        <f t="shared" si="17"/>
        <v>0</v>
      </c>
      <c r="G9" s="152">
        <f t="shared" si="17"/>
        <v>0</v>
      </c>
      <c r="H9" s="153">
        <f t="shared" si="17"/>
        <v>0</v>
      </c>
      <c r="I9" s="153">
        <f t="shared" si="17"/>
        <v>0</v>
      </c>
      <c r="J9" s="153">
        <f t="shared" si="17"/>
        <v>0</v>
      </c>
      <c r="K9" s="153">
        <f t="shared" ref="K9:M9" si="18">IFERROR(SUM(W9,AH9)," ")</f>
        <v>0</v>
      </c>
      <c r="L9" s="153">
        <f t="shared" si="18"/>
        <v>0</v>
      </c>
      <c r="M9" s="153">
        <f t="shared" si="18"/>
        <v>0</v>
      </c>
      <c r="N9" s="153"/>
      <c r="O9" s="153"/>
      <c r="P9" s="152" t="str">
        <f t="array" ref="P9">IFERROR(XLOOKUP(B9,'ImportaçãoGoogleAds - Adveronix'!$F:$F,'ImportaçãoGoogleAds - Adveronix'!$B:$B)," ")</f>
        <v> </v>
      </c>
      <c r="Q9" s="154"/>
      <c r="R9" s="154"/>
      <c r="S9" s="155" t="str">
        <f t="array" ref="S9">IFERROR(XLOOKUP(B9,'ImportaçãoGoogleAds - Adveronix'!$F:$F,'ImportaçãoGoogleAds - Adveronix'!C:C)," ")</f>
        <v> </v>
      </c>
      <c r="T9" s="155" t="str">
        <f t="array" ref="T9">IFERROR(XLOOKUP(B9,'ImportaçãoGoogleAds - Adveronix'!$F:$F,'ImportaçãoGoogleAds - Adveronix'!D:D)," ")</f>
        <v> </v>
      </c>
      <c r="U9" s="155" t="str">
        <f t="array" ref="U9">IFERROR(XLOOKUP(B9,'ImportaçãoGoogleAds - Adveronix'!$F:$F,'ImportaçãoGoogleAds - Adveronix'!E:E)," ")</f>
        <v> </v>
      </c>
      <c r="V9" s="156"/>
      <c r="W9" s="157"/>
      <c r="X9" s="157"/>
      <c r="Y9" s="158"/>
      <c r="Z9" s="158"/>
      <c r="AA9" s="158"/>
      <c r="AB9" s="152" t="str">
        <f t="array" ref="AB9">IFERROR(XLOOKUP(B9,'ImportaçãoMeta - Adveronix'!F:F,'ImportaçãoMeta - Adveronix'!B:B),"")</f>
        <v/>
      </c>
      <c r="AC9" s="154"/>
      <c r="AD9" s="154"/>
      <c r="AE9" s="159" t="str">
        <f t="array" ref="AE9">IFERROR(XLOOKUP(B9,'ImportaçãoMeta - Adveronix'!$F:$F,'ImportaçãoMeta - Adveronix'!C:C),"")</f>
        <v/>
      </c>
      <c r="AF9" s="159" t="str">
        <f t="array" ref="AF9">IFERROR(XLOOKUP(B9,'ImportaçãoMeta - Adveronix'!$F:$F,'ImportaçãoMeta - Adveronix'!D:D),"")</f>
        <v/>
      </c>
      <c r="AG9" s="159" t="str">
        <f t="array" ref="AG9">IFERROR(XLOOKUP(B9,'ImportaçãoMeta - Adveronix'!$F:$F,'ImportaçãoMeta - Adveronix'!E:E),"")</f>
        <v/>
      </c>
      <c r="AH9" s="157"/>
      <c r="AI9" s="157"/>
      <c r="AJ9" s="156"/>
      <c r="AK9" s="160"/>
      <c r="AL9" s="160"/>
    </row>
    <row r="10" ht="15.75" hidden="1" customHeight="1">
      <c r="A10" s="149" t="str">
        <f t="array" ref="A10">XLOOKUP(MONTH(B10),BASE!$F$16:$F$27,BASE!$G$16:$G$27)</f>
        <v>Janeiro</v>
      </c>
      <c r="B10" s="150">
        <v>46031.0</v>
      </c>
      <c r="C10" s="151"/>
      <c r="D10" s="149" t="str">
        <f t="shared" si="4"/>
        <v>sexta-feira</v>
      </c>
      <c r="E10" s="152">
        <f t="shared" ref="E10:J10" si="19">IFERROR(SUM(P10,AB10)," ")</f>
        <v>0</v>
      </c>
      <c r="F10" s="152">
        <f t="shared" si="19"/>
        <v>0</v>
      </c>
      <c r="G10" s="152">
        <f t="shared" si="19"/>
        <v>0</v>
      </c>
      <c r="H10" s="153">
        <f t="shared" si="19"/>
        <v>0</v>
      </c>
      <c r="I10" s="153">
        <f t="shared" si="19"/>
        <v>0</v>
      </c>
      <c r="J10" s="153">
        <f t="shared" si="19"/>
        <v>0</v>
      </c>
      <c r="K10" s="153">
        <f t="shared" ref="K10:M10" si="20">IFERROR(SUM(W10,AH10)," ")</f>
        <v>0</v>
      </c>
      <c r="L10" s="153">
        <f t="shared" si="20"/>
        <v>0</v>
      </c>
      <c r="M10" s="153">
        <f t="shared" si="20"/>
        <v>0</v>
      </c>
      <c r="N10" s="153"/>
      <c r="O10" s="153"/>
      <c r="P10" s="152" t="str">
        <f t="array" ref="P10">IFERROR(XLOOKUP(B10,'ImportaçãoGoogleAds - Adveronix'!$F:$F,'ImportaçãoGoogleAds - Adveronix'!$B:$B)," ")</f>
        <v> </v>
      </c>
      <c r="Q10" s="154"/>
      <c r="R10" s="154"/>
      <c r="S10" s="155" t="str">
        <f t="array" ref="S10">IFERROR(XLOOKUP(B10,'ImportaçãoGoogleAds - Adveronix'!$F:$F,'ImportaçãoGoogleAds - Adveronix'!C:C)," ")</f>
        <v> </v>
      </c>
      <c r="T10" s="155" t="str">
        <f t="array" ref="T10">IFERROR(XLOOKUP(B10,'ImportaçãoGoogleAds - Adveronix'!$F:$F,'ImportaçãoGoogleAds - Adveronix'!D:D)," ")</f>
        <v> </v>
      </c>
      <c r="U10" s="155" t="str">
        <f t="array" ref="U10">IFERROR(XLOOKUP(B10,'ImportaçãoGoogleAds - Adveronix'!$F:$F,'ImportaçãoGoogleAds - Adveronix'!E:E)," ")</f>
        <v> </v>
      </c>
      <c r="V10" s="156"/>
      <c r="W10" s="157"/>
      <c r="X10" s="157"/>
      <c r="Y10" s="158"/>
      <c r="Z10" s="158"/>
      <c r="AA10" s="158"/>
      <c r="AB10" s="152" t="str">
        <f t="array" ref="AB10">IFERROR(XLOOKUP(B10,'ImportaçãoMeta - Adveronix'!F:F,'ImportaçãoMeta - Adveronix'!B:B),"")</f>
        <v/>
      </c>
      <c r="AC10" s="154"/>
      <c r="AD10" s="154"/>
      <c r="AE10" s="159" t="str">
        <f t="array" ref="AE10">IFERROR(XLOOKUP(B10,'ImportaçãoMeta - Adveronix'!$F:$F,'ImportaçãoMeta - Adveronix'!C:C),"")</f>
        <v/>
      </c>
      <c r="AF10" s="159" t="str">
        <f t="array" ref="AF10">IFERROR(XLOOKUP(B10,'ImportaçãoMeta - Adveronix'!$F:$F,'ImportaçãoMeta - Adveronix'!D:D),"")</f>
        <v/>
      </c>
      <c r="AG10" s="159" t="str">
        <f t="array" ref="AG10">IFERROR(XLOOKUP(B10,'ImportaçãoMeta - Adveronix'!$F:$F,'ImportaçãoMeta - Adveronix'!E:E),"")</f>
        <v/>
      </c>
      <c r="AH10" s="157"/>
      <c r="AI10" s="157"/>
      <c r="AJ10" s="156"/>
      <c r="AK10" s="160"/>
      <c r="AL10" s="160"/>
    </row>
    <row r="11" ht="15.75" hidden="1" customHeight="1">
      <c r="A11" s="149" t="str">
        <f t="array" ref="A11">XLOOKUP(MONTH(B11),BASE!$F$16:$F$27,BASE!$G$16:$G$27)</f>
        <v>Janeiro</v>
      </c>
      <c r="B11" s="150">
        <v>46032.0</v>
      </c>
      <c r="C11" s="151"/>
      <c r="D11" s="149" t="str">
        <f t="shared" si="4"/>
        <v>sábado</v>
      </c>
      <c r="E11" s="152">
        <f t="shared" ref="E11:J11" si="21">IFERROR(SUM(P11,AB11)," ")</f>
        <v>0</v>
      </c>
      <c r="F11" s="152">
        <f t="shared" si="21"/>
        <v>0</v>
      </c>
      <c r="G11" s="152">
        <f t="shared" si="21"/>
        <v>0</v>
      </c>
      <c r="H11" s="153">
        <f t="shared" si="21"/>
        <v>0</v>
      </c>
      <c r="I11" s="153">
        <f t="shared" si="21"/>
        <v>0</v>
      </c>
      <c r="J11" s="153">
        <f t="shared" si="21"/>
        <v>0</v>
      </c>
      <c r="K11" s="153">
        <f t="shared" ref="K11:M11" si="22">IFERROR(SUM(W11,AH11)," ")</f>
        <v>0</v>
      </c>
      <c r="L11" s="153">
        <f t="shared" si="22"/>
        <v>0</v>
      </c>
      <c r="M11" s="153">
        <f t="shared" si="22"/>
        <v>0</v>
      </c>
      <c r="N11" s="153"/>
      <c r="O11" s="153"/>
      <c r="P11" s="152" t="str">
        <f t="array" ref="P11">IFERROR(XLOOKUP(B11,'ImportaçãoGoogleAds - Adveronix'!$F:$F,'ImportaçãoGoogleAds - Adveronix'!$B:$B)," ")</f>
        <v> </v>
      </c>
      <c r="Q11" s="154"/>
      <c r="R11" s="154"/>
      <c r="S11" s="155" t="str">
        <f t="array" ref="S11">IFERROR(XLOOKUP(B11,'ImportaçãoGoogleAds - Adveronix'!$F:$F,'ImportaçãoGoogleAds - Adveronix'!C:C)," ")</f>
        <v> </v>
      </c>
      <c r="T11" s="155" t="str">
        <f t="array" ref="T11">IFERROR(XLOOKUP(B11,'ImportaçãoGoogleAds - Adveronix'!$F:$F,'ImportaçãoGoogleAds - Adveronix'!D:D)," ")</f>
        <v> </v>
      </c>
      <c r="U11" s="155" t="str">
        <f t="array" ref="U11">IFERROR(XLOOKUP(B11,'ImportaçãoGoogleAds - Adveronix'!$F:$F,'ImportaçãoGoogleAds - Adveronix'!E:E)," ")</f>
        <v> </v>
      </c>
      <c r="V11" s="156"/>
      <c r="W11" s="157"/>
      <c r="X11" s="157"/>
      <c r="Y11" s="158"/>
      <c r="Z11" s="158"/>
      <c r="AA11" s="158"/>
      <c r="AB11" s="152" t="str">
        <f t="array" ref="AB11">IFERROR(XLOOKUP(B11,'ImportaçãoMeta - Adveronix'!F:F,'ImportaçãoMeta - Adveronix'!B:B),"")</f>
        <v/>
      </c>
      <c r="AC11" s="154"/>
      <c r="AD11" s="154"/>
      <c r="AE11" s="159" t="str">
        <f t="array" ref="AE11">IFERROR(XLOOKUP(B11,'ImportaçãoMeta - Adveronix'!$F:$F,'ImportaçãoMeta - Adveronix'!C:C),"")</f>
        <v/>
      </c>
      <c r="AF11" s="159" t="str">
        <f t="array" ref="AF11">IFERROR(XLOOKUP(B11,'ImportaçãoMeta - Adveronix'!$F:$F,'ImportaçãoMeta - Adveronix'!D:D),"")</f>
        <v/>
      </c>
      <c r="AG11" s="159" t="str">
        <f t="array" ref="AG11">IFERROR(XLOOKUP(B11,'ImportaçãoMeta - Adveronix'!$F:$F,'ImportaçãoMeta - Adveronix'!E:E),"")</f>
        <v/>
      </c>
      <c r="AH11" s="157"/>
      <c r="AI11" s="157"/>
      <c r="AJ11" s="156"/>
      <c r="AK11" s="160"/>
      <c r="AL11" s="160"/>
    </row>
    <row r="12" ht="15.75" hidden="1" customHeight="1">
      <c r="A12" s="149" t="str">
        <f t="array" ref="A12">XLOOKUP(MONTH(B12),BASE!$F$16:$F$27,BASE!$G$16:$G$27)</f>
        <v>Janeiro</v>
      </c>
      <c r="B12" s="150">
        <v>46033.0</v>
      </c>
      <c r="C12" s="151"/>
      <c r="D12" s="149" t="str">
        <f t="shared" si="4"/>
        <v>domingo</v>
      </c>
      <c r="E12" s="152">
        <f t="shared" ref="E12:J12" si="23">IFERROR(SUM(P12,AB12)," ")</f>
        <v>0</v>
      </c>
      <c r="F12" s="152">
        <f t="shared" si="23"/>
        <v>0</v>
      </c>
      <c r="G12" s="152">
        <f t="shared" si="23"/>
        <v>0</v>
      </c>
      <c r="H12" s="153">
        <f t="shared" si="23"/>
        <v>0</v>
      </c>
      <c r="I12" s="153">
        <f t="shared" si="23"/>
        <v>0</v>
      </c>
      <c r="J12" s="153">
        <f t="shared" si="23"/>
        <v>0</v>
      </c>
      <c r="K12" s="153">
        <f t="shared" ref="K12:M12" si="24">IFERROR(SUM(W12,AH12)," ")</f>
        <v>0</v>
      </c>
      <c r="L12" s="153">
        <f t="shared" si="24"/>
        <v>0</v>
      </c>
      <c r="M12" s="153">
        <f t="shared" si="24"/>
        <v>0</v>
      </c>
      <c r="N12" s="153"/>
      <c r="O12" s="153"/>
      <c r="P12" s="152" t="str">
        <f t="array" ref="P12">IFERROR(XLOOKUP(B12,'ImportaçãoGoogleAds - Adveronix'!$F:$F,'ImportaçãoGoogleAds - Adveronix'!$B:$B)," ")</f>
        <v> </v>
      </c>
      <c r="Q12" s="154"/>
      <c r="R12" s="154"/>
      <c r="S12" s="155" t="str">
        <f t="array" ref="S12">IFERROR(XLOOKUP(B12,'ImportaçãoGoogleAds - Adveronix'!$F:$F,'ImportaçãoGoogleAds - Adveronix'!C:C)," ")</f>
        <v> </v>
      </c>
      <c r="T12" s="155" t="str">
        <f t="array" ref="T12">IFERROR(XLOOKUP(B12,'ImportaçãoGoogleAds - Adveronix'!$F:$F,'ImportaçãoGoogleAds - Adveronix'!D:D)," ")</f>
        <v> </v>
      </c>
      <c r="U12" s="155" t="str">
        <f t="array" ref="U12">IFERROR(XLOOKUP(B12,'ImportaçãoGoogleAds - Adveronix'!$F:$F,'ImportaçãoGoogleAds - Adveronix'!E:E)," ")</f>
        <v> </v>
      </c>
      <c r="V12" s="156"/>
      <c r="W12" s="157"/>
      <c r="X12" s="157"/>
      <c r="Y12" s="158"/>
      <c r="Z12" s="158"/>
      <c r="AA12" s="158"/>
      <c r="AB12" s="152" t="str">
        <f t="array" ref="AB12">IFERROR(XLOOKUP(B12,'ImportaçãoMeta - Adveronix'!F:F,'ImportaçãoMeta - Adveronix'!B:B),"")</f>
        <v/>
      </c>
      <c r="AC12" s="154"/>
      <c r="AD12" s="154"/>
      <c r="AE12" s="159" t="str">
        <f t="array" ref="AE12">IFERROR(XLOOKUP(B12,'ImportaçãoMeta - Adveronix'!$F:$F,'ImportaçãoMeta - Adveronix'!C:C),"")</f>
        <v/>
      </c>
      <c r="AF12" s="159" t="str">
        <f t="array" ref="AF12">IFERROR(XLOOKUP(B12,'ImportaçãoMeta - Adveronix'!$F:$F,'ImportaçãoMeta - Adveronix'!D:D),"")</f>
        <v/>
      </c>
      <c r="AG12" s="159" t="str">
        <f t="array" ref="AG12">IFERROR(XLOOKUP(B12,'ImportaçãoMeta - Adveronix'!$F:$F,'ImportaçãoMeta - Adveronix'!E:E),"")</f>
        <v/>
      </c>
      <c r="AH12" s="157"/>
      <c r="AI12" s="157"/>
      <c r="AJ12" s="156"/>
      <c r="AK12" s="160"/>
      <c r="AL12" s="160"/>
    </row>
    <row r="13" ht="15.75" hidden="1" customHeight="1">
      <c r="A13" s="149" t="str">
        <f t="array" ref="A13">XLOOKUP(MONTH(B13),BASE!$F$16:$F$27,BASE!$G$16:$G$27)</f>
        <v>Janeiro</v>
      </c>
      <c r="B13" s="150">
        <v>46034.0</v>
      </c>
      <c r="C13" s="151"/>
      <c r="D13" s="149" t="str">
        <f t="shared" si="4"/>
        <v>segunda-feira</v>
      </c>
      <c r="E13" s="152">
        <f t="shared" ref="E13:J13" si="25">IFERROR(SUM(P13,AB13)," ")</f>
        <v>0</v>
      </c>
      <c r="F13" s="152">
        <f t="shared" si="25"/>
        <v>0</v>
      </c>
      <c r="G13" s="152">
        <f t="shared" si="25"/>
        <v>0</v>
      </c>
      <c r="H13" s="153">
        <f t="shared" si="25"/>
        <v>0</v>
      </c>
      <c r="I13" s="153">
        <f t="shared" si="25"/>
        <v>0</v>
      </c>
      <c r="J13" s="153">
        <f t="shared" si="25"/>
        <v>0</v>
      </c>
      <c r="K13" s="153">
        <f t="shared" ref="K13:M13" si="26">IFERROR(SUM(W13,AH13)," ")</f>
        <v>0</v>
      </c>
      <c r="L13" s="153">
        <f t="shared" si="26"/>
        <v>0</v>
      </c>
      <c r="M13" s="153">
        <f t="shared" si="26"/>
        <v>0</v>
      </c>
      <c r="N13" s="153"/>
      <c r="O13" s="153"/>
      <c r="P13" s="152" t="str">
        <f t="array" ref="P13">IFERROR(XLOOKUP(B13,'ImportaçãoGoogleAds - Adveronix'!$F:$F,'ImportaçãoGoogleAds - Adveronix'!$B:$B)," ")</f>
        <v> </v>
      </c>
      <c r="Q13" s="154"/>
      <c r="R13" s="154"/>
      <c r="S13" s="155" t="str">
        <f t="array" ref="S13">IFERROR(XLOOKUP(B13,'ImportaçãoGoogleAds - Adveronix'!$F:$F,'ImportaçãoGoogleAds - Adveronix'!C:C)," ")</f>
        <v> </v>
      </c>
      <c r="T13" s="155" t="str">
        <f t="array" ref="T13">IFERROR(XLOOKUP(B13,'ImportaçãoGoogleAds - Adveronix'!$F:$F,'ImportaçãoGoogleAds - Adveronix'!D:D)," ")</f>
        <v> </v>
      </c>
      <c r="U13" s="155" t="str">
        <f t="array" ref="U13">IFERROR(XLOOKUP(B13,'ImportaçãoGoogleAds - Adveronix'!$F:$F,'ImportaçãoGoogleAds - Adveronix'!E:E)," ")</f>
        <v> </v>
      </c>
      <c r="V13" s="156"/>
      <c r="W13" s="157"/>
      <c r="X13" s="157"/>
      <c r="Y13" s="158"/>
      <c r="Z13" s="158"/>
      <c r="AA13" s="158"/>
      <c r="AB13" s="152" t="str">
        <f t="array" ref="AB13">IFERROR(XLOOKUP(B13,'ImportaçãoMeta - Adveronix'!F:F,'ImportaçãoMeta - Adveronix'!B:B),"")</f>
        <v/>
      </c>
      <c r="AC13" s="154"/>
      <c r="AD13" s="154"/>
      <c r="AE13" s="159" t="str">
        <f t="array" ref="AE13">IFERROR(XLOOKUP(B13,'ImportaçãoMeta - Adveronix'!$F:$F,'ImportaçãoMeta - Adveronix'!C:C),"")</f>
        <v/>
      </c>
      <c r="AF13" s="159" t="str">
        <f t="array" ref="AF13">IFERROR(XLOOKUP(B13,'ImportaçãoMeta - Adveronix'!$F:$F,'ImportaçãoMeta - Adveronix'!D:D),"")</f>
        <v/>
      </c>
      <c r="AG13" s="159" t="str">
        <f t="array" ref="AG13">IFERROR(XLOOKUP(B13,'ImportaçãoMeta - Adveronix'!$F:$F,'ImportaçãoMeta - Adveronix'!E:E),"")</f>
        <v/>
      </c>
      <c r="AH13" s="157"/>
      <c r="AI13" s="157"/>
      <c r="AJ13" s="156"/>
      <c r="AK13" s="160"/>
      <c r="AL13" s="160"/>
    </row>
    <row r="14" ht="15.75" hidden="1" customHeight="1">
      <c r="A14" s="149" t="str">
        <f t="array" ref="A14">XLOOKUP(MONTH(B14),BASE!$F$16:$F$27,BASE!$G$16:$G$27)</f>
        <v>Janeiro</v>
      </c>
      <c r="B14" s="150">
        <v>46035.0</v>
      </c>
      <c r="C14" s="151"/>
      <c r="D14" s="149" t="str">
        <f t="shared" si="4"/>
        <v>terça-feira</v>
      </c>
      <c r="E14" s="152">
        <f t="shared" ref="E14:J14" si="27">IFERROR(SUM(P14,AB14)," ")</f>
        <v>0</v>
      </c>
      <c r="F14" s="152">
        <f t="shared" si="27"/>
        <v>0</v>
      </c>
      <c r="G14" s="152">
        <f t="shared" si="27"/>
        <v>0</v>
      </c>
      <c r="H14" s="153">
        <f t="shared" si="27"/>
        <v>0</v>
      </c>
      <c r="I14" s="153">
        <f t="shared" si="27"/>
        <v>0</v>
      </c>
      <c r="J14" s="153">
        <f t="shared" si="27"/>
        <v>0</v>
      </c>
      <c r="K14" s="153">
        <f t="shared" ref="K14:M14" si="28">IFERROR(SUM(W14,AH14)," ")</f>
        <v>0</v>
      </c>
      <c r="L14" s="153">
        <f t="shared" si="28"/>
        <v>0</v>
      </c>
      <c r="M14" s="153">
        <f t="shared" si="28"/>
        <v>0</v>
      </c>
      <c r="N14" s="153"/>
      <c r="O14" s="153"/>
      <c r="P14" s="152" t="str">
        <f t="array" ref="P14">IFERROR(XLOOKUP(B14,'ImportaçãoGoogleAds - Adveronix'!$F:$F,'ImportaçãoGoogleAds - Adveronix'!$B:$B)," ")</f>
        <v> </v>
      </c>
      <c r="Q14" s="154"/>
      <c r="R14" s="154"/>
      <c r="S14" s="155" t="str">
        <f t="array" ref="S14">IFERROR(XLOOKUP(B14,'ImportaçãoGoogleAds - Adveronix'!$F:$F,'ImportaçãoGoogleAds - Adveronix'!C:C)," ")</f>
        <v> </v>
      </c>
      <c r="T14" s="155" t="str">
        <f t="array" ref="T14">IFERROR(XLOOKUP(B14,'ImportaçãoGoogleAds - Adveronix'!$F:$F,'ImportaçãoGoogleAds - Adveronix'!D:D)," ")</f>
        <v> </v>
      </c>
      <c r="U14" s="155" t="str">
        <f t="array" ref="U14">IFERROR(XLOOKUP(B14,'ImportaçãoGoogleAds - Adveronix'!$F:$F,'ImportaçãoGoogleAds - Adveronix'!E:E)," ")</f>
        <v> </v>
      </c>
      <c r="V14" s="156"/>
      <c r="W14" s="157"/>
      <c r="X14" s="157"/>
      <c r="Y14" s="158"/>
      <c r="Z14" s="158"/>
      <c r="AA14" s="158"/>
      <c r="AB14" s="152" t="str">
        <f t="array" ref="AB14">IFERROR(XLOOKUP(B14,'ImportaçãoMeta - Adveronix'!F:F,'ImportaçãoMeta - Adveronix'!B:B),"")</f>
        <v/>
      </c>
      <c r="AC14" s="154"/>
      <c r="AD14" s="154"/>
      <c r="AE14" s="159" t="str">
        <f t="array" ref="AE14">IFERROR(XLOOKUP(B14,'ImportaçãoMeta - Adveronix'!$F:$F,'ImportaçãoMeta - Adveronix'!C:C),"")</f>
        <v/>
      </c>
      <c r="AF14" s="159" t="str">
        <f t="array" ref="AF14">IFERROR(XLOOKUP(B14,'ImportaçãoMeta - Adveronix'!$F:$F,'ImportaçãoMeta - Adveronix'!D:D),"")</f>
        <v/>
      </c>
      <c r="AG14" s="159" t="str">
        <f t="array" ref="AG14">IFERROR(XLOOKUP(B14,'ImportaçãoMeta - Adveronix'!$F:$F,'ImportaçãoMeta - Adveronix'!E:E),"")</f>
        <v/>
      </c>
      <c r="AH14" s="157"/>
      <c r="AI14" s="157"/>
      <c r="AJ14" s="156"/>
      <c r="AK14" s="160"/>
      <c r="AL14" s="160"/>
    </row>
    <row r="15" ht="15.75" hidden="1" customHeight="1">
      <c r="A15" s="149" t="str">
        <f t="array" ref="A15">XLOOKUP(MONTH(B15),BASE!$F$16:$F$27,BASE!$G$16:$G$27)</f>
        <v>Janeiro</v>
      </c>
      <c r="B15" s="150">
        <v>46036.0</v>
      </c>
      <c r="C15" s="151"/>
      <c r="D15" s="149" t="str">
        <f t="shared" si="4"/>
        <v>quarta-feira</v>
      </c>
      <c r="E15" s="152">
        <f t="shared" ref="E15:J15" si="29">IFERROR(SUM(P15,AB15)," ")</f>
        <v>0</v>
      </c>
      <c r="F15" s="152">
        <f t="shared" si="29"/>
        <v>0</v>
      </c>
      <c r="G15" s="152">
        <f t="shared" si="29"/>
        <v>0</v>
      </c>
      <c r="H15" s="153">
        <f t="shared" si="29"/>
        <v>0</v>
      </c>
      <c r="I15" s="153">
        <f t="shared" si="29"/>
        <v>0</v>
      </c>
      <c r="J15" s="153">
        <f t="shared" si="29"/>
        <v>0</v>
      </c>
      <c r="K15" s="153">
        <f t="shared" ref="K15:M15" si="30">IFERROR(SUM(W15,AH15)," ")</f>
        <v>0</v>
      </c>
      <c r="L15" s="153">
        <f t="shared" si="30"/>
        <v>0</v>
      </c>
      <c r="M15" s="153">
        <f t="shared" si="30"/>
        <v>0</v>
      </c>
      <c r="N15" s="153"/>
      <c r="O15" s="153"/>
      <c r="P15" s="152" t="str">
        <f t="array" ref="P15">IFERROR(XLOOKUP(B15,'ImportaçãoGoogleAds - Adveronix'!$F:$F,'ImportaçãoGoogleAds - Adveronix'!$B:$B)," ")</f>
        <v> </v>
      </c>
      <c r="Q15" s="154"/>
      <c r="R15" s="154"/>
      <c r="S15" s="155" t="str">
        <f t="array" ref="S15">IFERROR(XLOOKUP(B15,'ImportaçãoGoogleAds - Adveronix'!$F:$F,'ImportaçãoGoogleAds - Adveronix'!C:C)," ")</f>
        <v> </v>
      </c>
      <c r="T15" s="155" t="str">
        <f t="array" ref="T15">IFERROR(XLOOKUP(B15,'ImportaçãoGoogleAds - Adveronix'!$F:$F,'ImportaçãoGoogleAds - Adveronix'!D:D)," ")</f>
        <v> </v>
      </c>
      <c r="U15" s="155" t="str">
        <f t="array" ref="U15">IFERROR(XLOOKUP(B15,'ImportaçãoGoogleAds - Adveronix'!$F:$F,'ImportaçãoGoogleAds - Adveronix'!E:E)," ")</f>
        <v> </v>
      </c>
      <c r="V15" s="156"/>
      <c r="W15" s="157"/>
      <c r="X15" s="157"/>
      <c r="Y15" s="158"/>
      <c r="Z15" s="158"/>
      <c r="AA15" s="158"/>
      <c r="AB15" s="152" t="str">
        <f t="array" ref="AB15">IFERROR(XLOOKUP(B15,'ImportaçãoMeta - Adveronix'!F:F,'ImportaçãoMeta - Adveronix'!B:B),"")</f>
        <v/>
      </c>
      <c r="AC15" s="154"/>
      <c r="AD15" s="154"/>
      <c r="AE15" s="159" t="str">
        <f t="array" ref="AE15">IFERROR(XLOOKUP(B15,'ImportaçãoMeta - Adveronix'!$F:$F,'ImportaçãoMeta - Adveronix'!C:C),"")</f>
        <v/>
      </c>
      <c r="AF15" s="159" t="str">
        <f t="array" ref="AF15">IFERROR(XLOOKUP(B15,'ImportaçãoMeta - Adveronix'!$F:$F,'ImportaçãoMeta - Adveronix'!D:D),"")</f>
        <v/>
      </c>
      <c r="AG15" s="159" t="str">
        <f t="array" ref="AG15">IFERROR(XLOOKUP(B15,'ImportaçãoMeta - Adveronix'!$F:$F,'ImportaçãoMeta - Adveronix'!E:E),"")</f>
        <v/>
      </c>
      <c r="AH15" s="157"/>
      <c r="AI15" s="157"/>
      <c r="AJ15" s="156"/>
      <c r="AK15" s="160"/>
      <c r="AL15" s="160"/>
    </row>
    <row r="16" ht="15.75" hidden="1" customHeight="1">
      <c r="A16" s="149" t="str">
        <f t="array" ref="A16">XLOOKUP(MONTH(B16),BASE!$F$16:$F$27,BASE!$G$16:$G$27)</f>
        <v>Janeiro</v>
      </c>
      <c r="B16" s="150">
        <v>46037.0</v>
      </c>
      <c r="C16" s="151"/>
      <c r="D16" s="149" t="str">
        <f t="shared" si="4"/>
        <v>quinta-feira</v>
      </c>
      <c r="E16" s="152">
        <f t="shared" ref="E16:J16" si="31">IFERROR(SUM(P16,AB16)," ")</f>
        <v>0</v>
      </c>
      <c r="F16" s="152">
        <f t="shared" si="31"/>
        <v>0</v>
      </c>
      <c r="G16" s="152">
        <f t="shared" si="31"/>
        <v>0</v>
      </c>
      <c r="H16" s="153">
        <f t="shared" si="31"/>
        <v>0</v>
      </c>
      <c r="I16" s="153">
        <f t="shared" si="31"/>
        <v>0</v>
      </c>
      <c r="J16" s="153">
        <f t="shared" si="31"/>
        <v>0</v>
      </c>
      <c r="K16" s="153">
        <f t="shared" ref="K16:M16" si="32">IFERROR(SUM(W16,AH16)," ")</f>
        <v>0</v>
      </c>
      <c r="L16" s="153">
        <f t="shared" si="32"/>
        <v>0</v>
      </c>
      <c r="M16" s="153">
        <f t="shared" si="32"/>
        <v>0</v>
      </c>
      <c r="N16" s="153"/>
      <c r="O16" s="153"/>
      <c r="P16" s="152" t="str">
        <f t="array" ref="P16">IFERROR(XLOOKUP(B16,'ImportaçãoGoogleAds - Adveronix'!$F:$F,'ImportaçãoGoogleAds - Adveronix'!$B:$B)," ")</f>
        <v> </v>
      </c>
      <c r="Q16" s="154"/>
      <c r="R16" s="154"/>
      <c r="S16" s="155" t="str">
        <f t="array" ref="S16">IFERROR(XLOOKUP(B16,'ImportaçãoGoogleAds - Adveronix'!$F:$F,'ImportaçãoGoogleAds - Adveronix'!C:C)," ")</f>
        <v> </v>
      </c>
      <c r="T16" s="155" t="str">
        <f t="array" ref="T16">IFERROR(XLOOKUP(B16,'ImportaçãoGoogleAds - Adveronix'!$F:$F,'ImportaçãoGoogleAds - Adveronix'!D:D)," ")</f>
        <v> </v>
      </c>
      <c r="U16" s="155" t="str">
        <f t="array" ref="U16">IFERROR(XLOOKUP(B16,'ImportaçãoGoogleAds - Adveronix'!$F:$F,'ImportaçãoGoogleAds - Adveronix'!E:E)," ")</f>
        <v> </v>
      </c>
      <c r="V16" s="156"/>
      <c r="W16" s="157"/>
      <c r="X16" s="157"/>
      <c r="Y16" s="158"/>
      <c r="Z16" s="158"/>
      <c r="AA16" s="158"/>
      <c r="AB16" s="152" t="str">
        <f t="array" ref="AB16">IFERROR(XLOOKUP(B16,'ImportaçãoMeta - Adveronix'!F:F,'ImportaçãoMeta - Adveronix'!B:B),"")</f>
        <v/>
      </c>
      <c r="AC16" s="154"/>
      <c r="AD16" s="154"/>
      <c r="AE16" s="159" t="str">
        <f t="array" ref="AE16">IFERROR(XLOOKUP(B16,'ImportaçãoMeta - Adveronix'!$F:$F,'ImportaçãoMeta - Adveronix'!C:C),"")</f>
        <v/>
      </c>
      <c r="AF16" s="159" t="str">
        <f t="array" ref="AF16">IFERROR(XLOOKUP(B16,'ImportaçãoMeta - Adveronix'!$F:$F,'ImportaçãoMeta - Adveronix'!D:D),"")</f>
        <v/>
      </c>
      <c r="AG16" s="159" t="str">
        <f t="array" ref="AG16">IFERROR(XLOOKUP(B16,'ImportaçãoMeta - Adveronix'!$F:$F,'ImportaçãoMeta - Adveronix'!E:E),"")</f>
        <v/>
      </c>
      <c r="AH16" s="157"/>
      <c r="AI16" s="157"/>
      <c r="AJ16" s="156"/>
      <c r="AK16" s="160"/>
      <c r="AL16" s="160"/>
    </row>
    <row r="17" ht="15.75" hidden="1" customHeight="1">
      <c r="A17" s="149" t="str">
        <f t="array" ref="A17">XLOOKUP(MONTH(B17),BASE!$F$16:$F$27,BASE!$G$16:$G$27)</f>
        <v>Janeiro</v>
      </c>
      <c r="B17" s="150">
        <v>46038.0</v>
      </c>
      <c r="C17" s="151"/>
      <c r="D17" s="149" t="str">
        <f t="shared" si="4"/>
        <v>sexta-feira</v>
      </c>
      <c r="E17" s="152">
        <f t="shared" ref="E17:J17" si="33">IFERROR(SUM(P17,AB17)," ")</f>
        <v>0</v>
      </c>
      <c r="F17" s="152">
        <f t="shared" si="33"/>
        <v>0</v>
      </c>
      <c r="G17" s="152">
        <f t="shared" si="33"/>
        <v>0</v>
      </c>
      <c r="H17" s="153">
        <f t="shared" si="33"/>
        <v>0</v>
      </c>
      <c r="I17" s="153">
        <f t="shared" si="33"/>
        <v>0</v>
      </c>
      <c r="J17" s="153">
        <f t="shared" si="33"/>
        <v>0</v>
      </c>
      <c r="K17" s="153">
        <f t="shared" ref="K17:M17" si="34">IFERROR(SUM(W17,AH17)," ")</f>
        <v>0</v>
      </c>
      <c r="L17" s="153">
        <f t="shared" si="34"/>
        <v>0</v>
      </c>
      <c r="M17" s="153">
        <f t="shared" si="34"/>
        <v>0</v>
      </c>
      <c r="N17" s="153"/>
      <c r="O17" s="153"/>
      <c r="P17" s="152" t="str">
        <f t="array" ref="P17">IFERROR(XLOOKUP(B17,'ImportaçãoGoogleAds - Adveronix'!$F:$F,'ImportaçãoGoogleAds - Adveronix'!$B:$B)," ")</f>
        <v> </v>
      </c>
      <c r="Q17" s="154"/>
      <c r="R17" s="154"/>
      <c r="S17" s="155" t="str">
        <f t="array" ref="S17">IFERROR(XLOOKUP(B17,'ImportaçãoGoogleAds - Adveronix'!$F:$F,'ImportaçãoGoogleAds - Adveronix'!C:C)," ")</f>
        <v> </v>
      </c>
      <c r="T17" s="155" t="str">
        <f t="array" ref="T17">IFERROR(XLOOKUP(B17,'ImportaçãoGoogleAds - Adveronix'!$F:$F,'ImportaçãoGoogleAds - Adveronix'!D:D)," ")</f>
        <v> </v>
      </c>
      <c r="U17" s="155" t="str">
        <f t="array" ref="U17">IFERROR(XLOOKUP(B17,'ImportaçãoGoogleAds - Adveronix'!$F:$F,'ImportaçãoGoogleAds - Adveronix'!E:E)," ")</f>
        <v> </v>
      </c>
      <c r="V17" s="156"/>
      <c r="W17" s="157"/>
      <c r="X17" s="157"/>
      <c r="Y17" s="158"/>
      <c r="Z17" s="158"/>
      <c r="AA17" s="158"/>
      <c r="AB17" s="152" t="str">
        <f t="array" ref="AB17">IFERROR(XLOOKUP(B17,'ImportaçãoMeta - Adveronix'!F:F,'ImportaçãoMeta - Adveronix'!B:B),"")</f>
        <v/>
      </c>
      <c r="AC17" s="154"/>
      <c r="AD17" s="154"/>
      <c r="AE17" s="159" t="str">
        <f t="array" ref="AE17">IFERROR(XLOOKUP(B17,'ImportaçãoMeta - Adveronix'!$F:$F,'ImportaçãoMeta - Adveronix'!C:C),"")</f>
        <v/>
      </c>
      <c r="AF17" s="159" t="str">
        <f t="array" ref="AF17">IFERROR(XLOOKUP(B17,'ImportaçãoMeta - Adveronix'!$F:$F,'ImportaçãoMeta - Adveronix'!D:D),"")</f>
        <v/>
      </c>
      <c r="AG17" s="159" t="str">
        <f t="array" ref="AG17">IFERROR(XLOOKUP(B17,'ImportaçãoMeta - Adveronix'!$F:$F,'ImportaçãoMeta - Adveronix'!E:E),"")</f>
        <v/>
      </c>
      <c r="AH17" s="157"/>
      <c r="AI17" s="157"/>
      <c r="AJ17" s="156"/>
      <c r="AK17" s="160"/>
      <c r="AL17" s="160"/>
    </row>
    <row r="18" ht="15.75" hidden="1" customHeight="1">
      <c r="A18" s="149" t="str">
        <f t="array" ref="A18">XLOOKUP(MONTH(B18),BASE!$F$16:$F$27,BASE!$G$16:$G$27)</f>
        <v>Janeiro</v>
      </c>
      <c r="B18" s="150">
        <v>46039.0</v>
      </c>
      <c r="C18" s="151"/>
      <c r="D18" s="149" t="str">
        <f t="shared" si="4"/>
        <v>sábado</v>
      </c>
      <c r="E18" s="152">
        <f t="shared" ref="E18:J18" si="35">IFERROR(SUM(P18,AB18)," ")</f>
        <v>0</v>
      </c>
      <c r="F18" s="152">
        <f t="shared" si="35"/>
        <v>0</v>
      </c>
      <c r="G18" s="152">
        <f t="shared" si="35"/>
        <v>0</v>
      </c>
      <c r="H18" s="153">
        <f t="shared" si="35"/>
        <v>0</v>
      </c>
      <c r="I18" s="153">
        <f t="shared" si="35"/>
        <v>0</v>
      </c>
      <c r="J18" s="153">
        <f t="shared" si="35"/>
        <v>0</v>
      </c>
      <c r="K18" s="153">
        <f t="shared" ref="K18:M18" si="36">IFERROR(SUM(W18,AH18)," ")</f>
        <v>0</v>
      </c>
      <c r="L18" s="153">
        <f t="shared" si="36"/>
        <v>0</v>
      </c>
      <c r="M18" s="153">
        <f t="shared" si="36"/>
        <v>0</v>
      </c>
      <c r="N18" s="153"/>
      <c r="O18" s="153"/>
      <c r="P18" s="152" t="str">
        <f t="array" ref="P18">IFERROR(XLOOKUP(B18,'ImportaçãoGoogleAds - Adveronix'!$F:$F,'ImportaçãoGoogleAds - Adveronix'!$B:$B)," ")</f>
        <v> </v>
      </c>
      <c r="Q18" s="154"/>
      <c r="R18" s="154"/>
      <c r="S18" s="155" t="str">
        <f t="array" ref="S18">IFERROR(XLOOKUP(B18,'ImportaçãoGoogleAds - Adveronix'!$F:$F,'ImportaçãoGoogleAds - Adveronix'!C:C)," ")</f>
        <v> </v>
      </c>
      <c r="T18" s="155" t="str">
        <f t="array" ref="T18">IFERROR(XLOOKUP(B18,'ImportaçãoGoogleAds - Adveronix'!$F:$F,'ImportaçãoGoogleAds - Adveronix'!D:D)," ")</f>
        <v> </v>
      </c>
      <c r="U18" s="155" t="str">
        <f t="array" ref="U18">IFERROR(XLOOKUP(B18,'ImportaçãoGoogleAds - Adveronix'!$F:$F,'ImportaçãoGoogleAds - Adveronix'!E:E)," ")</f>
        <v> </v>
      </c>
      <c r="V18" s="156"/>
      <c r="W18" s="157"/>
      <c r="X18" s="157"/>
      <c r="Y18" s="158"/>
      <c r="Z18" s="158"/>
      <c r="AA18" s="158"/>
      <c r="AB18" s="152" t="str">
        <f t="array" ref="AB18">IFERROR(XLOOKUP(B18,'ImportaçãoMeta - Adveronix'!F:F,'ImportaçãoMeta - Adveronix'!B:B),"")</f>
        <v/>
      </c>
      <c r="AC18" s="154"/>
      <c r="AD18" s="154"/>
      <c r="AE18" s="159" t="str">
        <f t="array" ref="AE18">IFERROR(XLOOKUP(B18,'ImportaçãoMeta - Adveronix'!$F:$F,'ImportaçãoMeta - Adveronix'!C:C),"")</f>
        <v/>
      </c>
      <c r="AF18" s="159" t="str">
        <f t="array" ref="AF18">IFERROR(XLOOKUP(B18,'ImportaçãoMeta - Adveronix'!$F:$F,'ImportaçãoMeta - Adveronix'!D:D),"")</f>
        <v/>
      </c>
      <c r="AG18" s="159" t="str">
        <f t="array" ref="AG18">IFERROR(XLOOKUP(B18,'ImportaçãoMeta - Adveronix'!$F:$F,'ImportaçãoMeta - Adveronix'!E:E),"")</f>
        <v/>
      </c>
      <c r="AH18" s="157"/>
      <c r="AI18" s="157"/>
      <c r="AJ18" s="156"/>
      <c r="AK18" s="160"/>
      <c r="AL18" s="160"/>
    </row>
    <row r="19" ht="15.75" hidden="1" customHeight="1">
      <c r="A19" s="149" t="str">
        <f t="array" ref="A19">XLOOKUP(MONTH(B19),BASE!$F$16:$F$27,BASE!$G$16:$G$27)</f>
        <v>Janeiro</v>
      </c>
      <c r="B19" s="150">
        <v>46040.0</v>
      </c>
      <c r="C19" s="151"/>
      <c r="D19" s="149" t="str">
        <f t="shared" si="4"/>
        <v>domingo</v>
      </c>
      <c r="E19" s="152">
        <f t="shared" ref="E19:J19" si="37">IFERROR(SUM(P19,AB19)," ")</f>
        <v>0</v>
      </c>
      <c r="F19" s="152">
        <f t="shared" si="37"/>
        <v>0</v>
      </c>
      <c r="G19" s="152">
        <f t="shared" si="37"/>
        <v>0</v>
      </c>
      <c r="H19" s="153">
        <f t="shared" si="37"/>
        <v>0</v>
      </c>
      <c r="I19" s="153">
        <f t="shared" si="37"/>
        <v>0</v>
      </c>
      <c r="J19" s="153">
        <f t="shared" si="37"/>
        <v>0</v>
      </c>
      <c r="K19" s="153">
        <f t="shared" ref="K19:M19" si="38">IFERROR(SUM(W19,AH19)," ")</f>
        <v>0</v>
      </c>
      <c r="L19" s="153">
        <f t="shared" si="38"/>
        <v>0</v>
      </c>
      <c r="M19" s="153">
        <f t="shared" si="38"/>
        <v>0</v>
      </c>
      <c r="N19" s="153"/>
      <c r="O19" s="153"/>
      <c r="P19" s="152" t="str">
        <f t="array" ref="P19">IFERROR(XLOOKUP(B19,'ImportaçãoGoogleAds - Adveronix'!$F:$F,'ImportaçãoGoogleAds - Adveronix'!$B:$B)," ")</f>
        <v> </v>
      </c>
      <c r="Q19" s="154"/>
      <c r="R19" s="154"/>
      <c r="S19" s="155" t="str">
        <f t="array" ref="S19">IFERROR(XLOOKUP(B19,'ImportaçãoGoogleAds - Adveronix'!$F:$F,'ImportaçãoGoogleAds - Adveronix'!C:C)," ")</f>
        <v> </v>
      </c>
      <c r="T19" s="155" t="str">
        <f t="array" ref="T19">IFERROR(XLOOKUP(B19,'ImportaçãoGoogleAds - Adveronix'!$F:$F,'ImportaçãoGoogleAds - Adveronix'!D:D)," ")</f>
        <v> </v>
      </c>
      <c r="U19" s="155" t="str">
        <f t="array" ref="U19">IFERROR(XLOOKUP(B19,'ImportaçãoGoogleAds - Adveronix'!$F:$F,'ImportaçãoGoogleAds - Adveronix'!E:E)," ")</f>
        <v> </v>
      </c>
      <c r="V19" s="156"/>
      <c r="W19" s="157"/>
      <c r="X19" s="157"/>
      <c r="Y19" s="158"/>
      <c r="Z19" s="158"/>
      <c r="AA19" s="158"/>
      <c r="AB19" s="152" t="str">
        <f t="array" ref="AB19">IFERROR(XLOOKUP(B19,'ImportaçãoMeta - Adveronix'!F:F,'ImportaçãoMeta - Adveronix'!B:B),"")</f>
        <v/>
      </c>
      <c r="AC19" s="154"/>
      <c r="AD19" s="154"/>
      <c r="AE19" s="159" t="str">
        <f t="array" ref="AE19">IFERROR(XLOOKUP(B19,'ImportaçãoMeta - Adveronix'!$F:$F,'ImportaçãoMeta - Adveronix'!C:C),"")</f>
        <v/>
      </c>
      <c r="AF19" s="159" t="str">
        <f t="array" ref="AF19">IFERROR(XLOOKUP(B19,'ImportaçãoMeta - Adveronix'!$F:$F,'ImportaçãoMeta - Adveronix'!D:D),"")</f>
        <v/>
      </c>
      <c r="AG19" s="159" t="str">
        <f t="array" ref="AG19">IFERROR(XLOOKUP(B19,'ImportaçãoMeta - Adveronix'!$F:$F,'ImportaçãoMeta - Adveronix'!E:E),"")</f>
        <v/>
      </c>
      <c r="AH19" s="157"/>
      <c r="AI19" s="157"/>
      <c r="AJ19" s="156"/>
      <c r="AK19" s="160"/>
      <c r="AL19" s="160"/>
    </row>
    <row r="20" ht="15.75" hidden="1" customHeight="1">
      <c r="A20" s="149" t="str">
        <f t="array" ref="A20">XLOOKUP(MONTH(B20),BASE!$F$16:$F$27,BASE!$G$16:$G$27)</f>
        <v>Janeiro</v>
      </c>
      <c r="B20" s="150">
        <v>46041.0</v>
      </c>
      <c r="C20" s="151"/>
      <c r="D20" s="149" t="str">
        <f t="shared" si="4"/>
        <v>segunda-feira</v>
      </c>
      <c r="E20" s="152">
        <f t="shared" ref="E20:J20" si="39">IFERROR(SUM(P20,AB20)," ")</f>
        <v>0</v>
      </c>
      <c r="F20" s="152">
        <f t="shared" si="39"/>
        <v>0</v>
      </c>
      <c r="G20" s="152">
        <f t="shared" si="39"/>
        <v>0</v>
      </c>
      <c r="H20" s="153">
        <f t="shared" si="39"/>
        <v>0</v>
      </c>
      <c r="I20" s="153">
        <f t="shared" si="39"/>
        <v>0</v>
      </c>
      <c r="J20" s="153">
        <f t="shared" si="39"/>
        <v>0</v>
      </c>
      <c r="K20" s="153">
        <f t="shared" ref="K20:M20" si="40">IFERROR(SUM(W20,AH20)," ")</f>
        <v>0</v>
      </c>
      <c r="L20" s="153">
        <f t="shared" si="40"/>
        <v>0</v>
      </c>
      <c r="M20" s="153">
        <f t="shared" si="40"/>
        <v>0</v>
      </c>
      <c r="N20" s="153"/>
      <c r="O20" s="153"/>
      <c r="P20" s="152" t="str">
        <f t="array" ref="P20">IFERROR(XLOOKUP(B20,'ImportaçãoGoogleAds - Adveronix'!$F:$F,'ImportaçãoGoogleAds - Adveronix'!$B:$B)," ")</f>
        <v> </v>
      </c>
      <c r="Q20" s="154"/>
      <c r="R20" s="154"/>
      <c r="S20" s="155" t="str">
        <f t="array" ref="S20">IFERROR(XLOOKUP(B20,'ImportaçãoGoogleAds - Adveronix'!$F:$F,'ImportaçãoGoogleAds - Adveronix'!C:C)," ")</f>
        <v> </v>
      </c>
      <c r="T20" s="155" t="str">
        <f t="array" ref="T20">IFERROR(XLOOKUP(B20,'ImportaçãoGoogleAds - Adveronix'!$F:$F,'ImportaçãoGoogleAds - Adveronix'!D:D)," ")</f>
        <v> </v>
      </c>
      <c r="U20" s="155" t="str">
        <f t="array" ref="U20">IFERROR(XLOOKUP(B20,'ImportaçãoGoogleAds - Adveronix'!$F:$F,'ImportaçãoGoogleAds - Adveronix'!E:E)," ")</f>
        <v> </v>
      </c>
      <c r="V20" s="156"/>
      <c r="W20" s="157"/>
      <c r="X20" s="157"/>
      <c r="Y20" s="158"/>
      <c r="Z20" s="158"/>
      <c r="AA20" s="158"/>
      <c r="AB20" s="152" t="str">
        <f t="array" ref="AB20">IFERROR(XLOOKUP(B20,'ImportaçãoMeta - Adveronix'!F:F,'ImportaçãoMeta - Adveronix'!B:B),"")</f>
        <v/>
      </c>
      <c r="AC20" s="154"/>
      <c r="AD20" s="154"/>
      <c r="AE20" s="159" t="str">
        <f t="array" ref="AE20">IFERROR(XLOOKUP(B20,'ImportaçãoMeta - Adveronix'!$F:$F,'ImportaçãoMeta - Adveronix'!C:C),"")</f>
        <v/>
      </c>
      <c r="AF20" s="159" t="str">
        <f t="array" ref="AF20">IFERROR(XLOOKUP(B20,'ImportaçãoMeta - Adveronix'!$F:$F,'ImportaçãoMeta - Adveronix'!D:D),"")</f>
        <v/>
      </c>
      <c r="AG20" s="159" t="str">
        <f t="array" ref="AG20">IFERROR(XLOOKUP(B20,'ImportaçãoMeta - Adveronix'!$F:$F,'ImportaçãoMeta - Adveronix'!E:E),"")</f>
        <v/>
      </c>
      <c r="AH20" s="157"/>
      <c r="AI20" s="157"/>
      <c r="AJ20" s="156"/>
      <c r="AK20" s="160"/>
      <c r="AL20" s="160"/>
    </row>
    <row r="21" ht="15.75" hidden="1" customHeight="1">
      <c r="A21" s="149" t="str">
        <f t="array" ref="A21">XLOOKUP(MONTH(B21),BASE!$F$16:$F$27,BASE!$G$16:$G$27)</f>
        <v>Janeiro</v>
      </c>
      <c r="B21" s="150">
        <v>46042.0</v>
      </c>
      <c r="C21" s="151"/>
      <c r="D21" s="149" t="str">
        <f t="shared" si="4"/>
        <v>terça-feira</v>
      </c>
      <c r="E21" s="152">
        <f t="shared" ref="E21:J21" si="41">IFERROR(SUM(P21,AB21)," ")</f>
        <v>0</v>
      </c>
      <c r="F21" s="152">
        <f t="shared" si="41"/>
        <v>0</v>
      </c>
      <c r="G21" s="152">
        <f t="shared" si="41"/>
        <v>0</v>
      </c>
      <c r="H21" s="153">
        <f t="shared" si="41"/>
        <v>0</v>
      </c>
      <c r="I21" s="153">
        <f t="shared" si="41"/>
        <v>0</v>
      </c>
      <c r="J21" s="153">
        <f t="shared" si="41"/>
        <v>0</v>
      </c>
      <c r="K21" s="153">
        <f t="shared" ref="K21:M21" si="42">IFERROR(SUM(W21,AH21)," ")</f>
        <v>0</v>
      </c>
      <c r="L21" s="153">
        <f t="shared" si="42"/>
        <v>0</v>
      </c>
      <c r="M21" s="153">
        <f t="shared" si="42"/>
        <v>0</v>
      </c>
      <c r="N21" s="153"/>
      <c r="O21" s="153"/>
      <c r="P21" s="152" t="str">
        <f t="array" ref="P21">IFERROR(XLOOKUP(B21,'ImportaçãoGoogleAds - Adveronix'!$F:$F,'ImportaçãoGoogleAds - Adveronix'!$B:$B)," ")</f>
        <v> </v>
      </c>
      <c r="Q21" s="154"/>
      <c r="R21" s="154"/>
      <c r="S21" s="155" t="str">
        <f t="array" ref="S21">IFERROR(XLOOKUP(B21,'ImportaçãoGoogleAds - Adveronix'!$F:$F,'ImportaçãoGoogleAds - Adveronix'!C:C)," ")</f>
        <v> </v>
      </c>
      <c r="T21" s="155" t="str">
        <f t="array" ref="T21">IFERROR(XLOOKUP(B21,'ImportaçãoGoogleAds - Adveronix'!$F:$F,'ImportaçãoGoogleAds - Adveronix'!D:D)," ")</f>
        <v> </v>
      </c>
      <c r="U21" s="155" t="str">
        <f t="array" ref="U21">IFERROR(XLOOKUP(B21,'ImportaçãoGoogleAds - Adveronix'!$F:$F,'ImportaçãoGoogleAds - Adveronix'!E:E)," ")</f>
        <v> </v>
      </c>
      <c r="V21" s="156"/>
      <c r="W21" s="157"/>
      <c r="X21" s="157"/>
      <c r="Y21" s="158"/>
      <c r="Z21" s="158"/>
      <c r="AA21" s="158"/>
      <c r="AB21" s="152" t="str">
        <f t="array" ref="AB21">IFERROR(XLOOKUP(B21,'ImportaçãoMeta - Adveronix'!F:F,'ImportaçãoMeta - Adveronix'!B:B),"")</f>
        <v/>
      </c>
      <c r="AC21" s="154"/>
      <c r="AD21" s="154"/>
      <c r="AE21" s="159" t="str">
        <f t="array" ref="AE21">IFERROR(XLOOKUP(B21,'ImportaçãoMeta - Adveronix'!$F:$F,'ImportaçãoMeta - Adveronix'!C:C),"")</f>
        <v/>
      </c>
      <c r="AF21" s="159" t="str">
        <f t="array" ref="AF21">IFERROR(XLOOKUP(B21,'ImportaçãoMeta - Adveronix'!$F:$F,'ImportaçãoMeta - Adveronix'!D:D),"")</f>
        <v/>
      </c>
      <c r="AG21" s="159" t="str">
        <f t="array" ref="AG21">IFERROR(XLOOKUP(B21,'ImportaçãoMeta - Adveronix'!$F:$F,'ImportaçãoMeta - Adveronix'!E:E),"")</f>
        <v/>
      </c>
      <c r="AH21" s="157"/>
      <c r="AI21" s="157"/>
      <c r="AJ21" s="156"/>
      <c r="AK21" s="160"/>
      <c r="AL21" s="160"/>
    </row>
    <row r="22" ht="15.75" hidden="1" customHeight="1">
      <c r="A22" s="149" t="str">
        <f t="array" ref="A22">XLOOKUP(MONTH(B22),BASE!$F$16:$F$27,BASE!$G$16:$G$27)</f>
        <v>Janeiro</v>
      </c>
      <c r="B22" s="150">
        <v>46043.0</v>
      </c>
      <c r="C22" s="151"/>
      <c r="D22" s="149" t="str">
        <f t="shared" si="4"/>
        <v>quarta-feira</v>
      </c>
      <c r="E22" s="152">
        <f t="shared" ref="E22:J22" si="43">IFERROR(SUM(P22,AB22)," ")</f>
        <v>0</v>
      </c>
      <c r="F22" s="152">
        <f t="shared" si="43"/>
        <v>0</v>
      </c>
      <c r="G22" s="152">
        <f t="shared" si="43"/>
        <v>0</v>
      </c>
      <c r="H22" s="153">
        <f t="shared" si="43"/>
        <v>0</v>
      </c>
      <c r="I22" s="153">
        <f t="shared" si="43"/>
        <v>0</v>
      </c>
      <c r="J22" s="153">
        <f t="shared" si="43"/>
        <v>0</v>
      </c>
      <c r="K22" s="153">
        <f t="shared" ref="K22:M22" si="44">IFERROR(SUM(W22,AH22)," ")</f>
        <v>0</v>
      </c>
      <c r="L22" s="153">
        <f t="shared" si="44"/>
        <v>0</v>
      </c>
      <c r="M22" s="153">
        <f t="shared" si="44"/>
        <v>0</v>
      </c>
      <c r="N22" s="153"/>
      <c r="O22" s="153"/>
      <c r="P22" s="152" t="str">
        <f t="array" ref="P22">IFERROR(XLOOKUP(B22,'ImportaçãoGoogleAds - Adveronix'!$F:$F,'ImportaçãoGoogleAds - Adveronix'!$B:$B)," ")</f>
        <v> </v>
      </c>
      <c r="Q22" s="154"/>
      <c r="R22" s="154"/>
      <c r="S22" s="155" t="str">
        <f t="array" ref="S22">IFERROR(XLOOKUP(B22,'ImportaçãoGoogleAds - Adveronix'!$F:$F,'ImportaçãoGoogleAds - Adveronix'!C:C)," ")</f>
        <v> </v>
      </c>
      <c r="T22" s="155" t="str">
        <f t="array" ref="T22">IFERROR(XLOOKUP(B22,'ImportaçãoGoogleAds - Adveronix'!$F:$F,'ImportaçãoGoogleAds - Adveronix'!D:D)," ")</f>
        <v> </v>
      </c>
      <c r="U22" s="155" t="str">
        <f t="array" ref="U22">IFERROR(XLOOKUP(B22,'ImportaçãoGoogleAds - Adveronix'!$F:$F,'ImportaçãoGoogleAds - Adveronix'!E:E)," ")</f>
        <v> </v>
      </c>
      <c r="V22" s="156"/>
      <c r="W22" s="157"/>
      <c r="X22" s="157"/>
      <c r="Y22" s="158"/>
      <c r="Z22" s="158"/>
      <c r="AA22" s="158"/>
      <c r="AB22" s="152" t="str">
        <f t="array" ref="AB22">IFERROR(XLOOKUP(B22,'ImportaçãoMeta - Adveronix'!F:F,'ImportaçãoMeta - Adveronix'!B:B),"")</f>
        <v/>
      </c>
      <c r="AC22" s="154"/>
      <c r="AD22" s="154"/>
      <c r="AE22" s="159" t="str">
        <f t="array" ref="AE22">IFERROR(XLOOKUP(B22,'ImportaçãoMeta - Adveronix'!$F:$F,'ImportaçãoMeta - Adveronix'!C:C),"")</f>
        <v/>
      </c>
      <c r="AF22" s="159" t="str">
        <f t="array" ref="AF22">IFERROR(XLOOKUP(B22,'ImportaçãoMeta - Adveronix'!$F:$F,'ImportaçãoMeta - Adveronix'!D:D),"")</f>
        <v/>
      </c>
      <c r="AG22" s="159" t="str">
        <f t="array" ref="AG22">IFERROR(XLOOKUP(B22,'ImportaçãoMeta - Adveronix'!$F:$F,'ImportaçãoMeta - Adveronix'!E:E),"")</f>
        <v/>
      </c>
      <c r="AH22" s="157"/>
      <c r="AI22" s="157"/>
      <c r="AJ22" s="156"/>
      <c r="AK22" s="160"/>
      <c r="AL22" s="160"/>
    </row>
    <row r="23" ht="15.75" hidden="1" customHeight="1">
      <c r="A23" s="149" t="str">
        <f t="array" ref="A23">XLOOKUP(MONTH(B23),BASE!$F$16:$F$27,BASE!$G$16:$G$27)</f>
        <v>Janeiro</v>
      </c>
      <c r="B23" s="150">
        <v>46044.0</v>
      </c>
      <c r="C23" s="151"/>
      <c r="D23" s="149" t="str">
        <f t="shared" si="4"/>
        <v>quinta-feira</v>
      </c>
      <c r="E23" s="152">
        <f t="shared" ref="E23:J23" si="45">IFERROR(SUM(P23,AB23)," ")</f>
        <v>0</v>
      </c>
      <c r="F23" s="152">
        <f t="shared" si="45"/>
        <v>0</v>
      </c>
      <c r="G23" s="152">
        <f t="shared" si="45"/>
        <v>0</v>
      </c>
      <c r="H23" s="153">
        <f t="shared" si="45"/>
        <v>0</v>
      </c>
      <c r="I23" s="153">
        <f t="shared" si="45"/>
        <v>0</v>
      </c>
      <c r="J23" s="153">
        <f t="shared" si="45"/>
        <v>0</v>
      </c>
      <c r="K23" s="153">
        <f t="shared" ref="K23:M23" si="46">IFERROR(SUM(W23,AH23)," ")</f>
        <v>0</v>
      </c>
      <c r="L23" s="153">
        <f t="shared" si="46"/>
        <v>0</v>
      </c>
      <c r="M23" s="153">
        <f t="shared" si="46"/>
        <v>0</v>
      </c>
      <c r="N23" s="153"/>
      <c r="O23" s="153"/>
      <c r="P23" s="152" t="str">
        <f t="array" ref="P23">IFERROR(XLOOKUP(B23,'ImportaçãoGoogleAds - Adveronix'!$F:$F,'ImportaçãoGoogleAds - Adveronix'!$B:$B)," ")</f>
        <v> </v>
      </c>
      <c r="Q23" s="154"/>
      <c r="R23" s="154"/>
      <c r="S23" s="155" t="str">
        <f t="array" ref="S23">IFERROR(XLOOKUP(B23,'ImportaçãoGoogleAds - Adveronix'!$F:$F,'ImportaçãoGoogleAds - Adveronix'!C:C)," ")</f>
        <v> </v>
      </c>
      <c r="T23" s="155" t="str">
        <f t="array" ref="T23">IFERROR(XLOOKUP(B23,'ImportaçãoGoogleAds - Adveronix'!$F:$F,'ImportaçãoGoogleAds - Adveronix'!D:D)," ")</f>
        <v> </v>
      </c>
      <c r="U23" s="155" t="str">
        <f t="array" ref="U23">IFERROR(XLOOKUP(B23,'ImportaçãoGoogleAds - Adveronix'!$F:$F,'ImportaçãoGoogleAds - Adveronix'!E:E)," ")</f>
        <v> </v>
      </c>
      <c r="V23" s="156"/>
      <c r="W23" s="157"/>
      <c r="X23" s="157"/>
      <c r="Y23" s="158"/>
      <c r="Z23" s="158"/>
      <c r="AA23" s="158"/>
      <c r="AB23" s="152" t="str">
        <f t="array" ref="AB23">IFERROR(XLOOKUP(B23,'ImportaçãoMeta - Adveronix'!F:F,'ImportaçãoMeta - Adveronix'!B:B),"")</f>
        <v/>
      </c>
      <c r="AC23" s="154"/>
      <c r="AD23" s="154"/>
      <c r="AE23" s="159" t="str">
        <f t="array" ref="AE23">IFERROR(XLOOKUP(B23,'ImportaçãoMeta - Adveronix'!$F:$F,'ImportaçãoMeta - Adveronix'!C:C),"")</f>
        <v/>
      </c>
      <c r="AF23" s="159" t="str">
        <f t="array" ref="AF23">IFERROR(XLOOKUP(B23,'ImportaçãoMeta - Adveronix'!$F:$F,'ImportaçãoMeta - Adveronix'!D:D),"")</f>
        <v/>
      </c>
      <c r="AG23" s="159" t="str">
        <f t="array" ref="AG23">IFERROR(XLOOKUP(B23,'ImportaçãoMeta - Adveronix'!$F:$F,'ImportaçãoMeta - Adveronix'!E:E),"")</f>
        <v/>
      </c>
      <c r="AH23" s="157"/>
      <c r="AI23" s="157"/>
      <c r="AJ23" s="156"/>
      <c r="AK23" s="160"/>
      <c r="AL23" s="160"/>
    </row>
    <row r="24" ht="15.75" hidden="1" customHeight="1">
      <c r="A24" s="149" t="str">
        <f t="array" ref="A24">XLOOKUP(MONTH(B24),BASE!$F$16:$F$27,BASE!$G$16:$G$27)</f>
        <v>Janeiro</v>
      </c>
      <c r="B24" s="150">
        <v>46045.0</v>
      </c>
      <c r="C24" s="151"/>
      <c r="D24" s="149" t="str">
        <f t="shared" si="4"/>
        <v>sexta-feira</v>
      </c>
      <c r="E24" s="152">
        <f t="shared" ref="E24:J24" si="47">IFERROR(SUM(P24,AB24)," ")</f>
        <v>0</v>
      </c>
      <c r="F24" s="152">
        <f t="shared" si="47"/>
        <v>0</v>
      </c>
      <c r="G24" s="152">
        <f t="shared" si="47"/>
        <v>0</v>
      </c>
      <c r="H24" s="153">
        <f t="shared" si="47"/>
        <v>0</v>
      </c>
      <c r="I24" s="153">
        <f t="shared" si="47"/>
        <v>0</v>
      </c>
      <c r="J24" s="153">
        <f t="shared" si="47"/>
        <v>0</v>
      </c>
      <c r="K24" s="153">
        <f t="shared" ref="K24:M24" si="48">IFERROR(SUM(W24,AH24)," ")</f>
        <v>0</v>
      </c>
      <c r="L24" s="153">
        <f t="shared" si="48"/>
        <v>0</v>
      </c>
      <c r="M24" s="153">
        <f t="shared" si="48"/>
        <v>0</v>
      </c>
      <c r="N24" s="153"/>
      <c r="O24" s="153"/>
      <c r="P24" s="152" t="str">
        <f t="array" ref="P24">IFERROR(XLOOKUP(B24,'ImportaçãoGoogleAds - Adveronix'!$F:$F,'ImportaçãoGoogleAds - Adveronix'!$B:$B)," ")</f>
        <v> </v>
      </c>
      <c r="Q24" s="154"/>
      <c r="R24" s="154"/>
      <c r="S24" s="155" t="str">
        <f t="array" ref="S24">IFERROR(XLOOKUP(B24,'ImportaçãoGoogleAds - Adveronix'!$F:$F,'ImportaçãoGoogleAds - Adveronix'!C:C)," ")</f>
        <v> </v>
      </c>
      <c r="T24" s="155" t="str">
        <f t="array" ref="T24">IFERROR(XLOOKUP(B24,'ImportaçãoGoogleAds - Adveronix'!$F:$F,'ImportaçãoGoogleAds - Adveronix'!D:D)," ")</f>
        <v> </v>
      </c>
      <c r="U24" s="155" t="str">
        <f t="array" ref="U24">IFERROR(XLOOKUP(B24,'ImportaçãoGoogleAds - Adveronix'!$F:$F,'ImportaçãoGoogleAds - Adveronix'!E:E)," ")</f>
        <v> </v>
      </c>
      <c r="V24" s="156"/>
      <c r="W24" s="157"/>
      <c r="X24" s="157"/>
      <c r="Y24" s="158"/>
      <c r="Z24" s="158"/>
      <c r="AA24" s="158"/>
      <c r="AB24" s="152" t="str">
        <f t="array" ref="AB24">IFERROR(XLOOKUP(B24,'ImportaçãoMeta - Adveronix'!F:F,'ImportaçãoMeta - Adveronix'!B:B),"")</f>
        <v/>
      </c>
      <c r="AC24" s="154"/>
      <c r="AD24" s="154"/>
      <c r="AE24" s="159" t="str">
        <f t="array" ref="AE24">IFERROR(XLOOKUP(B24,'ImportaçãoMeta - Adveronix'!$F:$F,'ImportaçãoMeta - Adveronix'!C:C),"")</f>
        <v/>
      </c>
      <c r="AF24" s="159" t="str">
        <f t="array" ref="AF24">IFERROR(XLOOKUP(B24,'ImportaçãoMeta - Adveronix'!$F:$F,'ImportaçãoMeta - Adveronix'!D:D),"")</f>
        <v/>
      </c>
      <c r="AG24" s="159" t="str">
        <f t="array" ref="AG24">IFERROR(XLOOKUP(B24,'ImportaçãoMeta - Adveronix'!$F:$F,'ImportaçãoMeta - Adveronix'!E:E),"")</f>
        <v/>
      </c>
      <c r="AH24" s="157"/>
      <c r="AI24" s="157"/>
      <c r="AJ24" s="156"/>
      <c r="AK24" s="160"/>
      <c r="AL24" s="160"/>
    </row>
    <row r="25" ht="15.75" hidden="1" customHeight="1">
      <c r="A25" s="149" t="str">
        <f t="array" ref="A25">XLOOKUP(MONTH(B25),BASE!$F$16:$F$27,BASE!$G$16:$G$27)</f>
        <v>Janeiro</v>
      </c>
      <c r="B25" s="150">
        <v>46046.0</v>
      </c>
      <c r="C25" s="151"/>
      <c r="D25" s="149" t="str">
        <f t="shared" si="4"/>
        <v>sábado</v>
      </c>
      <c r="E25" s="152">
        <f t="shared" ref="E25:J25" si="49">IFERROR(SUM(P25,AB25)," ")</f>
        <v>0</v>
      </c>
      <c r="F25" s="152">
        <f t="shared" si="49"/>
        <v>0</v>
      </c>
      <c r="G25" s="152">
        <f t="shared" si="49"/>
        <v>0</v>
      </c>
      <c r="H25" s="153">
        <f t="shared" si="49"/>
        <v>0</v>
      </c>
      <c r="I25" s="153">
        <f t="shared" si="49"/>
        <v>0</v>
      </c>
      <c r="J25" s="153">
        <f t="shared" si="49"/>
        <v>0</v>
      </c>
      <c r="K25" s="153">
        <f t="shared" ref="K25:M25" si="50">IFERROR(SUM(W25,AH25)," ")</f>
        <v>0</v>
      </c>
      <c r="L25" s="153">
        <f t="shared" si="50"/>
        <v>0</v>
      </c>
      <c r="M25" s="153">
        <f t="shared" si="50"/>
        <v>0</v>
      </c>
      <c r="N25" s="153"/>
      <c r="O25" s="153"/>
      <c r="P25" s="152" t="str">
        <f t="array" ref="P25">IFERROR(XLOOKUP(B25,'ImportaçãoGoogleAds - Adveronix'!$F:$F,'ImportaçãoGoogleAds - Adveronix'!$B:$B)," ")</f>
        <v> </v>
      </c>
      <c r="Q25" s="154"/>
      <c r="R25" s="154"/>
      <c r="S25" s="155" t="str">
        <f t="array" ref="S25">IFERROR(XLOOKUP(B25,'ImportaçãoGoogleAds - Adveronix'!$F:$F,'ImportaçãoGoogleAds - Adveronix'!C:C)," ")</f>
        <v> </v>
      </c>
      <c r="T25" s="155" t="str">
        <f t="array" ref="T25">IFERROR(XLOOKUP(B25,'ImportaçãoGoogleAds - Adveronix'!$F:$F,'ImportaçãoGoogleAds - Adveronix'!D:D)," ")</f>
        <v> </v>
      </c>
      <c r="U25" s="155" t="str">
        <f t="array" ref="U25">IFERROR(XLOOKUP(B25,'ImportaçãoGoogleAds - Adveronix'!$F:$F,'ImportaçãoGoogleAds - Adveronix'!E:E)," ")</f>
        <v> </v>
      </c>
      <c r="V25" s="156"/>
      <c r="W25" s="157"/>
      <c r="X25" s="157"/>
      <c r="Y25" s="158"/>
      <c r="Z25" s="158"/>
      <c r="AA25" s="158"/>
      <c r="AB25" s="152" t="str">
        <f t="array" ref="AB25">IFERROR(XLOOKUP(B25,'ImportaçãoMeta - Adveronix'!F:F,'ImportaçãoMeta - Adveronix'!B:B),"")</f>
        <v/>
      </c>
      <c r="AC25" s="154"/>
      <c r="AD25" s="154"/>
      <c r="AE25" s="159" t="str">
        <f t="array" ref="AE25">IFERROR(XLOOKUP(B25,'ImportaçãoMeta - Adveronix'!$F:$F,'ImportaçãoMeta - Adveronix'!C:C),"")</f>
        <v/>
      </c>
      <c r="AF25" s="159" t="str">
        <f t="array" ref="AF25">IFERROR(XLOOKUP(B25,'ImportaçãoMeta - Adveronix'!$F:$F,'ImportaçãoMeta - Adveronix'!D:D),"")</f>
        <v/>
      </c>
      <c r="AG25" s="159" t="str">
        <f t="array" ref="AG25">IFERROR(XLOOKUP(B25,'ImportaçãoMeta - Adveronix'!$F:$F,'ImportaçãoMeta - Adveronix'!E:E),"")</f>
        <v/>
      </c>
      <c r="AH25" s="157"/>
      <c r="AI25" s="157"/>
      <c r="AJ25" s="156"/>
      <c r="AK25" s="160"/>
      <c r="AL25" s="160"/>
    </row>
    <row r="26" ht="15.75" hidden="1" customHeight="1">
      <c r="A26" s="149" t="str">
        <f t="array" ref="A26">XLOOKUP(MONTH(B26),BASE!$F$16:$F$27,BASE!$G$16:$G$27)</f>
        <v>Janeiro</v>
      </c>
      <c r="B26" s="150">
        <v>46047.0</v>
      </c>
      <c r="C26" s="151"/>
      <c r="D26" s="149" t="str">
        <f t="shared" si="4"/>
        <v>domingo</v>
      </c>
      <c r="E26" s="152">
        <f t="shared" ref="E26:J26" si="51">IFERROR(SUM(P26,AB26)," ")</f>
        <v>0</v>
      </c>
      <c r="F26" s="152">
        <f t="shared" si="51"/>
        <v>0</v>
      </c>
      <c r="G26" s="152">
        <f t="shared" si="51"/>
        <v>0</v>
      </c>
      <c r="H26" s="153">
        <f t="shared" si="51"/>
        <v>0</v>
      </c>
      <c r="I26" s="153">
        <f t="shared" si="51"/>
        <v>0</v>
      </c>
      <c r="J26" s="153">
        <f t="shared" si="51"/>
        <v>0</v>
      </c>
      <c r="K26" s="153">
        <f t="shared" ref="K26:M26" si="52">IFERROR(SUM(W26,AH26)," ")</f>
        <v>0</v>
      </c>
      <c r="L26" s="153">
        <f t="shared" si="52"/>
        <v>0</v>
      </c>
      <c r="M26" s="153">
        <f t="shared" si="52"/>
        <v>0</v>
      </c>
      <c r="N26" s="153"/>
      <c r="O26" s="153"/>
      <c r="P26" s="152" t="str">
        <f t="array" ref="P26">IFERROR(XLOOKUP(B26,'ImportaçãoGoogleAds - Adveronix'!$F:$F,'ImportaçãoGoogleAds - Adveronix'!$B:$B)," ")</f>
        <v> </v>
      </c>
      <c r="Q26" s="154"/>
      <c r="R26" s="154"/>
      <c r="S26" s="155" t="str">
        <f t="array" ref="S26">IFERROR(XLOOKUP(B26,'ImportaçãoGoogleAds - Adveronix'!$F:$F,'ImportaçãoGoogleAds - Adveronix'!C:C)," ")</f>
        <v> </v>
      </c>
      <c r="T26" s="155" t="str">
        <f t="array" ref="T26">IFERROR(XLOOKUP(B26,'ImportaçãoGoogleAds - Adveronix'!$F:$F,'ImportaçãoGoogleAds - Adveronix'!D:D)," ")</f>
        <v> </v>
      </c>
      <c r="U26" s="155" t="str">
        <f t="array" ref="U26">IFERROR(XLOOKUP(B26,'ImportaçãoGoogleAds - Adveronix'!$F:$F,'ImportaçãoGoogleAds - Adveronix'!E:E)," ")</f>
        <v> </v>
      </c>
      <c r="V26" s="156"/>
      <c r="W26" s="157"/>
      <c r="X26" s="157"/>
      <c r="Y26" s="158"/>
      <c r="Z26" s="158"/>
      <c r="AA26" s="158"/>
      <c r="AB26" s="152" t="str">
        <f t="array" ref="AB26">IFERROR(XLOOKUP(B26,'ImportaçãoMeta - Adveronix'!F:F,'ImportaçãoMeta - Adveronix'!B:B),"")</f>
        <v/>
      </c>
      <c r="AC26" s="154"/>
      <c r="AD26" s="154"/>
      <c r="AE26" s="159" t="str">
        <f t="array" ref="AE26">IFERROR(XLOOKUP(B26,'ImportaçãoMeta - Adveronix'!$F:$F,'ImportaçãoMeta - Adveronix'!C:C),"")</f>
        <v/>
      </c>
      <c r="AF26" s="159" t="str">
        <f t="array" ref="AF26">IFERROR(XLOOKUP(B26,'ImportaçãoMeta - Adveronix'!$F:$F,'ImportaçãoMeta - Adveronix'!D:D),"")</f>
        <v/>
      </c>
      <c r="AG26" s="159" t="str">
        <f t="array" ref="AG26">IFERROR(XLOOKUP(B26,'ImportaçãoMeta - Adveronix'!$F:$F,'ImportaçãoMeta - Adveronix'!E:E),"")</f>
        <v/>
      </c>
      <c r="AH26" s="157"/>
      <c r="AI26" s="157"/>
      <c r="AJ26" s="156"/>
      <c r="AK26" s="160"/>
      <c r="AL26" s="160"/>
    </row>
    <row r="27" ht="15.75" hidden="1" customHeight="1">
      <c r="A27" s="149" t="str">
        <f t="array" ref="A27">XLOOKUP(MONTH(B27),BASE!$F$16:$F$27,BASE!$G$16:$G$27)</f>
        <v>Janeiro</v>
      </c>
      <c r="B27" s="150">
        <v>46048.0</v>
      </c>
      <c r="C27" s="151"/>
      <c r="D27" s="149" t="str">
        <f t="shared" si="4"/>
        <v>segunda-feira</v>
      </c>
      <c r="E27" s="152">
        <f t="shared" ref="E27:J27" si="53">IFERROR(SUM(P27,AB27)," ")</f>
        <v>0</v>
      </c>
      <c r="F27" s="152">
        <f t="shared" si="53"/>
        <v>0</v>
      </c>
      <c r="G27" s="152">
        <f t="shared" si="53"/>
        <v>0</v>
      </c>
      <c r="H27" s="153">
        <f t="shared" si="53"/>
        <v>0</v>
      </c>
      <c r="I27" s="153">
        <f t="shared" si="53"/>
        <v>0</v>
      </c>
      <c r="J27" s="153">
        <f t="shared" si="53"/>
        <v>0</v>
      </c>
      <c r="K27" s="153">
        <f t="shared" ref="K27:M27" si="54">IFERROR(SUM(W27,AH27)," ")</f>
        <v>0</v>
      </c>
      <c r="L27" s="153">
        <f t="shared" si="54"/>
        <v>0</v>
      </c>
      <c r="M27" s="153">
        <f t="shared" si="54"/>
        <v>0</v>
      </c>
      <c r="N27" s="153"/>
      <c r="O27" s="153"/>
      <c r="P27" s="152" t="str">
        <f t="array" ref="P27">IFERROR(XLOOKUP(B27,'ImportaçãoGoogleAds - Adveronix'!$F:$F,'ImportaçãoGoogleAds - Adveronix'!$B:$B)," ")</f>
        <v> </v>
      </c>
      <c r="Q27" s="154"/>
      <c r="R27" s="154"/>
      <c r="S27" s="155" t="str">
        <f t="array" ref="S27">IFERROR(XLOOKUP(B27,'ImportaçãoGoogleAds - Adveronix'!$F:$F,'ImportaçãoGoogleAds - Adveronix'!C:C)," ")</f>
        <v> </v>
      </c>
      <c r="T27" s="155" t="str">
        <f t="array" ref="T27">IFERROR(XLOOKUP(B27,'ImportaçãoGoogleAds - Adveronix'!$F:$F,'ImportaçãoGoogleAds - Adveronix'!D:D)," ")</f>
        <v> </v>
      </c>
      <c r="U27" s="155" t="str">
        <f t="array" ref="U27">IFERROR(XLOOKUP(B27,'ImportaçãoGoogleAds - Adveronix'!$F:$F,'ImportaçãoGoogleAds - Adveronix'!E:E)," ")</f>
        <v> </v>
      </c>
      <c r="V27" s="156"/>
      <c r="W27" s="157"/>
      <c r="X27" s="157"/>
      <c r="Y27" s="158"/>
      <c r="Z27" s="158"/>
      <c r="AA27" s="158"/>
      <c r="AB27" s="152" t="str">
        <f t="array" ref="AB27">IFERROR(XLOOKUP(B27,'ImportaçãoMeta - Adveronix'!F:F,'ImportaçãoMeta - Adveronix'!B:B),"")</f>
        <v/>
      </c>
      <c r="AC27" s="154"/>
      <c r="AD27" s="154"/>
      <c r="AE27" s="159" t="str">
        <f t="array" ref="AE27">IFERROR(XLOOKUP(B27,'ImportaçãoMeta - Adveronix'!$F:$F,'ImportaçãoMeta - Adveronix'!C:C),"")</f>
        <v/>
      </c>
      <c r="AF27" s="159" t="str">
        <f t="array" ref="AF27">IFERROR(XLOOKUP(B27,'ImportaçãoMeta - Adveronix'!$F:$F,'ImportaçãoMeta - Adveronix'!D:D),"")</f>
        <v/>
      </c>
      <c r="AG27" s="159" t="str">
        <f t="array" ref="AG27">IFERROR(XLOOKUP(B27,'ImportaçãoMeta - Adveronix'!$F:$F,'ImportaçãoMeta - Adveronix'!E:E),"")</f>
        <v/>
      </c>
      <c r="AH27" s="157"/>
      <c r="AI27" s="157"/>
      <c r="AJ27" s="156"/>
      <c r="AK27" s="160"/>
      <c r="AL27" s="160"/>
    </row>
    <row r="28" ht="15.75" hidden="1" customHeight="1">
      <c r="A28" s="149" t="str">
        <f t="array" ref="A28">XLOOKUP(MONTH(B28),BASE!$F$16:$F$27,BASE!$G$16:$G$27)</f>
        <v>Janeiro</v>
      </c>
      <c r="B28" s="150">
        <v>46049.0</v>
      </c>
      <c r="C28" s="151"/>
      <c r="D28" s="149" t="str">
        <f t="shared" si="4"/>
        <v>terça-feira</v>
      </c>
      <c r="E28" s="152">
        <f t="shared" ref="E28:J28" si="55">IFERROR(SUM(P28,AB28)," ")</f>
        <v>0</v>
      </c>
      <c r="F28" s="152">
        <f t="shared" si="55"/>
        <v>0</v>
      </c>
      <c r="G28" s="152">
        <f t="shared" si="55"/>
        <v>0</v>
      </c>
      <c r="H28" s="153">
        <f t="shared" si="55"/>
        <v>0</v>
      </c>
      <c r="I28" s="153">
        <f t="shared" si="55"/>
        <v>0</v>
      </c>
      <c r="J28" s="153">
        <f t="shared" si="55"/>
        <v>0</v>
      </c>
      <c r="K28" s="153">
        <f t="shared" ref="K28:M28" si="56">IFERROR(SUM(W28,AH28)," ")</f>
        <v>0</v>
      </c>
      <c r="L28" s="153">
        <f t="shared" si="56"/>
        <v>0</v>
      </c>
      <c r="M28" s="153">
        <f t="shared" si="56"/>
        <v>0</v>
      </c>
      <c r="N28" s="153"/>
      <c r="O28" s="153"/>
      <c r="P28" s="152" t="str">
        <f t="array" ref="P28">IFERROR(XLOOKUP(B28,'ImportaçãoGoogleAds - Adveronix'!$F:$F,'ImportaçãoGoogleAds - Adveronix'!$B:$B)," ")</f>
        <v> </v>
      </c>
      <c r="Q28" s="154"/>
      <c r="R28" s="154"/>
      <c r="S28" s="155" t="str">
        <f t="array" ref="S28">IFERROR(XLOOKUP(B28,'ImportaçãoGoogleAds - Adveronix'!$F:$F,'ImportaçãoGoogleAds - Adveronix'!C:C)," ")</f>
        <v> </v>
      </c>
      <c r="T28" s="155" t="str">
        <f t="array" ref="T28">IFERROR(XLOOKUP(B28,'ImportaçãoGoogleAds - Adveronix'!$F:$F,'ImportaçãoGoogleAds - Adveronix'!D:D)," ")</f>
        <v> </v>
      </c>
      <c r="U28" s="155" t="str">
        <f t="array" ref="U28">IFERROR(XLOOKUP(B28,'ImportaçãoGoogleAds - Adveronix'!$F:$F,'ImportaçãoGoogleAds - Adveronix'!E:E)," ")</f>
        <v> </v>
      </c>
      <c r="V28" s="156"/>
      <c r="W28" s="157"/>
      <c r="X28" s="157"/>
      <c r="Y28" s="158"/>
      <c r="Z28" s="158"/>
      <c r="AA28" s="158"/>
      <c r="AB28" s="152" t="str">
        <f t="array" ref="AB28">IFERROR(XLOOKUP(B28,'ImportaçãoMeta - Adveronix'!F:F,'ImportaçãoMeta - Adveronix'!B:B),"")</f>
        <v/>
      </c>
      <c r="AC28" s="154"/>
      <c r="AD28" s="154"/>
      <c r="AE28" s="159" t="str">
        <f t="array" ref="AE28">IFERROR(XLOOKUP(B28,'ImportaçãoMeta - Adveronix'!$F:$F,'ImportaçãoMeta - Adveronix'!C:C),"")</f>
        <v/>
      </c>
      <c r="AF28" s="159" t="str">
        <f t="array" ref="AF28">IFERROR(XLOOKUP(B28,'ImportaçãoMeta - Adveronix'!$F:$F,'ImportaçãoMeta - Adveronix'!D:D),"")</f>
        <v/>
      </c>
      <c r="AG28" s="159" t="str">
        <f t="array" ref="AG28">IFERROR(XLOOKUP(B28,'ImportaçãoMeta - Adveronix'!$F:$F,'ImportaçãoMeta - Adveronix'!E:E),"")</f>
        <v/>
      </c>
      <c r="AH28" s="157"/>
      <c r="AI28" s="157"/>
      <c r="AJ28" s="156"/>
      <c r="AK28" s="160"/>
      <c r="AL28" s="160"/>
    </row>
    <row r="29" ht="15.75" hidden="1" customHeight="1">
      <c r="A29" s="149" t="str">
        <f t="array" ref="A29">XLOOKUP(MONTH(B29),BASE!$F$16:$F$27,BASE!$G$16:$G$27)</f>
        <v>Janeiro</v>
      </c>
      <c r="B29" s="150">
        <v>46050.0</v>
      </c>
      <c r="C29" s="151"/>
      <c r="D29" s="149" t="str">
        <f t="shared" si="4"/>
        <v>quarta-feira</v>
      </c>
      <c r="E29" s="152">
        <f t="shared" ref="E29:J29" si="57">IFERROR(SUM(P29,AB29)," ")</f>
        <v>0</v>
      </c>
      <c r="F29" s="152">
        <f t="shared" si="57"/>
        <v>0</v>
      </c>
      <c r="G29" s="152">
        <f t="shared" si="57"/>
        <v>0</v>
      </c>
      <c r="H29" s="153">
        <f t="shared" si="57"/>
        <v>0</v>
      </c>
      <c r="I29" s="153">
        <f t="shared" si="57"/>
        <v>0</v>
      </c>
      <c r="J29" s="153">
        <f t="shared" si="57"/>
        <v>0</v>
      </c>
      <c r="K29" s="153">
        <f t="shared" ref="K29:M29" si="58">IFERROR(SUM(W29,AH29)," ")</f>
        <v>0</v>
      </c>
      <c r="L29" s="153">
        <f t="shared" si="58"/>
        <v>0</v>
      </c>
      <c r="M29" s="153">
        <f t="shared" si="58"/>
        <v>0</v>
      </c>
      <c r="N29" s="153"/>
      <c r="O29" s="153"/>
      <c r="P29" s="152" t="str">
        <f t="array" ref="P29">IFERROR(XLOOKUP(B29,'ImportaçãoGoogleAds - Adveronix'!$F:$F,'ImportaçãoGoogleAds - Adveronix'!$B:$B)," ")</f>
        <v> </v>
      </c>
      <c r="Q29" s="154"/>
      <c r="R29" s="154"/>
      <c r="S29" s="155" t="str">
        <f t="array" ref="S29">IFERROR(XLOOKUP(B29,'ImportaçãoGoogleAds - Adveronix'!$F:$F,'ImportaçãoGoogleAds - Adveronix'!C:C)," ")</f>
        <v> </v>
      </c>
      <c r="T29" s="155" t="str">
        <f t="array" ref="T29">IFERROR(XLOOKUP(B29,'ImportaçãoGoogleAds - Adveronix'!$F:$F,'ImportaçãoGoogleAds - Adveronix'!D:D)," ")</f>
        <v> </v>
      </c>
      <c r="U29" s="155" t="str">
        <f t="array" ref="U29">IFERROR(XLOOKUP(B29,'ImportaçãoGoogleAds - Adveronix'!$F:$F,'ImportaçãoGoogleAds - Adveronix'!E:E)," ")</f>
        <v> </v>
      </c>
      <c r="V29" s="156"/>
      <c r="W29" s="157"/>
      <c r="X29" s="157"/>
      <c r="Y29" s="158"/>
      <c r="Z29" s="158"/>
      <c r="AA29" s="158"/>
      <c r="AB29" s="152" t="str">
        <f t="array" ref="AB29">IFERROR(XLOOKUP(B29,'ImportaçãoMeta - Adveronix'!F:F,'ImportaçãoMeta - Adveronix'!B:B),"")</f>
        <v/>
      </c>
      <c r="AC29" s="154"/>
      <c r="AD29" s="154"/>
      <c r="AE29" s="159" t="str">
        <f t="array" ref="AE29">IFERROR(XLOOKUP(B29,'ImportaçãoMeta - Adveronix'!$F:$F,'ImportaçãoMeta - Adveronix'!C:C),"")</f>
        <v/>
      </c>
      <c r="AF29" s="159" t="str">
        <f t="array" ref="AF29">IFERROR(XLOOKUP(B29,'ImportaçãoMeta - Adveronix'!$F:$F,'ImportaçãoMeta - Adveronix'!D:D),"")</f>
        <v/>
      </c>
      <c r="AG29" s="159" t="str">
        <f t="array" ref="AG29">IFERROR(XLOOKUP(B29,'ImportaçãoMeta - Adveronix'!$F:$F,'ImportaçãoMeta - Adveronix'!E:E),"")</f>
        <v/>
      </c>
      <c r="AH29" s="157"/>
      <c r="AI29" s="157"/>
      <c r="AJ29" s="156"/>
      <c r="AK29" s="160"/>
      <c r="AL29" s="160"/>
    </row>
    <row r="30" ht="15.75" hidden="1" customHeight="1">
      <c r="A30" s="149" t="str">
        <f t="array" ref="A30">XLOOKUP(MONTH(B30),BASE!$F$16:$F$27,BASE!$G$16:$G$27)</f>
        <v>Janeiro</v>
      </c>
      <c r="B30" s="150">
        <v>46051.0</v>
      </c>
      <c r="C30" s="151"/>
      <c r="D30" s="149" t="str">
        <f t="shared" si="4"/>
        <v>quinta-feira</v>
      </c>
      <c r="E30" s="152">
        <f t="shared" ref="E30:J30" si="59">IFERROR(SUM(P30,AB30)," ")</f>
        <v>0</v>
      </c>
      <c r="F30" s="152">
        <f t="shared" si="59"/>
        <v>0</v>
      </c>
      <c r="G30" s="152">
        <f t="shared" si="59"/>
        <v>0</v>
      </c>
      <c r="H30" s="153">
        <f t="shared" si="59"/>
        <v>0</v>
      </c>
      <c r="I30" s="153">
        <f t="shared" si="59"/>
        <v>0</v>
      </c>
      <c r="J30" s="153">
        <f t="shared" si="59"/>
        <v>0</v>
      </c>
      <c r="K30" s="153">
        <f t="shared" ref="K30:M30" si="60">IFERROR(SUM(W30,AH30)," ")</f>
        <v>0</v>
      </c>
      <c r="L30" s="153">
        <f t="shared" si="60"/>
        <v>0</v>
      </c>
      <c r="M30" s="153">
        <f t="shared" si="60"/>
        <v>0</v>
      </c>
      <c r="N30" s="153"/>
      <c r="O30" s="153"/>
      <c r="P30" s="152" t="str">
        <f t="array" ref="P30">IFERROR(XLOOKUP(B30,'ImportaçãoGoogleAds - Adveronix'!$F:$F,'ImportaçãoGoogleAds - Adveronix'!$B:$B)," ")</f>
        <v> </v>
      </c>
      <c r="Q30" s="154"/>
      <c r="R30" s="154"/>
      <c r="S30" s="155" t="str">
        <f t="array" ref="S30">IFERROR(XLOOKUP(B30,'ImportaçãoGoogleAds - Adveronix'!$F:$F,'ImportaçãoGoogleAds - Adveronix'!C:C)," ")</f>
        <v> </v>
      </c>
      <c r="T30" s="155" t="str">
        <f t="array" ref="T30">IFERROR(XLOOKUP(B30,'ImportaçãoGoogleAds - Adveronix'!$F:$F,'ImportaçãoGoogleAds - Adveronix'!D:D)," ")</f>
        <v> </v>
      </c>
      <c r="U30" s="155" t="str">
        <f t="array" ref="U30">IFERROR(XLOOKUP(B30,'ImportaçãoGoogleAds - Adveronix'!$F:$F,'ImportaçãoGoogleAds - Adveronix'!E:E)," ")</f>
        <v> </v>
      </c>
      <c r="V30" s="156"/>
      <c r="W30" s="157"/>
      <c r="X30" s="157"/>
      <c r="Y30" s="158"/>
      <c r="Z30" s="158"/>
      <c r="AA30" s="158"/>
      <c r="AB30" s="152" t="str">
        <f t="array" ref="AB30">IFERROR(XLOOKUP(B30,'ImportaçãoMeta - Adveronix'!F:F,'ImportaçãoMeta - Adveronix'!B:B),"")</f>
        <v/>
      </c>
      <c r="AC30" s="154"/>
      <c r="AD30" s="154"/>
      <c r="AE30" s="159" t="str">
        <f t="array" ref="AE30">IFERROR(XLOOKUP(B30,'ImportaçãoMeta - Adveronix'!$F:$F,'ImportaçãoMeta - Adveronix'!C:C),"")</f>
        <v/>
      </c>
      <c r="AF30" s="159" t="str">
        <f t="array" ref="AF30">IFERROR(XLOOKUP(B30,'ImportaçãoMeta - Adveronix'!$F:$F,'ImportaçãoMeta - Adveronix'!D:D),"")</f>
        <v/>
      </c>
      <c r="AG30" s="159" t="str">
        <f t="array" ref="AG30">IFERROR(XLOOKUP(B30,'ImportaçãoMeta - Adveronix'!$F:$F,'ImportaçãoMeta - Adveronix'!E:E),"")</f>
        <v/>
      </c>
      <c r="AH30" s="157"/>
      <c r="AI30" s="157"/>
      <c r="AJ30" s="156"/>
      <c r="AK30" s="160"/>
      <c r="AL30" s="160"/>
    </row>
    <row r="31" ht="15.75" hidden="1" customHeight="1">
      <c r="A31" s="149" t="str">
        <f t="array" ref="A31">XLOOKUP(MONTH(B31),BASE!$F$16:$F$27,BASE!$G$16:$G$27)</f>
        <v>Janeiro</v>
      </c>
      <c r="B31" s="150">
        <v>46052.0</v>
      </c>
      <c r="C31" s="151"/>
      <c r="D31" s="149" t="str">
        <f t="shared" si="4"/>
        <v>sexta-feira</v>
      </c>
      <c r="E31" s="152">
        <f t="shared" ref="E31:J31" si="61">IFERROR(SUM(P31,AB31)," ")</f>
        <v>0</v>
      </c>
      <c r="F31" s="152">
        <f t="shared" si="61"/>
        <v>0</v>
      </c>
      <c r="G31" s="152">
        <f t="shared" si="61"/>
        <v>0</v>
      </c>
      <c r="H31" s="153">
        <f t="shared" si="61"/>
        <v>0</v>
      </c>
      <c r="I31" s="153">
        <f t="shared" si="61"/>
        <v>0</v>
      </c>
      <c r="J31" s="153">
        <f t="shared" si="61"/>
        <v>0</v>
      </c>
      <c r="K31" s="153">
        <f t="shared" ref="K31:M31" si="62">IFERROR(SUM(W31,AH31)," ")</f>
        <v>0</v>
      </c>
      <c r="L31" s="153">
        <f t="shared" si="62"/>
        <v>0</v>
      </c>
      <c r="M31" s="153">
        <f t="shared" si="62"/>
        <v>0</v>
      </c>
      <c r="N31" s="153"/>
      <c r="O31" s="153"/>
      <c r="P31" s="152" t="str">
        <f t="array" ref="P31">IFERROR(XLOOKUP(B31,'ImportaçãoGoogleAds - Adveronix'!$F:$F,'ImportaçãoGoogleAds - Adveronix'!$B:$B)," ")</f>
        <v> </v>
      </c>
      <c r="Q31" s="154"/>
      <c r="R31" s="154"/>
      <c r="S31" s="155" t="str">
        <f t="array" ref="S31">IFERROR(XLOOKUP(B31,'ImportaçãoGoogleAds - Adveronix'!$F:$F,'ImportaçãoGoogleAds - Adveronix'!C:C)," ")</f>
        <v> </v>
      </c>
      <c r="T31" s="155" t="str">
        <f t="array" ref="T31">IFERROR(XLOOKUP(B31,'ImportaçãoGoogleAds - Adveronix'!$F:$F,'ImportaçãoGoogleAds - Adveronix'!D:D)," ")</f>
        <v> </v>
      </c>
      <c r="U31" s="155" t="str">
        <f t="array" ref="U31">IFERROR(XLOOKUP(B31,'ImportaçãoGoogleAds - Adveronix'!$F:$F,'ImportaçãoGoogleAds - Adveronix'!E:E)," ")</f>
        <v> </v>
      </c>
      <c r="V31" s="156"/>
      <c r="W31" s="157"/>
      <c r="X31" s="157"/>
      <c r="Y31" s="158"/>
      <c r="Z31" s="158"/>
      <c r="AA31" s="158"/>
      <c r="AB31" s="152" t="str">
        <f t="array" ref="AB31">IFERROR(XLOOKUP(B31,'ImportaçãoMeta - Adveronix'!F:F,'ImportaçãoMeta - Adveronix'!B:B),"")</f>
        <v/>
      </c>
      <c r="AC31" s="154"/>
      <c r="AD31" s="154"/>
      <c r="AE31" s="159" t="str">
        <f t="array" ref="AE31">IFERROR(XLOOKUP(B31,'ImportaçãoMeta - Adveronix'!$F:$F,'ImportaçãoMeta - Adveronix'!C:C),"")</f>
        <v/>
      </c>
      <c r="AF31" s="159" t="str">
        <f t="array" ref="AF31">IFERROR(XLOOKUP(B31,'ImportaçãoMeta - Adveronix'!$F:$F,'ImportaçãoMeta - Adveronix'!D:D),"")</f>
        <v/>
      </c>
      <c r="AG31" s="159" t="str">
        <f t="array" ref="AG31">IFERROR(XLOOKUP(B31,'ImportaçãoMeta - Adveronix'!$F:$F,'ImportaçãoMeta - Adveronix'!E:E),"")</f>
        <v/>
      </c>
      <c r="AH31" s="157"/>
      <c r="AI31" s="157"/>
      <c r="AJ31" s="156"/>
      <c r="AK31" s="160"/>
      <c r="AL31" s="160"/>
    </row>
    <row r="32" ht="15.75" hidden="1" customHeight="1">
      <c r="A32" s="149" t="str">
        <f t="array" ref="A32">XLOOKUP(MONTH(B32),BASE!$F$16:$F$27,BASE!$G$16:$G$27)</f>
        <v>Janeiro</v>
      </c>
      <c r="B32" s="150">
        <v>46053.0</v>
      </c>
      <c r="C32" s="151"/>
      <c r="D32" s="149" t="str">
        <f t="shared" si="4"/>
        <v>sábado</v>
      </c>
      <c r="E32" s="152">
        <f t="shared" ref="E32:J32" si="63">IFERROR(SUM(P32,AB32)," ")</f>
        <v>0</v>
      </c>
      <c r="F32" s="152">
        <f t="shared" si="63"/>
        <v>0</v>
      </c>
      <c r="G32" s="152">
        <f t="shared" si="63"/>
        <v>0</v>
      </c>
      <c r="H32" s="153">
        <f t="shared" si="63"/>
        <v>0</v>
      </c>
      <c r="I32" s="153">
        <f t="shared" si="63"/>
        <v>0</v>
      </c>
      <c r="J32" s="153">
        <f t="shared" si="63"/>
        <v>0</v>
      </c>
      <c r="K32" s="153">
        <f t="shared" ref="K32:M32" si="64">IFERROR(SUM(W32,AH32)," ")</f>
        <v>0</v>
      </c>
      <c r="L32" s="153">
        <f t="shared" si="64"/>
        <v>0</v>
      </c>
      <c r="M32" s="153">
        <f t="shared" si="64"/>
        <v>0</v>
      </c>
      <c r="N32" s="153"/>
      <c r="O32" s="153"/>
      <c r="P32" s="152" t="str">
        <f t="array" ref="P32">IFERROR(XLOOKUP(B32,'ImportaçãoGoogleAds - Adveronix'!$F:$F,'ImportaçãoGoogleAds - Adveronix'!$B:$B)," ")</f>
        <v> </v>
      </c>
      <c r="Q32" s="154"/>
      <c r="R32" s="154"/>
      <c r="S32" s="155" t="str">
        <f t="array" ref="S32">IFERROR(XLOOKUP(B32,'ImportaçãoGoogleAds - Adveronix'!$F:$F,'ImportaçãoGoogleAds - Adveronix'!C:C)," ")</f>
        <v> </v>
      </c>
      <c r="T32" s="155" t="str">
        <f t="array" ref="T32">IFERROR(XLOOKUP(B32,'ImportaçãoGoogleAds - Adveronix'!$F:$F,'ImportaçãoGoogleAds - Adveronix'!D:D)," ")</f>
        <v> </v>
      </c>
      <c r="U32" s="155" t="str">
        <f t="array" ref="U32">IFERROR(XLOOKUP(B32,'ImportaçãoGoogleAds - Adveronix'!$F:$F,'ImportaçãoGoogleAds - Adveronix'!E:E)," ")</f>
        <v> </v>
      </c>
      <c r="V32" s="156"/>
      <c r="W32" s="157"/>
      <c r="X32" s="157"/>
      <c r="Y32" s="158"/>
      <c r="Z32" s="158"/>
      <c r="AA32" s="158"/>
      <c r="AB32" s="152" t="str">
        <f t="array" ref="AB32">IFERROR(XLOOKUP(B32,'ImportaçãoMeta - Adveronix'!F:F,'ImportaçãoMeta - Adveronix'!B:B),"")</f>
        <v/>
      </c>
      <c r="AC32" s="154"/>
      <c r="AD32" s="154"/>
      <c r="AE32" s="159" t="str">
        <f t="array" ref="AE32">IFERROR(XLOOKUP(B32,'ImportaçãoMeta - Adveronix'!$F:$F,'ImportaçãoMeta - Adveronix'!C:C),"")</f>
        <v/>
      </c>
      <c r="AF32" s="159" t="str">
        <f t="array" ref="AF32">IFERROR(XLOOKUP(B32,'ImportaçãoMeta - Adveronix'!$F:$F,'ImportaçãoMeta - Adveronix'!D:D),"")</f>
        <v/>
      </c>
      <c r="AG32" s="159" t="str">
        <f t="array" ref="AG32">IFERROR(XLOOKUP(B32,'ImportaçãoMeta - Adveronix'!$F:$F,'ImportaçãoMeta - Adveronix'!E:E),"")</f>
        <v/>
      </c>
      <c r="AH32" s="157"/>
      <c r="AI32" s="157"/>
      <c r="AJ32" s="156"/>
      <c r="AK32" s="160"/>
      <c r="AL32" s="160"/>
    </row>
    <row r="33" ht="15.75" hidden="1" customHeight="1">
      <c r="A33" s="149" t="str">
        <f t="array" ref="A33">XLOOKUP(MONTH(B33),BASE!$F$16:$F$27,BASE!$G$16:$G$27)</f>
        <v>Fevereiro</v>
      </c>
      <c r="B33" s="150">
        <v>46054.0</v>
      </c>
      <c r="C33" s="151"/>
      <c r="D33" s="149" t="str">
        <f t="shared" si="4"/>
        <v>domingo</v>
      </c>
      <c r="E33" s="152">
        <f t="shared" ref="E33:J33" si="65">IFERROR(SUM(P33,AB33)," ")</f>
        <v>0</v>
      </c>
      <c r="F33" s="152">
        <f t="shared" si="65"/>
        <v>0</v>
      </c>
      <c r="G33" s="152">
        <f t="shared" si="65"/>
        <v>0</v>
      </c>
      <c r="H33" s="153">
        <f t="shared" si="65"/>
        <v>0</v>
      </c>
      <c r="I33" s="153">
        <f t="shared" si="65"/>
        <v>0</v>
      </c>
      <c r="J33" s="153">
        <f t="shared" si="65"/>
        <v>0</v>
      </c>
      <c r="K33" s="153">
        <f t="shared" ref="K33:M33" si="66">IFERROR(SUM(W33,AH33)," ")</f>
        <v>0</v>
      </c>
      <c r="L33" s="153">
        <f t="shared" si="66"/>
        <v>0</v>
      </c>
      <c r="M33" s="153">
        <f t="shared" si="66"/>
        <v>0</v>
      </c>
      <c r="N33" s="153"/>
      <c r="O33" s="153"/>
      <c r="P33" s="152" t="str">
        <f t="array" ref="P33">IFERROR(XLOOKUP(B33,'ImportaçãoGoogleAds - Adveronix'!$F:$F,'ImportaçãoGoogleAds - Adveronix'!$B:$B)," ")</f>
        <v> </v>
      </c>
      <c r="Q33" s="154"/>
      <c r="R33" s="154"/>
      <c r="S33" s="155" t="str">
        <f t="array" ref="S33">IFERROR(XLOOKUP(B33,'ImportaçãoGoogleAds - Adveronix'!$F:$F,'ImportaçãoGoogleAds - Adveronix'!C:C)," ")</f>
        <v> </v>
      </c>
      <c r="T33" s="155" t="str">
        <f t="array" ref="T33">IFERROR(XLOOKUP(B33,'ImportaçãoGoogleAds - Adveronix'!$F:$F,'ImportaçãoGoogleAds - Adveronix'!D:D)," ")</f>
        <v> </v>
      </c>
      <c r="U33" s="155" t="str">
        <f t="array" ref="U33">IFERROR(XLOOKUP(B33,'ImportaçãoGoogleAds - Adveronix'!$F:$F,'ImportaçãoGoogleAds - Adveronix'!E:E)," ")</f>
        <v> </v>
      </c>
      <c r="V33" s="156"/>
      <c r="W33" s="157"/>
      <c r="X33" s="157"/>
      <c r="Y33" s="158"/>
      <c r="Z33" s="158"/>
      <c r="AA33" s="158"/>
      <c r="AB33" s="152" t="str">
        <f t="array" ref="AB33">IFERROR(XLOOKUP(B33,'ImportaçãoMeta - Adveronix'!F:F,'ImportaçãoMeta - Adveronix'!B:B),"")</f>
        <v/>
      </c>
      <c r="AC33" s="154"/>
      <c r="AD33" s="154"/>
      <c r="AE33" s="159" t="str">
        <f t="array" ref="AE33">IFERROR(XLOOKUP(B33,'ImportaçãoMeta - Adveronix'!$F:$F,'ImportaçãoMeta - Adveronix'!C:C),"")</f>
        <v/>
      </c>
      <c r="AF33" s="159" t="str">
        <f t="array" ref="AF33">IFERROR(XLOOKUP(B33,'ImportaçãoMeta - Adveronix'!$F:$F,'ImportaçãoMeta - Adveronix'!D:D),"")</f>
        <v/>
      </c>
      <c r="AG33" s="159" t="str">
        <f t="array" ref="AG33">IFERROR(XLOOKUP(B33,'ImportaçãoMeta - Adveronix'!$F:$F,'ImportaçãoMeta - Adveronix'!E:E),"")</f>
        <v/>
      </c>
      <c r="AH33" s="157"/>
      <c r="AI33" s="157"/>
      <c r="AJ33" s="156"/>
      <c r="AK33" s="160"/>
      <c r="AL33" s="160"/>
    </row>
    <row r="34" ht="15.75" hidden="1" customHeight="1">
      <c r="A34" s="149" t="str">
        <f t="array" ref="A34">XLOOKUP(MONTH(B34),BASE!$F$16:$F$27,BASE!$G$16:$G$27)</f>
        <v>Fevereiro</v>
      </c>
      <c r="B34" s="150">
        <v>46055.0</v>
      </c>
      <c r="C34" s="151"/>
      <c r="D34" s="149" t="str">
        <f t="shared" si="4"/>
        <v>segunda-feira</v>
      </c>
      <c r="E34" s="152">
        <f t="shared" ref="E34:J34" si="67">IFERROR(SUM(P34,AB34)," ")</f>
        <v>0</v>
      </c>
      <c r="F34" s="152">
        <f t="shared" si="67"/>
        <v>0</v>
      </c>
      <c r="G34" s="152">
        <f t="shared" si="67"/>
        <v>0</v>
      </c>
      <c r="H34" s="153">
        <f t="shared" si="67"/>
        <v>0</v>
      </c>
      <c r="I34" s="153">
        <f t="shared" si="67"/>
        <v>0</v>
      </c>
      <c r="J34" s="153">
        <f t="shared" si="67"/>
        <v>0</v>
      </c>
      <c r="K34" s="153">
        <f t="shared" ref="K34:M34" si="68">IFERROR(SUM(W34,AH34)," ")</f>
        <v>0</v>
      </c>
      <c r="L34" s="153">
        <f t="shared" si="68"/>
        <v>0</v>
      </c>
      <c r="M34" s="153">
        <f t="shared" si="68"/>
        <v>0</v>
      </c>
      <c r="N34" s="153"/>
      <c r="O34" s="153"/>
      <c r="P34" s="152" t="str">
        <f t="array" ref="P34">IFERROR(XLOOKUP(B34,'ImportaçãoGoogleAds - Adveronix'!$F:$F,'ImportaçãoGoogleAds - Adveronix'!$B:$B)," ")</f>
        <v> </v>
      </c>
      <c r="Q34" s="154"/>
      <c r="R34" s="154"/>
      <c r="S34" s="155" t="str">
        <f t="array" ref="S34">IFERROR(XLOOKUP(B34,'ImportaçãoGoogleAds - Adveronix'!$F:$F,'ImportaçãoGoogleAds - Adveronix'!C:C)," ")</f>
        <v> </v>
      </c>
      <c r="T34" s="155" t="str">
        <f t="array" ref="T34">IFERROR(XLOOKUP(B34,'ImportaçãoGoogleAds - Adveronix'!$F:$F,'ImportaçãoGoogleAds - Adveronix'!D:D)," ")</f>
        <v> </v>
      </c>
      <c r="U34" s="155" t="str">
        <f t="array" ref="U34">IFERROR(XLOOKUP(B34,'ImportaçãoGoogleAds - Adveronix'!$F:$F,'ImportaçãoGoogleAds - Adveronix'!E:E)," ")</f>
        <v> </v>
      </c>
      <c r="V34" s="156"/>
      <c r="W34" s="157"/>
      <c r="X34" s="157"/>
      <c r="Y34" s="158"/>
      <c r="Z34" s="158"/>
      <c r="AA34" s="158"/>
      <c r="AB34" s="152" t="str">
        <f t="array" ref="AB34">IFERROR(XLOOKUP(B34,'ImportaçãoMeta - Adveronix'!F:F,'ImportaçãoMeta - Adveronix'!B:B),"")</f>
        <v/>
      </c>
      <c r="AC34" s="154"/>
      <c r="AD34" s="154"/>
      <c r="AE34" s="159" t="str">
        <f t="array" ref="AE34">IFERROR(XLOOKUP(B34,'ImportaçãoMeta - Adveronix'!$F:$F,'ImportaçãoMeta - Adveronix'!C:C),"")</f>
        <v/>
      </c>
      <c r="AF34" s="159" t="str">
        <f t="array" ref="AF34">IFERROR(XLOOKUP(B34,'ImportaçãoMeta - Adveronix'!$F:$F,'ImportaçãoMeta - Adveronix'!D:D),"")</f>
        <v/>
      </c>
      <c r="AG34" s="159" t="str">
        <f t="array" ref="AG34">IFERROR(XLOOKUP(B34,'ImportaçãoMeta - Adveronix'!$F:$F,'ImportaçãoMeta - Adveronix'!E:E),"")</f>
        <v/>
      </c>
      <c r="AH34" s="157"/>
      <c r="AI34" s="157"/>
      <c r="AJ34" s="156"/>
      <c r="AK34" s="160"/>
      <c r="AL34" s="160"/>
    </row>
    <row r="35" ht="15.75" hidden="1" customHeight="1">
      <c r="A35" s="149" t="str">
        <f t="array" ref="A35">XLOOKUP(MONTH(B35),BASE!$F$16:$F$27,BASE!$G$16:$G$27)</f>
        <v>Fevereiro</v>
      </c>
      <c r="B35" s="150">
        <v>46056.0</v>
      </c>
      <c r="C35" s="151"/>
      <c r="D35" s="149" t="str">
        <f t="shared" si="4"/>
        <v>terça-feira</v>
      </c>
      <c r="E35" s="152">
        <f t="shared" ref="E35:J35" si="69">IFERROR(SUM(P35,AB35)," ")</f>
        <v>0</v>
      </c>
      <c r="F35" s="152">
        <f t="shared" si="69"/>
        <v>0</v>
      </c>
      <c r="G35" s="152">
        <f t="shared" si="69"/>
        <v>0</v>
      </c>
      <c r="H35" s="153">
        <f t="shared" si="69"/>
        <v>0</v>
      </c>
      <c r="I35" s="153">
        <f t="shared" si="69"/>
        <v>0</v>
      </c>
      <c r="J35" s="153">
        <f t="shared" si="69"/>
        <v>0</v>
      </c>
      <c r="K35" s="153">
        <f t="shared" ref="K35:M35" si="70">IFERROR(SUM(W35,AH35)," ")</f>
        <v>0</v>
      </c>
      <c r="L35" s="153">
        <f t="shared" si="70"/>
        <v>0</v>
      </c>
      <c r="M35" s="153">
        <f t="shared" si="70"/>
        <v>0</v>
      </c>
      <c r="N35" s="153"/>
      <c r="O35" s="153"/>
      <c r="P35" s="152" t="str">
        <f t="array" ref="P35">IFERROR(XLOOKUP(B35,'ImportaçãoGoogleAds - Adveronix'!$F:$F,'ImportaçãoGoogleAds - Adveronix'!$B:$B)," ")</f>
        <v> </v>
      </c>
      <c r="Q35" s="154"/>
      <c r="R35" s="154"/>
      <c r="S35" s="155" t="str">
        <f t="array" ref="S35">IFERROR(XLOOKUP(B35,'ImportaçãoGoogleAds - Adveronix'!$F:$F,'ImportaçãoGoogleAds - Adveronix'!C:C)," ")</f>
        <v> </v>
      </c>
      <c r="T35" s="155" t="str">
        <f t="array" ref="T35">IFERROR(XLOOKUP(B35,'ImportaçãoGoogleAds - Adveronix'!$F:$F,'ImportaçãoGoogleAds - Adveronix'!D:D)," ")</f>
        <v> </v>
      </c>
      <c r="U35" s="155" t="str">
        <f t="array" ref="U35">IFERROR(XLOOKUP(B35,'ImportaçãoGoogleAds - Adveronix'!$F:$F,'ImportaçãoGoogleAds - Adveronix'!E:E)," ")</f>
        <v> </v>
      </c>
      <c r="V35" s="156"/>
      <c r="W35" s="157"/>
      <c r="X35" s="157"/>
      <c r="Y35" s="158"/>
      <c r="Z35" s="158"/>
      <c r="AA35" s="158"/>
      <c r="AB35" s="152" t="str">
        <f t="array" ref="AB35">IFERROR(XLOOKUP(B35,'ImportaçãoMeta - Adveronix'!F:F,'ImportaçãoMeta - Adveronix'!B:B),"")</f>
        <v/>
      </c>
      <c r="AC35" s="154"/>
      <c r="AD35" s="154"/>
      <c r="AE35" s="159" t="str">
        <f t="array" ref="AE35">IFERROR(XLOOKUP(B35,'ImportaçãoMeta - Adveronix'!$F:$F,'ImportaçãoMeta - Adveronix'!C:C),"")</f>
        <v/>
      </c>
      <c r="AF35" s="159" t="str">
        <f t="array" ref="AF35">IFERROR(XLOOKUP(B35,'ImportaçãoMeta - Adveronix'!$F:$F,'ImportaçãoMeta - Adveronix'!D:D),"")</f>
        <v/>
      </c>
      <c r="AG35" s="159" t="str">
        <f t="array" ref="AG35">IFERROR(XLOOKUP(B35,'ImportaçãoMeta - Adveronix'!$F:$F,'ImportaçãoMeta - Adveronix'!E:E),"")</f>
        <v/>
      </c>
      <c r="AH35" s="157"/>
      <c r="AI35" s="157"/>
      <c r="AJ35" s="156"/>
      <c r="AK35" s="160"/>
      <c r="AL35" s="160"/>
    </row>
    <row r="36" ht="15.75" hidden="1" customHeight="1">
      <c r="A36" s="149" t="str">
        <f t="array" ref="A36">XLOOKUP(MONTH(B36),BASE!$F$16:$F$27,BASE!$G$16:$G$27)</f>
        <v>Fevereiro</v>
      </c>
      <c r="B36" s="150">
        <v>46057.0</v>
      </c>
      <c r="C36" s="151"/>
      <c r="D36" s="149" t="str">
        <f t="shared" si="4"/>
        <v>quarta-feira</v>
      </c>
      <c r="E36" s="152">
        <f t="shared" ref="E36:J36" si="71">IFERROR(SUM(P36,AB36)," ")</f>
        <v>0</v>
      </c>
      <c r="F36" s="152">
        <f t="shared" si="71"/>
        <v>0</v>
      </c>
      <c r="G36" s="152">
        <f t="shared" si="71"/>
        <v>0</v>
      </c>
      <c r="H36" s="153">
        <f t="shared" si="71"/>
        <v>0</v>
      </c>
      <c r="I36" s="153">
        <f t="shared" si="71"/>
        <v>0</v>
      </c>
      <c r="J36" s="153">
        <f t="shared" si="71"/>
        <v>0</v>
      </c>
      <c r="K36" s="153">
        <f t="shared" ref="K36:M36" si="72">IFERROR(SUM(W36,AH36)," ")</f>
        <v>0</v>
      </c>
      <c r="L36" s="153">
        <f t="shared" si="72"/>
        <v>0</v>
      </c>
      <c r="M36" s="153">
        <f t="shared" si="72"/>
        <v>0</v>
      </c>
      <c r="N36" s="153"/>
      <c r="O36" s="153"/>
      <c r="P36" s="152" t="str">
        <f t="array" ref="P36">IFERROR(XLOOKUP(B36,'ImportaçãoGoogleAds - Adveronix'!$F:$F,'ImportaçãoGoogleAds - Adveronix'!$B:$B)," ")</f>
        <v> </v>
      </c>
      <c r="Q36" s="154"/>
      <c r="R36" s="154"/>
      <c r="S36" s="155" t="str">
        <f t="array" ref="S36">IFERROR(XLOOKUP(B36,'ImportaçãoGoogleAds - Adveronix'!$F:$F,'ImportaçãoGoogleAds - Adveronix'!C:C)," ")</f>
        <v> </v>
      </c>
      <c r="T36" s="155" t="str">
        <f t="array" ref="T36">IFERROR(XLOOKUP(B36,'ImportaçãoGoogleAds - Adveronix'!$F:$F,'ImportaçãoGoogleAds - Adveronix'!D:D)," ")</f>
        <v> </v>
      </c>
      <c r="U36" s="155" t="str">
        <f t="array" ref="U36">IFERROR(XLOOKUP(B36,'ImportaçãoGoogleAds - Adveronix'!$F:$F,'ImportaçãoGoogleAds - Adveronix'!E:E)," ")</f>
        <v> </v>
      </c>
      <c r="V36" s="156"/>
      <c r="W36" s="157"/>
      <c r="X36" s="157"/>
      <c r="Y36" s="158"/>
      <c r="Z36" s="158"/>
      <c r="AA36" s="158"/>
      <c r="AB36" s="152" t="str">
        <f t="array" ref="AB36">IFERROR(XLOOKUP(B36,'ImportaçãoMeta - Adveronix'!F:F,'ImportaçãoMeta - Adveronix'!B:B),"")</f>
        <v/>
      </c>
      <c r="AC36" s="154"/>
      <c r="AD36" s="154"/>
      <c r="AE36" s="159" t="str">
        <f t="array" ref="AE36">IFERROR(XLOOKUP(B36,'ImportaçãoMeta - Adveronix'!$F:$F,'ImportaçãoMeta - Adveronix'!C:C),"")</f>
        <v/>
      </c>
      <c r="AF36" s="159" t="str">
        <f t="array" ref="AF36">IFERROR(XLOOKUP(B36,'ImportaçãoMeta - Adveronix'!$F:$F,'ImportaçãoMeta - Adveronix'!D:D),"")</f>
        <v/>
      </c>
      <c r="AG36" s="159" t="str">
        <f t="array" ref="AG36">IFERROR(XLOOKUP(B36,'ImportaçãoMeta - Adveronix'!$F:$F,'ImportaçãoMeta - Adveronix'!E:E),"")</f>
        <v/>
      </c>
      <c r="AH36" s="157"/>
      <c r="AI36" s="157"/>
      <c r="AJ36" s="156"/>
      <c r="AK36" s="160"/>
      <c r="AL36" s="160"/>
    </row>
    <row r="37" ht="15.75" hidden="1" customHeight="1">
      <c r="A37" s="149" t="str">
        <f t="array" ref="A37">XLOOKUP(MONTH(B37),BASE!$F$16:$F$27,BASE!$G$16:$G$27)</f>
        <v>Fevereiro</v>
      </c>
      <c r="B37" s="150">
        <v>46058.0</v>
      </c>
      <c r="C37" s="151"/>
      <c r="D37" s="149" t="str">
        <f t="shared" si="4"/>
        <v>quinta-feira</v>
      </c>
      <c r="E37" s="152">
        <f t="shared" ref="E37:J37" si="73">IFERROR(SUM(P37,AB37)," ")</f>
        <v>0</v>
      </c>
      <c r="F37" s="152">
        <f t="shared" si="73"/>
        <v>0</v>
      </c>
      <c r="G37" s="152">
        <f t="shared" si="73"/>
        <v>0</v>
      </c>
      <c r="H37" s="153">
        <f t="shared" si="73"/>
        <v>0</v>
      </c>
      <c r="I37" s="153">
        <f t="shared" si="73"/>
        <v>0</v>
      </c>
      <c r="J37" s="153">
        <f t="shared" si="73"/>
        <v>0</v>
      </c>
      <c r="K37" s="153">
        <f t="shared" ref="K37:M37" si="74">IFERROR(SUM(W37,AH37)," ")</f>
        <v>0</v>
      </c>
      <c r="L37" s="153">
        <f t="shared" si="74"/>
        <v>0</v>
      </c>
      <c r="M37" s="153">
        <f t="shared" si="74"/>
        <v>0</v>
      </c>
      <c r="N37" s="153"/>
      <c r="O37" s="153"/>
      <c r="P37" s="152" t="str">
        <f t="array" ref="P37">IFERROR(XLOOKUP(B37,'ImportaçãoGoogleAds - Adveronix'!$F:$F,'ImportaçãoGoogleAds - Adveronix'!$B:$B)," ")</f>
        <v> </v>
      </c>
      <c r="Q37" s="154"/>
      <c r="R37" s="154"/>
      <c r="S37" s="155" t="str">
        <f t="array" ref="S37">IFERROR(XLOOKUP(B37,'ImportaçãoGoogleAds - Adveronix'!$F:$F,'ImportaçãoGoogleAds - Adveronix'!C:C)," ")</f>
        <v> </v>
      </c>
      <c r="T37" s="155" t="str">
        <f t="array" ref="T37">IFERROR(XLOOKUP(B37,'ImportaçãoGoogleAds - Adveronix'!$F:$F,'ImportaçãoGoogleAds - Adveronix'!D:D)," ")</f>
        <v> </v>
      </c>
      <c r="U37" s="155" t="str">
        <f t="array" ref="U37">IFERROR(XLOOKUP(B37,'ImportaçãoGoogleAds - Adveronix'!$F:$F,'ImportaçãoGoogleAds - Adveronix'!E:E)," ")</f>
        <v> </v>
      </c>
      <c r="V37" s="156"/>
      <c r="W37" s="157"/>
      <c r="X37" s="157"/>
      <c r="Y37" s="158"/>
      <c r="Z37" s="158"/>
      <c r="AA37" s="158"/>
      <c r="AB37" s="152" t="str">
        <f t="array" ref="AB37">IFERROR(XLOOKUP(B37,'ImportaçãoMeta - Adveronix'!F:F,'ImportaçãoMeta - Adveronix'!B:B),"")</f>
        <v/>
      </c>
      <c r="AC37" s="154"/>
      <c r="AD37" s="154"/>
      <c r="AE37" s="159" t="str">
        <f t="array" ref="AE37">IFERROR(XLOOKUP(B37,'ImportaçãoMeta - Adveronix'!$F:$F,'ImportaçãoMeta - Adveronix'!C:C),"")</f>
        <v/>
      </c>
      <c r="AF37" s="159" t="str">
        <f t="array" ref="AF37">IFERROR(XLOOKUP(B37,'ImportaçãoMeta - Adveronix'!$F:$F,'ImportaçãoMeta - Adveronix'!D:D),"")</f>
        <v/>
      </c>
      <c r="AG37" s="159" t="str">
        <f t="array" ref="AG37">IFERROR(XLOOKUP(B37,'ImportaçãoMeta - Adveronix'!$F:$F,'ImportaçãoMeta - Adveronix'!E:E),"")</f>
        <v/>
      </c>
      <c r="AH37" s="157"/>
      <c r="AI37" s="157"/>
      <c r="AJ37" s="156"/>
      <c r="AK37" s="160"/>
      <c r="AL37" s="160"/>
    </row>
    <row r="38" ht="15.75" hidden="1" customHeight="1">
      <c r="A38" s="149" t="str">
        <f t="array" ref="A38">XLOOKUP(MONTH(B38),BASE!$F$16:$F$27,BASE!$G$16:$G$27)</f>
        <v>Fevereiro</v>
      </c>
      <c r="B38" s="150">
        <v>46059.0</v>
      </c>
      <c r="C38" s="151"/>
      <c r="D38" s="149" t="str">
        <f t="shared" si="4"/>
        <v>sexta-feira</v>
      </c>
      <c r="E38" s="152">
        <f t="shared" ref="E38:J38" si="75">IFERROR(SUM(P38,AB38)," ")</f>
        <v>0</v>
      </c>
      <c r="F38" s="152">
        <f t="shared" si="75"/>
        <v>0</v>
      </c>
      <c r="G38" s="152">
        <f t="shared" si="75"/>
        <v>0</v>
      </c>
      <c r="H38" s="153">
        <f t="shared" si="75"/>
        <v>0</v>
      </c>
      <c r="I38" s="153">
        <f t="shared" si="75"/>
        <v>0</v>
      </c>
      <c r="J38" s="153">
        <f t="shared" si="75"/>
        <v>0</v>
      </c>
      <c r="K38" s="153">
        <f t="shared" ref="K38:M38" si="76">IFERROR(SUM(W38,AH38)," ")</f>
        <v>0</v>
      </c>
      <c r="L38" s="153">
        <f t="shared" si="76"/>
        <v>0</v>
      </c>
      <c r="M38" s="153">
        <f t="shared" si="76"/>
        <v>0</v>
      </c>
      <c r="N38" s="153"/>
      <c r="O38" s="153"/>
      <c r="P38" s="152" t="str">
        <f t="array" ref="P38">IFERROR(XLOOKUP(B38,'ImportaçãoGoogleAds - Adveronix'!$F:$F,'ImportaçãoGoogleAds - Adveronix'!$B:$B)," ")</f>
        <v> </v>
      </c>
      <c r="Q38" s="154"/>
      <c r="R38" s="154"/>
      <c r="S38" s="155" t="str">
        <f t="array" ref="S38">IFERROR(XLOOKUP(B38,'ImportaçãoGoogleAds - Adveronix'!$F:$F,'ImportaçãoGoogleAds - Adveronix'!C:C)," ")</f>
        <v> </v>
      </c>
      <c r="T38" s="155" t="str">
        <f t="array" ref="T38">IFERROR(XLOOKUP(B38,'ImportaçãoGoogleAds - Adveronix'!$F:$F,'ImportaçãoGoogleAds - Adveronix'!D:D)," ")</f>
        <v> </v>
      </c>
      <c r="U38" s="155" t="str">
        <f t="array" ref="U38">IFERROR(XLOOKUP(B38,'ImportaçãoGoogleAds - Adveronix'!$F:$F,'ImportaçãoGoogleAds - Adveronix'!E:E)," ")</f>
        <v> </v>
      </c>
      <c r="V38" s="156"/>
      <c r="W38" s="157"/>
      <c r="X38" s="157"/>
      <c r="Y38" s="158"/>
      <c r="Z38" s="158"/>
      <c r="AA38" s="158"/>
      <c r="AB38" s="152" t="str">
        <f t="array" ref="AB38">IFERROR(XLOOKUP(B38,'ImportaçãoMeta - Adveronix'!F:F,'ImportaçãoMeta - Adveronix'!B:B),"")</f>
        <v/>
      </c>
      <c r="AC38" s="154"/>
      <c r="AD38" s="154"/>
      <c r="AE38" s="159" t="str">
        <f t="array" ref="AE38">IFERROR(XLOOKUP(B38,'ImportaçãoMeta - Adveronix'!$F:$F,'ImportaçãoMeta - Adveronix'!C:C),"")</f>
        <v/>
      </c>
      <c r="AF38" s="159" t="str">
        <f t="array" ref="AF38">IFERROR(XLOOKUP(B38,'ImportaçãoMeta - Adveronix'!$F:$F,'ImportaçãoMeta - Adveronix'!D:D),"")</f>
        <v/>
      </c>
      <c r="AG38" s="159" t="str">
        <f t="array" ref="AG38">IFERROR(XLOOKUP(B38,'ImportaçãoMeta - Adveronix'!$F:$F,'ImportaçãoMeta - Adveronix'!E:E),"")</f>
        <v/>
      </c>
      <c r="AH38" s="157"/>
      <c r="AI38" s="157"/>
      <c r="AJ38" s="156"/>
      <c r="AK38" s="160"/>
      <c r="AL38" s="160"/>
    </row>
    <row r="39" ht="15.75" hidden="1" customHeight="1">
      <c r="A39" s="149" t="str">
        <f t="array" ref="A39">XLOOKUP(MONTH(B39),BASE!$F$16:$F$27,BASE!$G$16:$G$27)</f>
        <v>Fevereiro</v>
      </c>
      <c r="B39" s="150">
        <v>46060.0</v>
      </c>
      <c r="C39" s="151"/>
      <c r="D39" s="149" t="str">
        <f t="shared" si="4"/>
        <v>sábado</v>
      </c>
      <c r="E39" s="152">
        <f t="shared" ref="E39:J39" si="77">IFERROR(SUM(P39,AB39)," ")</f>
        <v>0</v>
      </c>
      <c r="F39" s="152">
        <f t="shared" si="77"/>
        <v>0</v>
      </c>
      <c r="G39" s="152">
        <f t="shared" si="77"/>
        <v>0</v>
      </c>
      <c r="H39" s="153">
        <f t="shared" si="77"/>
        <v>0</v>
      </c>
      <c r="I39" s="153">
        <f t="shared" si="77"/>
        <v>0</v>
      </c>
      <c r="J39" s="153">
        <f t="shared" si="77"/>
        <v>0</v>
      </c>
      <c r="K39" s="153">
        <f t="shared" ref="K39:M39" si="78">IFERROR(SUM(W39,AH39)," ")</f>
        <v>0</v>
      </c>
      <c r="L39" s="153">
        <f t="shared" si="78"/>
        <v>0</v>
      </c>
      <c r="M39" s="153">
        <f t="shared" si="78"/>
        <v>0</v>
      </c>
      <c r="N39" s="153"/>
      <c r="O39" s="153"/>
      <c r="P39" s="152" t="str">
        <f t="array" ref="P39">IFERROR(XLOOKUP(B39,'ImportaçãoGoogleAds - Adveronix'!$F:$F,'ImportaçãoGoogleAds - Adveronix'!$B:$B)," ")</f>
        <v> </v>
      </c>
      <c r="Q39" s="154"/>
      <c r="R39" s="154"/>
      <c r="S39" s="155" t="str">
        <f t="array" ref="S39">IFERROR(XLOOKUP(B39,'ImportaçãoGoogleAds - Adveronix'!$F:$F,'ImportaçãoGoogleAds - Adveronix'!C:C)," ")</f>
        <v> </v>
      </c>
      <c r="T39" s="155" t="str">
        <f t="array" ref="T39">IFERROR(XLOOKUP(B39,'ImportaçãoGoogleAds - Adveronix'!$F:$F,'ImportaçãoGoogleAds - Adveronix'!D:D)," ")</f>
        <v> </v>
      </c>
      <c r="U39" s="155" t="str">
        <f t="array" ref="U39">IFERROR(XLOOKUP(B39,'ImportaçãoGoogleAds - Adveronix'!$F:$F,'ImportaçãoGoogleAds - Adveronix'!E:E)," ")</f>
        <v> </v>
      </c>
      <c r="V39" s="156"/>
      <c r="W39" s="157"/>
      <c r="X39" s="157"/>
      <c r="Y39" s="158"/>
      <c r="Z39" s="158"/>
      <c r="AA39" s="158"/>
      <c r="AB39" s="152" t="str">
        <f t="array" ref="AB39">IFERROR(XLOOKUP(B39,'ImportaçãoMeta - Adveronix'!F:F,'ImportaçãoMeta - Adveronix'!B:B),"")</f>
        <v/>
      </c>
      <c r="AC39" s="154"/>
      <c r="AD39" s="154"/>
      <c r="AE39" s="159" t="str">
        <f t="array" ref="AE39">IFERROR(XLOOKUP(B39,'ImportaçãoMeta - Adveronix'!$F:$F,'ImportaçãoMeta - Adveronix'!C:C),"")</f>
        <v/>
      </c>
      <c r="AF39" s="159" t="str">
        <f t="array" ref="AF39">IFERROR(XLOOKUP(B39,'ImportaçãoMeta - Adveronix'!$F:$F,'ImportaçãoMeta - Adveronix'!D:D),"")</f>
        <v/>
      </c>
      <c r="AG39" s="159" t="str">
        <f t="array" ref="AG39">IFERROR(XLOOKUP(B39,'ImportaçãoMeta - Adveronix'!$F:$F,'ImportaçãoMeta - Adveronix'!E:E),"")</f>
        <v/>
      </c>
      <c r="AH39" s="157"/>
      <c r="AI39" s="157"/>
      <c r="AJ39" s="156"/>
      <c r="AK39" s="160"/>
      <c r="AL39" s="160"/>
    </row>
    <row r="40" ht="15.75" hidden="1" customHeight="1">
      <c r="A40" s="149" t="str">
        <f t="array" ref="A40">XLOOKUP(MONTH(B40),BASE!$F$16:$F$27,BASE!$G$16:$G$27)</f>
        <v>Fevereiro</v>
      </c>
      <c r="B40" s="150">
        <v>46061.0</v>
      </c>
      <c r="C40" s="151"/>
      <c r="D40" s="149" t="str">
        <f t="shared" si="4"/>
        <v>domingo</v>
      </c>
      <c r="E40" s="152">
        <f t="shared" ref="E40:J40" si="79">IFERROR(SUM(P40,AB40)," ")</f>
        <v>0</v>
      </c>
      <c r="F40" s="152">
        <f t="shared" si="79"/>
        <v>0</v>
      </c>
      <c r="G40" s="152">
        <f t="shared" si="79"/>
        <v>0</v>
      </c>
      <c r="H40" s="153">
        <f t="shared" si="79"/>
        <v>0</v>
      </c>
      <c r="I40" s="153">
        <f t="shared" si="79"/>
        <v>0</v>
      </c>
      <c r="J40" s="153">
        <f t="shared" si="79"/>
        <v>0</v>
      </c>
      <c r="K40" s="153">
        <f t="shared" ref="K40:M40" si="80">IFERROR(SUM(W40,AH40)," ")</f>
        <v>0</v>
      </c>
      <c r="L40" s="153">
        <f t="shared" si="80"/>
        <v>0</v>
      </c>
      <c r="M40" s="153">
        <f t="shared" si="80"/>
        <v>0</v>
      </c>
      <c r="N40" s="153"/>
      <c r="O40" s="153"/>
      <c r="P40" s="152" t="str">
        <f t="array" ref="P40">IFERROR(XLOOKUP(B40,'ImportaçãoGoogleAds - Adveronix'!$F:$F,'ImportaçãoGoogleAds - Adveronix'!$B:$B)," ")</f>
        <v> </v>
      </c>
      <c r="Q40" s="154"/>
      <c r="R40" s="154"/>
      <c r="S40" s="155" t="str">
        <f t="array" ref="S40">IFERROR(XLOOKUP(B40,'ImportaçãoGoogleAds - Adveronix'!$F:$F,'ImportaçãoGoogleAds - Adveronix'!C:C)," ")</f>
        <v> </v>
      </c>
      <c r="T40" s="155" t="str">
        <f t="array" ref="T40">IFERROR(XLOOKUP(B40,'ImportaçãoGoogleAds - Adveronix'!$F:$F,'ImportaçãoGoogleAds - Adveronix'!D:D)," ")</f>
        <v> </v>
      </c>
      <c r="U40" s="155" t="str">
        <f t="array" ref="U40">IFERROR(XLOOKUP(B40,'ImportaçãoGoogleAds - Adveronix'!$F:$F,'ImportaçãoGoogleAds - Adveronix'!E:E)," ")</f>
        <v> </v>
      </c>
      <c r="V40" s="156"/>
      <c r="W40" s="157"/>
      <c r="X40" s="157"/>
      <c r="Y40" s="158"/>
      <c r="Z40" s="158"/>
      <c r="AA40" s="158"/>
      <c r="AB40" s="152" t="str">
        <f t="array" ref="AB40">IFERROR(XLOOKUP(B40,'ImportaçãoMeta - Adveronix'!F:F,'ImportaçãoMeta - Adveronix'!B:B),"")</f>
        <v/>
      </c>
      <c r="AC40" s="154"/>
      <c r="AD40" s="154"/>
      <c r="AE40" s="159" t="str">
        <f t="array" ref="AE40">IFERROR(XLOOKUP(B40,'ImportaçãoMeta - Adveronix'!$F:$F,'ImportaçãoMeta - Adveronix'!C:C),"")</f>
        <v/>
      </c>
      <c r="AF40" s="159" t="str">
        <f t="array" ref="AF40">IFERROR(XLOOKUP(B40,'ImportaçãoMeta - Adveronix'!$F:$F,'ImportaçãoMeta - Adveronix'!D:D),"")</f>
        <v/>
      </c>
      <c r="AG40" s="159" t="str">
        <f t="array" ref="AG40">IFERROR(XLOOKUP(B40,'ImportaçãoMeta - Adveronix'!$F:$F,'ImportaçãoMeta - Adveronix'!E:E),"")</f>
        <v/>
      </c>
      <c r="AH40" s="157"/>
      <c r="AI40" s="157"/>
      <c r="AJ40" s="156"/>
      <c r="AK40" s="160"/>
      <c r="AL40" s="160"/>
    </row>
    <row r="41" ht="15.75" hidden="1" customHeight="1">
      <c r="A41" s="149" t="str">
        <f t="array" ref="A41">XLOOKUP(MONTH(B41),BASE!$F$16:$F$27,BASE!$G$16:$G$27)</f>
        <v>Fevereiro</v>
      </c>
      <c r="B41" s="150">
        <v>46062.0</v>
      </c>
      <c r="C41" s="151"/>
      <c r="D41" s="149" t="str">
        <f t="shared" si="4"/>
        <v>segunda-feira</v>
      </c>
      <c r="E41" s="152">
        <f t="shared" ref="E41:J41" si="81">IFERROR(SUM(P41,AB41)," ")</f>
        <v>0</v>
      </c>
      <c r="F41" s="152">
        <f t="shared" si="81"/>
        <v>0</v>
      </c>
      <c r="G41" s="152">
        <f t="shared" si="81"/>
        <v>0</v>
      </c>
      <c r="H41" s="153">
        <f t="shared" si="81"/>
        <v>0</v>
      </c>
      <c r="I41" s="153">
        <f t="shared" si="81"/>
        <v>0</v>
      </c>
      <c r="J41" s="153">
        <f t="shared" si="81"/>
        <v>0</v>
      </c>
      <c r="K41" s="153">
        <f t="shared" ref="K41:M41" si="82">IFERROR(SUM(W41,AH41)," ")</f>
        <v>0</v>
      </c>
      <c r="L41" s="153">
        <f t="shared" si="82"/>
        <v>0</v>
      </c>
      <c r="M41" s="153">
        <f t="shared" si="82"/>
        <v>0</v>
      </c>
      <c r="N41" s="153"/>
      <c r="O41" s="153"/>
      <c r="P41" s="152" t="str">
        <f t="array" ref="P41">IFERROR(XLOOKUP(B41,'ImportaçãoGoogleAds - Adveronix'!$F:$F,'ImportaçãoGoogleAds - Adveronix'!$B:$B)," ")</f>
        <v> </v>
      </c>
      <c r="Q41" s="154"/>
      <c r="R41" s="154"/>
      <c r="S41" s="155" t="str">
        <f t="array" ref="S41">IFERROR(XLOOKUP(B41,'ImportaçãoGoogleAds - Adveronix'!$F:$F,'ImportaçãoGoogleAds - Adveronix'!C:C)," ")</f>
        <v> </v>
      </c>
      <c r="T41" s="155" t="str">
        <f t="array" ref="T41">IFERROR(XLOOKUP(B41,'ImportaçãoGoogleAds - Adveronix'!$F:$F,'ImportaçãoGoogleAds - Adveronix'!D:D)," ")</f>
        <v> </v>
      </c>
      <c r="U41" s="155" t="str">
        <f t="array" ref="U41">IFERROR(XLOOKUP(B41,'ImportaçãoGoogleAds - Adveronix'!$F:$F,'ImportaçãoGoogleAds - Adveronix'!E:E)," ")</f>
        <v> </v>
      </c>
      <c r="V41" s="156"/>
      <c r="W41" s="157"/>
      <c r="X41" s="157"/>
      <c r="Y41" s="158"/>
      <c r="Z41" s="158"/>
      <c r="AA41" s="158"/>
      <c r="AB41" s="152" t="str">
        <f t="array" ref="AB41">IFERROR(XLOOKUP(B41,'ImportaçãoMeta - Adveronix'!F:F,'ImportaçãoMeta - Adveronix'!B:B),"")</f>
        <v/>
      </c>
      <c r="AC41" s="154"/>
      <c r="AD41" s="154"/>
      <c r="AE41" s="159" t="str">
        <f t="array" ref="AE41">IFERROR(XLOOKUP(B41,'ImportaçãoMeta - Adveronix'!$F:$F,'ImportaçãoMeta - Adveronix'!C:C),"")</f>
        <v/>
      </c>
      <c r="AF41" s="159" t="str">
        <f t="array" ref="AF41">IFERROR(XLOOKUP(B41,'ImportaçãoMeta - Adveronix'!$F:$F,'ImportaçãoMeta - Adveronix'!D:D),"")</f>
        <v/>
      </c>
      <c r="AG41" s="159" t="str">
        <f t="array" ref="AG41">IFERROR(XLOOKUP(B41,'ImportaçãoMeta - Adveronix'!$F:$F,'ImportaçãoMeta - Adveronix'!E:E),"")</f>
        <v/>
      </c>
      <c r="AH41" s="157"/>
      <c r="AI41" s="157"/>
      <c r="AJ41" s="156"/>
      <c r="AK41" s="160"/>
      <c r="AL41" s="160"/>
    </row>
    <row r="42" ht="15.75" hidden="1" customHeight="1">
      <c r="A42" s="149" t="str">
        <f t="array" ref="A42">XLOOKUP(MONTH(B42),BASE!$F$16:$F$27,BASE!$G$16:$G$27)</f>
        <v>Fevereiro</v>
      </c>
      <c r="B42" s="150">
        <v>46063.0</v>
      </c>
      <c r="C42" s="151"/>
      <c r="D42" s="149" t="str">
        <f t="shared" si="4"/>
        <v>terça-feira</v>
      </c>
      <c r="E42" s="152">
        <f t="shared" ref="E42:J42" si="83">IFERROR(SUM(P42,AB42)," ")</f>
        <v>0</v>
      </c>
      <c r="F42" s="152">
        <f t="shared" si="83"/>
        <v>0</v>
      </c>
      <c r="G42" s="152">
        <f t="shared" si="83"/>
        <v>0</v>
      </c>
      <c r="H42" s="153">
        <f t="shared" si="83"/>
        <v>0</v>
      </c>
      <c r="I42" s="153">
        <f t="shared" si="83"/>
        <v>0</v>
      </c>
      <c r="J42" s="153">
        <f t="shared" si="83"/>
        <v>0</v>
      </c>
      <c r="K42" s="153">
        <f t="shared" ref="K42:M42" si="84">IFERROR(SUM(W42,AH42)," ")</f>
        <v>0</v>
      </c>
      <c r="L42" s="153">
        <f t="shared" si="84"/>
        <v>0</v>
      </c>
      <c r="M42" s="153">
        <f t="shared" si="84"/>
        <v>0</v>
      </c>
      <c r="N42" s="153"/>
      <c r="O42" s="153"/>
      <c r="P42" s="152" t="str">
        <f t="array" ref="P42">IFERROR(XLOOKUP(B42,'ImportaçãoGoogleAds - Adveronix'!$F:$F,'ImportaçãoGoogleAds - Adveronix'!$B:$B)," ")</f>
        <v> </v>
      </c>
      <c r="Q42" s="154"/>
      <c r="R42" s="154"/>
      <c r="S42" s="155" t="str">
        <f t="array" ref="S42">IFERROR(XLOOKUP(B42,'ImportaçãoGoogleAds - Adveronix'!$F:$F,'ImportaçãoGoogleAds - Adveronix'!C:C)," ")</f>
        <v> </v>
      </c>
      <c r="T42" s="155" t="str">
        <f t="array" ref="T42">IFERROR(XLOOKUP(B42,'ImportaçãoGoogleAds - Adveronix'!$F:$F,'ImportaçãoGoogleAds - Adveronix'!D:D)," ")</f>
        <v> </v>
      </c>
      <c r="U42" s="155" t="str">
        <f t="array" ref="U42">IFERROR(XLOOKUP(B42,'ImportaçãoGoogleAds - Adveronix'!$F:$F,'ImportaçãoGoogleAds - Adveronix'!E:E)," ")</f>
        <v> </v>
      </c>
      <c r="V42" s="156"/>
      <c r="W42" s="157"/>
      <c r="X42" s="157"/>
      <c r="Y42" s="158"/>
      <c r="Z42" s="158"/>
      <c r="AA42" s="158"/>
      <c r="AB42" s="152" t="str">
        <f t="array" ref="AB42">IFERROR(XLOOKUP(B42,'ImportaçãoMeta - Adveronix'!F:F,'ImportaçãoMeta - Adveronix'!B:B),"")</f>
        <v/>
      </c>
      <c r="AC42" s="154"/>
      <c r="AD42" s="154"/>
      <c r="AE42" s="159" t="str">
        <f t="array" ref="AE42">IFERROR(XLOOKUP(B42,'ImportaçãoMeta - Adveronix'!$F:$F,'ImportaçãoMeta - Adveronix'!C:C),"")</f>
        <v/>
      </c>
      <c r="AF42" s="159" t="str">
        <f t="array" ref="AF42">IFERROR(XLOOKUP(B42,'ImportaçãoMeta - Adveronix'!$F:$F,'ImportaçãoMeta - Adveronix'!D:D),"")</f>
        <v/>
      </c>
      <c r="AG42" s="159" t="str">
        <f t="array" ref="AG42">IFERROR(XLOOKUP(B42,'ImportaçãoMeta - Adveronix'!$F:$F,'ImportaçãoMeta - Adveronix'!E:E),"")</f>
        <v/>
      </c>
      <c r="AH42" s="157"/>
      <c r="AI42" s="157"/>
      <c r="AJ42" s="156"/>
      <c r="AK42" s="160"/>
      <c r="AL42" s="160"/>
    </row>
    <row r="43" ht="15.75" hidden="1" customHeight="1">
      <c r="A43" s="149" t="str">
        <f t="array" ref="A43">XLOOKUP(MONTH(B43),BASE!$F$16:$F$27,BASE!$G$16:$G$27)</f>
        <v>Fevereiro</v>
      </c>
      <c r="B43" s="150">
        <v>46064.0</v>
      </c>
      <c r="C43" s="151"/>
      <c r="D43" s="149" t="str">
        <f t="shared" si="4"/>
        <v>quarta-feira</v>
      </c>
      <c r="E43" s="152">
        <f t="shared" ref="E43:J43" si="85">IFERROR(SUM(P43,AB43)," ")</f>
        <v>0</v>
      </c>
      <c r="F43" s="152">
        <f t="shared" si="85"/>
        <v>0</v>
      </c>
      <c r="G43" s="152">
        <f t="shared" si="85"/>
        <v>0</v>
      </c>
      <c r="H43" s="153">
        <f t="shared" si="85"/>
        <v>0</v>
      </c>
      <c r="I43" s="153">
        <f t="shared" si="85"/>
        <v>0</v>
      </c>
      <c r="J43" s="153">
        <f t="shared" si="85"/>
        <v>0</v>
      </c>
      <c r="K43" s="153">
        <f t="shared" ref="K43:M43" si="86">IFERROR(SUM(W43,AH43)," ")</f>
        <v>0</v>
      </c>
      <c r="L43" s="153">
        <f t="shared" si="86"/>
        <v>0</v>
      </c>
      <c r="M43" s="153">
        <f t="shared" si="86"/>
        <v>0</v>
      </c>
      <c r="N43" s="153"/>
      <c r="O43" s="153"/>
      <c r="P43" s="152" t="str">
        <f t="array" ref="P43">IFERROR(XLOOKUP(B43,'ImportaçãoGoogleAds - Adveronix'!$F:$F,'ImportaçãoGoogleAds - Adveronix'!$B:$B)," ")</f>
        <v> </v>
      </c>
      <c r="Q43" s="154"/>
      <c r="R43" s="154"/>
      <c r="S43" s="155" t="str">
        <f t="array" ref="S43">IFERROR(XLOOKUP(B43,'ImportaçãoGoogleAds - Adveronix'!$F:$F,'ImportaçãoGoogleAds - Adveronix'!C:C)," ")</f>
        <v> </v>
      </c>
      <c r="T43" s="155" t="str">
        <f t="array" ref="T43">IFERROR(XLOOKUP(B43,'ImportaçãoGoogleAds - Adveronix'!$F:$F,'ImportaçãoGoogleAds - Adveronix'!D:D)," ")</f>
        <v> </v>
      </c>
      <c r="U43" s="155" t="str">
        <f t="array" ref="U43">IFERROR(XLOOKUP(B43,'ImportaçãoGoogleAds - Adveronix'!$F:$F,'ImportaçãoGoogleAds - Adveronix'!E:E)," ")</f>
        <v> </v>
      </c>
      <c r="V43" s="156"/>
      <c r="W43" s="157"/>
      <c r="X43" s="157"/>
      <c r="Y43" s="158"/>
      <c r="Z43" s="158"/>
      <c r="AA43" s="158"/>
      <c r="AB43" s="152" t="str">
        <f t="array" ref="AB43">IFERROR(XLOOKUP(B43,'ImportaçãoMeta - Adveronix'!F:F,'ImportaçãoMeta - Adveronix'!B:B),"")</f>
        <v/>
      </c>
      <c r="AC43" s="154"/>
      <c r="AD43" s="154"/>
      <c r="AE43" s="159" t="str">
        <f t="array" ref="AE43">IFERROR(XLOOKUP(B43,'ImportaçãoMeta - Adveronix'!$F:$F,'ImportaçãoMeta - Adveronix'!C:C),"")</f>
        <v/>
      </c>
      <c r="AF43" s="159" t="str">
        <f t="array" ref="AF43">IFERROR(XLOOKUP(B43,'ImportaçãoMeta - Adveronix'!$F:$F,'ImportaçãoMeta - Adveronix'!D:D),"")</f>
        <v/>
      </c>
      <c r="AG43" s="159" t="str">
        <f t="array" ref="AG43">IFERROR(XLOOKUP(B43,'ImportaçãoMeta - Adveronix'!$F:$F,'ImportaçãoMeta - Adveronix'!E:E),"")</f>
        <v/>
      </c>
      <c r="AH43" s="157"/>
      <c r="AI43" s="157"/>
      <c r="AJ43" s="156"/>
      <c r="AK43" s="160"/>
      <c r="AL43" s="160"/>
    </row>
    <row r="44" ht="15.75" hidden="1" customHeight="1">
      <c r="A44" s="149" t="str">
        <f t="array" ref="A44">XLOOKUP(MONTH(B44),BASE!$F$16:$F$27,BASE!$G$16:$G$27)</f>
        <v>Fevereiro</v>
      </c>
      <c r="B44" s="150">
        <v>46065.0</v>
      </c>
      <c r="C44" s="151"/>
      <c r="D44" s="149" t="str">
        <f t="shared" si="4"/>
        <v>quinta-feira</v>
      </c>
      <c r="E44" s="152">
        <f t="shared" ref="E44:J44" si="87">IFERROR(SUM(P44,AB44)," ")</f>
        <v>0</v>
      </c>
      <c r="F44" s="152">
        <f t="shared" si="87"/>
        <v>0</v>
      </c>
      <c r="G44" s="152">
        <f t="shared" si="87"/>
        <v>0</v>
      </c>
      <c r="H44" s="153">
        <f t="shared" si="87"/>
        <v>0</v>
      </c>
      <c r="I44" s="153">
        <f t="shared" si="87"/>
        <v>0</v>
      </c>
      <c r="J44" s="153">
        <f t="shared" si="87"/>
        <v>0</v>
      </c>
      <c r="K44" s="153">
        <f t="shared" ref="K44:M44" si="88">IFERROR(SUM(W44,AH44)," ")</f>
        <v>0</v>
      </c>
      <c r="L44" s="153">
        <f t="shared" si="88"/>
        <v>0</v>
      </c>
      <c r="M44" s="153">
        <f t="shared" si="88"/>
        <v>0</v>
      </c>
      <c r="N44" s="153"/>
      <c r="O44" s="153"/>
      <c r="P44" s="152" t="str">
        <f t="array" ref="P44">IFERROR(XLOOKUP(B44,'ImportaçãoGoogleAds - Adveronix'!$F:$F,'ImportaçãoGoogleAds - Adveronix'!$B:$B)," ")</f>
        <v> </v>
      </c>
      <c r="Q44" s="154"/>
      <c r="R44" s="154"/>
      <c r="S44" s="155" t="str">
        <f t="array" ref="S44">IFERROR(XLOOKUP(B44,'ImportaçãoGoogleAds - Adveronix'!$F:$F,'ImportaçãoGoogleAds - Adveronix'!C:C)," ")</f>
        <v> </v>
      </c>
      <c r="T44" s="155" t="str">
        <f t="array" ref="T44">IFERROR(XLOOKUP(B44,'ImportaçãoGoogleAds - Adveronix'!$F:$F,'ImportaçãoGoogleAds - Adveronix'!D:D)," ")</f>
        <v> </v>
      </c>
      <c r="U44" s="155" t="str">
        <f t="array" ref="U44">IFERROR(XLOOKUP(B44,'ImportaçãoGoogleAds - Adveronix'!$F:$F,'ImportaçãoGoogleAds - Adveronix'!E:E)," ")</f>
        <v> </v>
      </c>
      <c r="V44" s="156"/>
      <c r="W44" s="157"/>
      <c r="X44" s="157"/>
      <c r="Y44" s="158"/>
      <c r="Z44" s="158"/>
      <c r="AA44" s="158"/>
      <c r="AB44" s="152" t="str">
        <f t="array" ref="AB44">IFERROR(XLOOKUP(B44,'ImportaçãoMeta - Adveronix'!F:F,'ImportaçãoMeta - Adveronix'!B:B),"")</f>
        <v/>
      </c>
      <c r="AC44" s="154"/>
      <c r="AD44" s="154"/>
      <c r="AE44" s="159" t="str">
        <f t="array" ref="AE44">IFERROR(XLOOKUP(B44,'ImportaçãoMeta - Adveronix'!$F:$F,'ImportaçãoMeta - Adveronix'!C:C),"")</f>
        <v/>
      </c>
      <c r="AF44" s="159" t="str">
        <f t="array" ref="AF44">IFERROR(XLOOKUP(B44,'ImportaçãoMeta - Adveronix'!$F:$F,'ImportaçãoMeta - Adveronix'!D:D),"")</f>
        <v/>
      </c>
      <c r="AG44" s="159" t="str">
        <f t="array" ref="AG44">IFERROR(XLOOKUP(B44,'ImportaçãoMeta - Adveronix'!$F:$F,'ImportaçãoMeta - Adveronix'!E:E),"")</f>
        <v/>
      </c>
      <c r="AH44" s="157"/>
      <c r="AI44" s="157"/>
      <c r="AJ44" s="156"/>
      <c r="AK44" s="160"/>
      <c r="AL44" s="160"/>
    </row>
    <row r="45" ht="15.75" hidden="1" customHeight="1">
      <c r="A45" s="149" t="str">
        <f t="array" ref="A45">XLOOKUP(MONTH(B45),BASE!$F$16:$F$27,BASE!$G$16:$G$27)</f>
        <v>Fevereiro</v>
      </c>
      <c r="B45" s="150">
        <v>46066.0</v>
      </c>
      <c r="C45" s="151"/>
      <c r="D45" s="149" t="str">
        <f t="shared" si="4"/>
        <v>sexta-feira</v>
      </c>
      <c r="E45" s="152">
        <f t="shared" ref="E45:J45" si="89">IFERROR(SUM(P45,AB45)," ")</f>
        <v>0</v>
      </c>
      <c r="F45" s="152">
        <f t="shared" si="89"/>
        <v>0</v>
      </c>
      <c r="G45" s="152">
        <f t="shared" si="89"/>
        <v>0</v>
      </c>
      <c r="H45" s="153">
        <f t="shared" si="89"/>
        <v>0</v>
      </c>
      <c r="I45" s="153">
        <f t="shared" si="89"/>
        <v>0</v>
      </c>
      <c r="J45" s="153">
        <f t="shared" si="89"/>
        <v>0</v>
      </c>
      <c r="K45" s="153">
        <f t="shared" ref="K45:M45" si="90">IFERROR(SUM(W45,AH45)," ")</f>
        <v>0</v>
      </c>
      <c r="L45" s="153">
        <f t="shared" si="90"/>
        <v>0</v>
      </c>
      <c r="M45" s="153">
        <f t="shared" si="90"/>
        <v>0</v>
      </c>
      <c r="N45" s="153"/>
      <c r="O45" s="153"/>
      <c r="P45" s="152" t="str">
        <f t="array" ref="P45">IFERROR(XLOOKUP(B45,'ImportaçãoGoogleAds - Adveronix'!$F:$F,'ImportaçãoGoogleAds - Adveronix'!$B:$B)," ")</f>
        <v> </v>
      </c>
      <c r="Q45" s="154"/>
      <c r="R45" s="154"/>
      <c r="S45" s="155" t="str">
        <f t="array" ref="S45">IFERROR(XLOOKUP(B45,'ImportaçãoGoogleAds - Adveronix'!$F:$F,'ImportaçãoGoogleAds - Adveronix'!C:C)," ")</f>
        <v> </v>
      </c>
      <c r="T45" s="155" t="str">
        <f t="array" ref="T45">IFERROR(XLOOKUP(B45,'ImportaçãoGoogleAds - Adveronix'!$F:$F,'ImportaçãoGoogleAds - Adveronix'!D:D)," ")</f>
        <v> </v>
      </c>
      <c r="U45" s="155" t="str">
        <f t="array" ref="U45">IFERROR(XLOOKUP(B45,'ImportaçãoGoogleAds - Adveronix'!$F:$F,'ImportaçãoGoogleAds - Adveronix'!E:E)," ")</f>
        <v> </v>
      </c>
      <c r="V45" s="156"/>
      <c r="W45" s="157"/>
      <c r="X45" s="157"/>
      <c r="Y45" s="158"/>
      <c r="Z45" s="158"/>
      <c r="AA45" s="158"/>
      <c r="AB45" s="152" t="str">
        <f t="array" ref="AB45">IFERROR(XLOOKUP(B45,'ImportaçãoMeta - Adveronix'!F:F,'ImportaçãoMeta - Adveronix'!B:B),"")</f>
        <v/>
      </c>
      <c r="AC45" s="154"/>
      <c r="AD45" s="154"/>
      <c r="AE45" s="159" t="str">
        <f t="array" ref="AE45">IFERROR(XLOOKUP(B45,'ImportaçãoMeta - Adveronix'!$F:$F,'ImportaçãoMeta - Adveronix'!C:C),"")</f>
        <v/>
      </c>
      <c r="AF45" s="159" t="str">
        <f t="array" ref="AF45">IFERROR(XLOOKUP(B45,'ImportaçãoMeta - Adveronix'!$F:$F,'ImportaçãoMeta - Adveronix'!D:D),"")</f>
        <v/>
      </c>
      <c r="AG45" s="159" t="str">
        <f t="array" ref="AG45">IFERROR(XLOOKUP(B45,'ImportaçãoMeta - Adveronix'!$F:$F,'ImportaçãoMeta - Adveronix'!E:E),"")</f>
        <v/>
      </c>
      <c r="AH45" s="157"/>
      <c r="AI45" s="157"/>
      <c r="AJ45" s="156"/>
      <c r="AK45" s="160"/>
      <c r="AL45" s="160"/>
    </row>
    <row r="46" ht="15.75" hidden="1" customHeight="1">
      <c r="A46" s="149" t="str">
        <f t="array" ref="A46">XLOOKUP(MONTH(B46),BASE!$F$16:$F$27,BASE!$G$16:$G$27)</f>
        <v>Fevereiro</v>
      </c>
      <c r="B46" s="150">
        <v>46067.0</v>
      </c>
      <c r="C46" s="151"/>
      <c r="D46" s="149" t="str">
        <f t="shared" si="4"/>
        <v>sábado</v>
      </c>
      <c r="E46" s="152">
        <f t="shared" ref="E46:J46" si="91">IFERROR(SUM(P46,AB46)," ")</f>
        <v>0</v>
      </c>
      <c r="F46" s="152">
        <f t="shared" si="91"/>
        <v>0</v>
      </c>
      <c r="G46" s="152">
        <f t="shared" si="91"/>
        <v>0</v>
      </c>
      <c r="H46" s="153">
        <f t="shared" si="91"/>
        <v>0</v>
      </c>
      <c r="I46" s="153">
        <f t="shared" si="91"/>
        <v>0</v>
      </c>
      <c r="J46" s="153">
        <f t="shared" si="91"/>
        <v>0</v>
      </c>
      <c r="K46" s="153">
        <f t="shared" ref="K46:M46" si="92">IFERROR(SUM(W46,AH46)," ")</f>
        <v>0</v>
      </c>
      <c r="L46" s="153">
        <f t="shared" si="92"/>
        <v>0</v>
      </c>
      <c r="M46" s="153">
        <f t="shared" si="92"/>
        <v>0</v>
      </c>
      <c r="N46" s="153"/>
      <c r="O46" s="153"/>
      <c r="P46" s="152" t="str">
        <f t="array" ref="P46">IFERROR(XLOOKUP(B46,'ImportaçãoGoogleAds - Adveronix'!$F:$F,'ImportaçãoGoogleAds - Adveronix'!$B:$B)," ")</f>
        <v> </v>
      </c>
      <c r="Q46" s="154"/>
      <c r="R46" s="154"/>
      <c r="S46" s="155" t="str">
        <f t="array" ref="S46">IFERROR(XLOOKUP(B46,'ImportaçãoGoogleAds - Adveronix'!$F:$F,'ImportaçãoGoogleAds - Adveronix'!C:C)," ")</f>
        <v> </v>
      </c>
      <c r="T46" s="155" t="str">
        <f t="array" ref="T46">IFERROR(XLOOKUP(B46,'ImportaçãoGoogleAds - Adveronix'!$F:$F,'ImportaçãoGoogleAds - Adveronix'!D:D)," ")</f>
        <v> </v>
      </c>
      <c r="U46" s="155" t="str">
        <f t="array" ref="U46">IFERROR(XLOOKUP(B46,'ImportaçãoGoogleAds - Adveronix'!$F:$F,'ImportaçãoGoogleAds - Adveronix'!E:E)," ")</f>
        <v> </v>
      </c>
      <c r="V46" s="156"/>
      <c r="W46" s="157"/>
      <c r="X46" s="157"/>
      <c r="Y46" s="158"/>
      <c r="Z46" s="158"/>
      <c r="AA46" s="158"/>
      <c r="AB46" s="152" t="str">
        <f t="array" ref="AB46">IFERROR(XLOOKUP(B46,'ImportaçãoMeta - Adveronix'!F:F,'ImportaçãoMeta - Adveronix'!B:B),"")</f>
        <v/>
      </c>
      <c r="AC46" s="154"/>
      <c r="AD46" s="154"/>
      <c r="AE46" s="159" t="str">
        <f t="array" ref="AE46">IFERROR(XLOOKUP(B46,'ImportaçãoMeta - Adveronix'!$F:$F,'ImportaçãoMeta - Adveronix'!C:C),"")</f>
        <v/>
      </c>
      <c r="AF46" s="159" t="str">
        <f t="array" ref="AF46">IFERROR(XLOOKUP(B46,'ImportaçãoMeta - Adveronix'!$F:$F,'ImportaçãoMeta - Adveronix'!D:D),"")</f>
        <v/>
      </c>
      <c r="AG46" s="159" t="str">
        <f t="array" ref="AG46">IFERROR(XLOOKUP(B46,'ImportaçãoMeta - Adveronix'!$F:$F,'ImportaçãoMeta - Adveronix'!E:E),"")</f>
        <v/>
      </c>
      <c r="AH46" s="157"/>
      <c r="AI46" s="157"/>
      <c r="AJ46" s="156"/>
      <c r="AK46" s="160"/>
      <c r="AL46" s="160"/>
    </row>
    <row r="47" ht="15.75" hidden="1" customHeight="1">
      <c r="A47" s="149" t="str">
        <f t="array" ref="A47">XLOOKUP(MONTH(B47),BASE!$F$16:$F$27,BASE!$G$16:$G$27)</f>
        <v>Fevereiro</v>
      </c>
      <c r="B47" s="150">
        <v>46068.0</v>
      </c>
      <c r="C47" s="151"/>
      <c r="D47" s="149" t="str">
        <f t="shared" si="4"/>
        <v>domingo</v>
      </c>
      <c r="E47" s="152">
        <f t="shared" ref="E47:J47" si="93">IFERROR(SUM(P47,AB47)," ")</f>
        <v>0</v>
      </c>
      <c r="F47" s="152">
        <f t="shared" si="93"/>
        <v>0</v>
      </c>
      <c r="G47" s="152">
        <f t="shared" si="93"/>
        <v>0</v>
      </c>
      <c r="H47" s="153">
        <f t="shared" si="93"/>
        <v>0</v>
      </c>
      <c r="I47" s="153">
        <f t="shared" si="93"/>
        <v>0</v>
      </c>
      <c r="J47" s="153">
        <f t="shared" si="93"/>
        <v>0</v>
      </c>
      <c r="K47" s="153">
        <f t="shared" ref="K47:M47" si="94">IFERROR(SUM(W47,AH47)," ")</f>
        <v>0</v>
      </c>
      <c r="L47" s="153">
        <f t="shared" si="94"/>
        <v>0</v>
      </c>
      <c r="M47" s="153">
        <f t="shared" si="94"/>
        <v>0</v>
      </c>
      <c r="N47" s="153"/>
      <c r="O47" s="153"/>
      <c r="P47" s="152" t="str">
        <f t="array" ref="P47">IFERROR(XLOOKUP(B47,'ImportaçãoGoogleAds - Adveronix'!$F:$F,'ImportaçãoGoogleAds - Adveronix'!$B:$B)," ")</f>
        <v> </v>
      </c>
      <c r="Q47" s="154"/>
      <c r="R47" s="154"/>
      <c r="S47" s="155" t="str">
        <f t="array" ref="S47">IFERROR(XLOOKUP(B47,'ImportaçãoGoogleAds - Adveronix'!$F:$F,'ImportaçãoGoogleAds - Adveronix'!C:C)," ")</f>
        <v> </v>
      </c>
      <c r="T47" s="155" t="str">
        <f t="array" ref="T47">IFERROR(XLOOKUP(B47,'ImportaçãoGoogleAds - Adveronix'!$F:$F,'ImportaçãoGoogleAds - Adveronix'!D:D)," ")</f>
        <v> </v>
      </c>
      <c r="U47" s="155" t="str">
        <f t="array" ref="U47">IFERROR(XLOOKUP(B47,'ImportaçãoGoogleAds - Adveronix'!$F:$F,'ImportaçãoGoogleAds - Adveronix'!E:E)," ")</f>
        <v> </v>
      </c>
      <c r="V47" s="156"/>
      <c r="W47" s="157"/>
      <c r="X47" s="157"/>
      <c r="Y47" s="158"/>
      <c r="Z47" s="158"/>
      <c r="AA47" s="158"/>
      <c r="AB47" s="152" t="str">
        <f t="array" ref="AB47">IFERROR(XLOOKUP(B47,'ImportaçãoMeta - Adveronix'!F:F,'ImportaçãoMeta - Adveronix'!B:B),"")</f>
        <v/>
      </c>
      <c r="AC47" s="154"/>
      <c r="AD47" s="154"/>
      <c r="AE47" s="159" t="str">
        <f t="array" ref="AE47">IFERROR(XLOOKUP(B47,'ImportaçãoMeta - Adveronix'!$F:$F,'ImportaçãoMeta - Adveronix'!C:C),"")</f>
        <v/>
      </c>
      <c r="AF47" s="159" t="str">
        <f t="array" ref="AF47">IFERROR(XLOOKUP(B47,'ImportaçãoMeta - Adveronix'!$F:$F,'ImportaçãoMeta - Adveronix'!D:D),"")</f>
        <v/>
      </c>
      <c r="AG47" s="159" t="str">
        <f t="array" ref="AG47">IFERROR(XLOOKUP(B47,'ImportaçãoMeta - Adveronix'!$F:$F,'ImportaçãoMeta - Adveronix'!E:E),"")</f>
        <v/>
      </c>
      <c r="AH47" s="157"/>
      <c r="AI47" s="157"/>
      <c r="AJ47" s="156"/>
      <c r="AK47" s="160"/>
      <c r="AL47" s="160"/>
    </row>
    <row r="48" ht="15.75" hidden="1" customHeight="1">
      <c r="A48" s="149" t="str">
        <f t="array" ref="A48">XLOOKUP(MONTH(B48),BASE!$F$16:$F$27,BASE!$G$16:$G$27)</f>
        <v>Fevereiro</v>
      </c>
      <c r="B48" s="150">
        <v>46069.0</v>
      </c>
      <c r="C48" s="151"/>
      <c r="D48" s="149" t="str">
        <f t="shared" si="4"/>
        <v>segunda-feira</v>
      </c>
      <c r="E48" s="152">
        <f t="shared" ref="E48:J48" si="95">IFERROR(SUM(P48,AB48)," ")</f>
        <v>0</v>
      </c>
      <c r="F48" s="152">
        <f t="shared" si="95"/>
        <v>0</v>
      </c>
      <c r="G48" s="152">
        <f t="shared" si="95"/>
        <v>0</v>
      </c>
      <c r="H48" s="153">
        <f t="shared" si="95"/>
        <v>0</v>
      </c>
      <c r="I48" s="153">
        <f t="shared" si="95"/>
        <v>0</v>
      </c>
      <c r="J48" s="153">
        <f t="shared" si="95"/>
        <v>0</v>
      </c>
      <c r="K48" s="153">
        <f t="shared" ref="K48:M48" si="96">IFERROR(SUM(W48,AH48)," ")</f>
        <v>0</v>
      </c>
      <c r="L48" s="153">
        <f t="shared" si="96"/>
        <v>0</v>
      </c>
      <c r="M48" s="153">
        <f t="shared" si="96"/>
        <v>0</v>
      </c>
      <c r="N48" s="153"/>
      <c r="O48" s="153"/>
      <c r="P48" s="152" t="str">
        <f t="array" ref="P48">IFERROR(XLOOKUP(B48,'ImportaçãoGoogleAds - Adveronix'!$F:$F,'ImportaçãoGoogleAds - Adveronix'!$B:$B)," ")</f>
        <v> </v>
      </c>
      <c r="Q48" s="154"/>
      <c r="R48" s="154"/>
      <c r="S48" s="155" t="str">
        <f t="array" ref="S48">IFERROR(XLOOKUP(B48,'ImportaçãoGoogleAds - Adveronix'!$F:$F,'ImportaçãoGoogleAds - Adveronix'!C:C)," ")</f>
        <v> </v>
      </c>
      <c r="T48" s="155" t="str">
        <f t="array" ref="T48">IFERROR(XLOOKUP(B48,'ImportaçãoGoogleAds - Adveronix'!$F:$F,'ImportaçãoGoogleAds - Adveronix'!D:D)," ")</f>
        <v> </v>
      </c>
      <c r="U48" s="155" t="str">
        <f t="array" ref="U48">IFERROR(XLOOKUP(B48,'ImportaçãoGoogleAds - Adveronix'!$F:$F,'ImportaçãoGoogleAds - Adveronix'!E:E)," ")</f>
        <v> </v>
      </c>
      <c r="V48" s="156"/>
      <c r="W48" s="157"/>
      <c r="X48" s="157"/>
      <c r="Y48" s="158"/>
      <c r="Z48" s="158"/>
      <c r="AA48" s="158"/>
      <c r="AB48" s="152" t="str">
        <f t="array" ref="AB48">IFERROR(XLOOKUP(B48,'ImportaçãoMeta - Adveronix'!F:F,'ImportaçãoMeta - Adveronix'!B:B),"")</f>
        <v/>
      </c>
      <c r="AC48" s="154"/>
      <c r="AD48" s="154"/>
      <c r="AE48" s="159" t="str">
        <f t="array" ref="AE48">IFERROR(XLOOKUP(B48,'ImportaçãoMeta - Adveronix'!$F:$F,'ImportaçãoMeta - Adveronix'!C:C),"")</f>
        <v/>
      </c>
      <c r="AF48" s="159" t="str">
        <f t="array" ref="AF48">IFERROR(XLOOKUP(B48,'ImportaçãoMeta - Adveronix'!$F:$F,'ImportaçãoMeta - Adveronix'!D:D),"")</f>
        <v/>
      </c>
      <c r="AG48" s="159" t="str">
        <f t="array" ref="AG48">IFERROR(XLOOKUP(B48,'ImportaçãoMeta - Adveronix'!$F:$F,'ImportaçãoMeta - Adveronix'!E:E),"")</f>
        <v/>
      </c>
      <c r="AH48" s="157"/>
      <c r="AI48" s="157"/>
      <c r="AJ48" s="156"/>
      <c r="AK48" s="160"/>
      <c r="AL48" s="160"/>
    </row>
    <row r="49" ht="15.75" hidden="1" customHeight="1">
      <c r="A49" s="149" t="str">
        <f t="array" ref="A49">XLOOKUP(MONTH(B49),BASE!$F$16:$F$27,BASE!$G$16:$G$27)</f>
        <v>Fevereiro</v>
      </c>
      <c r="B49" s="150">
        <v>46070.0</v>
      </c>
      <c r="C49" s="151"/>
      <c r="D49" s="149" t="str">
        <f t="shared" si="4"/>
        <v>terça-feira</v>
      </c>
      <c r="E49" s="152">
        <f t="shared" ref="E49:J49" si="97">IFERROR(SUM(P49,AB49)," ")</f>
        <v>0</v>
      </c>
      <c r="F49" s="152">
        <f t="shared" si="97"/>
        <v>0</v>
      </c>
      <c r="G49" s="152">
        <f t="shared" si="97"/>
        <v>0</v>
      </c>
      <c r="H49" s="153">
        <f t="shared" si="97"/>
        <v>0</v>
      </c>
      <c r="I49" s="153">
        <f t="shared" si="97"/>
        <v>0</v>
      </c>
      <c r="J49" s="153">
        <f t="shared" si="97"/>
        <v>0</v>
      </c>
      <c r="K49" s="153">
        <f t="shared" ref="K49:M49" si="98">IFERROR(SUM(W49,AH49)," ")</f>
        <v>0</v>
      </c>
      <c r="L49" s="153">
        <f t="shared" si="98"/>
        <v>0</v>
      </c>
      <c r="M49" s="153">
        <f t="shared" si="98"/>
        <v>0</v>
      </c>
      <c r="N49" s="153"/>
      <c r="O49" s="153"/>
      <c r="P49" s="152" t="str">
        <f t="array" ref="P49">IFERROR(XLOOKUP(B49,'ImportaçãoGoogleAds - Adveronix'!$F:$F,'ImportaçãoGoogleAds - Adveronix'!$B:$B)," ")</f>
        <v> </v>
      </c>
      <c r="Q49" s="154"/>
      <c r="R49" s="154"/>
      <c r="S49" s="155" t="str">
        <f t="array" ref="S49">IFERROR(XLOOKUP(B49,'ImportaçãoGoogleAds - Adveronix'!$F:$F,'ImportaçãoGoogleAds - Adveronix'!C:C)," ")</f>
        <v> </v>
      </c>
      <c r="T49" s="155" t="str">
        <f t="array" ref="T49">IFERROR(XLOOKUP(B49,'ImportaçãoGoogleAds - Adveronix'!$F:$F,'ImportaçãoGoogleAds - Adveronix'!D:D)," ")</f>
        <v> </v>
      </c>
      <c r="U49" s="155" t="str">
        <f t="array" ref="U49">IFERROR(XLOOKUP(B49,'ImportaçãoGoogleAds - Adveronix'!$F:$F,'ImportaçãoGoogleAds - Adveronix'!E:E)," ")</f>
        <v> </v>
      </c>
      <c r="V49" s="156"/>
      <c r="W49" s="157"/>
      <c r="X49" s="157"/>
      <c r="Y49" s="158"/>
      <c r="Z49" s="158"/>
      <c r="AA49" s="158"/>
      <c r="AB49" s="152" t="str">
        <f t="array" ref="AB49">IFERROR(XLOOKUP(B49,'ImportaçãoMeta - Adveronix'!F:F,'ImportaçãoMeta - Adveronix'!B:B),"")</f>
        <v/>
      </c>
      <c r="AC49" s="154"/>
      <c r="AD49" s="154"/>
      <c r="AE49" s="159" t="str">
        <f t="array" ref="AE49">IFERROR(XLOOKUP(B49,'ImportaçãoMeta - Adveronix'!$F:$F,'ImportaçãoMeta - Adveronix'!C:C),"")</f>
        <v/>
      </c>
      <c r="AF49" s="159" t="str">
        <f t="array" ref="AF49">IFERROR(XLOOKUP(B49,'ImportaçãoMeta - Adveronix'!$F:$F,'ImportaçãoMeta - Adveronix'!D:D),"")</f>
        <v/>
      </c>
      <c r="AG49" s="159" t="str">
        <f t="array" ref="AG49">IFERROR(XLOOKUP(B49,'ImportaçãoMeta - Adveronix'!$F:$F,'ImportaçãoMeta - Adveronix'!E:E),"")</f>
        <v/>
      </c>
      <c r="AH49" s="157"/>
      <c r="AI49" s="157"/>
      <c r="AJ49" s="156"/>
      <c r="AK49" s="160"/>
      <c r="AL49" s="160"/>
    </row>
    <row r="50" ht="15.75" hidden="1" customHeight="1">
      <c r="A50" s="149" t="str">
        <f t="array" ref="A50">XLOOKUP(MONTH(B50),BASE!$F$16:$F$27,BASE!$G$16:$G$27)</f>
        <v>Fevereiro</v>
      </c>
      <c r="B50" s="150">
        <v>46071.0</v>
      </c>
      <c r="C50" s="151"/>
      <c r="D50" s="149" t="str">
        <f t="shared" si="4"/>
        <v>quarta-feira</v>
      </c>
      <c r="E50" s="152">
        <f t="shared" ref="E50:J50" si="99">IFERROR(SUM(P50,AB50)," ")</f>
        <v>0</v>
      </c>
      <c r="F50" s="152">
        <f t="shared" si="99"/>
        <v>0</v>
      </c>
      <c r="G50" s="152">
        <f t="shared" si="99"/>
        <v>0</v>
      </c>
      <c r="H50" s="153">
        <f t="shared" si="99"/>
        <v>0</v>
      </c>
      <c r="I50" s="153">
        <f t="shared" si="99"/>
        <v>0</v>
      </c>
      <c r="J50" s="153">
        <f t="shared" si="99"/>
        <v>0</v>
      </c>
      <c r="K50" s="153">
        <f t="shared" ref="K50:M50" si="100">IFERROR(SUM(W50,AH50)," ")</f>
        <v>0</v>
      </c>
      <c r="L50" s="153">
        <f t="shared" si="100"/>
        <v>0</v>
      </c>
      <c r="M50" s="153">
        <f t="shared" si="100"/>
        <v>0</v>
      </c>
      <c r="N50" s="153"/>
      <c r="O50" s="153"/>
      <c r="P50" s="152" t="str">
        <f t="array" ref="P50">IFERROR(XLOOKUP(B50,'ImportaçãoGoogleAds - Adveronix'!$F:$F,'ImportaçãoGoogleAds - Adveronix'!$B:$B)," ")</f>
        <v> </v>
      </c>
      <c r="Q50" s="154"/>
      <c r="R50" s="154"/>
      <c r="S50" s="155" t="str">
        <f t="array" ref="S50">IFERROR(XLOOKUP(B50,'ImportaçãoGoogleAds - Adveronix'!$F:$F,'ImportaçãoGoogleAds - Adveronix'!C:C)," ")</f>
        <v> </v>
      </c>
      <c r="T50" s="155" t="str">
        <f t="array" ref="T50">IFERROR(XLOOKUP(B50,'ImportaçãoGoogleAds - Adveronix'!$F:$F,'ImportaçãoGoogleAds - Adveronix'!D:D)," ")</f>
        <v> </v>
      </c>
      <c r="U50" s="155" t="str">
        <f t="array" ref="U50">IFERROR(XLOOKUP(B50,'ImportaçãoGoogleAds - Adveronix'!$F:$F,'ImportaçãoGoogleAds - Adveronix'!E:E)," ")</f>
        <v> </v>
      </c>
      <c r="V50" s="156"/>
      <c r="W50" s="157"/>
      <c r="X50" s="157"/>
      <c r="Y50" s="158"/>
      <c r="Z50" s="158"/>
      <c r="AA50" s="158"/>
      <c r="AB50" s="152" t="str">
        <f t="array" ref="AB50">IFERROR(XLOOKUP(B50,'ImportaçãoMeta - Adveronix'!F:F,'ImportaçãoMeta - Adveronix'!B:B),"")</f>
        <v/>
      </c>
      <c r="AC50" s="154"/>
      <c r="AD50" s="154"/>
      <c r="AE50" s="159" t="str">
        <f t="array" ref="AE50">IFERROR(XLOOKUP(B50,'ImportaçãoMeta - Adveronix'!$F:$F,'ImportaçãoMeta - Adveronix'!C:C),"")</f>
        <v/>
      </c>
      <c r="AF50" s="159" t="str">
        <f t="array" ref="AF50">IFERROR(XLOOKUP(B50,'ImportaçãoMeta - Adveronix'!$F:$F,'ImportaçãoMeta - Adveronix'!D:D),"")</f>
        <v/>
      </c>
      <c r="AG50" s="159" t="str">
        <f t="array" ref="AG50">IFERROR(XLOOKUP(B50,'ImportaçãoMeta - Adveronix'!$F:$F,'ImportaçãoMeta - Adveronix'!E:E),"")</f>
        <v/>
      </c>
      <c r="AH50" s="157"/>
      <c r="AI50" s="157"/>
      <c r="AJ50" s="156"/>
      <c r="AK50" s="160"/>
      <c r="AL50" s="160"/>
    </row>
    <row r="51" ht="15.75" hidden="1" customHeight="1">
      <c r="A51" s="149" t="str">
        <f t="array" ref="A51">XLOOKUP(MONTH(B51),BASE!$F$16:$F$27,BASE!$G$16:$G$27)</f>
        <v>Fevereiro</v>
      </c>
      <c r="B51" s="150">
        <v>46072.0</v>
      </c>
      <c r="C51" s="151"/>
      <c r="D51" s="149" t="str">
        <f t="shared" si="4"/>
        <v>quinta-feira</v>
      </c>
      <c r="E51" s="152">
        <f t="shared" ref="E51:J51" si="101">IFERROR(SUM(P51,AB51)," ")</f>
        <v>0</v>
      </c>
      <c r="F51" s="152">
        <f t="shared" si="101"/>
        <v>0</v>
      </c>
      <c r="G51" s="152">
        <f t="shared" si="101"/>
        <v>0</v>
      </c>
      <c r="H51" s="153">
        <f t="shared" si="101"/>
        <v>0</v>
      </c>
      <c r="I51" s="153">
        <f t="shared" si="101"/>
        <v>0</v>
      </c>
      <c r="J51" s="153">
        <f t="shared" si="101"/>
        <v>0</v>
      </c>
      <c r="K51" s="153">
        <f t="shared" ref="K51:M51" si="102">IFERROR(SUM(W51,AH51)," ")</f>
        <v>0</v>
      </c>
      <c r="L51" s="153">
        <f t="shared" si="102"/>
        <v>0</v>
      </c>
      <c r="M51" s="153">
        <f t="shared" si="102"/>
        <v>0</v>
      </c>
      <c r="N51" s="153"/>
      <c r="O51" s="153"/>
      <c r="P51" s="152" t="str">
        <f t="array" ref="P51">IFERROR(XLOOKUP(B51,'ImportaçãoGoogleAds - Adveronix'!$F:$F,'ImportaçãoGoogleAds - Adveronix'!$B:$B)," ")</f>
        <v> </v>
      </c>
      <c r="Q51" s="154"/>
      <c r="R51" s="154"/>
      <c r="S51" s="155" t="str">
        <f t="array" ref="S51">IFERROR(XLOOKUP(B51,'ImportaçãoGoogleAds - Adveronix'!$F:$F,'ImportaçãoGoogleAds - Adveronix'!C:C)," ")</f>
        <v> </v>
      </c>
      <c r="T51" s="155" t="str">
        <f t="array" ref="T51">IFERROR(XLOOKUP(B51,'ImportaçãoGoogleAds - Adveronix'!$F:$F,'ImportaçãoGoogleAds - Adveronix'!D:D)," ")</f>
        <v> </v>
      </c>
      <c r="U51" s="155" t="str">
        <f t="array" ref="U51">IFERROR(XLOOKUP(B51,'ImportaçãoGoogleAds - Adveronix'!$F:$F,'ImportaçãoGoogleAds - Adveronix'!E:E)," ")</f>
        <v> </v>
      </c>
      <c r="V51" s="156"/>
      <c r="W51" s="157"/>
      <c r="X51" s="157"/>
      <c r="Y51" s="158"/>
      <c r="Z51" s="158"/>
      <c r="AA51" s="158"/>
      <c r="AB51" s="152" t="str">
        <f t="array" ref="AB51">IFERROR(XLOOKUP(B51,'ImportaçãoMeta - Adveronix'!F:F,'ImportaçãoMeta - Adveronix'!B:B),"")</f>
        <v/>
      </c>
      <c r="AC51" s="154"/>
      <c r="AD51" s="154"/>
      <c r="AE51" s="159" t="str">
        <f t="array" ref="AE51">IFERROR(XLOOKUP(B51,'ImportaçãoMeta - Adveronix'!$F:$F,'ImportaçãoMeta - Adveronix'!C:C),"")</f>
        <v/>
      </c>
      <c r="AF51" s="159" t="str">
        <f t="array" ref="AF51">IFERROR(XLOOKUP(B51,'ImportaçãoMeta - Adveronix'!$F:$F,'ImportaçãoMeta - Adveronix'!D:D),"")</f>
        <v/>
      </c>
      <c r="AG51" s="159" t="str">
        <f t="array" ref="AG51">IFERROR(XLOOKUP(B51,'ImportaçãoMeta - Adveronix'!$F:$F,'ImportaçãoMeta - Adveronix'!E:E),"")</f>
        <v/>
      </c>
      <c r="AH51" s="157"/>
      <c r="AI51" s="157"/>
      <c r="AJ51" s="156"/>
      <c r="AK51" s="160"/>
      <c r="AL51" s="160"/>
    </row>
    <row r="52" ht="15.75" hidden="1" customHeight="1">
      <c r="A52" s="149" t="str">
        <f t="array" ref="A52">XLOOKUP(MONTH(B52),BASE!$F$16:$F$27,BASE!$G$16:$G$27)</f>
        <v>Fevereiro</v>
      </c>
      <c r="B52" s="150">
        <v>46073.0</v>
      </c>
      <c r="C52" s="151"/>
      <c r="D52" s="149" t="str">
        <f t="shared" si="4"/>
        <v>sexta-feira</v>
      </c>
      <c r="E52" s="152">
        <f t="shared" ref="E52:J52" si="103">IFERROR(SUM(P52,AB52)," ")</f>
        <v>0</v>
      </c>
      <c r="F52" s="152">
        <f t="shared" si="103"/>
        <v>0</v>
      </c>
      <c r="G52" s="152">
        <f t="shared" si="103"/>
        <v>0</v>
      </c>
      <c r="H52" s="153">
        <f t="shared" si="103"/>
        <v>0</v>
      </c>
      <c r="I52" s="153">
        <f t="shared" si="103"/>
        <v>0</v>
      </c>
      <c r="J52" s="153">
        <f t="shared" si="103"/>
        <v>0</v>
      </c>
      <c r="K52" s="153">
        <f t="shared" ref="K52:M52" si="104">IFERROR(SUM(W52,AH52)," ")</f>
        <v>0</v>
      </c>
      <c r="L52" s="153">
        <f t="shared" si="104"/>
        <v>0</v>
      </c>
      <c r="M52" s="153">
        <f t="shared" si="104"/>
        <v>0</v>
      </c>
      <c r="N52" s="153"/>
      <c r="O52" s="153"/>
      <c r="P52" s="152" t="str">
        <f t="array" ref="P52">IFERROR(XLOOKUP(B52,'ImportaçãoGoogleAds - Adveronix'!$F:$F,'ImportaçãoGoogleAds - Adveronix'!$B:$B)," ")</f>
        <v> </v>
      </c>
      <c r="Q52" s="154"/>
      <c r="R52" s="154"/>
      <c r="S52" s="155" t="str">
        <f t="array" ref="S52">IFERROR(XLOOKUP(B52,'ImportaçãoGoogleAds - Adveronix'!$F:$F,'ImportaçãoGoogleAds - Adveronix'!C:C)," ")</f>
        <v> </v>
      </c>
      <c r="T52" s="155" t="str">
        <f t="array" ref="T52">IFERROR(XLOOKUP(B52,'ImportaçãoGoogleAds - Adveronix'!$F:$F,'ImportaçãoGoogleAds - Adveronix'!D:D)," ")</f>
        <v> </v>
      </c>
      <c r="U52" s="155" t="str">
        <f t="array" ref="U52">IFERROR(XLOOKUP(B52,'ImportaçãoGoogleAds - Adveronix'!$F:$F,'ImportaçãoGoogleAds - Adveronix'!E:E)," ")</f>
        <v> </v>
      </c>
      <c r="V52" s="156"/>
      <c r="W52" s="157"/>
      <c r="X52" s="157"/>
      <c r="Y52" s="158"/>
      <c r="Z52" s="158"/>
      <c r="AA52" s="158"/>
      <c r="AB52" s="152" t="str">
        <f t="array" ref="AB52">IFERROR(XLOOKUP(B52,'ImportaçãoMeta - Adveronix'!F:F,'ImportaçãoMeta - Adveronix'!B:B),"")</f>
        <v/>
      </c>
      <c r="AC52" s="154"/>
      <c r="AD52" s="154"/>
      <c r="AE52" s="159" t="str">
        <f t="array" ref="AE52">IFERROR(XLOOKUP(B52,'ImportaçãoMeta - Adveronix'!$F:$F,'ImportaçãoMeta - Adveronix'!C:C),"")</f>
        <v/>
      </c>
      <c r="AF52" s="159" t="str">
        <f t="array" ref="AF52">IFERROR(XLOOKUP(B52,'ImportaçãoMeta - Adveronix'!$F:$F,'ImportaçãoMeta - Adveronix'!D:D),"")</f>
        <v/>
      </c>
      <c r="AG52" s="159" t="str">
        <f t="array" ref="AG52">IFERROR(XLOOKUP(B52,'ImportaçãoMeta - Adveronix'!$F:$F,'ImportaçãoMeta - Adveronix'!E:E),"")</f>
        <v/>
      </c>
      <c r="AH52" s="157"/>
      <c r="AI52" s="157"/>
      <c r="AJ52" s="156"/>
      <c r="AK52" s="160"/>
      <c r="AL52" s="160"/>
    </row>
    <row r="53" ht="15.75" hidden="1" customHeight="1">
      <c r="A53" s="149" t="str">
        <f t="array" ref="A53">XLOOKUP(MONTH(B53),BASE!$F$16:$F$27,BASE!$G$16:$G$27)</f>
        <v>Fevereiro</v>
      </c>
      <c r="B53" s="150">
        <v>46074.0</v>
      </c>
      <c r="C53" s="151"/>
      <c r="D53" s="149" t="str">
        <f t="shared" si="4"/>
        <v>sábado</v>
      </c>
      <c r="E53" s="152">
        <f t="shared" ref="E53:J53" si="105">IFERROR(SUM(P53,AB53)," ")</f>
        <v>0</v>
      </c>
      <c r="F53" s="152">
        <f t="shared" si="105"/>
        <v>0</v>
      </c>
      <c r="G53" s="152">
        <f t="shared" si="105"/>
        <v>0</v>
      </c>
      <c r="H53" s="153">
        <f t="shared" si="105"/>
        <v>0</v>
      </c>
      <c r="I53" s="153">
        <f t="shared" si="105"/>
        <v>0</v>
      </c>
      <c r="J53" s="153">
        <f t="shared" si="105"/>
        <v>0</v>
      </c>
      <c r="K53" s="153">
        <f t="shared" ref="K53:M53" si="106">IFERROR(SUM(W53,AH53)," ")</f>
        <v>0</v>
      </c>
      <c r="L53" s="153">
        <f t="shared" si="106"/>
        <v>0</v>
      </c>
      <c r="M53" s="153">
        <f t="shared" si="106"/>
        <v>0</v>
      </c>
      <c r="N53" s="153"/>
      <c r="O53" s="153"/>
      <c r="P53" s="152" t="str">
        <f t="array" ref="P53">IFERROR(XLOOKUP(B53,'ImportaçãoGoogleAds - Adveronix'!$F:$F,'ImportaçãoGoogleAds - Adveronix'!$B:$B)," ")</f>
        <v> </v>
      </c>
      <c r="Q53" s="154"/>
      <c r="R53" s="154"/>
      <c r="S53" s="155" t="str">
        <f t="array" ref="S53">IFERROR(XLOOKUP(B53,'ImportaçãoGoogleAds - Adveronix'!$F:$F,'ImportaçãoGoogleAds - Adveronix'!C:C)," ")</f>
        <v> </v>
      </c>
      <c r="T53" s="155" t="str">
        <f t="array" ref="T53">IFERROR(XLOOKUP(B53,'ImportaçãoGoogleAds - Adveronix'!$F:$F,'ImportaçãoGoogleAds - Adveronix'!D:D)," ")</f>
        <v> </v>
      </c>
      <c r="U53" s="155" t="str">
        <f t="array" ref="U53">IFERROR(XLOOKUP(B53,'ImportaçãoGoogleAds - Adveronix'!$F:$F,'ImportaçãoGoogleAds - Adveronix'!E:E)," ")</f>
        <v> </v>
      </c>
      <c r="V53" s="156"/>
      <c r="W53" s="157"/>
      <c r="X53" s="157"/>
      <c r="Y53" s="158"/>
      <c r="Z53" s="158"/>
      <c r="AA53" s="158"/>
      <c r="AB53" s="152" t="str">
        <f t="array" ref="AB53">IFERROR(XLOOKUP(B53,'ImportaçãoMeta - Adveronix'!F:F,'ImportaçãoMeta - Adveronix'!B:B),"")</f>
        <v/>
      </c>
      <c r="AC53" s="154"/>
      <c r="AD53" s="154"/>
      <c r="AE53" s="159" t="str">
        <f t="array" ref="AE53">IFERROR(XLOOKUP(B53,'ImportaçãoMeta - Adveronix'!$F:$F,'ImportaçãoMeta - Adveronix'!C:C),"")</f>
        <v/>
      </c>
      <c r="AF53" s="159" t="str">
        <f t="array" ref="AF53">IFERROR(XLOOKUP(B53,'ImportaçãoMeta - Adveronix'!$F:$F,'ImportaçãoMeta - Adveronix'!D:D),"")</f>
        <v/>
      </c>
      <c r="AG53" s="159" t="str">
        <f t="array" ref="AG53">IFERROR(XLOOKUP(B53,'ImportaçãoMeta - Adveronix'!$F:$F,'ImportaçãoMeta - Adveronix'!E:E),"")</f>
        <v/>
      </c>
      <c r="AH53" s="157"/>
      <c r="AI53" s="157"/>
      <c r="AJ53" s="156"/>
      <c r="AK53" s="160"/>
      <c r="AL53" s="160"/>
    </row>
    <row r="54" ht="15.75" hidden="1" customHeight="1">
      <c r="A54" s="149" t="str">
        <f t="array" ref="A54">XLOOKUP(MONTH(B54),BASE!$F$16:$F$27,BASE!$G$16:$G$27)</f>
        <v>Fevereiro</v>
      </c>
      <c r="B54" s="150">
        <v>46075.0</v>
      </c>
      <c r="C54" s="151"/>
      <c r="D54" s="149" t="str">
        <f t="shared" si="4"/>
        <v>domingo</v>
      </c>
      <c r="E54" s="152">
        <f t="shared" ref="E54:J54" si="107">IFERROR(SUM(P54,AB54)," ")</f>
        <v>0</v>
      </c>
      <c r="F54" s="152">
        <f t="shared" si="107"/>
        <v>0</v>
      </c>
      <c r="G54" s="152">
        <f t="shared" si="107"/>
        <v>0</v>
      </c>
      <c r="H54" s="153">
        <f t="shared" si="107"/>
        <v>0</v>
      </c>
      <c r="I54" s="153">
        <f t="shared" si="107"/>
        <v>0</v>
      </c>
      <c r="J54" s="153">
        <f t="shared" si="107"/>
        <v>0</v>
      </c>
      <c r="K54" s="153">
        <f t="shared" ref="K54:M54" si="108">IFERROR(SUM(W54,AH54)," ")</f>
        <v>0</v>
      </c>
      <c r="L54" s="153">
        <f t="shared" si="108"/>
        <v>0</v>
      </c>
      <c r="M54" s="153">
        <f t="shared" si="108"/>
        <v>0</v>
      </c>
      <c r="N54" s="153"/>
      <c r="O54" s="153"/>
      <c r="P54" s="152" t="str">
        <f t="array" ref="P54">IFERROR(XLOOKUP(B54,'ImportaçãoGoogleAds - Adveronix'!$F:$F,'ImportaçãoGoogleAds - Adveronix'!$B:$B)," ")</f>
        <v> </v>
      </c>
      <c r="Q54" s="154"/>
      <c r="R54" s="154"/>
      <c r="S54" s="155" t="str">
        <f t="array" ref="S54">IFERROR(XLOOKUP(B54,'ImportaçãoGoogleAds - Adveronix'!$F:$F,'ImportaçãoGoogleAds - Adveronix'!C:C)," ")</f>
        <v> </v>
      </c>
      <c r="T54" s="155" t="str">
        <f t="array" ref="T54">IFERROR(XLOOKUP(B54,'ImportaçãoGoogleAds - Adveronix'!$F:$F,'ImportaçãoGoogleAds - Adveronix'!D:D)," ")</f>
        <v> </v>
      </c>
      <c r="U54" s="155" t="str">
        <f t="array" ref="U54">IFERROR(XLOOKUP(B54,'ImportaçãoGoogleAds - Adveronix'!$F:$F,'ImportaçãoGoogleAds - Adveronix'!E:E)," ")</f>
        <v> </v>
      </c>
      <c r="V54" s="156"/>
      <c r="W54" s="157"/>
      <c r="X54" s="157"/>
      <c r="Y54" s="158"/>
      <c r="Z54" s="158"/>
      <c r="AA54" s="158"/>
      <c r="AB54" s="152" t="str">
        <f t="array" ref="AB54">IFERROR(XLOOKUP(B54,'ImportaçãoMeta - Adveronix'!F:F,'ImportaçãoMeta - Adveronix'!B:B),"")</f>
        <v/>
      </c>
      <c r="AC54" s="154"/>
      <c r="AD54" s="154"/>
      <c r="AE54" s="159" t="str">
        <f t="array" ref="AE54">IFERROR(XLOOKUP(B54,'ImportaçãoMeta - Adveronix'!$F:$F,'ImportaçãoMeta - Adveronix'!C:C),"")</f>
        <v/>
      </c>
      <c r="AF54" s="159" t="str">
        <f t="array" ref="AF54">IFERROR(XLOOKUP(B54,'ImportaçãoMeta - Adveronix'!$F:$F,'ImportaçãoMeta - Adveronix'!D:D),"")</f>
        <v/>
      </c>
      <c r="AG54" s="159" t="str">
        <f t="array" ref="AG54">IFERROR(XLOOKUP(B54,'ImportaçãoMeta - Adveronix'!$F:$F,'ImportaçãoMeta - Adveronix'!E:E),"")</f>
        <v/>
      </c>
      <c r="AH54" s="157"/>
      <c r="AI54" s="157"/>
      <c r="AJ54" s="156"/>
      <c r="AK54" s="160"/>
      <c r="AL54" s="160"/>
    </row>
    <row r="55" ht="15.75" hidden="1" customHeight="1">
      <c r="A55" s="149" t="str">
        <f t="array" ref="A55">XLOOKUP(MONTH(B55),BASE!$F$16:$F$27,BASE!$G$16:$G$27)</f>
        <v>Fevereiro</v>
      </c>
      <c r="B55" s="150">
        <v>46076.0</v>
      </c>
      <c r="C55" s="151"/>
      <c r="D55" s="149" t="str">
        <f t="shared" si="4"/>
        <v>segunda-feira</v>
      </c>
      <c r="E55" s="152">
        <f t="shared" ref="E55:J55" si="109">IFERROR(SUM(P55,AB55)," ")</f>
        <v>0</v>
      </c>
      <c r="F55" s="152">
        <f t="shared" si="109"/>
        <v>0</v>
      </c>
      <c r="G55" s="152">
        <f t="shared" si="109"/>
        <v>0</v>
      </c>
      <c r="H55" s="153">
        <f t="shared" si="109"/>
        <v>0</v>
      </c>
      <c r="I55" s="153">
        <f t="shared" si="109"/>
        <v>0</v>
      </c>
      <c r="J55" s="153">
        <f t="shared" si="109"/>
        <v>0</v>
      </c>
      <c r="K55" s="153">
        <f t="shared" ref="K55:M55" si="110">IFERROR(SUM(W55,AH55)," ")</f>
        <v>0</v>
      </c>
      <c r="L55" s="153">
        <f t="shared" si="110"/>
        <v>0</v>
      </c>
      <c r="M55" s="153">
        <f t="shared" si="110"/>
        <v>0</v>
      </c>
      <c r="N55" s="153"/>
      <c r="O55" s="153"/>
      <c r="P55" s="152" t="str">
        <f t="array" ref="P55">IFERROR(XLOOKUP(B55,'ImportaçãoGoogleAds - Adveronix'!$F:$F,'ImportaçãoGoogleAds - Adveronix'!$B:$B)," ")</f>
        <v> </v>
      </c>
      <c r="Q55" s="154"/>
      <c r="R55" s="154"/>
      <c r="S55" s="155" t="str">
        <f t="array" ref="S55">IFERROR(XLOOKUP(B55,'ImportaçãoGoogleAds - Adveronix'!$F:$F,'ImportaçãoGoogleAds - Adveronix'!C:C)," ")</f>
        <v> </v>
      </c>
      <c r="T55" s="155" t="str">
        <f t="array" ref="T55">IFERROR(XLOOKUP(B55,'ImportaçãoGoogleAds - Adveronix'!$F:$F,'ImportaçãoGoogleAds - Adveronix'!D:D)," ")</f>
        <v> </v>
      </c>
      <c r="U55" s="155" t="str">
        <f t="array" ref="U55">IFERROR(XLOOKUP(B55,'ImportaçãoGoogleAds - Adveronix'!$F:$F,'ImportaçãoGoogleAds - Adveronix'!E:E)," ")</f>
        <v> </v>
      </c>
      <c r="V55" s="156"/>
      <c r="W55" s="157"/>
      <c r="X55" s="157"/>
      <c r="Y55" s="158"/>
      <c r="Z55" s="158"/>
      <c r="AA55" s="158"/>
      <c r="AB55" s="152" t="str">
        <f t="array" ref="AB55">IFERROR(XLOOKUP(B55,'ImportaçãoMeta - Adveronix'!F:F,'ImportaçãoMeta - Adveronix'!B:B),"")</f>
        <v/>
      </c>
      <c r="AC55" s="154"/>
      <c r="AD55" s="154"/>
      <c r="AE55" s="159" t="str">
        <f t="array" ref="AE55">IFERROR(XLOOKUP(B55,'ImportaçãoMeta - Adveronix'!$F:$F,'ImportaçãoMeta - Adveronix'!C:C),"")</f>
        <v/>
      </c>
      <c r="AF55" s="159" t="str">
        <f t="array" ref="AF55">IFERROR(XLOOKUP(B55,'ImportaçãoMeta - Adveronix'!$F:$F,'ImportaçãoMeta - Adveronix'!D:D),"")</f>
        <v/>
      </c>
      <c r="AG55" s="159" t="str">
        <f t="array" ref="AG55">IFERROR(XLOOKUP(B55,'ImportaçãoMeta - Adveronix'!$F:$F,'ImportaçãoMeta - Adveronix'!E:E),"")</f>
        <v/>
      </c>
      <c r="AH55" s="157"/>
      <c r="AI55" s="157"/>
      <c r="AJ55" s="156"/>
      <c r="AK55" s="160"/>
      <c r="AL55" s="160"/>
    </row>
    <row r="56" ht="15.75" hidden="1" customHeight="1">
      <c r="A56" s="149" t="str">
        <f t="array" ref="A56">XLOOKUP(MONTH(B56),BASE!$F$16:$F$27,BASE!$G$16:$G$27)</f>
        <v>Fevereiro</v>
      </c>
      <c r="B56" s="150">
        <v>46077.0</v>
      </c>
      <c r="C56" s="151"/>
      <c r="D56" s="149" t="str">
        <f t="shared" si="4"/>
        <v>terça-feira</v>
      </c>
      <c r="E56" s="152">
        <f t="shared" ref="E56:J56" si="111">IFERROR(SUM(P56,AB56)," ")</f>
        <v>0</v>
      </c>
      <c r="F56" s="152">
        <f t="shared" si="111"/>
        <v>0</v>
      </c>
      <c r="G56" s="152">
        <f t="shared" si="111"/>
        <v>0</v>
      </c>
      <c r="H56" s="153">
        <f t="shared" si="111"/>
        <v>0</v>
      </c>
      <c r="I56" s="153">
        <f t="shared" si="111"/>
        <v>0</v>
      </c>
      <c r="J56" s="153">
        <f t="shared" si="111"/>
        <v>0</v>
      </c>
      <c r="K56" s="153">
        <f t="shared" ref="K56:M56" si="112">IFERROR(SUM(W56,AH56)," ")</f>
        <v>0</v>
      </c>
      <c r="L56" s="153">
        <f t="shared" si="112"/>
        <v>0</v>
      </c>
      <c r="M56" s="153">
        <f t="shared" si="112"/>
        <v>0</v>
      </c>
      <c r="N56" s="153"/>
      <c r="O56" s="153"/>
      <c r="P56" s="152" t="str">
        <f t="array" ref="P56">IFERROR(XLOOKUP(B56,'ImportaçãoGoogleAds - Adveronix'!$F:$F,'ImportaçãoGoogleAds - Adveronix'!$B:$B)," ")</f>
        <v> </v>
      </c>
      <c r="Q56" s="154"/>
      <c r="R56" s="154"/>
      <c r="S56" s="155" t="str">
        <f t="array" ref="S56">IFERROR(XLOOKUP(B56,'ImportaçãoGoogleAds - Adveronix'!$F:$F,'ImportaçãoGoogleAds - Adveronix'!C:C)," ")</f>
        <v> </v>
      </c>
      <c r="T56" s="155" t="str">
        <f t="array" ref="T56">IFERROR(XLOOKUP(B56,'ImportaçãoGoogleAds - Adveronix'!$F:$F,'ImportaçãoGoogleAds - Adveronix'!D:D)," ")</f>
        <v> </v>
      </c>
      <c r="U56" s="155" t="str">
        <f t="array" ref="U56">IFERROR(XLOOKUP(B56,'ImportaçãoGoogleAds - Adveronix'!$F:$F,'ImportaçãoGoogleAds - Adveronix'!E:E)," ")</f>
        <v> </v>
      </c>
      <c r="V56" s="156"/>
      <c r="W56" s="157"/>
      <c r="X56" s="157"/>
      <c r="Y56" s="158"/>
      <c r="Z56" s="158"/>
      <c r="AA56" s="158"/>
      <c r="AB56" s="152" t="str">
        <f t="array" ref="AB56">IFERROR(XLOOKUP(B56,'ImportaçãoMeta - Adveronix'!F:F,'ImportaçãoMeta - Adveronix'!B:B),"")</f>
        <v/>
      </c>
      <c r="AC56" s="154"/>
      <c r="AD56" s="154"/>
      <c r="AE56" s="159" t="str">
        <f t="array" ref="AE56">IFERROR(XLOOKUP(B56,'ImportaçãoMeta - Adveronix'!$F:$F,'ImportaçãoMeta - Adveronix'!C:C),"")</f>
        <v/>
      </c>
      <c r="AF56" s="159" t="str">
        <f t="array" ref="AF56">IFERROR(XLOOKUP(B56,'ImportaçãoMeta - Adveronix'!$F:$F,'ImportaçãoMeta - Adveronix'!D:D),"")</f>
        <v/>
      </c>
      <c r="AG56" s="159" t="str">
        <f t="array" ref="AG56">IFERROR(XLOOKUP(B56,'ImportaçãoMeta - Adveronix'!$F:$F,'ImportaçãoMeta - Adveronix'!E:E),"")</f>
        <v/>
      </c>
      <c r="AH56" s="157"/>
      <c r="AI56" s="157"/>
      <c r="AJ56" s="156"/>
      <c r="AK56" s="160"/>
      <c r="AL56" s="160"/>
    </row>
    <row r="57" ht="15.75" hidden="1" customHeight="1">
      <c r="A57" s="149" t="str">
        <f t="array" ref="A57">XLOOKUP(MONTH(B57),BASE!$F$16:$F$27,BASE!$G$16:$G$27)</f>
        <v>Fevereiro</v>
      </c>
      <c r="B57" s="150">
        <v>46078.0</v>
      </c>
      <c r="C57" s="151"/>
      <c r="D57" s="149" t="str">
        <f t="shared" si="4"/>
        <v>quarta-feira</v>
      </c>
      <c r="E57" s="152">
        <f t="shared" ref="E57:J57" si="113">IFERROR(SUM(P57,AB57)," ")</f>
        <v>0</v>
      </c>
      <c r="F57" s="152">
        <f t="shared" si="113"/>
        <v>0</v>
      </c>
      <c r="G57" s="152">
        <f t="shared" si="113"/>
        <v>0</v>
      </c>
      <c r="H57" s="153">
        <f t="shared" si="113"/>
        <v>0</v>
      </c>
      <c r="I57" s="153">
        <f t="shared" si="113"/>
        <v>0</v>
      </c>
      <c r="J57" s="153">
        <f t="shared" si="113"/>
        <v>0</v>
      </c>
      <c r="K57" s="153">
        <f t="shared" ref="K57:M57" si="114">IFERROR(SUM(W57,AH57)," ")</f>
        <v>0</v>
      </c>
      <c r="L57" s="153">
        <f t="shared" si="114"/>
        <v>0</v>
      </c>
      <c r="M57" s="153">
        <f t="shared" si="114"/>
        <v>0</v>
      </c>
      <c r="N57" s="153"/>
      <c r="O57" s="153"/>
      <c r="P57" s="152" t="str">
        <f t="array" ref="P57">IFERROR(XLOOKUP(B57,'ImportaçãoGoogleAds - Adveronix'!$F:$F,'ImportaçãoGoogleAds - Adveronix'!$B:$B)," ")</f>
        <v> </v>
      </c>
      <c r="Q57" s="154"/>
      <c r="R57" s="154"/>
      <c r="S57" s="155" t="str">
        <f t="array" ref="S57">IFERROR(XLOOKUP(B57,'ImportaçãoGoogleAds - Adveronix'!$F:$F,'ImportaçãoGoogleAds - Adveronix'!C:C)," ")</f>
        <v> </v>
      </c>
      <c r="T57" s="155" t="str">
        <f t="array" ref="T57">IFERROR(XLOOKUP(B57,'ImportaçãoGoogleAds - Adveronix'!$F:$F,'ImportaçãoGoogleAds - Adveronix'!D:D)," ")</f>
        <v> </v>
      </c>
      <c r="U57" s="155" t="str">
        <f t="array" ref="U57">IFERROR(XLOOKUP(B57,'ImportaçãoGoogleAds - Adveronix'!$F:$F,'ImportaçãoGoogleAds - Adveronix'!E:E)," ")</f>
        <v> </v>
      </c>
      <c r="V57" s="156"/>
      <c r="W57" s="157"/>
      <c r="X57" s="157"/>
      <c r="Y57" s="158"/>
      <c r="Z57" s="158"/>
      <c r="AA57" s="158"/>
      <c r="AB57" s="152" t="str">
        <f t="array" ref="AB57">IFERROR(XLOOKUP(B57,'ImportaçãoMeta - Adveronix'!F:F,'ImportaçãoMeta - Adveronix'!B:B),"")</f>
        <v/>
      </c>
      <c r="AC57" s="154"/>
      <c r="AD57" s="154"/>
      <c r="AE57" s="159" t="str">
        <f t="array" ref="AE57">IFERROR(XLOOKUP(B57,'ImportaçãoMeta - Adveronix'!$F:$F,'ImportaçãoMeta - Adveronix'!C:C),"")</f>
        <v/>
      </c>
      <c r="AF57" s="159" t="str">
        <f t="array" ref="AF57">IFERROR(XLOOKUP(B57,'ImportaçãoMeta - Adveronix'!$F:$F,'ImportaçãoMeta - Adveronix'!D:D),"")</f>
        <v/>
      </c>
      <c r="AG57" s="159" t="str">
        <f t="array" ref="AG57">IFERROR(XLOOKUP(B57,'ImportaçãoMeta - Adveronix'!$F:$F,'ImportaçãoMeta - Adveronix'!E:E),"")</f>
        <v/>
      </c>
      <c r="AH57" s="157"/>
      <c r="AI57" s="157"/>
      <c r="AJ57" s="156"/>
      <c r="AK57" s="160"/>
      <c r="AL57" s="160"/>
    </row>
    <row r="58" ht="15.75" hidden="1" customHeight="1">
      <c r="A58" s="149" t="str">
        <f t="array" ref="A58">XLOOKUP(MONTH(B58),BASE!$F$16:$F$27,BASE!$G$16:$G$27)</f>
        <v>Fevereiro</v>
      </c>
      <c r="B58" s="150">
        <v>46079.0</v>
      </c>
      <c r="C58" s="151"/>
      <c r="D58" s="149" t="str">
        <f t="shared" si="4"/>
        <v>quinta-feira</v>
      </c>
      <c r="E58" s="152">
        <f t="shared" ref="E58:J58" si="115">IFERROR(SUM(P58,AB58)," ")</f>
        <v>0</v>
      </c>
      <c r="F58" s="152">
        <f t="shared" si="115"/>
        <v>0</v>
      </c>
      <c r="G58" s="152">
        <f t="shared" si="115"/>
        <v>0</v>
      </c>
      <c r="H58" s="153">
        <f t="shared" si="115"/>
        <v>0</v>
      </c>
      <c r="I58" s="153">
        <f t="shared" si="115"/>
        <v>0</v>
      </c>
      <c r="J58" s="153">
        <f t="shared" si="115"/>
        <v>0</v>
      </c>
      <c r="K58" s="153">
        <f t="shared" ref="K58:M58" si="116">IFERROR(SUM(W58,AH58)," ")</f>
        <v>0</v>
      </c>
      <c r="L58" s="153">
        <f t="shared" si="116"/>
        <v>0</v>
      </c>
      <c r="M58" s="153">
        <f t="shared" si="116"/>
        <v>0</v>
      </c>
      <c r="N58" s="153"/>
      <c r="O58" s="153"/>
      <c r="P58" s="152" t="str">
        <f t="array" ref="P58">IFERROR(XLOOKUP(B58,'ImportaçãoGoogleAds - Adveronix'!$F:$F,'ImportaçãoGoogleAds - Adveronix'!$B:$B)," ")</f>
        <v> </v>
      </c>
      <c r="Q58" s="154"/>
      <c r="R58" s="154"/>
      <c r="S58" s="155" t="str">
        <f t="array" ref="S58">IFERROR(XLOOKUP(B58,'ImportaçãoGoogleAds - Adveronix'!$F:$F,'ImportaçãoGoogleAds - Adveronix'!C:C)," ")</f>
        <v> </v>
      </c>
      <c r="T58" s="155" t="str">
        <f t="array" ref="T58">IFERROR(XLOOKUP(B58,'ImportaçãoGoogleAds - Adveronix'!$F:$F,'ImportaçãoGoogleAds - Adveronix'!D:D)," ")</f>
        <v> </v>
      </c>
      <c r="U58" s="155" t="str">
        <f t="array" ref="U58">IFERROR(XLOOKUP(B58,'ImportaçãoGoogleAds - Adveronix'!$F:$F,'ImportaçãoGoogleAds - Adveronix'!E:E)," ")</f>
        <v> </v>
      </c>
      <c r="V58" s="156"/>
      <c r="W58" s="157"/>
      <c r="X58" s="157"/>
      <c r="Y58" s="158"/>
      <c r="Z58" s="158"/>
      <c r="AA58" s="158"/>
      <c r="AB58" s="152" t="str">
        <f t="array" ref="AB58">IFERROR(XLOOKUP(B58,'ImportaçãoMeta - Adveronix'!F:F,'ImportaçãoMeta - Adveronix'!B:B),"")</f>
        <v/>
      </c>
      <c r="AC58" s="154"/>
      <c r="AD58" s="154"/>
      <c r="AE58" s="159" t="str">
        <f t="array" ref="AE58">IFERROR(XLOOKUP(B58,'ImportaçãoMeta - Adveronix'!$F:$F,'ImportaçãoMeta - Adveronix'!C:C),"")</f>
        <v/>
      </c>
      <c r="AF58" s="159" t="str">
        <f t="array" ref="AF58">IFERROR(XLOOKUP(B58,'ImportaçãoMeta - Adveronix'!$F:$F,'ImportaçãoMeta - Adveronix'!D:D),"")</f>
        <v/>
      </c>
      <c r="AG58" s="159" t="str">
        <f t="array" ref="AG58">IFERROR(XLOOKUP(B58,'ImportaçãoMeta - Adveronix'!$F:$F,'ImportaçãoMeta - Adveronix'!E:E),"")</f>
        <v/>
      </c>
      <c r="AH58" s="157"/>
      <c r="AI58" s="157"/>
      <c r="AJ58" s="156"/>
      <c r="AK58" s="160"/>
      <c r="AL58" s="160"/>
    </row>
    <row r="59" ht="15.75" hidden="1" customHeight="1">
      <c r="A59" s="149" t="str">
        <f t="array" ref="A59">XLOOKUP(MONTH(B59),BASE!$F$16:$F$27,BASE!$G$16:$G$27)</f>
        <v>Fevereiro</v>
      </c>
      <c r="B59" s="150">
        <v>46080.0</v>
      </c>
      <c r="C59" s="151"/>
      <c r="D59" s="149" t="str">
        <f t="shared" si="4"/>
        <v>sexta-feira</v>
      </c>
      <c r="E59" s="152">
        <f t="shared" ref="E59:J59" si="117">IFERROR(SUM(P59,AB59)," ")</f>
        <v>0</v>
      </c>
      <c r="F59" s="152">
        <f t="shared" si="117"/>
        <v>0</v>
      </c>
      <c r="G59" s="152">
        <f t="shared" si="117"/>
        <v>0</v>
      </c>
      <c r="H59" s="153">
        <f t="shared" si="117"/>
        <v>0</v>
      </c>
      <c r="I59" s="153">
        <f t="shared" si="117"/>
        <v>0</v>
      </c>
      <c r="J59" s="153">
        <f t="shared" si="117"/>
        <v>0</v>
      </c>
      <c r="K59" s="153">
        <f t="shared" ref="K59:M59" si="118">IFERROR(SUM(W59,AH59)," ")</f>
        <v>0</v>
      </c>
      <c r="L59" s="153">
        <f t="shared" si="118"/>
        <v>0</v>
      </c>
      <c r="M59" s="153">
        <f t="shared" si="118"/>
        <v>0</v>
      </c>
      <c r="N59" s="153"/>
      <c r="O59" s="153"/>
      <c r="P59" s="152" t="str">
        <f t="array" ref="P59">IFERROR(XLOOKUP(B59,'ImportaçãoGoogleAds - Adveronix'!$F:$F,'ImportaçãoGoogleAds - Adveronix'!$B:$B)," ")</f>
        <v> </v>
      </c>
      <c r="Q59" s="154"/>
      <c r="R59" s="154"/>
      <c r="S59" s="155" t="str">
        <f t="array" ref="S59">IFERROR(XLOOKUP(B59,'ImportaçãoGoogleAds - Adveronix'!$F:$F,'ImportaçãoGoogleAds - Adveronix'!C:C)," ")</f>
        <v> </v>
      </c>
      <c r="T59" s="155" t="str">
        <f t="array" ref="T59">IFERROR(XLOOKUP(B59,'ImportaçãoGoogleAds - Adveronix'!$F:$F,'ImportaçãoGoogleAds - Adveronix'!D:D)," ")</f>
        <v> </v>
      </c>
      <c r="U59" s="155" t="str">
        <f t="array" ref="U59">IFERROR(XLOOKUP(B59,'ImportaçãoGoogleAds - Adveronix'!$F:$F,'ImportaçãoGoogleAds - Adveronix'!E:E)," ")</f>
        <v> </v>
      </c>
      <c r="V59" s="156"/>
      <c r="W59" s="157"/>
      <c r="X59" s="157"/>
      <c r="Y59" s="158"/>
      <c r="Z59" s="158"/>
      <c r="AA59" s="158"/>
      <c r="AB59" s="152" t="str">
        <f t="array" ref="AB59">IFERROR(XLOOKUP(B59,'ImportaçãoMeta - Adveronix'!F:F,'ImportaçãoMeta - Adveronix'!B:B),"")</f>
        <v/>
      </c>
      <c r="AC59" s="154"/>
      <c r="AD59" s="154"/>
      <c r="AE59" s="159" t="str">
        <f t="array" ref="AE59">IFERROR(XLOOKUP(B59,'ImportaçãoMeta - Adveronix'!$F:$F,'ImportaçãoMeta - Adveronix'!C:C),"")</f>
        <v/>
      </c>
      <c r="AF59" s="159" t="str">
        <f t="array" ref="AF59">IFERROR(XLOOKUP(B59,'ImportaçãoMeta - Adveronix'!$F:$F,'ImportaçãoMeta - Adveronix'!D:D),"")</f>
        <v/>
      </c>
      <c r="AG59" s="159" t="str">
        <f t="array" ref="AG59">IFERROR(XLOOKUP(B59,'ImportaçãoMeta - Adveronix'!$F:$F,'ImportaçãoMeta - Adveronix'!E:E),"")</f>
        <v/>
      </c>
      <c r="AH59" s="157"/>
      <c r="AI59" s="157"/>
      <c r="AJ59" s="156"/>
      <c r="AK59" s="160"/>
      <c r="AL59" s="160"/>
    </row>
    <row r="60" ht="15.75" hidden="1" customHeight="1">
      <c r="A60" s="149" t="str">
        <f t="array" ref="A60">XLOOKUP(MONTH(B60),BASE!$F$16:$F$27,BASE!$G$16:$G$27)</f>
        <v>Fevereiro</v>
      </c>
      <c r="B60" s="150">
        <v>46081.0</v>
      </c>
      <c r="C60" s="151"/>
      <c r="D60" s="149" t="str">
        <f t="shared" si="4"/>
        <v>sábado</v>
      </c>
      <c r="E60" s="152">
        <f t="shared" ref="E60:J60" si="119">IFERROR(SUM(P60,AB60)," ")</f>
        <v>0</v>
      </c>
      <c r="F60" s="152">
        <f t="shared" si="119"/>
        <v>0</v>
      </c>
      <c r="G60" s="152">
        <f t="shared" si="119"/>
        <v>0</v>
      </c>
      <c r="H60" s="153">
        <f t="shared" si="119"/>
        <v>0</v>
      </c>
      <c r="I60" s="153">
        <f t="shared" si="119"/>
        <v>0</v>
      </c>
      <c r="J60" s="153">
        <f t="shared" si="119"/>
        <v>0</v>
      </c>
      <c r="K60" s="153">
        <f t="shared" ref="K60:M60" si="120">IFERROR(SUM(W60,AH60)," ")</f>
        <v>0</v>
      </c>
      <c r="L60" s="153">
        <f t="shared" si="120"/>
        <v>0</v>
      </c>
      <c r="M60" s="153">
        <f t="shared" si="120"/>
        <v>0</v>
      </c>
      <c r="N60" s="153"/>
      <c r="O60" s="153"/>
      <c r="P60" s="152" t="str">
        <f t="array" ref="P60">IFERROR(XLOOKUP(B60,'ImportaçãoGoogleAds - Adveronix'!$F:$F,'ImportaçãoGoogleAds - Adveronix'!$B:$B)," ")</f>
        <v> </v>
      </c>
      <c r="Q60" s="154"/>
      <c r="R60" s="154"/>
      <c r="S60" s="155" t="str">
        <f t="array" ref="S60">IFERROR(XLOOKUP(B60,'ImportaçãoGoogleAds - Adveronix'!$F:$F,'ImportaçãoGoogleAds - Adveronix'!C:C)," ")</f>
        <v> </v>
      </c>
      <c r="T60" s="155" t="str">
        <f t="array" ref="T60">IFERROR(XLOOKUP(B60,'ImportaçãoGoogleAds - Adveronix'!$F:$F,'ImportaçãoGoogleAds - Adveronix'!D:D)," ")</f>
        <v> </v>
      </c>
      <c r="U60" s="155" t="str">
        <f t="array" ref="U60">IFERROR(XLOOKUP(B60,'ImportaçãoGoogleAds - Adveronix'!$F:$F,'ImportaçãoGoogleAds - Adveronix'!E:E)," ")</f>
        <v> </v>
      </c>
      <c r="V60" s="156"/>
      <c r="W60" s="157"/>
      <c r="X60" s="157"/>
      <c r="Y60" s="158"/>
      <c r="Z60" s="158"/>
      <c r="AA60" s="158"/>
      <c r="AB60" s="152" t="str">
        <f t="array" ref="AB60">IFERROR(XLOOKUP(B60,'ImportaçãoMeta - Adveronix'!F:F,'ImportaçãoMeta - Adveronix'!B:B),"")</f>
        <v/>
      </c>
      <c r="AC60" s="154"/>
      <c r="AD60" s="154"/>
      <c r="AE60" s="159" t="str">
        <f t="array" ref="AE60">IFERROR(XLOOKUP(B60,'ImportaçãoMeta - Adveronix'!$F:$F,'ImportaçãoMeta - Adveronix'!C:C),"")</f>
        <v/>
      </c>
      <c r="AF60" s="159" t="str">
        <f t="array" ref="AF60">IFERROR(XLOOKUP(B60,'ImportaçãoMeta - Adveronix'!$F:$F,'ImportaçãoMeta - Adveronix'!D:D),"")</f>
        <v/>
      </c>
      <c r="AG60" s="159" t="str">
        <f t="array" ref="AG60">IFERROR(XLOOKUP(B60,'ImportaçãoMeta - Adveronix'!$F:$F,'ImportaçãoMeta - Adveronix'!E:E),"")</f>
        <v/>
      </c>
      <c r="AH60" s="157"/>
      <c r="AI60" s="157"/>
      <c r="AJ60" s="156"/>
      <c r="AK60" s="160"/>
      <c r="AL60" s="160"/>
    </row>
    <row r="61" ht="15.75" hidden="1" customHeight="1">
      <c r="A61" s="149" t="str">
        <f t="array" ref="A61">XLOOKUP(MONTH(B61),BASE!$F$16:$F$27,BASE!$G$16:$G$27)</f>
        <v>Março</v>
      </c>
      <c r="B61" s="150">
        <v>46082.0</v>
      </c>
      <c r="C61" s="151"/>
      <c r="D61" s="149" t="str">
        <f t="shared" si="4"/>
        <v>domingo</v>
      </c>
      <c r="E61" s="152">
        <f t="shared" ref="E61:J61" si="121">IFERROR(SUM(P61,AB61)," ")</f>
        <v>0</v>
      </c>
      <c r="F61" s="152">
        <f t="shared" si="121"/>
        <v>0</v>
      </c>
      <c r="G61" s="152">
        <f t="shared" si="121"/>
        <v>0</v>
      </c>
      <c r="H61" s="153">
        <f t="shared" si="121"/>
        <v>1</v>
      </c>
      <c r="I61" s="153">
        <f t="shared" si="121"/>
        <v>0</v>
      </c>
      <c r="J61" s="153">
        <f t="shared" si="121"/>
        <v>0</v>
      </c>
      <c r="K61" s="153">
        <f t="shared" ref="K61:M61" si="122">IFERROR(SUM(W61,AH61)," ")</f>
        <v>0</v>
      </c>
      <c r="L61" s="153">
        <f t="shared" si="122"/>
        <v>0</v>
      </c>
      <c r="M61" s="153">
        <f t="shared" si="122"/>
        <v>0</v>
      </c>
      <c r="N61" s="153"/>
      <c r="O61" s="153"/>
      <c r="P61" s="152">
        <f t="array" ref="P61">IFERROR(XLOOKUP(B61,'ImportaçãoGoogleAds - Adveronix'!$F:$F,'ImportaçãoGoogleAds - Adveronix'!$B:$B)," ")</f>
        <v>0</v>
      </c>
      <c r="Q61" s="154"/>
      <c r="R61" s="154"/>
      <c r="S61" s="155">
        <f t="array" ref="S61">IFERROR(XLOOKUP(B61,'ImportaçãoGoogleAds - Adveronix'!$F:$F,'ImportaçãoGoogleAds - Adveronix'!C:C)," ")</f>
        <v>1</v>
      </c>
      <c r="T61" s="155">
        <f t="array" ref="T61">IFERROR(XLOOKUP(B61,'ImportaçãoGoogleAds - Adveronix'!$F:$F,'ImportaçãoGoogleAds - Adveronix'!D:D)," ")</f>
        <v>0</v>
      </c>
      <c r="U61" s="155">
        <f t="array" ref="U61">IFERROR(XLOOKUP(B61,'ImportaçãoGoogleAds - Adveronix'!$F:$F,'ImportaçãoGoogleAds - Adveronix'!E:E)," ")</f>
        <v>0</v>
      </c>
      <c r="V61" s="156"/>
      <c r="W61" s="157"/>
      <c r="X61" s="157"/>
      <c r="Y61" s="158"/>
      <c r="Z61" s="158"/>
      <c r="AA61" s="158"/>
      <c r="AB61" s="152" t="str">
        <f t="array" ref="AB61">IFERROR(XLOOKUP(B61,'ImportaçãoMeta - Adveronix'!F:F,'ImportaçãoMeta - Adveronix'!B:B),"")</f>
        <v/>
      </c>
      <c r="AC61" s="154"/>
      <c r="AD61" s="154"/>
      <c r="AE61" s="159" t="str">
        <f t="array" ref="AE61">IFERROR(XLOOKUP(B61,'ImportaçãoMeta - Adveronix'!$F:$F,'ImportaçãoMeta - Adveronix'!C:C),"")</f>
        <v/>
      </c>
      <c r="AF61" s="159" t="str">
        <f t="array" ref="AF61">IFERROR(XLOOKUP(B61,'ImportaçãoMeta - Adveronix'!$F:$F,'ImportaçãoMeta - Adveronix'!D:D),"")</f>
        <v/>
      </c>
      <c r="AG61" s="159" t="str">
        <f t="array" ref="AG61">IFERROR(XLOOKUP(B61,'ImportaçãoMeta - Adveronix'!$F:$F,'ImportaçãoMeta - Adveronix'!E:E),"")</f>
        <v/>
      </c>
      <c r="AH61" s="157"/>
      <c r="AI61" s="157"/>
      <c r="AJ61" s="156"/>
      <c r="AK61" s="160"/>
      <c r="AL61" s="160"/>
    </row>
    <row r="62" ht="15.75" customHeight="1">
      <c r="A62" s="149" t="str">
        <f t="array" ref="A62">XLOOKUP(MONTH(B62),BASE!$F$16:$F$27,BASE!$G$16:$G$27)</f>
        <v>Março</v>
      </c>
      <c r="B62" s="150">
        <v>46083.0</v>
      </c>
      <c r="C62" s="151"/>
      <c r="D62" s="149" t="str">
        <f t="shared" si="4"/>
        <v>segunda-feira</v>
      </c>
      <c r="E62" s="152">
        <f t="shared" ref="E62:J62" si="123">IFERROR(SUM(P62,AB62)," ")</f>
        <v>9.44</v>
      </c>
      <c r="F62" s="152">
        <f t="shared" si="123"/>
        <v>0</v>
      </c>
      <c r="G62" s="152">
        <f t="shared" si="123"/>
        <v>0</v>
      </c>
      <c r="H62" s="153">
        <f t="shared" si="123"/>
        <v>17</v>
      </c>
      <c r="I62" s="153">
        <f t="shared" si="123"/>
        <v>6</v>
      </c>
      <c r="J62" s="153">
        <f t="shared" si="123"/>
        <v>0</v>
      </c>
      <c r="K62" s="153">
        <f t="shared" ref="K62:O62" si="124">IFERROR(SUM(W62,AH62)," ")</f>
        <v>0</v>
      </c>
      <c r="L62" s="153">
        <f t="shared" si="124"/>
        <v>0</v>
      </c>
      <c r="M62" s="153">
        <f t="shared" si="124"/>
        <v>0</v>
      </c>
      <c r="N62" s="153">
        <f t="shared" si="124"/>
        <v>0</v>
      </c>
      <c r="O62" s="153">
        <f t="shared" si="124"/>
        <v>0</v>
      </c>
      <c r="P62" s="152">
        <f t="array" ref="P62">IFERROR(XLOOKUP(B62,'ImportaçãoGoogleAds - Adveronix'!$F:$F,'ImportaçãoGoogleAds - Adveronix'!$B:$B)," ")</f>
        <v>9.44</v>
      </c>
      <c r="Q62" s="154"/>
      <c r="R62" s="154"/>
      <c r="S62" s="155">
        <f t="array" ref="S62">IFERROR(XLOOKUP(B62,'ImportaçãoGoogleAds - Adveronix'!$F:$F,'ImportaçãoGoogleAds - Adveronix'!C:C)," ")</f>
        <v>17</v>
      </c>
      <c r="T62" s="155">
        <f t="array" ref="T62">IFERROR(XLOOKUP(B62,'ImportaçãoGoogleAds - Adveronix'!$F:$F,'ImportaçãoGoogleAds - Adveronix'!D:D)," ")</f>
        <v>6</v>
      </c>
      <c r="U62" s="155">
        <f t="array" ref="U62">IFERROR(XLOOKUP(B62,'ImportaçãoGoogleAds - Adveronix'!$F:$F,'ImportaçãoGoogleAds - Adveronix'!E:E)," ")</f>
        <v>0</v>
      </c>
      <c r="V62" s="156"/>
      <c r="W62" s="157"/>
      <c r="X62" s="157"/>
      <c r="Y62" s="158"/>
      <c r="Z62" s="158">
        <f>IFERROR(COUNTIFS(Leads!$L:$L,$B62,Leads!$F:$F,"*google-ads*"),0)</f>
        <v>0</v>
      </c>
      <c r="AA62" s="158">
        <f>IFERROR(COUNTIFS(Leads!$L:$L,$B62,Leads!$F:$F,"*google-ads*",Leads!$N:$N,"Sim"),0)</f>
        <v>0</v>
      </c>
      <c r="AB62" s="152" t="str">
        <f t="array" ref="AB62">IFERROR(XLOOKUP(B62,'ImportaçãoMeta - Adveronix'!F:F,'ImportaçãoMeta - Adveronix'!B:B),"")</f>
        <v/>
      </c>
      <c r="AC62" s="154"/>
      <c r="AD62" s="154"/>
      <c r="AE62" s="159" t="str">
        <f t="array" ref="AE62">IFERROR(XLOOKUP(B62,'ImportaçãoMeta - Adveronix'!$F:$F,'ImportaçãoMeta - Adveronix'!C:C),"")</f>
        <v/>
      </c>
      <c r="AF62" s="159" t="str">
        <f t="array" ref="AF62">IFERROR(XLOOKUP(B62,'ImportaçãoMeta - Adveronix'!$F:$F,'ImportaçãoMeta - Adveronix'!D:D),"")</f>
        <v/>
      </c>
      <c r="AG62" s="159" t="str">
        <f t="array" ref="AG62">IFERROR(XLOOKUP(B62,'ImportaçãoMeta - Adveronix'!$F:$F,'ImportaçãoMeta - Adveronix'!E:E),"")</f>
        <v/>
      </c>
      <c r="AH62" s="157"/>
      <c r="AI62" s="157"/>
      <c r="AJ62" s="156"/>
      <c r="AK62" s="160">
        <f>IFERROR(COUNTIFS(Leads!$L:$L,$B62,Leads!$F:$F,"*MetaAds"),0)</f>
        <v>0</v>
      </c>
      <c r="AL62" s="160">
        <f>IFERROR(COUNTIFS(Leads!$L:$L,$B62,Leads!$F:$F,"*MetaAds*",Leads!$N:$N,"Sim"),0)</f>
        <v>0</v>
      </c>
    </row>
    <row r="63" ht="15.75" customHeight="1">
      <c r="A63" s="149" t="str">
        <f t="array" ref="A63">XLOOKUP(MONTH(B63),BASE!$F$16:$F$27,BASE!$G$16:$G$27)</f>
        <v>Março</v>
      </c>
      <c r="B63" s="150">
        <v>46084.0</v>
      </c>
      <c r="C63" s="151"/>
      <c r="D63" s="149" t="str">
        <f t="shared" si="4"/>
        <v>terça-feira</v>
      </c>
      <c r="E63" s="152">
        <f t="shared" ref="E63:J63" si="125">IFERROR(SUM(P63,AB63)," ")</f>
        <v>8.86</v>
      </c>
      <c r="F63" s="152">
        <f t="shared" si="125"/>
        <v>0</v>
      </c>
      <c r="G63" s="152">
        <f t="shared" si="125"/>
        <v>0</v>
      </c>
      <c r="H63" s="153">
        <f t="shared" si="125"/>
        <v>13</v>
      </c>
      <c r="I63" s="153">
        <f t="shared" si="125"/>
        <v>4</v>
      </c>
      <c r="J63" s="153">
        <f t="shared" si="125"/>
        <v>0</v>
      </c>
      <c r="K63" s="153">
        <f t="shared" ref="K63:O63" si="126">IFERROR(SUM(W63,AH63)," ")</f>
        <v>0</v>
      </c>
      <c r="L63" s="153">
        <f t="shared" si="126"/>
        <v>0</v>
      </c>
      <c r="M63" s="153">
        <f t="shared" si="126"/>
        <v>0</v>
      </c>
      <c r="N63" s="153">
        <f t="shared" si="126"/>
        <v>0</v>
      </c>
      <c r="O63" s="153">
        <f t="shared" si="126"/>
        <v>0</v>
      </c>
      <c r="P63" s="152">
        <f t="array" ref="P63">IFERROR(XLOOKUP(B63,'ImportaçãoGoogleAds - Adveronix'!$F:$F,'ImportaçãoGoogleAds - Adveronix'!$B:$B)," ")</f>
        <v>8.86</v>
      </c>
      <c r="Q63" s="154"/>
      <c r="R63" s="154"/>
      <c r="S63" s="155">
        <f t="array" ref="S63">IFERROR(XLOOKUP(B63,'ImportaçãoGoogleAds - Adveronix'!$F:$F,'ImportaçãoGoogleAds - Adveronix'!C:C)," ")</f>
        <v>13</v>
      </c>
      <c r="T63" s="155">
        <f t="array" ref="T63">IFERROR(XLOOKUP(B63,'ImportaçãoGoogleAds - Adveronix'!$F:$F,'ImportaçãoGoogleAds - Adveronix'!D:D)," ")</f>
        <v>4</v>
      </c>
      <c r="U63" s="155">
        <f t="array" ref="U63">IFERROR(XLOOKUP(B63,'ImportaçãoGoogleAds - Adveronix'!$F:$F,'ImportaçãoGoogleAds - Adveronix'!E:E)," ")</f>
        <v>0</v>
      </c>
      <c r="V63" s="156"/>
      <c r="W63" s="157"/>
      <c r="X63" s="157"/>
      <c r="Y63" s="158"/>
      <c r="Z63" s="158">
        <f>IFERROR(COUNTIFS(Leads!$L:$L,$B63,Leads!$F:$F,"*google-ads*"),0)</f>
        <v>0</v>
      </c>
      <c r="AA63" s="158">
        <f>IFERROR(COUNTIFS(Leads!$L:$L,$B63,Leads!$F:$F,"*google-ads*",Leads!$N:$N,"Sim"),0)</f>
        <v>0</v>
      </c>
      <c r="AB63" s="152" t="str">
        <f t="array" ref="AB63">IFERROR(XLOOKUP(B63,'ImportaçãoMeta - Adveronix'!F:F,'ImportaçãoMeta - Adveronix'!B:B),"")</f>
        <v/>
      </c>
      <c r="AC63" s="154"/>
      <c r="AD63" s="154"/>
      <c r="AE63" s="159" t="str">
        <f t="array" ref="AE63">IFERROR(XLOOKUP(B63,'ImportaçãoMeta - Adveronix'!$F:$F,'ImportaçãoMeta - Adveronix'!C:C),"")</f>
        <v/>
      </c>
      <c r="AF63" s="159" t="str">
        <f t="array" ref="AF63">IFERROR(XLOOKUP(B63,'ImportaçãoMeta - Adveronix'!$F:$F,'ImportaçãoMeta - Adveronix'!D:D),"")</f>
        <v/>
      </c>
      <c r="AG63" s="159" t="str">
        <f t="array" ref="AG63">IFERROR(XLOOKUP(B63,'ImportaçãoMeta - Adveronix'!$F:$F,'ImportaçãoMeta - Adveronix'!E:E),"")</f>
        <v/>
      </c>
      <c r="AH63" s="157"/>
      <c r="AI63" s="157"/>
      <c r="AJ63" s="156"/>
      <c r="AK63" s="160">
        <f>IFERROR(COUNTIFS(Leads!$L:$L,$B63,Leads!$F:$F,"*MetaAds"),0)</f>
        <v>0</v>
      </c>
      <c r="AL63" s="160">
        <f>IFERROR(COUNTIFS(Leads!$L:$L,$B63,Leads!$F:$F,"*MetaAds*",Leads!$N:$N,"Sim"),0)</f>
        <v>0</v>
      </c>
    </row>
    <row r="64" ht="15.75" customHeight="1">
      <c r="A64" s="149" t="str">
        <f t="array" ref="A64">XLOOKUP(MONTH(B64),BASE!$F$16:$F$27,BASE!$G$16:$G$27)</f>
        <v>Março</v>
      </c>
      <c r="B64" s="150">
        <v>46085.0</v>
      </c>
      <c r="C64" s="151"/>
      <c r="D64" s="149" t="str">
        <f t="shared" si="4"/>
        <v>quarta-feira</v>
      </c>
      <c r="E64" s="152">
        <f t="shared" ref="E64:J64" si="127">IFERROR(SUM(P64,AB64)," ")</f>
        <v>0.32</v>
      </c>
      <c r="F64" s="152">
        <f t="shared" si="127"/>
        <v>0</v>
      </c>
      <c r="G64" s="152">
        <f t="shared" si="127"/>
        <v>0</v>
      </c>
      <c r="H64" s="153">
        <f t="shared" si="127"/>
        <v>5</v>
      </c>
      <c r="I64" s="153">
        <f t="shared" si="127"/>
        <v>1</v>
      </c>
      <c r="J64" s="153">
        <f t="shared" si="127"/>
        <v>0</v>
      </c>
      <c r="K64" s="153">
        <f t="shared" ref="K64:O64" si="128">IFERROR(SUM(W64,AH64)," ")</f>
        <v>0</v>
      </c>
      <c r="L64" s="153">
        <f t="shared" si="128"/>
        <v>0</v>
      </c>
      <c r="M64" s="153">
        <f t="shared" si="128"/>
        <v>0</v>
      </c>
      <c r="N64" s="153">
        <f t="shared" si="128"/>
        <v>0</v>
      </c>
      <c r="O64" s="153">
        <f t="shared" si="128"/>
        <v>0</v>
      </c>
      <c r="P64" s="152">
        <f t="array" ref="P64">IFERROR(XLOOKUP(B64,'ImportaçãoGoogleAds - Adveronix'!$F:$F,'ImportaçãoGoogleAds - Adveronix'!$B:$B)," ")</f>
        <v>0.32</v>
      </c>
      <c r="Q64" s="154"/>
      <c r="R64" s="154"/>
      <c r="S64" s="155">
        <f t="array" ref="S64">IFERROR(XLOOKUP(B64,'ImportaçãoGoogleAds - Adveronix'!$F:$F,'ImportaçãoGoogleAds - Adveronix'!C:C)," ")</f>
        <v>5</v>
      </c>
      <c r="T64" s="155">
        <f t="array" ref="T64">IFERROR(XLOOKUP(B64,'ImportaçãoGoogleAds - Adveronix'!$F:$F,'ImportaçãoGoogleAds - Adveronix'!D:D)," ")</f>
        <v>1</v>
      </c>
      <c r="U64" s="155">
        <f t="array" ref="U64">IFERROR(XLOOKUP(B64,'ImportaçãoGoogleAds - Adveronix'!$F:$F,'ImportaçãoGoogleAds - Adveronix'!E:E)," ")</f>
        <v>0</v>
      </c>
      <c r="V64" s="156"/>
      <c r="W64" s="157"/>
      <c r="X64" s="157"/>
      <c r="Y64" s="158"/>
      <c r="Z64" s="158">
        <f>IFERROR(COUNTIFS(Leads!$L:$L,$B64,Leads!$F:$F,"*google-ads*"),0)</f>
        <v>0</v>
      </c>
      <c r="AA64" s="158">
        <f>IFERROR(COUNTIFS(Leads!$L:$L,$B64,Leads!$F:$F,"*google-ads*",Leads!$N:$N,"Sim"),0)</f>
        <v>0</v>
      </c>
      <c r="AB64" s="152" t="str">
        <f t="array" ref="AB64">IFERROR(XLOOKUP(B64,'ImportaçãoMeta - Adveronix'!F:F,'ImportaçãoMeta - Adveronix'!B:B),"")</f>
        <v/>
      </c>
      <c r="AC64" s="154"/>
      <c r="AD64" s="154"/>
      <c r="AE64" s="159" t="str">
        <f t="array" ref="AE64">IFERROR(XLOOKUP(B64,'ImportaçãoMeta - Adveronix'!$F:$F,'ImportaçãoMeta - Adveronix'!C:C),"")</f>
        <v/>
      </c>
      <c r="AF64" s="159" t="str">
        <f t="array" ref="AF64">IFERROR(XLOOKUP(B64,'ImportaçãoMeta - Adveronix'!$F:$F,'ImportaçãoMeta - Adveronix'!D:D),"")</f>
        <v/>
      </c>
      <c r="AG64" s="159" t="str">
        <f t="array" ref="AG64">IFERROR(XLOOKUP(B64,'ImportaçãoMeta - Adveronix'!$F:$F,'ImportaçãoMeta - Adveronix'!E:E),"")</f>
        <v/>
      </c>
      <c r="AH64" s="157"/>
      <c r="AI64" s="157"/>
      <c r="AJ64" s="156"/>
      <c r="AK64" s="160">
        <f>IFERROR(COUNTIFS(Leads!$L:$L,$B64,Leads!$F:$F,"*MetaAds"),0)</f>
        <v>0</v>
      </c>
      <c r="AL64" s="160">
        <f>IFERROR(COUNTIFS(Leads!$L:$L,$B64,Leads!$F:$F,"*MetaAds*",Leads!$N:$N,"Sim"),0)</f>
        <v>0</v>
      </c>
    </row>
    <row r="65" ht="15.75" customHeight="1">
      <c r="A65" s="149" t="str">
        <f t="array" ref="A65">XLOOKUP(MONTH(B65),BASE!$F$16:$F$27,BASE!$G$16:$G$27)</f>
        <v>Março</v>
      </c>
      <c r="B65" s="150">
        <v>46086.0</v>
      </c>
      <c r="C65" s="151"/>
      <c r="D65" s="149" t="str">
        <f t="shared" si="4"/>
        <v>quinta-feira</v>
      </c>
      <c r="E65" s="152">
        <f t="shared" ref="E65:J65" si="129">IFERROR(SUM(P65,AB65)," ")</f>
        <v>0</v>
      </c>
      <c r="F65" s="152">
        <f t="shared" si="129"/>
        <v>0</v>
      </c>
      <c r="G65" s="152">
        <f t="shared" si="129"/>
        <v>0</v>
      </c>
      <c r="H65" s="153">
        <f t="shared" si="129"/>
        <v>3</v>
      </c>
      <c r="I65" s="153">
        <f t="shared" si="129"/>
        <v>0</v>
      </c>
      <c r="J65" s="153">
        <f t="shared" si="129"/>
        <v>0</v>
      </c>
      <c r="K65" s="153">
        <f t="shared" ref="K65:O65" si="130">IFERROR(SUM(W65,AH65)," ")</f>
        <v>0</v>
      </c>
      <c r="L65" s="153">
        <f t="shared" si="130"/>
        <v>0</v>
      </c>
      <c r="M65" s="153">
        <f t="shared" si="130"/>
        <v>0</v>
      </c>
      <c r="N65" s="153">
        <f t="shared" si="130"/>
        <v>0</v>
      </c>
      <c r="O65" s="153">
        <f t="shared" si="130"/>
        <v>0</v>
      </c>
      <c r="P65" s="152">
        <f t="array" ref="P65">IFERROR(XLOOKUP(B65,'ImportaçãoGoogleAds - Adveronix'!$F:$F,'ImportaçãoGoogleAds - Adveronix'!$B:$B)," ")</f>
        <v>0</v>
      </c>
      <c r="Q65" s="154"/>
      <c r="R65" s="154"/>
      <c r="S65" s="155">
        <f t="array" ref="S65">IFERROR(XLOOKUP(B65,'ImportaçãoGoogleAds - Adveronix'!$F:$F,'ImportaçãoGoogleAds - Adveronix'!C:C)," ")</f>
        <v>3</v>
      </c>
      <c r="T65" s="155">
        <f t="array" ref="T65">IFERROR(XLOOKUP(B65,'ImportaçãoGoogleAds - Adveronix'!$F:$F,'ImportaçãoGoogleAds - Adveronix'!D:D)," ")</f>
        <v>0</v>
      </c>
      <c r="U65" s="155">
        <f t="array" ref="U65">IFERROR(XLOOKUP(B65,'ImportaçãoGoogleAds - Adveronix'!$F:$F,'ImportaçãoGoogleAds - Adveronix'!E:E)," ")</f>
        <v>0</v>
      </c>
      <c r="V65" s="156"/>
      <c r="W65" s="157"/>
      <c r="X65" s="157"/>
      <c r="Y65" s="158"/>
      <c r="Z65" s="158">
        <f>IFERROR(COUNTIFS(Leads!$L:$L,$B65,Leads!$F:$F,"*google-ads*"),0)</f>
        <v>0</v>
      </c>
      <c r="AA65" s="158">
        <f>IFERROR(COUNTIFS(Leads!$L:$L,$B65,Leads!$F:$F,"*google-ads*",Leads!$N:$N,"Sim"),0)</f>
        <v>0</v>
      </c>
      <c r="AB65" s="152" t="str">
        <f t="array" ref="AB65">IFERROR(XLOOKUP(B65,'ImportaçãoMeta - Adveronix'!F:F,'ImportaçãoMeta - Adveronix'!B:B),"")</f>
        <v/>
      </c>
      <c r="AC65" s="154"/>
      <c r="AD65" s="154"/>
      <c r="AE65" s="159" t="str">
        <f t="array" ref="AE65">IFERROR(XLOOKUP(B65,'ImportaçãoMeta - Adveronix'!$F:$F,'ImportaçãoMeta - Adveronix'!C:C),"")</f>
        <v/>
      </c>
      <c r="AF65" s="159" t="str">
        <f t="array" ref="AF65">IFERROR(XLOOKUP(B65,'ImportaçãoMeta - Adveronix'!$F:$F,'ImportaçãoMeta - Adveronix'!D:D),"")</f>
        <v/>
      </c>
      <c r="AG65" s="159" t="str">
        <f t="array" ref="AG65">IFERROR(XLOOKUP(B65,'ImportaçãoMeta - Adveronix'!$F:$F,'ImportaçãoMeta - Adveronix'!E:E),"")</f>
        <v/>
      </c>
      <c r="AH65" s="157"/>
      <c r="AI65" s="157"/>
      <c r="AJ65" s="156"/>
      <c r="AK65" s="160">
        <f>IFERROR(COUNTIFS(Leads!$L:$L,$B65,Leads!$F:$F,"*MetaAds"),0)</f>
        <v>0</v>
      </c>
      <c r="AL65" s="160">
        <f>IFERROR(COUNTIFS(Leads!$L:$L,$B65,Leads!$F:$F,"*MetaAds*",Leads!$N:$N,"Sim"),0)</f>
        <v>0</v>
      </c>
    </row>
    <row r="66" ht="15.75" customHeight="1">
      <c r="A66" s="149" t="str">
        <f t="array" ref="A66">XLOOKUP(MONTH(B66),BASE!$F$16:$F$27,BASE!$G$16:$G$27)</f>
        <v>Março</v>
      </c>
      <c r="B66" s="150">
        <v>46087.0</v>
      </c>
      <c r="C66" s="151"/>
      <c r="D66" s="149" t="str">
        <f t="shared" si="4"/>
        <v>sexta-feira</v>
      </c>
      <c r="E66" s="152">
        <f t="shared" ref="E66:J66" si="131">IFERROR(SUM(P66,AB66)," ")</f>
        <v>2.11</v>
      </c>
      <c r="F66" s="152">
        <f t="shared" si="131"/>
        <v>0</v>
      </c>
      <c r="G66" s="152">
        <f t="shared" si="131"/>
        <v>0</v>
      </c>
      <c r="H66" s="153">
        <f t="shared" si="131"/>
        <v>6</v>
      </c>
      <c r="I66" s="153">
        <f t="shared" si="131"/>
        <v>2</v>
      </c>
      <c r="J66" s="153">
        <f t="shared" si="131"/>
        <v>0</v>
      </c>
      <c r="K66" s="153">
        <f t="shared" ref="K66:O66" si="132">IFERROR(SUM(W66,AH66)," ")</f>
        <v>0</v>
      </c>
      <c r="L66" s="153">
        <f t="shared" si="132"/>
        <v>0</v>
      </c>
      <c r="M66" s="153">
        <f t="shared" si="132"/>
        <v>0</v>
      </c>
      <c r="N66" s="153">
        <f t="shared" si="132"/>
        <v>0</v>
      </c>
      <c r="O66" s="153">
        <f t="shared" si="132"/>
        <v>0</v>
      </c>
      <c r="P66" s="152">
        <f t="array" ref="P66">IFERROR(XLOOKUP(B66,'ImportaçãoGoogleAds - Adveronix'!$F:$F,'ImportaçãoGoogleAds - Adveronix'!$B:$B)," ")</f>
        <v>2.11</v>
      </c>
      <c r="Q66" s="154"/>
      <c r="R66" s="154"/>
      <c r="S66" s="155">
        <f t="array" ref="S66">IFERROR(XLOOKUP(B66,'ImportaçãoGoogleAds - Adveronix'!$F:$F,'ImportaçãoGoogleAds - Adveronix'!C:C)," ")</f>
        <v>6</v>
      </c>
      <c r="T66" s="155">
        <f t="array" ref="T66">IFERROR(XLOOKUP(B66,'ImportaçãoGoogleAds - Adveronix'!$F:$F,'ImportaçãoGoogleAds - Adveronix'!D:D)," ")</f>
        <v>2</v>
      </c>
      <c r="U66" s="155">
        <f t="array" ref="U66">IFERROR(XLOOKUP(B66,'ImportaçãoGoogleAds - Adveronix'!$F:$F,'ImportaçãoGoogleAds - Adveronix'!E:E)," ")</f>
        <v>0</v>
      </c>
      <c r="V66" s="156"/>
      <c r="W66" s="157"/>
      <c r="X66" s="157"/>
      <c r="Y66" s="158"/>
      <c r="Z66" s="158">
        <f>IFERROR(COUNTIFS(Leads!$L:$L,$B66,Leads!$F:$F,"*google-ads*"),0)</f>
        <v>0</v>
      </c>
      <c r="AA66" s="158">
        <f>IFERROR(COUNTIFS(Leads!$L:$L,$B66,Leads!$F:$F,"*google-ads*",Leads!$N:$N,"Sim"),0)</f>
        <v>0</v>
      </c>
      <c r="AB66" s="152" t="str">
        <f t="array" ref="AB66">IFERROR(XLOOKUP(B66,'ImportaçãoMeta - Adveronix'!F:F,'ImportaçãoMeta - Adveronix'!B:B),"")</f>
        <v/>
      </c>
      <c r="AC66" s="154"/>
      <c r="AD66" s="154"/>
      <c r="AE66" s="159" t="str">
        <f t="array" ref="AE66">IFERROR(XLOOKUP(B66,'ImportaçãoMeta - Adveronix'!$F:$F,'ImportaçãoMeta - Adveronix'!C:C),"")</f>
        <v/>
      </c>
      <c r="AF66" s="159" t="str">
        <f t="array" ref="AF66">IFERROR(XLOOKUP(B66,'ImportaçãoMeta - Adveronix'!$F:$F,'ImportaçãoMeta - Adveronix'!D:D),"")</f>
        <v/>
      </c>
      <c r="AG66" s="159" t="str">
        <f t="array" ref="AG66">IFERROR(XLOOKUP(B66,'ImportaçãoMeta - Adveronix'!$F:$F,'ImportaçãoMeta - Adveronix'!E:E),"")</f>
        <v/>
      </c>
      <c r="AH66" s="157"/>
      <c r="AI66" s="157"/>
      <c r="AJ66" s="156"/>
      <c r="AK66" s="160">
        <f>IFERROR(COUNTIFS(Leads!$L:$L,$B66,Leads!$F:$F,"*MetaAds"),0)</f>
        <v>0</v>
      </c>
      <c r="AL66" s="160">
        <f>IFERROR(COUNTIFS(Leads!$L:$L,$B66,Leads!$F:$F,"*MetaAds*",Leads!$N:$N,"Sim"),0)</f>
        <v>0</v>
      </c>
    </row>
    <row r="67" ht="15.75" customHeight="1">
      <c r="A67" s="149" t="str">
        <f t="array" ref="A67">XLOOKUP(MONTH(B67),BASE!$F$16:$F$27,BASE!$G$16:$G$27)</f>
        <v>Março</v>
      </c>
      <c r="B67" s="150">
        <v>46088.0</v>
      </c>
      <c r="C67" s="151"/>
      <c r="D67" s="149" t="str">
        <f t="shared" si="4"/>
        <v>sábado</v>
      </c>
      <c r="E67" s="152">
        <f t="shared" ref="E67:J67" si="133">IFERROR(SUM(P67,AB67)," ")</f>
        <v>0</v>
      </c>
      <c r="F67" s="152">
        <f t="shared" si="133"/>
        <v>0</v>
      </c>
      <c r="G67" s="152">
        <f t="shared" si="133"/>
        <v>0</v>
      </c>
      <c r="H67" s="153">
        <f t="shared" si="133"/>
        <v>6</v>
      </c>
      <c r="I67" s="153">
        <f t="shared" si="133"/>
        <v>0</v>
      </c>
      <c r="J67" s="153">
        <f t="shared" si="133"/>
        <v>0</v>
      </c>
      <c r="K67" s="153">
        <f t="shared" ref="K67:O67" si="134">IFERROR(SUM(W67,AH67)," ")</f>
        <v>0</v>
      </c>
      <c r="L67" s="153">
        <f t="shared" si="134"/>
        <v>0</v>
      </c>
      <c r="M67" s="153">
        <f t="shared" si="134"/>
        <v>0</v>
      </c>
      <c r="N67" s="153">
        <f t="shared" si="134"/>
        <v>0</v>
      </c>
      <c r="O67" s="153">
        <f t="shared" si="134"/>
        <v>0</v>
      </c>
      <c r="P67" s="152">
        <f t="array" ref="P67">IFERROR(XLOOKUP(B67,'ImportaçãoGoogleAds - Adveronix'!$F:$F,'ImportaçãoGoogleAds - Adveronix'!$B:$B)," ")</f>
        <v>0</v>
      </c>
      <c r="Q67" s="154"/>
      <c r="R67" s="154"/>
      <c r="S67" s="155">
        <f t="array" ref="S67">IFERROR(XLOOKUP(B67,'ImportaçãoGoogleAds - Adveronix'!$F:$F,'ImportaçãoGoogleAds - Adveronix'!C:C)," ")</f>
        <v>6</v>
      </c>
      <c r="T67" s="155">
        <f t="array" ref="T67">IFERROR(XLOOKUP(B67,'ImportaçãoGoogleAds - Adveronix'!$F:$F,'ImportaçãoGoogleAds - Adveronix'!D:D)," ")</f>
        <v>0</v>
      </c>
      <c r="U67" s="155">
        <f t="array" ref="U67">IFERROR(XLOOKUP(B67,'ImportaçãoGoogleAds - Adveronix'!$F:$F,'ImportaçãoGoogleAds - Adveronix'!E:E)," ")</f>
        <v>0</v>
      </c>
      <c r="V67" s="156"/>
      <c r="W67" s="157"/>
      <c r="X67" s="157"/>
      <c r="Y67" s="158"/>
      <c r="Z67" s="158">
        <f>IFERROR(COUNTIFS(Leads!$L:$L,$B67,Leads!$F:$F,"*google-ads*"),0)</f>
        <v>0</v>
      </c>
      <c r="AA67" s="158">
        <f>IFERROR(COUNTIFS(Leads!$L:$L,$B67,Leads!$F:$F,"*google-ads*",Leads!$N:$N,"Sim"),0)</f>
        <v>0</v>
      </c>
      <c r="AB67" s="152" t="str">
        <f t="array" ref="AB67">IFERROR(XLOOKUP(B67,'ImportaçãoMeta - Adveronix'!F:F,'ImportaçãoMeta - Adveronix'!B:B),"")</f>
        <v/>
      </c>
      <c r="AC67" s="154"/>
      <c r="AD67" s="154"/>
      <c r="AE67" s="159" t="str">
        <f t="array" ref="AE67">IFERROR(XLOOKUP(B67,'ImportaçãoMeta - Adveronix'!$F:$F,'ImportaçãoMeta - Adveronix'!C:C),"")</f>
        <v/>
      </c>
      <c r="AF67" s="159" t="str">
        <f t="array" ref="AF67">IFERROR(XLOOKUP(B67,'ImportaçãoMeta - Adveronix'!$F:$F,'ImportaçãoMeta - Adveronix'!D:D),"")</f>
        <v/>
      </c>
      <c r="AG67" s="159" t="str">
        <f t="array" ref="AG67">IFERROR(XLOOKUP(B67,'ImportaçãoMeta - Adveronix'!$F:$F,'ImportaçãoMeta - Adveronix'!E:E),"")</f>
        <v/>
      </c>
      <c r="AH67" s="157"/>
      <c r="AI67" s="157"/>
      <c r="AJ67" s="156"/>
      <c r="AK67" s="160">
        <f>IFERROR(COUNTIFS(Leads!$L:$L,$B67,Leads!$F:$F,"*MetaAds"),0)</f>
        <v>0</v>
      </c>
      <c r="AL67" s="160">
        <f>IFERROR(COUNTIFS(Leads!$L:$L,$B67,Leads!$F:$F,"*MetaAds*",Leads!$N:$N,"Sim"),0)</f>
        <v>0</v>
      </c>
    </row>
    <row r="68" ht="15.75" customHeight="1">
      <c r="A68" s="149" t="str">
        <f t="array" ref="A68">XLOOKUP(MONTH(B68),BASE!$F$16:$F$27,BASE!$G$16:$G$27)</f>
        <v>Março</v>
      </c>
      <c r="B68" s="150">
        <v>46089.0</v>
      </c>
      <c r="C68" s="151"/>
      <c r="D68" s="149" t="str">
        <f t="shared" si="4"/>
        <v>domingo</v>
      </c>
      <c r="E68" s="152">
        <f t="shared" ref="E68:J68" si="135">IFERROR(SUM(P68,AB68)," ")</f>
        <v>0</v>
      </c>
      <c r="F68" s="152">
        <f t="shared" si="135"/>
        <v>0</v>
      </c>
      <c r="G68" s="152">
        <f t="shared" si="135"/>
        <v>0</v>
      </c>
      <c r="H68" s="153">
        <f t="shared" si="135"/>
        <v>0</v>
      </c>
      <c r="I68" s="153">
        <f t="shared" si="135"/>
        <v>0</v>
      </c>
      <c r="J68" s="153">
        <f t="shared" si="135"/>
        <v>0</v>
      </c>
      <c r="K68" s="153">
        <f t="shared" ref="K68:O68" si="136">IFERROR(SUM(W68,AH68)," ")</f>
        <v>0</v>
      </c>
      <c r="L68" s="153">
        <f t="shared" si="136"/>
        <v>0</v>
      </c>
      <c r="M68" s="153">
        <f t="shared" si="136"/>
        <v>0</v>
      </c>
      <c r="N68" s="153">
        <f t="shared" si="136"/>
        <v>0</v>
      </c>
      <c r="O68" s="153">
        <f t="shared" si="136"/>
        <v>0</v>
      </c>
      <c r="P68" s="152" t="str">
        <f t="array" ref="P68">IFERROR(XLOOKUP(B68,'ImportaçãoGoogleAds - Adveronix'!$F:$F,'ImportaçãoGoogleAds - Adveronix'!$B:$B)," ")</f>
        <v> </v>
      </c>
      <c r="Q68" s="154"/>
      <c r="R68" s="154"/>
      <c r="S68" s="155" t="str">
        <f t="array" ref="S68">IFERROR(XLOOKUP(B68,'ImportaçãoGoogleAds - Adveronix'!$F:$F,'ImportaçãoGoogleAds - Adveronix'!C:C)," ")</f>
        <v> </v>
      </c>
      <c r="T68" s="155" t="str">
        <f t="array" ref="T68">IFERROR(XLOOKUP(B68,'ImportaçãoGoogleAds - Adveronix'!$F:$F,'ImportaçãoGoogleAds - Adveronix'!D:D)," ")</f>
        <v> </v>
      </c>
      <c r="U68" s="155" t="str">
        <f t="array" ref="U68">IFERROR(XLOOKUP(B68,'ImportaçãoGoogleAds - Adveronix'!$F:$F,'ImportaçãoGoogleAds - Adveronix'!E:E)," ")</f>
        <v> </v>
      </c>
      <c r="V68" s="156"/>
      <c r="W68" s="157"/>
      <c r="X68" s="157"/>
      <c r="Y68" s="158"/>
      <c r="Z68" s="158">
        <f>IFERROR(COUNTIFS(Leads!$L:$L,$B68,Leads!$F:$F,"*google-ads*"),0)</f>
        <v>0</v>
      </c>
      <c r="AA68" s="158">
        <f>IFERROR(COUNTIFS(Leads!$L:$L,$B68,Leads!$F:$F,"*google-ads*",Leads!$N:$N,"Sim"),0)</f>
        <v>0</v>
      </c>
      <c r="AB68" s="152" t="str">
        <f t="array" ref="AB68">IFERROR(XLOOKUP(B68,'ImportaçãoMeta - Adveronix'!F:F,'ImportaçãoMeta - Adveronix'!B:B),"")</f>
        <v/>
      </c>
      <c r="AC68" s="154"/>
      <c r="AD68" s="154"/>
      <c r="AE68" s="159" t="str">
        <f t="array" ref="AE68">IFERROR(XLOOKUP(B68,'ImportaçãoMeta - Adveronix'!$F:$F,'ImportaçãoMeta - Adveronix'!C:C),"")</f>
        <v/>
      </c>
      <c r="AF68" s="159" t="str">
        <f t="array" ref="AF68">IFERROR(XLOOKUP(B68,'ImportaçãoMeta - Adveronix'!$F:$F,'ImportaçãoMeta - Adveronix'!D:D),"")</f>
        <v/>
      </c>
      <c r="AG68" s="159" t="str">
        <f t="array" ref="AG68">IFERROR(XLOOKUP(B68,'ImportaçãoMeta - Adveronix'!$F:$F,'ImportaçãoMeta - Adveronix'!E:E),"")</f>
        <v/>
      </c>
      <c r="AH68" s="157"/>
      <c r="AI68" s="157"/>
      <c r="AJ68" s="156"/>
      <c r="AK68" s="160">
        <f>IFERROR(COUNTIFS(Leads!$L:$L,$B68,Leads!$F:$F,"*MetaAds"),0)</f>
        <v>0</v>
      </c>
      <c r="AL68" s="160">
        <f>IFERROR(COUNTIFS(Leads!$L:$L,$B68,Leads!$F:$F,"*MetaAds*",Leads!$N:$N,"Sim"),0)</f>
        <v>0</v>
      </c>
    </row>
    <row r="69" ht="15.75" customHeight="1">
      <c r="A69" s="149" t="str">
        <f t="array" ref="A69">XLOOKUP(MONTH(B69),BASE!$F$16:$F$27,BASE!$G$16:$G$27)</f>
        <v>Março</v>
      </c>
      <c r="B69" s="150">
        <v>46090.0</v>
      </c>
      <c r="C69" s="151"/>
      <c r="D69" s="149" t="str">
        <f t="shared" si="4"/>
        <v>segunda-feira</v>
      </c>
      <c r="E69" s="152">
        <f t="shared" ref="E69:J69" si="137">IFERROR(SUM(P69,AB69)," ")</f>
        <v>2.47</v>
      </c>
      <c r="F69" s="152">
        <f t="shared" si="137"/>
        <v>0</v>
      </c>
      <c r="G69" s="152">
        <f t="shared" si="137"/>
        <v>0</v>
      </c>
      <c r="H69" s="153">
        <f t="shared" si="137"/>
        <v>6</v>
      </c>
      <c r="I69" s="153">
        <f t="shared" si="137"/>
        <v>2</v>
      </c>
      <c r="J69" s="153">
        <f t="shared" si="137"/>
        <v>0</v>
      </c>
      <c r="K69" s="153">
        <f t="shared" ref="K69:O69" si="138">IFERROR(SUM(W69,AH69)," ")</f>
        <v>0</v>
      </c>
      <c r="L69" s="153">
        <f t="shared" si="138"/>
        <v>0</v>
      </c>
      <c r="M69" s="153">
        <f t="shared" si="138"/>
        <v>0</v>
      </c>
      <c r="N69" s="153">
        <f t="shared" si="138"/>
        <v>0</v>
      </c>
      <c r="O69" s="153">
        <f t="shared" si="138"/>
        <v>0</v>
      </c>
      <c r="P69" s="152">
        <f t="array" ref="P69">IFERROR(XLOOKUP(B69,'ImportaçãoGoogleAds - Adveronix'!$F:$F,'ImportaçãoGoogleAds - Adveronix'!$B:$B)," ")</f>
        <v>2.47</v>
      </c>
      <c r="Q69" s="154"/>
      <c r="R69" s="154"/>
      <c r="S69" s="155">
        <f t="array" ref="S69">IFERROR(XLOOKUP(B69,'ImportaçãoGoogleAds - Adveronix'!$F:$F,'ImportaçãoGoogleAds - Adveronix'!C:C)," ")</f>
        <v>6</v>
      </c>
      <c r="T69" s="155">
        <f t="array" ref="T69">IFERROR(XLOOKUP(B69,'ImportaçãoGoogleAds - Adveronix'!$F:$F,'ImportaçãoGoogleAds - Adveronix'!D:D)," ")</f>
        <v>2</v>
      </c>
      <c r="U69" s="155">
        <f t="array" ref="U69">IFERROR(XLOOKUP(B69,'ImportaçãoGoogleAds - Adveronix'!$F:$F,'ImportaçãoGoogleAds - Adveronix'!E:E)," ")</f>
        <v>0</v>
      </c>
      <c r="V69" s="156"/>
      <c r="W69" s="157"/>
      <c r="X69" s="157"/>
      <c r="Y69" s="158"/>
      <c r="Z69" s="158">
        <f>IFERROR(COUNTIFS(Leads!$L:$L,$B69,Leads!$F:$F,"*google-ads*"),0)</f>
        <v>0</v>
      </c>
      <c r="AA69" s="158">
        <f>IFERROR(COUNTIFS(Leads!$L:$L,$B69,Leads!$F:$F,"*google-ads*",Leads!$N:$N,"Sim"),0)</f>
        <v>0</v>
      </c>
      <c r="AB69" s="152" t="str">
        <f t="array" ref="AB69">IFERROR(XLOOKUP(B69,'ImportaçãoMeta - Adveronix'!F:F,'ImportaçãoMeta - Adveronix'!B:B),"")</f>
        <v/>
      </c>
      <c r="AC69" s="154"/>
      <c r="AD69" s="154"/>
      <c r="AE69" s="159" t="str">
        <f t="array" ref="AE69">IFERROR(XLOOKUP(B69,'ImportaçãoMeta - Adveronix'!$F:$F,'ImportaçãoMeta - Adveronix'!C:C),"")</f>
        <v/>
      </c>
      <c r="AF69" s="159" t="str">
        <f t="array" ref="AF69">IFERROR(XLOOKUP(B69,'ImportaçãoMeta - Adveronix'!$F:$F,'ImportaçãoMeta - Adveronix'!D:D),"")</f>
        <v/>
      </c>
      <c r="AG69" s="159" t="str">
        <f t="array" ref="AG69">IFERROR(XLOOKUP(B69,'ImportaçãoMeta - Adveronix'!$F:$F,'ImportaçãoMeta - Adveronix'!E:E),"")</f>
        <v/>
      </c>
      <c r="AH69" s="157"/>
      <c r="AI69" s="157"/>
      <c r="AJ69" s="156"/>
      <c r="AK69" s="160">
        <f>IFERROR(COUNTIFS(Leads!$L:$L,$B69,Leads!$F:$F,"*MetaAds"),0)</f>
        <v>0</v>
      </c>
      <c r="AL69" s="160">
        <f>IFERROR(COUNTIFS(Leads!$L:$L,$B69,Leads!$F:$F,"*MetaAds*",Leads!$N:$N,"Sim"),0)</f>
        <v>0</v>
      </c>
    </row>
    <row r="70" ht="15.75" customHeight="1">
      <c r="A70" s="149" t="str">
        <f t="array" ref="A70">XLOOKUP(MONTH(B70),BASE!$F$16:$F$27,BASE!$G$16:$G$27)</f>
        <v>Março</v>
      </c>
      <c r="B70" s="150">
        <v>46091.0</v>
      </c>
      <c r="C70" s="151"/>
      <c r="D70" s="149" t="str">
        <f t="shared" si="4"/>
        <v>terça-feira</v>
      </c>
      <c r="E70" s="152">
        <f t="shared" ref="E70:J70" si="139">IFERROR(SUM(P70,AB70)," ")</f>
        <v>0</v>
      </c>
      <c r="F70" s="152">
        <f t="shared" si="139"/>
        <v>0</v>
      </c>
      <c r="G70" s="152">
        <f t="shared" si="139"/>
        <v>0</v>
      </c>
      <c r="H70" s="153">
        <f t="shared" si="139"/>
        <v>0</v>
      </c>
      <c r="I70" s="153">
        <f t="shared" si="139"/>
        <v>0</v>
      </c>
      <c r="J70" s="153">
        <f t="shared" si="139"/>
        <v>0</v>
      </c>
      <c r="K70" s="153">
        <f t="shared" ref="K70:O70" si="140">IFERROR(SUM(W70,AH70)," ")</f>
        <v>0</v>
      </c>
      <c r="L70" s="153">
        <f t="shared" si="140"/>
        <v>0</v>
      </c>
      <c r="M70" s="153">
        <f t="shared" si="140"/>
        <v>0</v>
      </c>
      <c r="N70" s="153">
        <f t="shared" si="140"/>
        <v>0</v>
      </c>
      <c r="O70" s="153">
        <f t="shared" si="140"/>
        <v>0</v>
      </c>
      <c r="P70" s="152" t="str">
        <f t="array" ref="P70">IFERROR(XLOOKUP(B70,'ImportaçãoGoogleAds - Adveronix'!$F:$F,'ImportaçãoGoogleAds - Adveronix'!$B:$B)," ")</f>
        <v> </v>
      </c>
      <c r="Q70" s="154"/>
      <c r="R70" s="154"/>
      <c r="S70" s="155" t="str">
        <f t="array" ref="S70">IFERROR(XLOOKUP(B70,'ImportaçãoGoogleAds - Adveronix'!$F:$F,'ImportaçãoGoogleAds - Adveronix'!C:C)," ")</f>
        <v> </v>
      </c>
      <c r="T70" s="155" t="str">
        <f t="array" ref="T70">IFERROR(XLOOKUP(B70,'ImportaçãoGoogleAds - Adveronix'!$F:$F,'ImportaçãoGoogleAds - Adveronix'!D:D)," ")</f>
        <v> </v>
      </c>
      <c r="U70" s="155" t="str">
        <f t="array" ref="U70">IFERROR(XLOOKUP(B70,'ImportaçãoGoogleAds - Adveronix'!$F:$F,'ImportaçãoGoogleAds - Adveronix'!E:E)," ")</f>
        <v> </v>
      </c>
      <c r="V70" s="156"/>
      <c r="W70" s="157"/>
      <c r="X70" s="157"/>
      <c r="Y70" s="158"/>
      <c r="Z70" s="158">
        <f>IFERROR(COUNTIFS(Leads!$L:$L,$B70,Leads!$F:$F,"*google-ads*"),0)</f>
        <v>0</v>
      </c>
      <c r="AA70" s="158">
        <f>IFERROR(COUNTIFS(Leads!$L:$L,$B70,Leads!$F:$F,"*google-ads*",Leads!$N:$N,"Sim"),0)</f>
        <v>0</v>
      </c>
      <c r="AB70" s="152" t="str">
        <f t="array" ref="AB70">IFERROR(XLOOKUP(B70,'ImportaçãoMeta - Adveronix'!F:F,'ImportaçãoMeta - Adveronix'!B:B),"")</f>
        <v/>
      </c>
      <c r="AC70" s="154"/>
      <c r="AD70" s="154"/>
      <c r="AE70" s="159" t="str">
        <f t="array" ref="AE70">IFERROR(XLOOKUP(B70,'ImportaçãoMeta - Adveronix'!$F:$F,'ImportaçãoMeta - Adveronix'!C:C),"")</f>
        <v/>
      </c>
      <c r="AF70" s="159" t="str">
        <f t="array" ref="AF70">IFERROR(XLOOKUP(B70,'ImportaçãoMeta - Adveronix'!$F:$F,'ImportaçãoMeta - Adveronix'!D:D),"")</f>
        <v/>
      </c>
      <c r="AG70" s="159" t="str">
        <f t="array" ref="AG70">IFERROR(XLOOKUP(B70,'ImportaçãoMeta - Adveronix'!$F:$F,'ImportaçãoMeta - Adveronix'!E:E),"")</f>
        <v/>
      </c>
      <c r="AH70" s="157"/>
      <c r="AI70" s="157"/>
      <c r="AJ70" s="156"/>
      <c r="AK70" s="160">
        <f>IFERROR(COUNTIFS(Leads!$L:$L,$B70,Leads!$F:$F,"*MetaAds"),0)</f>
        <v>0</v>
      </c>
      <c r="AL70" s="160">
        <f>IFERROR(COUNTIFS(Leads!$L:$L,$B70,Leads!$F:$F,"*MetaAds*",Leads!$N:$N,"Sim"),0)</f>
        <v>0</v>
      </c>
    </row>
    <row r="71" ht="15.75" customHeight="1">
      <c r="A71" s="149" t="str">
        <f t="array" ref="A71">XLOOKUP(MONTH(B71),BASE!$F$16:$F$27,BASE!$G$16:$G$27)</f>
        <v>Março</v>
      </c>
      <c r="B71" s="150">
        <v>46092.0</v>
      </c>
      <c r="C71" s="151"/>
      <c r="D71" s="149" t="str">
        <f t="shared" si="4"/>
        <v>quarta-feira</v>
      </c>
      <c r="E71" s="152">
        <f t="shared" ref="E71:J71" si="141">IFERROR(SUM(P71,AB71)," ")</f>
        <v>21.76</v>
      </c>
      <c r="F71" s="152">
        <f t="shared" si="141"/>
        <v>0</v>
      </c>
      <c r="G71" s="152">
        <f t="shared" si="141"/>
        <v>0</v>
      </c>
      <c r="H71" s="153">
        <f t="shared" si="141"/>
        <v>30</v>
      </c>
      <c r="I71" s="153">
        <f t="shared" si="141"/>
        <v>7</v>
      </c>
      <c r="J71" s="153">
        <f t="shared" si="141"/>
        <v>0</v>
      </c>
      <c r="K71" s="153">
        <f t="shared" ref="K71:O71" si="142">IFERROR(SUM(W71,AH71)," ")</f>
        <v>0</v>
      </c>
      <c r="L71" s="153">
        <f t="shared" si="142"/>
        <v>0</v>
      </c>
      <c r="M71" s="153">
        <f t="shared" si="142"/>
        <v>0</v>
      </c>
      <c r="N71" s="153">
        <f t="shared" si="142"/>
        <v>0</v>
      </c>
      <c r="O71" s="153">
        <f t="shared" si="142"/>
        <v>0</v>
      </c>
      <c r="P71" s="152">
        <f t="array" ref="P71">IFERROR(XLOOKUP(B71,'ImportaçãoGoogleAds - Adveronix'!$F:$F,'ImportaçãoGoogleAds - Adveronix'!$B:$B)," ")</f>
        <v>21.76</v>
      </c>
      <c r="Q71" s="154"/>
      <c r="R71" s="154"/>
      <c r="S71" s="155">
        <f t="array" ref="S71">IFERROR(XLOOKUP(B71,'ImportaçãoGoogleAds - Adveronix'!$F:$F,'ImportaçãoGoogleAds - Adveronix'!C:C)," ")</f>
        <v>30</v>
      </c>
      <c r="T71" s="155">
        <f t="array" ref="T71">IFERROR(XLOOKUP(B71,'ImportaçãoGoogleAds - Adveronix'!$F:$F,'ImportaçãoGoogleAds - Adveronix'!D:D)," ")</f>
        <v>7</v>
      </c>
      <c r="U71" s="155">
        <f t="array" ref="U71">IFERROR(XLOOKUP(B71,'ImportaçãoGoogleAds - Adveronix'!$F:$F,'ImportaçãoGoogleAds - Adveronix'!E:E)," ")</f>
        <v>0</v>
      </c>
      <c r="V71" s="156"/>
      <c r="W71" s="157"/>
      <c r="X71" s="157"/>
      <c r="Y71" s="158"/>
      <c r="Z71" s="158">
        <f>IFERROR(COUNTIFS(Leads!$L:$L,$B71,Leads!$F:$F,"*google-ads*"),0)</f>
        <v>0</v>
      </c>
      <c r="AA71" s="158">
        <f>IFERROR(COUNTIFS(Leads!$L:$L,$B71,Leads!$F:$F,"*google-ads*",Leads!$N:$N,"Sim"),0)</f>
        <v>0</v>
      </c>
      <c r="AB71" s="152" t="str">
        <f t="array" ref="AB71">IFERROR(XLOOKUP(B71,'ImportaçãoMeta - Adveronix'!F:F,'ImportaçãoMeta - Adveronix'!B:B),"")</f>
        <v/>
      </c>
      <c r="AC71" s="154"/>
      <c r="AD71" s="154"/>
      <c r="AE71" s="159" t="str">
        <f t="array" ref="AE71">IFERROR(XLOOKUP(B71,'ImportaçãoMeta - Adveronix'!$F:$F,'ImportaçãoMeta - Adveronix'!C:C),"")</f>
        <v/>
      </c>
      <c r="AF71" s="159" t="str">
        <f t="array" ref="AF71">IFERROR(XLOOKUP(B71,'ImportaçãoMeta - Adveronix'!$F:$F,'ImportaçãoMeta - Adveronix'!D:D),"")</f>
        <v/>
      </c>
      <c r="AG71" s="159" t="str">
        <f t="array" ref="AG71">IFERROR(XLOOKUP(B71,'ImportaçãoMeta - Adveronix'!$F:$F,'ImportaçãoMeta - Adveronix'!E:E),"")</f>
        <v/>
      </c>
      <c r="AH71" s="157"/>
      <c r="AI71" s="157"/>
      <c r="AJ71" s="156"/>
      <c r="AK71" s="160">
        <f>IFERROR(COUNTIFS(Leads!$L:$L,$B71,Leads!$F:$F,"*MetaAds"),0)</f>
        <v>0</v>
      </c>
      <c r="AL71" s="160">
        <f>IFERROR(COUNTIFS(Leads!$L:$L,$B71,Leads!$F:$F,"*MetaAds*",Leads!$N:$N,"Sim"),0)</f>
        <v>0</v>
      </c>
    </row>
    <row r="72" ht="15.75" customHeight="1">
      <c r="A72" s="149" t="str">
        <f t="array" ref="A72">XLOOKUP(MONTH(B72),BASE!$F$16:$F$27,BASE!$G$16:$G$27)</f>
        <v>Março</v>
      </c>
      <c r="B72" s="150">
        <v>46093.0</v>
      </c>
      <c r="C72" s="151"/>
      <c r="D72" s="149" t="str">
        <f t="shared" si="4"/>
        <v>quinta-feira</v>
      </c>
      <c r="E72" s="152">
        <f t="shared" ref="E72:J72" si="143">IFERROR(SUM(P72,AB72)," ")</f>
        <v>3.46</v>
      </c>
      <c r="F72" s="152">
        <f t="shared" si="143"/>
        <v>0</v>
      </c>
      <c r="G72" s="152">
        <f t="shared" si="143"/>
        <v>0</v>
      </c>
      <c r="H72" s="153">
        <f t="shared" si="143"/>
        <v>10</v>
      </c>
      <c r="I72" s="153">
        <f t="shared" si="143"/>
        <v>2</v>
      </c>
      <c r="J72" s="153">
        <f t="shared" si="143"/>
        <v>0</v>
      </c>
      <c r="K72" s="153">
        <f t="shared" ref="K72:O72" si="144">IFERROR(SUM(W72,AH72)," ")</f>
        <v>0</v>
      </c>
      <c r="L72" s="153">
        <f t="shared" si="144"/>
        <v>0</v>
      </c>
      <c r="M72" s="153">
        <f t="shared" si="144"/>
        <v>0</v>
      </c>
      <c r="N72" s="153">
        <f t="shared" si="144"/>
        <v>0</v>
      </c>
      <c r="O72" s="153">
        <f t="shared" si="144"/>
        <v>0</v>
      </c>
      <c r="P72" s="152">
        <f t="array" ref="P72">IFERROR(XLOOKUP(B72,'ImportaçãoGoogleAds - Adveronix'!$F:$F,'ImportaçãoGoogleAds - Adveronix'!$B:$B)," ")</f>
        <v>3.46</v>
      </c>
      <c r="Q72" s="154"/>
      <c r="R72" s="154"/>
      <c r="S72" s="155">
        <f t="array" ref="S72">IFERROR(XLOOKUP(B72,'ImportaçãoGoogleAds - Adveronix'!$F:$F,'ImportaçãoGoogleAds - Adveronix'!C:C)," ")</f>
        <v>10</v>
      </c>
      <c r="T72" s="155">
        <f t="array" ref="T72">IFERROR(XLOOKUP(B72,'ImportaçãoGoogleAds - Adveronix'!$F:$F,'ImportaçãoGoogleAds - Adveronix'!D:D)," ")</f>
        <v>2</v>
      </c>
      <c r="U72" s="155">
        <f t="array" ref="U72">IFERROR(XLOOKUP(B72,'ImportaçãoGoogleAds - Adveronix'!$F:$F,'ImportaçãoGoogleAds - Adveronix'!E:E)," ")</f>
        <v>0</v>
      </c>
      <c r="V72" s="156"/>
      <c r="W72" s="157"/>
      <c r="X72" s="157"/>
      <c r="Y72" s="158"/>
      <c r="Z72" s="158">
        <f>IFERROR(COUNTIFS(Leads!$L:$L,$B72,Leads!$F:$F,"*google-ads*"),0)</f>
        <v>0</v>
      </c>
      <c r="AA72" s="158">
        <f>IFERROR(COUNTIFS(Leads!$L:$L,$B72,Leads!$F:$F,"*google-ads*",Leads!$N:$N,"Sim"),0)</f>
        <v>0</v>
      </c>
      <c r="AB72" s="152" t="str">
        <f t="array" ref="AB72">IFERROR(XLOOKUP(B72,'ImportaçãoMeta - Adveronix'!F:F,'ImportaçãoMeta - Adveronix'!B:B),"")</f>
        <v/>
      </c>
      <c r="AC72" s="154"/>
      <c r="AD72" s="154"/>
      <c r="AE72" s="159" t="str">
        <f t="array" ref="AE72">IFERROR(XLOOKUP(B72,'ImportaçãoMeta - Adveronix'!$F:$F,'ImportaçãoMeta - Adveronix'!C:C),"")</f>
        <v/>
      </c>
      <c r="AF72" s="159" t="str">
        <f t="array" ref="AF72">IFERROR(XLOOKUP(B72,'ImportaçãoMeta - Adveronix'!$F:$F,'ImportaçãoMeta - Adveronix'!D:D),"")</f>
        <v/>
      </c>
      <c r="AG72" s="159" t="str">
        <f t="array" ref="AG72">IFERROR(XLOOKUP(B72,'ImportaçãoMeta - Adveronix'!$F:$F,'ImportaçãoMeta - Adveronix'!E:E),"")</f>
        <v/>
      </c>
      <c r="AH72" s="157"/>
      <c r="AI72" s="157"/>
      <c r="AJ72" s="156"/>
      <c r="AK72" s="160">
        <f>IFERROR(COUNTIFS(Leads!$L:$L,$B72,Leads!$F:$F,"*MetaAds"),0)</f>
        <v>0</v>
      </c>
      <c r="AL72" s="160">
        <f>IFERROR(COUNTIFS(Leads!$L:$L,$B72,Leads!$F:$F,"*MetaAds*",Leads!$N:$N,"Sim"),0)</f>
        <v>0</v>
      </c>
    </row>
    <row r="73" ht="15.75" customHeight="1">
      <c r="A73" s="149" t="str">
        <f t="array" ref="A73">XLOOKUP(MONTH(B73),BASE!$F$16:$F$27,BASE!$G$16:$G$27)</f>
        <v>Março</v>
      </c>
      <c r="B73" s="150">
        <v>46094.0</v>
      </c>
      <c r="C73" s="151"/>
      <c r="D73" s="149" t="str">
        <f t="shared" si="4"/>
        <v>sexta-feira</v>
      </c>
      <c r="E73" s="152">
        <f t="shared" ref="E73:J73" si="145">IFERROR(SUM(P73,AB73)," ")</f>
        <v>8.24</v>
      </c>
      <c r="F73" s="152">
        <f t="shared" si="145"/>
        <v>0</v>
      </c>
      <c r="G73" s="152">
        <f t="shared" si="145"/>
        <v>0</v>
      </c>
      <c r="H73" s="153">
        <f t="shared" si="145"/>
        <v>13</v>
      </c>
      <c r="I73" s="153">
        <f t="shared" si="145"/>
        <v>2</v>
      </c>
      <c r="J73" s="153">
        <f t="shared" si="145"/>
        <v>0</v>
      </c>
      <c r="K73" s="153">
        <f t="shared" ref="K73:O73" si="146">IFERROR(SUM(W73,AH73)," ")</f>
        <v>0</v>
      </c>
      <c r="L73" s="153">
        <f t="shared" si="146"/>
        <v>0</v>
      </c>
      <c r="M73" s="153">
        <f t="shared" si="146"/>
        <v>0</v>
      </c>
      <c r="N73" s="153">
        <f t="shared" si="146"/>
        <v>0</v>
      </c>
      <c r="O73" s="153">
        <f t="shared" si="146"/>
        <v>0</v>
      </c>
      <c r="P73" s="152">
        <f t="array" ref="P73">IFERROR(XLOOKUP(B73,'ImportaçãoGoogleAds - Adveronix'!$F:$F,'ImportaçãoGoogleAds - Adveronix'!$B:$B)," ")</f>
        <v>8.24</v>
      </c>
      <c r="Q73" s="154"/>
      <c r="R73" s="154"/>
      <c r="S73" s="155">
        <f t="array" ref="S73">IFERROR(XLOOKUP(B73,'ImportaçãoGoogleAds - Adveronix'!$F:$F,'ImportaçãoGoogleAds - Adveronix'!C:C)," ")</f>
        <v>13</v>
      </c>
      <c r="T73" s="155">
        <f t="array" ref="T73">IFERROR(XLOOKUP(B73,'ImportaçãoGoogleAds - Adveronix'!$F:$F,'ImportaçãoGoogleAds - Adveronix'!D:D)," ")</f>
        <v>2</v>
      </c>
      <c r="U73" s="155">
        <f t="array" ref="U73">IFERROR(XLOOKUP(B73,'ImportaçãoGoogleAds - Adveronix'!$F:$F,'ImportaçãoGoogleAds - Adveronix'!E:E)," ")</f>
        <v>0</v>
      </c>
      <c r="V73" s="156"/>
      <c r="W73" s="157"/>
      <c r="X73" s="157"/>
      <c r="Y73" s="158"/>
      <c r="Z73" s="158">
        <f>IFERROR(COUNTIFS(Leads!$L:$L,$B73,Leads!$F:$F,"*google-ads*"),0)</f>
        <v>0</v>
      </c>
      <c r="AA73" s="158">
        <f>IFERROR(COUNTIFS(Leads!$L:$L,$B73,Leads!$F:$F,"*google-ads*",Leads!$N:$N,"Sim"),0)</f>
        <v>0</v>
      </c>
      <c r="AB73" s="152" t="str">
        <f t="array" ref="AB73">IFERROR(XLOOKUP(B73,'ImportaçãoMeta - Adveronix'!F:F,'ImportaçãoMeta - Adveronix'!B:B),"")</f>
        <v/>
      </c>
      <c r="AC73" s="154"/>
      <c r="AD73" s="154"/>
      <c r="AE73" s="159" t="str">
        <f t="array" ref="AE73">IFERROR(XLOOKUP(B73,'ImportaçãoMeta - Adveronix'!$F:$F,'ImportaçãoMeta - Adveronix'!C:C),"")</f>
        <v/>
      </c>
      <c r="AF73" s="159" t="str">
        <f t="array" ref="AF73">IFERROR(XLOOKUP(B73,'ImportaçãoMeta - Adveronix'!$F:$F,'ImportaçãoMeta - Adveronix'!D:D),"")</f>
        <v/>
      </c>
      <c r="AG73" s="159" t="str">
        <f t="array" ref="AG73">IFERROR(XLOOKUP(B73,'ImportaçãoMeta - Adveronix'!$F:$F,'ImportaçãoMeta - Adveronix'!E:E),"")</f>
        <v/>
      </c>
      <c r="AH73" s="157"/>
      <c r="AI73" s="157"/>
      <c r="AJ73" s="156"/>
      <c r="AK73" s="160">
        <f>IFERROR(COUNTIFS(Leads!$L:$L,$B73,Leads!$F:$F,"*MetaAds"),0)</f>
        <v>0</v>
      </c>
      <c r="AL73" s="160">
        <f>IFERROR(COUNTIFS(Leads!$L:$L,$B73,Leads!$F:$F,"*MetaAds*",Leads!$N:$N,"Sim"),0)</f>
        <v>0</v>
      </c>
    </row>
    <row r="74" ht="15.75" customHeight="1">
      <c r="A74" s="149" t="str">
        <f t="array" ref="A74">XLOOKUP(MONTH(B74),BASE!$F$16:$F$27,BASE!$G$16:$G$27)</f>
        <v>Março</v>
      </c>
      <c r="B74" s="150">
        <v>46095.0</v>
      </c>
      <c r="C74" s="151"/>
      <c r="D74" s="149" t="str">
        <f t="shared" si="4"/>
        <v>sábado</v>
      </c>
      <c r="E74" s="152">
        <f t="shared" ref="E74:J74" si="147">IFERROR(SUM(P74,AB74)," ")</f>
        <v>0</v>
      </c>
      <c r="F74" s="152">
        <f t="shared" si="147"/>
        <v>0</v>
      </c>
      <c r="G74" s="152">
        <f t="shared" si="147"/>
        <v>0</v>
      </c>
      <c r="H74" s="153">
        <f t="shared" si="147"/>
        <v>2</v>
      </c>
      <c r="I74" s="153">
        <f t="shared" si="147"/>
        <v>0</v>
      </c>
      <c r="J74" s="153">
        <f t="shared" si="147"/>
        <v>0</v>
      </c>
      <c r="K74" s="153">
        <f t="shared" ref="K74:O74" si="148">IFERROR(SUM(W74,AH74)," ")</f>
        <v>0</v>
      </c>
      <c r="L74" s="153">
        <f t="shared" si="148"/>
        <v>0</v>
      </c>
      <c r="M74" s="153">
        <f t="shared" si="148"/>
        <v>0</v>
      </c>
      <c r="N74" s="153">
        <f t="shared" si="148"/>
        <v>0</v>
      </c>
      <c r="O74" s="153">
        <f t="shared" si="148"/>
        <v>0</v>
      </c>
      <c r="P74" s="152">
        <f t="array" ref="P74">IFERROR(XLOOKUP(B74,'ImportaçãoGoogleAds - Adveronix'!$F:$F,'ImportaçãoGoogleAds - Adveronix'!$B:$B)," ")</f>
        <v>0</v>
      </c>
      <c r="Q74" s="154"/>
      <c r="R74" s="154"/>
      <c r="S74" s="155">
        <f t="array" ref="S74">IFERROR(XLOOKUP(B74,'ImportaçãoGoogleAds - Adveronix'!$F:$F,'ImportaçãoGoogleAds - Adveronix'!C:C)," ")</f>
        <v>2</v>
      </c>
      <c r="T74" s="155">
        <f t="array" ref="T74">IFERROR(XLOOKUP(B74,'ImportaçãoGoogleAds - Adveronix'!$F:$F,'ImportaçãoGoogleAds - Adveronix'!D:D)," ")</f>
        <v>0</v>
      </c>
      <c r="U74" s="155">
        <f t="array" ref="U74">IFERROR(XLOOKUP(B74,'ImportaçãoGoogleAds - Adveronix'!$F:$F,'ImportaçãoGoogleAds - Adveronix'!E:E)," ")</f>
        <v>0</v>
      </c>
      <c r="V74" s="156"/>
      <c r="W74" s="157"/>
      <c r="X74" s="157"/>
      <c r="Y74" s="158"/>
      <c r="Z74" s="158">
        <f>IFERROR(COUNTIFS(Leads!$L:$L,$B74,Leads!$F:$F,"*google-ads*"),0)</f>
        <v>0</v>
      </c>
      <c r="AA74" s="158">
        <f>IFERROR(COUNTIFS(Leads!$L:$L,$B74,Leads!$F:$F,"*google-ads*",Leads!$N:$N,"Sim"),0)</f>
        <v>0</v>
      </c>
      <c r="AB74" s="152" t="str">
        <f t="array" ref="AB74">IFERROR(XLOOKUP(B74,'ImportaçãoMeta - Adveronix'!F:F,'ImportaçãoMeta - Adveronix'!B:B),"")</f>
        <v/>
      </c>
      <c r="AC74" s="154"/>
      <c r="AD74" s="154"/>
      <c r="AE74" s="159" t="str">
        <f t="array" ref="AE74">IFERROR(XLOOKUP(B74,'ImportaçãoMeta - Adveronix'!$F:$F,'ImportaçãoMeta - Adveronix'!C:C),"")</f>
        <v/>
      </c>
      <c r="AF74" s="159" t="str">
        <f t="array" ref="AF74">IFERROR(XLOOKUP(B74,'ImportaçãoMeta - Adveronix'!$F:$F,'ImportaçãoMeta - Adveronix'!D:D),"")</f>
        <v/>
      </c>
      <c r="AG74" s="159" t="str">
        <f t="array" ref="AG74">IFERROR(XLOOKUP(B74,'ImportaçãoMeta - Adveronix'!$F:$F,'ImportaçãoMeta - Adveronix'!E:E),"")</f>
        <v/>
      </c>
      <c r="AH74" s="157"/>
      <c r="AI74" s="157"/>
      <c r="AJ74" s="156"/>
      <c r="AK74" s="160">
        <f>IFERROR(COUNTIFS(Leads!$L:$L,$B74,Leads!$F:$F,"*MetaAds"),0)</f>
        <v>0</v>
      </c>
      <c r="AL74" s="160">
        <f>IFERROR(COUNTIFS(Leads!$L:$L,$B74,Leads!$F:$F,"*MetaAds*",Leads!$N:$N,"Sim"),0)</f>
        <v>0</v>
      </c>
    </row>
    <row r="75" ht="15.75" customHeight="1">
      <c r="A75" s="149" t="str">
        <f t="array" ref="A75">XLOOKUP(MONTH(B75),BASE!$F$16:$F$27,BASE!$G$16:$G$27)</f>
        <v>Março</v>
      </c>
      <c r="B75" s="150">
        <v>46096.0</v>
      </c>
      <c r="C75" s="151"/>
      <c r="D75" s="149" t="str">
        <f t="shared" si="4"/>
        <v>domingo</v>
      </c>
      <c r="E75" s="152">
        <f t="shared" ref="E75:J75" si="149">IFERROR(SUM(P75,AB75)," ")</f>
        <v>2.65</v>
      </c>
      <c r="F75" s="152">
        <f t="shared" si="149"/>
        <v>0</v>
      </c>
      <c r="G75" s="152">
        <f t="shared" si="149"/>
        <v>0</v>
      </c>
      <c r="H75" s="153">
        <f t="shared" si="149"/>
        <v>9</v>
      </c>
      <c r="I75" s="153">
        <f t="shared" si="149"/>
        <v>4</v>
      </c>
      <c r="J75" s="153">
        <f t="shared" si="149"/>
        <v>0</v>
      </c>
      <c r="K75" s="153">
        <f t="shared" ref="K75:O75" si="150">IFERROR(SUM(W75,AH75)," ")</f>
        <v>0</v>
      </c>
      <c r="L75" s="153">
        <f t="shared" si="150"/>
        <v>0</v>
      </c>
      <c r="M75" s="153">
        <f t="shared" si="150"/>
        <v>0</v>
      </c>
      <c r="N75" s="153">
        <f t="shared" si="150"/>
        <v>0</v>
      </c>
      <c r="O75" s="153">
        <f t="shared" si="150"/>
        <v>0</v>
      </c>
      <c r="P75" s="152">
        <f t="array" ref="P75">IFERROR(XLOOKUP(B75,'ImportaçãoGoogleAds - Adveronix'!$F:$F,'ImportaçãoGoogleAds - Adveronix'!$B:$B)," ")</f>
        <v>2.65</v>
      </c>
      <c r="Q75" s="154"/>
      <c r="R75" s="154"/>
      <c r="S75" s="155">
        <f t="array" ref="S75">IFERROR(XLOOKUP(B75,'ImportaçãoGoogleAds - Adveronix'!$F:$F,'ImportaçãoGoogleAds - Adveronix'!C:C)," ")</f>
        <v>9</v>
      </c>
      <c r="T75" s="155">
        <f t="array" ref="T75">IFERROR(XLOOKUP(B75,'ImportaçãoGoogleAds - Adveronix'!$F:$F,'ImportaçãoGoogleAds - Adveronix'!D:D)," ")</f>
        <v>4</v>
      </c>
      <c r="U75" s="155">
        <f t="array" ref="U75">IFERROR(XLOOKUP(B75,'ImportaçãoGoogleAds - Adveronix'!$F:$F,'ImportaçãoGoogleAds - Adveronix'!E:E)," ")</f>
        <v>0</v>
      </c>
      <c r="V75" s="156"/>
      <c r="W75" s="157"/>
      <c r="X75" s="157"/>
      <c r="Y75" s="158"/>
      <c r="Z75" s="158">
        <f>IFERROR(COUNTIFS(Leads!$L:$L,$B75,Leads!$F:$F,"*google-ads*"),0)</f>
        <v>0</v>
      </c>
      <c r="AA75" s="158">
        <f>IFERROR(COUNTIFS(Leads!$L:$L,$B75,Leads!$F:$F,"*google-ads*",Leads!$N:$N,"Sim"),0)</f>
        <v>0</v>
      </c>
      <c r="AB75" s="152" t="str">
        <f t="array" ref="AB75">IFERROR(XLOOKUP(B75,'ImportaçãoMeta - Adveronix'!F:F,'ImportaçãoMeta - Adveronix'!B:B),"")</f>
        <v/>
      </c>
      <c r="AC75" s="154"/>
      <c r="AD75" s="154"/>
      <c r="AE75" s="159" t="str">
        <f t="array" ref="AE75">IFERROR(XLOOKUP(B75,'ImportaçãoMeta - Adveronix'!$F:$F,'ImportaçãoMeta - Adveronix'!C:C),"")</f>
        <v/>
      </c>
      <c r="AF75" s="159" t="str">
        <f t="array" ref="AF75">IFERROR(XLOOKUP(B75,'ImportaçãoMeta - Adveronix'!$F:$F,'ImportaçãoMeta - Adveronix'!D:D),"")</f>
        <v/>
      </c>
      <c r="AG75" s="159" t="str">
        <f t="array" ref="AG75">IFERROR(XLOOKUP(B75,'ImportaçãoMeta - Adveronix'!$F:$F,'ImportaçãoMeta - Adveronix'!E:E),"")</f>
        <v/>
      </c>
      <c r="AH75" s="157"/>
      <c r="AI75" s="157"/>
      <c r="AJ75" s="156"/>
      <c r="AK75" s="160">
        <f>IFERROR(COUNTIFS(Leads!$L:$L,$B75,Leads!$F:$F,"*MetaAds"),0)</f>
        <v>0</v>
      </c>
      <c r="AL75" s="160">
        <f>IFERROR(COUNTIFS(Leads!$L:$L,$B75,Leads!$F:$F,"*MetaAds*",Leads!$N:$N,"Sim"),0)</f>
        <v>0</v>
      </c>
    </row>
    <row r="76" ht="15.75" customHeight="1">
      <c r="A76" s="149" t="str">
        <f t="array" ref="A76">XLOOKUP(MONTH(B76),BASE!$F$16:$F$27,BASE!$G$16:$G$27)</f>
        <v>Março</v>
      </c>
      <c r="B76" s="150">
        <v>46097.0</v>
      </c>
      <c r="C76" s="151"/>
      <c r="D76" s="149" t="str">
        <f t="shared" si="4"/>
        <v>segunda-feira</v>
      </c>
      <c r="E76" s="152">
        <f t="shared" ref="E76:J76" si="151">IFERROR(SUM(P76,AB76)," ")</f>
        <v>1.6</v>
      </c>
      <c r="F76" s="152">
        <f t="shared" si="151"/>
        <v>0</v>
      </c>
      <c r="G76" s="152">
        <f t="shared" si="151"/>
        <v>0</v>
      </c>
      <c r="H76" s="153">
        <f t="shared" si="151"/>
        <v>3</v>
      </c>
      <c r="I76" s="153">
        <f t="shared" si="151"/>
        <v>1</v>
      </c>
      <c r="J76" s="153">
        <f t="shared" si="151"/>
        <v>0</v>
      </c>
      <c r="K76" s="153">
        <f t="shared" ref="K76:O76" si="152">IFERROR(SUM(W76,AH76)," ")</f>
        <v>0</v>
      </c>
      <c r="L76" s="153">
        <f t="shared" si="152"/>
        <v>0</v>
      </c>
      <c r="M76" s="153">
        <f t="shared" si="152"/>
        <v>0</v>
      </c>
      <c r="N76" s="153">
        <f t="shared" si="152"/>
        <v>0</v>
      </c>
      <c r="O76" s="153">
        <f t="shared" si="152"/>
        <v>0</v>
      </c>
      <c r="P76" s="152">
        <f t="array" ref="P76">IFERROR(XLOOKUP(B76,'ImportaçãoGoogleAds - Adveronix'!$F:$F,'ImportaçãoGoogleAds - Adveronix'!$B:$B)," ")</f>
        <v>1.6</v>
      </c>
      <c r="Q76" s="154"/>
      <c r="R76" s="154"/>
      <c r="S76" s="155">
        <f t="array" ref="S76">IFERROR(XLOOKUP(B76,'ImportaçãoGoogleAds - Adveronix'!$F:$F,'ImportaçãoGoogleAds - Adveronix'!C:C)," ")</f>
        <v>3</v>
      </c>
      <c r="T76" s="155">
        <f t="array" ref="T76">IFERROR(XLOOKUP(B76,'ImportaçãoGoogleAds - Adveronix'!$F:$F,'ImportaçãoGoogleAds - Adveronix'!D:D)," ")</f>
        <v>1</v>
      </c>
      <c r="U76" s="155">
        <f t="array" ref="U76">IFERROR(XLOOKUP(B76,'ImportaçãoGoogleAds - Adveronix'!$F:$F,'ImportaçãoGoogleAds - Adveronix'!E:E)," ")</f>
        <v>0</v>
      </c>
      <c r="V76" s="156"/>
      <c r="W76" s="157"/>
      <c r="X76" s="157"/>
      <c r="Y76" s="158"/>
      <c r="Z76" s="158">
        <f>IFERROR(COUNTIFS(Leads!$L:$L,$B76,Leads!$F:$F,"*google-ads*"),0)</f>
        <v>0</v>
      </c>
      <c r="AA76" s="158">
        <f>IFERROR(COUNTIFS(Leads!$L:$L,$B76,Leads!$F:$F,"*google-ads*",Leads!$N:$N,"Sim"),0)</f>
        <v>0</v>
      </c>
      <c r="AB76" s="152" t="str">
        <f t="array" ref="AB76">IFERROR(XLOOKUP(B76,'ImportaçãoMeta - Adveronix'!F:F,'ImportaçãoMeta - Adveronix'!B:B),"")</f>
        <v/>
      </c>
      <c r="AC76" s="154"/>
      <c r="AD76" s="154"/>
      <c r="AE76" s="159" t="str">
        <f t="array" ref="AE76">IFERROR(XLOOKUP(B76,'ImportaçãoMeta - Adveronix'!$F:$F,'ImportaçãoMeta - Adveronix'!C:C),"")</f>
        <v/>
      </c>
      <c r="AF76" s="159" t="str">
        <f t="array" ref="AF76">IFERROR(XLOOKUP(B76,'ImportaçãoMeta - Adveronix'!$F:$F,'ImportaçãoMeta - Adveronix'!D:D),"")</f>
        <v/>
      </c>
      <c r="AG76" s="159" t="str">
        <f t="array" ref="AG76">IFERROR(XLOOKUP(B76,'ImportaçãoMeta - Adveronix'!$F:$F,'ImportaçãoMeta - Adveronix'!E:E),"")</f>
        <v/>
      </c>
      <c r="AH76" s="157"/>
      <c r="AI76" s="157"/>
      <c r="AJ76" s="156"/>
      <c r="AK76" s="160">
        <f>IFERROR(COUNTIFS(Leads!$L:$L,$B76,Leads!$F:$F,"*MetaAds"),0)</f>
        <v>0</v>
      </c>
      <c r="AL76" s="160">
        <f>IFERROR(COUNTIFS(Leads!$L:$L,$B76,Leads!$F:$F,"*MetaAds*",Leads!$N:$N,"Sim"),0)</f>
        <v>0</v>
      </c>
    </row>
    <row r="77" ht="15.75" customHeight="1">
      <c r="A77" s="149" t="str">
        <f t="array" ref="A77">XLOOKUP(MONTH(B77),BASE!$F$16:$F$27,BASE!$G$16:$G$27)</f>
        <v>Março</v>
      </c>
      <c r="B77" s="150">
        <v>46098.0</v>
      </c>
      <c r="C77" s="151"/>
      <c r="D77" s="149" t="str">
        <f t="shared" si="4"/>
        <v>terça-feira</v>
      </c>
      <c r="E77" s="152">
        <f t="shared" ref="E77:J77" si="153">IFERROR(SUM(P77,AB77)," ")</f>
        <v>0</v>
      </c>
      <c r="F77" s="152">
        <f t="shared" si="153"/>
        <v>0</v>
      </c>
      <c r="G77" s="152">
        <f t="shared" si="153"/>
        <v>0</v>
      </c>
      <c r="H77" s="153">
        <f t="shared" si="153"/>
        <v>0</v>
      </c>
      <c r="I77" s="153">
        <f t="shared" si="153"/>
        <v>0</v>
      </c>
      <c r="J77" s="153">
        <f t="shared" si="153"/>
        <v>0</v>
      </c>
      <c r="K77" s="153">
        <f t="shared" ref="K77:O77" si="154">IFERROR(SUM(W77,AH77)," ")</f>
        <v>0</v>
      </c>
      <c r="L77" s="153">
        <f t="shared" si="154"/>
        <v>0</v>
      </c>
      <c r="M77" s="153">
        <f t="shared" si="154"/>
        <v>0</v>
      </c>
      <c r="N77" s="153">
        <f t="shared" si="154"/>
        <v>0</v>
      </c>
      <c r="O77" s="153">
        <f t="shared" si="154"/>
        <v>0</v>
      </c>
      <c r="P77" s="152" t="str">
        <f t="array" ref="P77">IFERROR(XLOOKUP(B77,'ImportaçãoGoogleAds - Adveronix'!$F:$F,'ImportaçãoGoogleAds - Adveronix'!$B:$B)," ")</f>
        <v> </v>
      </c>
      <c r="Q77" s="154"/>
      <c r="R77" s="154"/>
      <c r="S77" s="155" t="str">
        <f t="array" ref="S77">IFERROR(XLOOKUP(B77,'ImportaçãoGoogleAds - Adveronix'!$F:$F,'ImportaçãoGoogleAds - Adveronix'!C:C)," ")</f>
        <v> </v>
      </c>
      <c r="T77" s="155" t="str">
        <f t="array" ref="T77">IFERROR(XLOOKUP(B77,'ImportaçãoGoogleAds - Adveronix'!$F:$F,'ImportaçãoGoogleAds - Adveronix'!D:D)," ")</f>
        <v> </v>
      </c>
      <c r="U77" s="155" t="str">
        <f t="array" ref="U77">IFERROR(XLOOKUP(B77,'ImportaçãoGoogleAds - Adveronix'!$F:$F,'ImportaçãoGoogleAds - Adveronix'!E:E)," ")</f>
        <v> </v>
      </c>
      <c r="V77" s="156"/>
      <c r="W77" s="157"/>
      <c r="X77" s="157"/>
      <c r="Y77" s="158"/>
      <c r="Z77" s="158">
        <f>IFERROR(COUNTIFS(Leads!$L:$L,$B77,Leads!$F:$F,"*google-ads*"),0)</f>
        <v>0</v>
      </c>
      <c r="AA77" s="158">
        <f>IFERROR(COUNTIFS(Leads!$L:$L,$B77,Leads!$F:$F,"*google-ads*",Leads!$N:$N,"Sim"),0)</f>
        <v>0</v>
      </c>
      <c r="AB77" s="152" t="str">
        <f t="array" ref="AB77">IFERROR(XLOOKUP(B77,'ImportaçãoMeta - Adveronix'!F:F,'ImportaçãoMeta - Adveronix'!B:B),"")</f>
        <v/>
      </c>
      <c r="AC77" s="154"/>
      <c r="AD77" s="154"/>
      <c r="AE77" s="159" t="str">
        <f t="array" ref="AE77">IFERROR(XLOOKUP(B77,'ImportaçãoMeta - Adveronix'!$F:$F,'ImportaçãoMeta - Adveronix'!C:C),"")</f>
        <v/>
      </c>
      <c r="AF77" s="159" t="str">
        <f t="array" ref="AF77">IFERROR(XLOOKUP(B77,'ImportaçãoMeta - Adveronix'!$F:$F,'ImportaçãoMeta - Adveronix'!D:D),"")</f>
        <v/>
      </c>
      <c r="AG77" s="159" t="str">
        <f t="array" ref="AG77">IFERROR(XLOOKUP(B77,'ImportaçãoMeta - Adveronix'!$F:$F,'ImportaçãoMeta - Adveronix'!E:E),"")</f>
        <v/>
      </c>
      <c r="AH77" s="157"/>
      <c r="AI77" s="157"/>
      <c r="AJ77" s="156"/>
      <c r="AK77" s="160">
        <f>IFERROR(COUNTIFS(Leads!$L:$L,$B77,Leads!$F:$F,"*MetaAds"),0)</f>
        <v>0</v>
      </c>
      <c r="AL77" s="160">
        <f>IFERROR(COUNTIFS(Leads!$L:$L,$B77,Leads!$F:$F,"*MetaAds*",Leads!$N:$N,"Sim"),0)</f>
        <v>0</v>
      </c>
    </row>
    <row r="78" ht="15.75" customHeight="1">
      <c r="A78" s="149" t="str">
        <f t="array" ref="A78">XLOOKUP(MONTH(B78),BASE!$F$16:$F$27,BASE!$G$16:$G$27)</f>
        <v>Março</v>
      </c>
      <c r="B78" s="150">
        <v>46099.0</v>
      </c>
      <c r="C78" s="151"/>
      <c r="D78" s="149" t="str">
        <f t="shared" si="4"/>
        <v>quarta-feira</v>
      </c>
      <c r="E78" s="152">
        <f t="shared" ref="E78:J78" si="155">IFERROR(SUM(P78,AB78)," ")</f>
        <v>1.5</v>
      </c>
      <c r="F78" s="152">
        <f t="shared" si="155"/>
        <v>0</v>
      </c>
      <c r="G78" s="152">
        <f t="shared" si="155"/>
        <v>0</v>
      </c>
      <c r="H78" s="153">
        <f t="shared" si="155"/>
        <v>265</v>
      </c>
      <c r="I78" s="153">
        <f t="shared" si="155"/>
        <v>0</v>
      </c>
      <c r="J78" s="153">
        <f t="shared" si="155"/>
        <v>0</v>
      </c>
      <c r="K78" s="153">
        <f t="shared" ref="K78:O78" si="156">IFERROR(SUM(W78,AH78)," ")</f>
        <v>0</v>
      </c>
      <c r="L78" s="153">
        <f t="shared" si="156"/>
        <v>0</v>
      </c>
      <c r="M78" s="153">
        <f t="shared" si="156"/>
        <v>0</v>
      </c>
      <c r="N78" s="153">
        <f t="shared" si="156"/>
        <v>0</v>
      </c>
      <c r="O78" s="153">
        <f t="shared" si="156"/>
        <v>0</v>
      </c>
      <c r="P78" s="152" t="str">
        <f t="array" ref="P78">IFERROR(XLOOKUP(B78,'ImportaçãoGoogleAds - Adveronix'!$F:$F,'ImportaçãoGoogleAds - Adveronix'!$B:$B)," ")</f>
        <v> </v>
      </c>
      <c r="Q78" s="154"/>
      <c r="R78" s="154"/>
      <c r="S78" s="155" t="str">
        <f t="array" ref="S78">IFERROR(XLOOKUP(B78,'ImportaçãoGoogleAds - Adveronix'!$F:$F,'ImportaçãoGoogleAds - Adveronix'!C:C)," ")</f>
        <v> </v>
      </c>
      <c r="T78" s="155" t="str">
        <f t="array" ref="T78">IFERROR(XLOOKUP(B78,'ImportaçãoGoogleAds - Adveronix'!$F:$F,'ImportaçãoGoogleAds - Adveronix'!D:D)," ")</f>
        <v> </v>
      </c>
      <c r="U78" s="155" t="str">
        <f t="array" ref="U78">IFERROR(XLOOKUP(B78,'ImportaçãoGoogleAds - Adveronix'!$F:$F,'ImportaçãoGoogleAds - Adveronix'!E:E)," ")</f>
        <v> </v>
      </c>
      <c r="V78" s="156"/>
      <c r="W78" s="157"/>
      <c r="X78" s="157"/>
      <c r="Y78" s="158"/>
      <c r="Z78" s="158">
        <f>IFERROR(COUNTIFS(Leads!$L:$L,$B78,Leads!$F:$F,"*google-ads*"),0)</f>
        <v>0</v>
      </c>
      <c r="AA78" s="158">
        <f>IFERROR(COUNTIFS(Leads!$L:$L,$B78,Leads!$F:$F,"*google-ads*",Leads!$N:$N,"Sim"),0)</f>
        <v>0</v>
      </c>
      <c r="AB78" s="152">
        <f t="array" ref="AB78">IFERROR(XLOOKUP(B78,'ImportaçãoMeta - Adveronix'!F:F,'ImportaçãoMeta - Adveronix'!B:B),"")</f>
        <v>1.5</v>
      </c>
      <c r="AC78" s="154"/>
      <c r="AD78" s="154"/>
      <c r="AE78" s="159">
        <f t="array" ref="AE78">IFERROR(XLOOKUP(B78,'ImportaçãoMeta - Adveronix'!$F:$F,'ImportaçãoMeta - Adveronix'!C:C),"")</f>
        <v>265</v>
      </c>
      <c r="AF78" s="159">
        <f t="array" ref="AF78">IFERROR(XLOOKUP(B78,'ImportaçãoMeta - Adveronix'!$F:$F,'ImportaçãoMeta - Adveronix'!D:D),"")</f>
        <v>0</v>
      </c>
      <c r="AG78" s="159" t="str">
        <f t="array" ref="AG78">IFERROR(XLOOKUP(B78,'ImportaçãoMeta - Adveronix'!$F:$F,'ImportaçãoMeta - Adveronix'!E:E),"")</f>
        <v/>
      </c>
      <c r="AH78" s="157"/>
      <c r="AI78" s="157"/>
      <c r="AJ78" s="156"/>
      <c r="AK78" s="160">
        <f>IFERROR(COUNTIFS(Leads!$L:$L,$B78,Leads!$F:$F,"*MetaAds"),0)</f>
        <v>0</v>
      </c>
      <c r="AL78" s="160">
        <f>IFERROR(COUNTIFS(Leads!$L:$L,$B78,Leads!$F:$F,"*MetaAds*",Leads!$N:$N,"Sim"),0)</f>
        <v>0</v>
      </c>
    </row>
    <row r="79" ht="15.75" customHeight="1">
      <c r="A79" s="149" t="str">
        <f t="array" ref="A79">XLOOKUP(MONTH(B79),BASE!$F$16:$F$27,BASE!$G$16:$G$27)</f>
        <v>Março</v>
      </c>
      <c r="B79" s="150">
        <v>46100.0</v>
      </c>
      <c r="C79" s="151"/>
      <c r="D79" s="149" t="str">
        <f t="shared" si="4"/>
        <v>quinta-feira</v>
      </c>
      <c r="E79" s="152">
        <f t="shared" ref="E79:J79" si="157">IFERROR(SUM(P79,AB79)," ")</f>
        <v>28.27</v>
      </c>
      <c r="F79" s="152">
        <f t="shared" si="157"/>
        <v>0</v>
      </c>
      <c r="G79" s="152">
        <f t="shared" si="157"/>
        <v>0</v>
      </c>
      <c r="H79" s="153">
        <f t="shared" si="157"/>
        <v>4491</v>
      </c>
      <c r="I79" s="153">
        <f t="shared" si="157"/>
        <v>6</v>
      </c>
      <c r="J79" s="153">
        <f t="shared" si="157"/>
        <v>0</v>
      </c>
      <c r="K79" s="153">
        <f t="shared" ref="K79:O79" si="158">IFERROR(SUM(W79,AH79)," ")</f>
        <v>0</v>
      </c>
      <c r="L79" s="153">
        <f t="shared" si="158"/>
        <v>0</v>
      </c>
      <c r="M79" s="153">
        <f t="shared" si="158"/>
        <v>0</v>
      </c>
      <c r="N79" s="153">
        <f t="shared" si="158"/>
        <v>0</v>
      </c>
      <c r="O79" s="153">
        <f t="shared" si="158"/>
        <v>0</v>
      </c>
      <c r="P79" s="152">
        <f t="array" ref="P79">IFERROR(XLOOKUP(B79,'ImportaçãoGoogleAds - Adveronix'!$F:$F,'ImportaçãoGoogleAds - Adveronix'!$B:$B)," ")</f>
        <v>1.49</v>
      </c>
      <c r="Q79" s="154"/>
      <c r="R79" s="154"/>
      <c r="S79" s="155">
        <f t="array" ref="S79">IFERROR(XLOOKUP(B79,'ImportaçãoGoogleAds - Adveronix'!$F:$F,'ImportaçãoGoogleAds - Adveronix'!C:C)," ")</f>
        <v>20</v>
      </c>
      <c r="T79" s="155">
        <f t="array" ref="T79">IFERROR(XLOOKUP(B79,'ImportaçãoGoogleAds - Adveronix'!$F:$F,'ImportaçãoGoogleAds - Adveronix'!D:D)," ")</f>
        <v>1</v>
      </c>
      <c r="U79" s="155">
        <f t="array" ref="U79">IFERROR(XLOOKUP(B79,'ImportaçãoGoogleAds - Adveronix'!$F:$F,'ImportaçãoGoogleAds - Adveronix'!E:E)," ")</f>
        <v>0</v>
      </c>
      <c r="V79" s="156"/>
      <c r="W79" s="157"/>
      <c r="X79" s="157"/>
      <c r="Y79" s="158"/>
      <c r="Z79" s="158">
        <f>IFERROR(COUNTIFS(Leads!$L:$L,$B79,Leads!$F:$F,"*google-ads*"),0)</f>
        <v>0</v>
      </c>
      <c r="AA79" s="158">
        <f>IFERROR(COUNTIFS(Leads!$L:$L,$B79,Leads!$F:$F,"*google-ads*",Leads!$N:$N,"Sim"),0)</f>
        <v>0</v>
      </c>
      <c r="AB79" s="152">
        <f t="array" ref="AB79">IFERROR(XLOOKUP(B79,'ImportaçãoMeta - Adveronix'!F:F,'ImportaçãoMeta - Adveronix'!B:B),"")</f>
        <v>26.78</v>
      </c>
      <c r="AC79" s="154"/>
      <c r="AD79" s="154"/>
      <c r="AE79" s="159">
        <f t="array" ref="AE79">IFERROR(XLOOKUP(B79,'ImportaçãoMeta - Adveronix'!$F:$F,'ImportaçãoMeta - Adveronix'!C:C),"")</f>
        <v>4471</v>
      </c>
      <c r="AF79" s="159">
        <f t="array" ref="AF79">IFERROR(XLOOKUP(B79,'ImportaçãoMeta - Adveronix'!$F:$F,'ImportaçãoMeta - Adveronix'!D:D),"")</f>
        <v>5</v>
      </c>
      <c r="AG79" s="159" t="str">
        <f t="array" ref="AG79">IFERROR(XLOOKUP(B79,'ImportaçãoMeta - Adveronix'!$F:$F,'ImportaçãoMeta - Adveronix'!E:E),"")</f>
        <v/>
      </c>
      <c r="AH79" s="157"/>
      <c r="AI79" s="157"/>
      <c r="AJ79" s="156"/>
      <c r="AK79" s="160">
        <f>IFERROR(COUNTIFS(Leads!$L:$L,$B79,Leads!$F:$F,"*MetaAds"),0)</f>
        <v>0</v>
      </c>
      <c r="AL79" s="160">
        <f>IFERROR(COUNTIFS(Leads!$L:$L,$B79,Leads!$F:$F,"*MetaAds*",Leads!$N:$N,"Sim"),0)</f>
        <v>0</v>
      </c>
    </row>
    <row r="80" ht="15.75" customHeight="1">
      <c r="A80" s="149" t="str">
        <f t="array" ref="A80">XLOOKUP(MONTH(B80),BASE!$F$16:$F$27,BASE!$G$16:$G$27)</f>
        <v>Março</v>
      </c>
      <c r="B80" s="150">
        <v>46101.0</v>
      </c>
      <c r="C80" s="151"/>
      <c r="D80" s="149" t="str">
        <f t="shared" si="4"/>
        <v>sexta-feira</v>
      </c>
      <c r="E80" s="152">
        <f t="shared" ref="E80:J80" si="159">IFERROR(SUM(P80,AB80)," ")</f>
        <v>108.13</v>
      </c>
      <c r="F80" s="152">
        <f t="shared" si="159"/>
        <v>0</v>
      </c>
      <c r="G80" s="152">
        <f t="shared" si="159"/>
        <v>0</v>
      </c>
      <c r="H80" s="153">
        <f t="shared" si="159"/>
        <v>2951</v>
      </c>
      <c r="I80" s="153">
        <f t="shared" si="159"/>
        <v>12</v>
      </c>
      <c r="J80" s="153">
        <f t="shared" si="159"/>
        <v>0</v>
      </c>
      <c r="K80" s="153">
        <f t="shared" ref="K80:O80" si="160">IFERROR(SUM(W80,AH80)," ")</f>
        <v>0</v>
      </c>
      <c r="L80" s="153">
        <f t="shared" si="160"/>
        <v>0</v>
      </c>
      <c r="M80" s="153">
        <f t="shared" si="160"/>
        <v>0</v>
      </c>
      <c r="N80" s="153">
        <f t="shared" si="160"/>
        <v>0</v>
      </c>
      <c r="O80" s="153">
        <f t="shared" si="160"/>
        <v>0</v>
      </c>
      <c r="P80" s="152">
        <f t="array" ref="P80">IFERROR(XLOOKUP(B80,'ImportaçãoGoogleAds - Adveronix'!$F:$F,'ImportaçãoGoogleAds - Adveronix'!$B:$B)," ")</f>
        <v>91.34</v>
      </c>
      <c r="Q80" s="154"/>
      <c r="R80" s="154"/>
      <c r="S80" s="155">
        <f t="array" ref="S80">IFERROR(XLOOKUP(B80,'ImportaçãoGoogleAds - Adveronix'!$F:$F,'ImportaçãoGoogleAds - Adveronix'!C:C)," ")</f>
        <v>19</v>
      </c>
      <c r="T80" s="155">
        <f t="array" ref="T80">IFERROR(XLOOKUP(B80,'ImportaçãoGoogleAds - Adveronix'!$F:$F,'ImportaçãoGoogleAds - Adveronix'!D:D)," ")</f>
        <v>3</v>
      </c>
      <c r="U80" s="155">
        <f t="array" ref="U80">IFERROR(XLOOKUP(B80,'ImportaçãoGoogleAds - Adveronix'!$F:$F,'ImportaçãoGoogleAds - Adveronix'!E:E)," ")</f>
        <v>0</v>
      </c>
      <c r="V80" s="156"/>
      <c r="W80" s="157"/>
      <c r="X80" s="157"/>
      <c r="Y80" s="158"/>
      <c r="Z80" s="158">
        <f>IFERROR(COUNTIFS(Leads!$L:$L,$B80,Leads!$F:$F,"*google-ads*"),0)</f>
        <v>0</v>
      </c>
      <c r="AA80" s="158">
        <f>IFERROR(COUNTIFS(Leads!$L:$L,$B80,Leads!$F:$F,"*google-ads*",Leads!$N:$N,"Sim"),0)</f>
        <v>0</v>
      </c>
      <c r="AB80" s="152">
        <f t="array" ref="AB80">IFERROR(XLOOKUP(B80,'ImportaçãoMeta - Adveronix'!F:F,'ImportaçãoMeta - Adveronix'!B:B),"")</f>
        <v>16.79</v>
      </c>
      <c r="AC80" s="154"/>
      <c r="AD80" s="154"/>
      <c r="AE80" s="159">
        <f t="array" ref="AE80">IFERROR(XLOOKUP(B80,'ImportaçãoMeta - Adveronix'!$F:$F,'ImportaçãoMeta - Adveronix'!C:C),"")</f>
        <v>2932</v>
      </c>
      <c r="AF80" s="159">
        <f t="array" ref="AF80">IFERROR(XLOOKUP(B80,'ImportaçãoMeta - Adveronix'!$F:$F,'ImportaçãoMeta - Adveronix'!D:D),"")</f>
        <v>9</v>
      </c>
      <c r="AG80" s="159" t="str">
        <f t="array" ref="AG80">IFERROR(XLOOKUP(B80,'ImportaçãoMeta - Adveronix'!$F:$F,'ImportaçãoMeta - Adveronix'!E:E),"")</f>
        <v/>
      </c>
      <c r="AH80" s="157"/>
      <c r="AI80" s="157"/>
      <c r="AJ80" s="156"/>
      <c r="AK80" s="160">
        <f>IFERROR(COUNTIFS(Leads!$L:$L,$B80,Leads!$F:$F,"*MetaAds"),0)</f>
        <v>0</v>
      </c>
      <c r="AL80" s="160">
        <f>IFERROR(COUNTIFS(Leads!$L:$L,$B80,Leads!$F:$F,"*MetaAds*",Leads!$N:$N,"Sim"),0)</f>
        <v>0</v>
      </c>
    </row>
    <row r="81" ht="15.75" customHeight="1">
      <c r="A81" s="149" t="str">
        <f t="array" ref="A81">XLOOKUP(MONTH(B81),BASE!$F$16:$F$27,BASE!$G$16:$G$27)</f>
        <v>Março</v>
      </c>
      <c r="B81" s="150">
        <v>46102.0</v>
      </c>
      <c r="C81" s="151"/>
      <c r="D81" s="149" t="str">
        <f t="shared" si="4"/>
        <v>sábado</v>
      </c>
      <c r="E81" s="152">
        <f t="shared" ref="E81:J81" si="161">IFERROR(SUM(P81,AB81)," ")</f>
        <v>23.39</v>
      </c>
      <c r="F81" s="152">
        <f t="shared" si="161"/>
        <v>0</v>
      </c>
      <c r="G81" s="152">
        <f t="shared" si="161"/>
        <v>0</v>
      </c>
      <c r="H81" s="153">
        <f t="shared" si="161"/>
        <v>4183</v>
      </c>
      <c r="I81" s="153">
        <f t="shared" si="161"/>
        <v>3</v>
      </c>
      <c r="J81" s="153">
        <f t="shared" si="161"/>
        <v>0</v>
      </c>
      <c r="K81" s="153">
        <f t="shared" ref="K81:O81" si="162">IFERROR(SUM(W81,AH81)," ")</f>
        <v>0</v>
      </c>
      <c r="L81" s="153">
        <f t="shared" si="162"/>
        <v>0</v>
      </c>
      <c r="M81" s="153">
        <f t="shared" si="162"/>
        <v>0</v>
      </c>
      <c r="N81" s="153">
        <f t="shared" si="162"/>
        <v>0</v>
      </c>
      <c r="O81" s="153">
        <f t="shared" si="162"/>
        <v>0</v>
      </c>
      <c r="P81" s="152">
        <f t="array" ref="P81">IFERROR(XLOOKUP(B81,'ImportaçãoGoogleAds - Adveronix'!$F:$F,'ImportaçãoGoogleAds - Adveronix'!$B:$B)," ")</f>
        <v>0</v>
      </c>
      <c r="Q81" s="154"/>
      <c r="R81" s="154"/>
      <c r="S81" s="155">
        <f t="array" ref="S81">IFERROR(XLOOKUP(B81,'ImportaçãoGoogleAds - Adveronix'!$F:$F,'ImportaçãoGoogleAds - Adveronix'!C:C)," ")</f>
        <v>16</v>
      </c>
      <c r="T81" s="155">
        <f t="array" ref="T81">IFERROR(XLOOKUP(B81,'ImportaçãoGoogleAds - Adveronix'!$F:$F,'ImportaçãoGoogleAds - Adveronix'!D:D)," ")</f>
        <v>0</v>
      </c>
      <c r="U81" s="155">
        <f t="array" ref="U81">IFERROR(XLOOKUP(B81,'ImportaçãoGoogleAds - Adveronix'!$F:$F,'ImportaçãoGoogleAds - Adveronix'!E:E)," ")</f>
        <v>0</v>
      </c>
      <c r="V81" s="156"/>
      <c r="W81" s="157"/>
      <c r="X81" s="157"/>
      <c r="Y81" s="158"/>
      <c r="Z81" s="158">
        <f>IFERROR(COUNTIFS(Leads!$L:$L,$B81,Leads!$F:$F,"*google-ads*"),0)</f>
        <v>0</v>
      </c>
      <c r="AA81" s="158">
        <f>IFERROR(COUNTIFS(Leads!$L:$L,$B81,Leads!$F:$F,"*google-ads*",Leads!$N:$N,"Sim"),0)</f>
        <v>0</v>
      </c>
      <c r="AB81" s="152">
        <f t="array" ref="AB81">IFERROR(XLOOKUP(B81,'ImportaçãoMeta - Adveronix'!F:F,'ImportaçãoMeta - Adveronix'!B:B),"")</f>
        <v>23.39</v>
      </c>
      <c r="AC81" s="154"/>
      <c r="AD81" s="154"/>
      <c r="AE81" s="159">
        <f t="array" ref="AE81">IFERROR(XLOOKUP(B81,'ImportaçãoMeta - Adveronix'!$F:$F,'ImportaçãoMeta - Adveronix'!C:C),"")</f>
        <v>4167</v>
      </c>
      <c r="AF81" s="159">
        <f t="array" ref="AF81">IFERROR(XLOOKUP(B81,'ImportaçãoMeta - Adveronix'!$F:$F,'ImportaçãoMeta - Adveronix'!D:D),"")</f>
        <v>3</v>
      </c>
      <c r="AG81" s="159" t="str">
        <f t="array" ref="AG81">IFERROR(XLOOKUP(B81,'ImportaçãoMeta - Adveronix'!$F:$F,'ImportaçãoMeta - Adveronix'!E:E),"")</f>
        <v/>
      </c>
      <c r="AH81" s="157"/>
      <c r="AI81" s="157"/>
      <c r="AJ81" s="156"/>
      <c r="AK81" s="160">
        <f>IFERROR(COUNTIFS(Leads!$L:$L,$B81,Leads!$F:$F,"*MetaAds"),0)</f>
        <v>0</v>
      </c>
      <c r="AL81" s="160">
        <f>IFERROR(COUNTIFS(Leads!$L:$L,$B81,Leads!$F:$F,"*MetaAds*",Leads!$N:$N,"Sim"),0)</f>
        <v>0</v>
      </c>
    </row>
    <row r="82" ht="15.75" customHeight="1">
      <c r="A82" s="149" t="str">
        <f t="array" ref="A82">XLOOKUP(MONTH(B82),BASE!$F$16:$F$27,BASE!$G$16:$G$27)</f>
        <v>Março</v>
      </c>
      <c r="B82" s="150">
        <v>46103.0</v>
      </c>
      <c r="C82" s="151"/>
      <c r="D82" s="149" t="str">
        <f t="shared" si="4"/>
        <v>domingo</v>
      </c>
      <c r="E82" s="152">
        <f t="shared" ref="E82:J82" si="163">IFERROR(SUM(P82,AB82)," ")</f>
        <v>15.09</v>
      </c>
      <c r="F82" s="152">
        <f t="shared" si="163"/>
        <v>0</v>
      </c>
      <c r="G82" s="152">
        <f t="shared" si="163"/>
        <v>0</v>
      </c>
      <c r="H82" s="153">
        <f t="shared" si="163"/>
        <v>2795</v>
      </c>
      <c r="I82" s="153">
        <f t="shared" si="163"/>
        <v>3</v>
      </c>
      <c r="J82" s="153">
        <f t="shared" si="163"/>
        <v>0</v>
      </c>
      <c r="K82" s="153">
        <f t="shared" ref="K82:O82" si="164">IFERROR(SUM(W82,AH82)," ")</f>
        <v>0</v>
      </c>
      <c r="L82" s="153">
        <f t="shared" si="164"/>
        <v>0</v>
      </c>
      <c r="M82" s="153">
        <f t="shared" si="164"/>
        <v>0</v>
      </c>
      <c r="N82" s="153">
        <f t="shared" si="164"/>
        <v>0</v>
      </c>
      <c r="O82" s="153">
        <f t="shared" si="164"/>
        <v>0</v>
      </c>
      <c r="P82" s="152">
        <f t="array" ref="P82">IFERROR(XLOOKUP(B82,'ImportaçãoGoogleAds - Adveronix'!$F:$F,'ImportaçãoGoogleAds - Adveronix'!$B:$B)," ")</f>
        <v>0</v>
      </c>
      <c r="Q82" s="154"/>
      <c r="R82" s="154"/>
      <c r="S82" s="155">
        <f t="array" ref="S82">IFERROR(XLOOKUP(B82,'ImportaçãoGoogleAds - Adveronix'!$F:$F,'ImportaçãoGoogleAds - Adveronix'!C:C)," ")</f>
        <v>7</v>
      </c>
      <c r="T82" s="155">
        <f t="array" ref="T82">IFERROR(XLOOKUP(B82,'ImportaçãoGoogleAds - Adveronix'!$F:$F,'ImportaçãoGoogleAds - Adveronix'!D:D)," ")</f>
        <v>0</v>
      </c>
      <c r="U82" s="155">
        <f t="array" ref="U82">IFERROR(XLOOKUP(B82,'ImportaçãoGoogleAds - Adveronix'!$F:$F,'ImportaçãoGoogleAds - Adveronix'!E:E)," ")</f>
        <v>0</v>
      </c>
      <c r="V82" s="156"/>
      <c r="W82" s="157"/>
      <c r="X82" s="157"/>
      <c r="Y82" s="158"/>
      <c r="Z82" s="158">
        <f>IFERROR(COUNTIFS(Leads!$L:$L,$B82,Leads!$F:$F,"*google-ads*"),0)</f>
        <v>0</v>
      </c>
      <c r="AA82" s="158">
        <f>IFERROR(COUNTIFS(Leads!$L:$L,$B82,Leads!$F:$F,"*google-ads*",Leads!$N:$N,"Sim"),0)</f>
        <v>0</v>
      </c>
      <c r="AB82" s="152">
        <f t="array" ref="AB82">IFERROR(XLOOKUP(B82,'ImportaçãoMeta - Adveronix'!F:F,'ImportaçãoMeta - Adveronix'!B:B),"")</f>
        <v>15.09</v>
      </c>
      <c r="AC82" s="154"/>
      <c r="AD82" s="154"/>
      <c r="AE82" s="159">
        <f t="array" ref="AE82">IFERROR(XLOOKUP(B82,'ImportaçãoMeta - Adveronix'!$F:$F,'ImportaçãoMeta - Adveronix'!C:C),"")</f>
        <v>2788</v>
      </c>
      <c r="AF82" s="159">
        <f t="array" ref="AF82">IFERROR(XLOOKUP(B82,'ImportaçãoMeta - Adveronix'!$F:$F,'ImportaçãoMeta - Adveronix'!D:D),"")</f>
        <v>3</v>
      </c>
      <c r="AG82" s="159" t="str">
        <f t="array" ref="AG82">IFERROR(XLOOKUP(B82,'ImportaçãoMeta - Adveronix'!$F:$F,'ImportaçãoMeta - Adveronix'!E:E),"")</f>
        <v/>
      </c>
      <c r="AH82" s="157"/>
      <c r="AI82" s="157"/>
      <c r="AJ82" s="156"/>
      <c r="AK82" s="160">
        <f>IFERROR(COUNTIFS(Leads!$L:$L,$B82,Leads!$F:$F,"*MetaAds"),0)</f>
        <v>0</v>
      </c>
      <c r="AL82" s="160">
        <f>IFERROR(COUNTIFS(Leads!$L:$L,$B82,Leads!$F:$F,"*MetaAds*",Leads!$N:$N,"Sim"),0)</f>
        <v>0</v>
      </c>
    </row>
    <row r="83" ht="15.75" customHeight="1">
      <c r="A83" s="149" t="str">
        <f t="array" ref="A83">XLOOKUP(MONTH(B83),BASE!$F$16:$F$27,BASE!$G$16:$G$27)</f>
        <v>Março</v>
      </c>
      <c r="B83" s="150">
        <v>46104.0</v>
      </c>
      <c r="C83" s="151"/>
      <c r="D83" s="149" t="str">
        <f t="shared" si="4"/>
        <v>segunda-feira</v>
      </c>
      <c r="E83" s="152">
        <f t="shared" ref="E83:J83" si="165">IFERROR(SUM(P83,AB83)," ")</f>
        <v>19.63</v>
      </c>
      <c r="F83" s="152">
        <f t="shared" si="165"/>
        <v>0</v>
      </c>
      <c r="G83" s="152">
        <f t="shared" si="165"/>
        <v>0</v>
      </c>
      <c r="H83" s="153">
        <f t="shared" si="165"/>
        <v>3103</v>
      </c>
      <c r="I83" s="153">
        <f t="shared" si="165"/>
        <v>3</v>
      </c>
      <c r="J83" s="153">
        <f t="shared" si="165"/>
        <v>0</v>
      </c>
      <c r="K83" s="153">
        <f t="shared" ref="K83:O83" si="166">IFERROR(SUM(W83,AH83)," ")</f>
        <v>0</v>
      </c>
      <c r="L83" s="153">
        <f t="shared" si="166"/>
        <v>0</v>
      </c>
      <c r="M83" s="153">
        <f t="shared" si="166"/>
        <v>0</v>
      </c>
      <c r="N83" s="153">
        <f t="shared" si="166"/>
        <v>0</v>
      </c>
      <c r="O83" s="153">
        <f t="shared" si="166"/>
        <v>0</v>
      </c>
      <c r="P83" s="152">
        <f t="array" ref="P83">IFERROR(XLOOKUP(B83,'ImportaçãoGoogleAds - Adveronix'!$F:$F,'ImportaçãoGoogleAds - Adveronix'!$B:$B)," ")</f>
        <v>0.9</v>
      </c>
      <c r="Q83" s="154"/>
      <c r="R83" s="154"/>
      <c r="S83" s="155">
        <f t="array" ref="S83">IFERROR(XLOOKUP(B83,'ImportaçãoGoogleAds - Adveronix'!$F:$F,'ImportaçãoGoogleAds - Adveronix'!C:C)," ")</f>
        <v>9</v>
      </c>
      <c r="T83" s="155">
        <f t="array" ref="T83">IFERROR(XLOOKUP(B83,'ImportaçãoGoogleAds - Adveronix'!$F:$F,'ImportaçãoGoogleAds - Adveronix'!D:D)," ")</f>
        <v>1</v>
      </c>
      <c r="U83" s="155">
        <f t="array" ref="U83">IFERROR(XLOOKUP(B83,'ImportaçãoGoogleAds - Adveronix'!$F:$F,'ImportaçãoGoogleAds - Adveronix'!E:E)," ")</f>
        <v>0</v>
      </c>
      <c r="V83" s="156"/>
      <c r="W83" s="157"/>
      <c r="X83" s="157"/>
      <c r="Y83" s="158"/>
      <c r="Z83" s="158">
        <f>IFERROR(COUNTIFS(Leads!$L:$L,$B83,Leads!$F:$F,"*google-ads*"),0)</f>
        <v>0</v>
      </c>
      <c r="AA83" s="158">
        <f>IFERROR(COUNTIFS(Leads!$L:$L,$B83,Leads!$F:$F,"*google-ads*",Leads!$N:$N,"Sim"),0)</f>
        <v>0</v>
      </c>
      <c r="AB83" s="152">
        <f t="array" ref="AB83">IFERROR(XLOOKUP(B83,'ImportaçãoMeta - Adveronix'!F:F,'ImportaçãoMeta - Adveronix'!B:B),"")</f>
        <v>18.73</v>
      </c>
      <c r="AC83" s="154"/>
      <c r="AD83" s="154"/>
      <c r="AE83" s="159">
        <f t="array" ref="AE83">IFERROR(XLOOKUP(B83,'ImportaçãoMeta - Adveronix'!$F:$F,'ImportaçãoMeta - Adveronix'!C:C),"")</f>
        <v>3094</v>
      </c>
      <c r="AF83" s="159">
        <f t="array" ref="AF83">IFERROR(XLOOKUP(B83,'ImportaçãoMeta - Adveronix'!$F:$F,'ImportaçãoMeta - Adveronix'!D:D),"")</f>
        <v>2</v>
      </c>
      <c r="AG83" s="159" t="str">
        <f t="array" ref="AG83">IFERROR(XLOOKUP(B83,'ImportaçãoMeta - Adveronix'!$F:$F,'ImportaçãoMeta - Adveronix'!E:E),"")</f>
        <v/>
      </c>
      <c r="AH83" s="157"/>
      <c r="AI83" s="157"/>
      <c r="AJ83" s="156"/>
      <c r="AK83" s="160">
        <f>IFERROR(COUNTIFS(Leads!$L:$L,$B83,Leads!$F:$F,"*MetaAds"),0)</f>
        <v>0</v>
      </c>
      <c r="AL83" s="160">
        <f>IFERROR(COUNTIFS(Leads!$L:$L,$B83,Leads!$F:$F,"*MetaAds*",Leads!$N:$N,"Sim"),0)</f>
        <v>0</v>
      </c>
    </row>
    <row r="84" ht="15.75" customHeight="1">
      <c r="A84" s="149" t="str">
        <f t="array" ref="A84">XLOOKUP(MONTH(B84),BASE!$F$16:$F$27,BASE!$G$16:$G$27)</f>
        <v>Março</v>
      </c>
      <c r="B84" s="150">
        <v>46105.0</v>
      </c>
      <c r="C84" s="151"/>
      <c r="D84" s="149" t="str">
        <f t="shared" si="4"/>
        <v>terça-feira</v>
      </c>
      <c r="E84" s="152">
        <f t="shared" ref="E84:J84" si="167">IFERROR(SUM(P84,AB84)," ")</f>
        <v>63.17</v>
      </c>
      <c r="F84" s="152">
        <f t="shared" si="167"/>
        <v>0</v>
      </c>
      <c r="G84" s="152">
        <f t="shared" si="167"/>
        <v>0</v>
      </c>
      <c r="H84" s="153">
        <f t="shared" si="167"/>
        <v>2756</v>
      </c>
      <c r="I84" s="153">
        <f t="shared" si="167"/>
        <v>4</v>
      </c>
      <c r="J84" s="153">
        <f t="shared" si="167"/>
        <v>0</v>
      </c>
      <c r="K84" s="153">
        <f t="shared" ref="K84:O84" si="168">IFERROR(SUM(W84,AH84)," ")</f>
        <v>0</v>
      </c>
      <c r="L84" s="153">
        <f t="shared" si="168"/>
        <v>0</v>
      </c>
      <c r="M84" s="153">
        <f t="shared" si="168"/>
        <v>0</v>
      </c>
      <c r="N84" s="153">
        <f t="shared" si="168"/>
        <v>0</v>
      </c>
      <c r="O84" s="153">
        <f t="shared" si="168"/>
        <v>0</v>
      </c>
      <c r="P84" s="152">
        <f t="array" ref="P84">IFERROR(XLOOKUP(B84,'ImportaçãoGoogleAds - Adveronix'!$F:$F,'ImportaçãoGoogleAds - Adveronix'!$B:$B)," ")</f>
        <v>43.56</v>
      </c>
      <c r="Q84" s="154"/>
      <c r="R84" s="154"/>
      <c r="S84" s="155">
        <f t="array" ref="S84">IFERROR(XLOOKUP(B84,'ImportaçãoGoogleAds - Adveronix'!$F:$F,'ImportaçãoGoogleAds - Adveronix'!C:C)," ")</f>
        <v>21</v>
      </c>
      <c r="T84" s="155">
        <f t="array" ref="T84">IFERROR(XLOOKUP(B84,'ImportaçãoGoogleAds - Adveronix'!$F:$F,'ImportaçãoGoogleAds - Adveronix'!D:D)," ")</f>
        <v>2</v>
      </c>
      <c r="U84" s="155">
        <f t="array" ref="U84">IFERROR(XLOOKUP(B84,'ImportaçãoGoogleAds - Adveronix'!$F:$F,'ImportaçãoGoogleAds - Adveronix'!E:E)," ")</f>
        <v>0</v>
      </c>
      <c r="V84" s="156"/>
      <c r="W84" s="157"/>
      <c r="X84" s="157"/>
      <c r="Y84" s="158"/>
      <c r="Z84" s="158">
        <f>IFERROR(COUNTIFS(Leads!$L:$L,$B84,Leads!$F:$F,"*google-ads*"),0)</f>
        <v>0</v>
      </c>
      <c r="AA84" s="158">
        <f>IFERROR(COUNTIFS(Leads!$L:$L,$B84,Leads!$F:$F,"*google-ads*",Leads!$N:$N,"Sim"),0)</f>
        <v>0</v>
      </c>
      <c r="AB84" s="152">
        <f t="array" ref="AB84">IFERROR(XLOOKUP(B84,'ImportaçãoMeta - Adveronix'!F:F,'ImportaçãoMeta - Adveronix'!B:B),"")</f>
        <v>19.61</v>
      </c>
      <c r="AC84" s="154"/>
      <c r="AD84" s="154"/>
      <c r="AE84" s="159">
        <f t="array" ref="AE84">IFERROR(XLOOKUP(B84,'ImportaçãoMeta - Adveronix'!$F:$F,'ImportaçãoMeta - Adveronix'!C:C),"")</f>
        <v>2735</v>
      </c>
      <c r="AF84" s="159">
        <f t="array" ref="AF84">IFERROR(XLOOKUP(B84,'ImportaçãoMeta - Adveronix'!$F:$F,'ImportaçãoMeta - Adveronix'!D:D),"")</f>
        <v>2</v>
      </c>
      <c r="AG84" s="159" t="str">
        <f t="array" ref="AG84">IFERROR(XLOOKUP(B84,'ImportaçãoMeta - Adveronix'!$F:$F,'ImportaçãoMeta - Adveronix'!E:E),"")</f>
        <v/>
      </c>
      <c r="AH84" s="157"/>
      <c r="AI84" s="157"/>
      <c r="AJ84" s="156"/>
      <c r="AK84" s="160">
        <f>IFERROR(COUNTIFS(Leads!$L:$L,$B84,Leads!$F:$F,"*MetaAds"),0)</f>
        <v>0</v>
      </c>
      <c r="AL84" s="160">
        <f>IFERROR(COUNTIFS(Leads!$L:$L,$B84,Leads!$F:$F,"*MetaAds*",Leads!$N:$N,"Sim"),0)</f>
        <v>0</v>
      </c>
    </row>
    <row r="85" ht="15.75" customHeight="1">
      <c r="A85" s="149" t="str">
        <f t="array" ref="A85">XLOOKUP(MONTH(B85),BASE!$F$16:$F$27,BASE!$G$16:$G$27)</f>
        <v>Março</v>
      </c>
      <c r="B85" s="150">
        <v>46106.0</v>
      </c>
      <c r="C85" s="151"/>
      <c r="D85" s="149" t="str">
        <f t="shared" si="4"/>
        <v>quarta-feira</v>
      </c>
      <c r="E85" s="152">
        <f t="shared" ref="E85:J85" si="169">IFERROR(SUM(P85,AB85)," ")</f>
        <v>28.69</v>
      </c>
      <c r="F85" s="152">
        <f t="shared" si="169"/>
        <v>0</v>
      </c>
      <c r="G85" s="152">
        <f t="shared" si="169"/>
        <v>0</v>
      </c>
      <c r="H85" s="153">
        <f t="shared" si="169"/>
        <v>4089</v>
      </c>
      <c r="I85" s="153">
        <f t="shared" si="169"/>
        <v>5</v>
      </c>
      <c r="J85" s="153">
        <f t="shared" si="169"/>
        <v>0</v>
      </c>
      <c r="K85" s="153">
        <f t="shared" ref="K85:O85" si="170">IFERROR(SUM(W85,AH85)," ")</f>
        <v>0</v>
      </c>
      <c r="L85" s="153">
        <f t="shared" si="170"/>
        <v>0</v>
      </c>
      <c r="M85" s="153">
        <f t="shared" si="170"/>
        <v>0</v>
      </c>
      <c r="N85" s="153">
        <f t="shared" si="170"/>
        <v>0</v>
      </c>
      <c r="O85" s="153">
        <f t="shared" si="170"/>
        <v>0</v>
      </c>
      <c r="P85" s="152">
        <f t="array" ref="P85">IFERROR(XLOOKUP(B85,'ImportaçãoGoogleAds - Adveronix'!$F:$F,'ImportaçãoGoogleAds - Adveronix'!$B:$B)," ")</f>
        <v>1.37</v>
      </c>
      <c r="Q85" s="154"/>
      <c r="R85" s="154"/>
      <c r="S85" s="155">
        <f t="array" ref="S85">IFERROR(XLOOKUP(B85,'ImportaçãoGoogleAds - Adveronix'!$F:$F,'ImportaçãoGoogleAds - Adveronix'!C:C)," ")</f>
        <v>11</v>
      </c>
      <c r="T85" s="155">
        <f t="array" ref="T85">IFERROR(XLOOKUP(B85,'ImportaçãoGoogleAds - Adveronix'!$F:$F,'ImportaçãoGoogleAds - Adveronix'!D:D)," ")</f>
        <v>1</v>
      </c>
      <c r="U85" s="155">
        <f t="array" ref="U85">IFERROR(XLOOKUP(B85,'ImportaçãoGoogleAds - Adveronix'!$F:$F,'ImportaçãoGoogleAds - Adveronix'!E:E)," ")</f>
        <v>0</v>
      </c>
      <c r="V85" s="156"/>
      <c r="W85" s="157"/>
      <c r="X85" s="157"/>
      <c r="Y85" s="158"/>
      <c r="Z85" s="158">
        <f>IFERROR(COUNTIFS(Leads!$L:$L,$B85,Leads!$F:$F,"*google-ads*"),0)</f>
        <v>0</v>
      </c>
      <c r="AA85" s="158">
        <f>IFERROR(COUNTIFS(Leads!$L:$L,$B85,Leads!$F:$F,"*google-ads*",Leads!$N:$N,"Sim"),0)</f>
        <v>0</v>
      </c>
      <c r="AB85" s="152">
        <f t="array" ref="AB85">IFERROR(XLOOKUP(B85,'ImportaçãoMeta - Adveronix'!F:F,'ImportaçãoMeta - Adveronix'!B:B),"")</f>
        <v>27.32</v>
      </c>
      <c r="AC85" s="154"/>
      <c r="AD85" s="154"/>
      <c r="AE85" s="159">
        <f t="array" ref="AE85">IFERROR(XLOOKUP(B85,'ImportaçãoMeta - Adveronix'!$F:$F,'ImportaçãoMeta - Adveronix'!C:C),"")</f>
        <v>4078</v>
      </c>
      <c r="AF85" s="159">
        <f t="array" ref="AF85">IFERROR(XLOOKUP(B85,'ImportaçãoMeta - Adveronix'!$F:$F,'ImportaçãoMeta - Adveronix'!D:D),"")</f>
        <v>4</v>
      </c>
      <c r="AG85" s="159" t="str">
        <f t="array" ref="AG85">IFERROR(XLOOKUP(B85,'ImportaçãoMeta - Adveronix'!$F:$F,'ImportaçãoMeta - Adveronix'!E:E),"")</f>
        <v/>
      </c>
      <c r="AH85" s="157"/>
      <c r="AI85" s="157"/>
      <c r="AJ85" s="156"/>
      <c r="AK85" s="160">
        <f>IFERROR(COUNTIFS(Leads!$L:$L,$B85,Leads!$F:$F,"*MetaAds"),0)</f>
        <v>0</v>
      </c>
      <c r="AL85" s="160">
        <f>IFERROR(COUNTIFS(Leads!$L:$L,$B85,Leads!$F:$F,"*MetaAds*",Leads!$N:$N,"Sim"),0)</f>
        <v>0</v>
      </c>
    </row>
    <row r="86" ht="15.75" customHeight="1">
      <c r="A86" s="149" t="str">
        <f t="array" ref="A86">XLOOKUP(MONTH(B86),BASE!$F$16:$F$27,BASE!$G$16:$G$27)</f>
        <v>Março</v>
      </c>
      <c r="B86" s="150">
        <v>46107.0</v>
      </c>
      <c r="C86" s="151"/>
      <c r="D86" s="149" t="str">
        <f t="shared" si="4"/>
        <v>quinta-feira</v>
      </c>
      <c r="E86" s="152">
        <f t="shared" ref="E86:J86" si="171">IFERROR(SUM(P86,AB86)," ")</f>
        <v>29.17</v>
      </c>
      <c r="F86" s="152">
        <f t="shared" si="171"/>
        <v>0</v>
      </c>
      <c r="G86" s="152">
        <f t="shared" si="171"/>
        <v>0</v>
      </c>
      <c r="H86" s="153">
        <f t="shared" si="171"/>
        <v>5458</v>
      </c>
      <c r="I86" s="153">
        <f t="shared" si="171"/>
        <v>8</v>
      </c>
      <c r="J86" s="153">
        <f t="shared" si="171"/>
        <v>0</v>
      </c>
      <c r="K86" s="153">
        <f t="shared" ref="K86:O86" si="172">IFERROR(SUM(W86,AH86)," ")</f>
        <v>0</v>
      </c>
      <c r="L86" s="153">
        <f t="shared" si="172"/>
        <v>0</v>
      </c>
      <c r="M86" s="153">
        <f t="shared" si="172"/>
        <v>0</v>
      </c>
      <c r="N86" s="153">
        <f t="shared" si="172"/>
        <v>0</v>
      </c>
      <c r="O86" s="153">
        <f t="shared" si="172"/>
        <v>0</v>
      </c>
      <c r="P86" s="152">
        <f t="array" ref="P86">IFERROR(XLOOKUP(B86,'ImportaçãoGoogleAds - Adveronix'!$F:$F,'ImportaçãoGoogleAds - Adveronix'!$B:$B)," ")</f>
        <v>0.4</v>
      </c>
      <c r="Q86" s="154"/>
      <c r="R86" s="154"/>
      <c r="S86" s="155">
        <f t="array" ref="S86">IFERROR(XLOOKUP(B86,'ImportaçãoGoogleAds - Adveronix'!$F:$F,'ImportaçãoGoogleAds - Adveronix'!C:C)," ")</f>
        <v>22</v>
      </c>
      <c r="T86" s="155">
        <f t="array" ref="T86">IFERROR(XLOOKUP(B86,'ImportaçãoGoogleAds - Adveronix'!$F:$F,'ImportaçãoGoogleAds - Adveronix'!D:D)," ")</f>
        <v>1</v>
      </c>
      <c r="U86" s="155">
        <f t="array" ref="U86">IFERROR(XLOOKUP(B86,'ImportaçãoGoogleAds - Adveronix'!$F:$F,'ImportaçãoGoogleAds - Adveronix'!E:E)," ")</f>
        <v>0</v>
      </c>
      <c r="V86" s="156"/>
      <c r="W86" s="157"/>
      <c r="X86" s="157"/>
      <c r="Y86" s="158"/>
      <c r="Z86" s="158">
        <f>IFERROR(COUNTIFS(Leads!$L:$L,$B86,Leads!$F:$F,"*google-ads*"),0)</f>
        <v>0</v>
      </c>
      <c r="AA86" s="158">
        <f>IFERROR(COUNTIFS(Leads!$L:$L,$B86,Leads!$F:$F,"*google-ads*",Leads!$N:$N,"Sim"),0)</f>
        <v>0</v>
      </c>
      <c r="AB86" s="152">
        <f t="array" ref="AB86">IFERROR(XLOOKUP(B86,'ImportaçãoMeta - Adveronix'!F:F,'ImportaçãoMeta - Adveronix'!B:B),"")</f>
        <v>28.77</v>
      </c>
      <c r="AC86" s="154"/>
      <c r="AD86" s="154"/>
      <c r="AE86" s="159">
        <f t="array" ref="AE86">IFERROR(XLOOKUP(B86,'ImportaçãoMeta - Adveronix'!$F:$F,'ImportaçãoMeta - Adveronix'!C:C),"")</f>
        <v>5436</v>
      </c>
      <c r="AF86" s="159">
        <f t="array" ref="AF86">IFERROR(XLOOKUP(B86,'ImportaçãoMeta - Adveronix'!$F:$F,'ImportaçãoMeta - Adveronix'!D:D),"")</f>
        <v>7</v>
      </c>
      <c r="AG86" s="159" t="str">
        <f t="array" ref="AG86">IFERROR(XLOOKUP(B86,'ImportaçãoMeta - Adveronix'!$F:$F,'ImportaçãoMeta - Adveronix'!E:E),"")</f>
        <v/>
      </c>
      <c r="AH86" s="157"/>
      <c r="AI86" s="157"/>
      <c r="AJ86" s="156"/>
      <c r="AK86" s="160">
        <f>IFERROR(COUNTIFS(Leads!$L:$L,$B86,Leads!$F:$F,"*MetaAds"),0)</f>
        <v>0</v>
      </c>
      <c r="AL86" s="160">
        <f>IFERROR(COUNTIFS(Leads!$L:$L,$B86,Leads!$F:$F,"*MetaAds*",Leads!$N:$N,"Sim"),0)</f>
        <v>0</v>
      </c>
    </row>
    <row r="87" ht="15.75" customHeight="1">
      <c r="A87" s="149" t="str">
        <f t="array" ref="A87">XLOOKUP(MONTH(B87),BASE!$F$16:$F$27,BASE!$G$16:$G$27)</f>
        <v>Março</v>
      </c>
      <c r="B87" s="150">
        <v>46108.0</v>
      </c>
      <c r="C87" s="151"/>
      <c r="D87" s="149" t="str">
        <f t="shared" si="4"/>
        <v>sexta-feira</v>
      </c>
      <c r="E87" s="152">
        <f t="shared" ref="E87:J87" si="173">IFERROR(SUM(P87,AB87)," ")</f>
        <v>25.41</v>
      </c>
      <c r="F87" s="152">
        <f t="shared" si="173"/>
        <v>0</v>
      </c>
      <c r="G87" s="152">
        <f t="shared" si="173"/>
        <v>0</v>
      </c>
      <c r="H87" s="153">
        <f t="shared" si="173"/>
        <v>4658</v>
      </c>
      <c r="I87" s="153">
        <f t="shared" si="173"/>
        <v>6</v>
      </c>
      <c r="J87" s="153">
        <f t="shared" si="173"/>
        <v>0</v>
      </c>
      <c r="K87" s="153">
        <f t="shared" ref="K87:O87" si="174">IFERROR(SUM(W87,AH87)," ")</f>
        <v>0</v>
      </c>
      <c r="L87" s="153">
        <f t="shared" si="174"/>
        <v>0</v>
      </c>
      <c r="M87" s="153">
        <f t="shared" si="174"/>
        <v>0</v>
      </c>
      <c r="N87" s="153">
        <f t="shared" si="174"/>
        <v>0</v>
      </c>
      <c r="O87" s="153">
        <f t="shared" si="174"/>
        <v>0</v>
      </c>
      <c r="P87" s="152">
        <f t="array" ref="P87">IFERROR(XLOOKUP(B87,'ImportaçãoGoogleAds - Adveronix'!$F:$F,'ImportaçãoGoogleAds - Adveronix'!$B:$B)," ")</f>
        <v>2.46</v>
      </c>
      <c r="Q87" s="154"/>
      <c r="R87" s="154"/>
      <c r="S87" s="155">
        <f t="array" ref="S87">IFERROR(XLOOKUP(B87,'ImportaçãoGoogleAds - Adveronix'!$F:$F,'ImportaçãoGoogleAds - Adveronix'!C:C)," ")</f>
        <v>13</v>
      </c>
      <c r="T87" s="155">
        <f t="array" ref="T87">IFERROR(XLOOKUP(B87,'ImportaçãoGoogleAds - Adveronix'!$F:$F,'ImportaçãoGoogleAds - Adveronix'!D:D)," ")</f>
        <v>1</v>
      </c>
      <c r="U87" s="155">
        <f t="array" ref="U87">IFERROR(XLOOKUP(B87,'ImportaçãoGoogleAds - Adveronix'!$F:$F,'ImportaçãoGoogleAds - Adveronix'!E:E)," ")</f>
        <v>0</v>
      </c>
      <c r="V87" s="156"/>
      <c r="W87" s="157"/>
      <c r="X87" s="157"/>
      <c r="Y87" s="158"/>
      <c r="Z87" s="158">
        <f>IFERROR(COUNTIFS(Leads!$L:$L,$B87,Leads!$F:$F,"*google-ads*"),0)</f>
        <v>0</v>
      </c>
      <c r="AA87" s="158">
        <f>IFERROR(COUNTIFS(Leads!$L:$L,$B87,Leads!$F:$F,"*google-ads*",Leads!$N:$N,"Sim"),0)</f>
        <v>0</v>
      </c>
      <c r="AB87" s="152">
        <f t="array" ref="AB87">IFERROR(XLOOKUP(B87,'ImportaçãoMeta - Adveronix'!F:F,'ImportaçãoMeta - Adveronix'!B:B),"")</f>
        <v>22.95</v>
      </c>
      <c r="AC87" s="154"/>
      <c r="AD87" s="154"/>
      <c r="AE87" s="159">
        <f t="array" ref="AE87">IFERROR(XLOOKUP(B87,'ImportaçãoMeta - Adveronix'!$F:$F,'ImportaçãoMeta - Adveronix'!C:C),"")</f>
        <v>4645</v>
      </c>
      <c r="AF87" s="159">
        <f t="array" ref="AF87">IFERROR(XLOOKUP(B87,'ImportaçãoMeta - Adveronix'!$F:$F,'ImportaçãoMeta - Adveronix'!D:D),"")</f>
        <v>5</v>
      </c>
      <c r="AG87" s="159" t="str">
        <f t="array" ref="AG87">IFERROR(XLOOKUP(B87,'ImportaçãoMeta - Adveronix'!$F:$F,'ImportaçãoMeta - Adveronix'!E:E),"")</f>
        <v/>
      </c>
      <c r="AH87" s="157"/>
      <c r="AI87" s="157"/>
      <c r="AJ87" s="156"/>
      <c r="AK87" s="160">
        <f>IFERROR(COUNTIFS(Leads!$L:$L,$B87,Leads!$F:$F,"*MetaAds"),0)</f>
        <v>0</v>
      </c>
      <c r="AL87" s="160">
        <f>IFERROR(COUNTIFS(Leads!$L:$L,$B87,Leads!$F:$F,"*MetaAds*",Leads!$N:$N,"Sim"),0)</f>
        <v>0</v>
      </c>
    </row>
    <row r="88" ht="15.75" customHeight="1">
      <c r="A88" s="149" t="str">
        <f t="array" ref="A88">XLOOKUP(MONTH(B88),BASE!$F$16:$F$27,BASE!$G$16:$G$27)</f>
        <v>Março</v>
      </c>
      <c r="B88" s="150">
        <v>46109.0</v>
      </c>
      <c r="C88" s="151"/>
      <c r="D88" s="149" t="str">
        <f t="shared" si="4"/>
        <v>sábado</v>
      </c>
      <c r="E88" s="152">
        <f t="shared" ref="E88:J88" si="175">IFERROR(SUM(P88,AB88)," ")</f>
        <v>27.15</v>
      </c>
      <c r="F88" s="152">
        <f t="shared" si="175"/>
        <v>0</v>
      </c>
      <c r="G88" s="152">
        <f t="shared" si="175"/>
        <v>0</v>
      </c>
      <c r="H88" s="153">
        <f t="shared" si="175"/>
        <v>4780</v>
      </c>
      <c r="I88" s="153">
        <f t="shared" si="175"/>
        <v>6</v>
      </c>
      <c r="J88" s="153">
        <f t="shared" si="175"/>
        <v>0</v>
      </c>
      <c r="K88" s="153">
        <f t="shared" ref="K88:O88" si="176">IFERROR(SUM(W88,AH88)," ")</f>
        <v>0</v>
      </c>
      <c r="L88" s="153">
        <f t="shared" si="176"/>
        <v>0</v>
      </c>
      <c r="M88" s="153">
        <f t="shared" si="176"/>
        <v>0</v>
      </c>
      <c r="N88" s="153">
        <f t="shared" si="176"/>
        <v>0</v>
      </c>
      <c r="O88" s="153">
        <f t="shared" si="176"/>
        <v>0</v>
      </c>
      <c r="P88" s="152">
        <f t="array" ref="P88">IFERROR(XLOOKUP(B88,'ImportaçãoGoogleAds - Adveronix'!$F:$F,'ImportaçãoGoogleAds - Adveronix'!$B:$B)," ")</f>
        <v>0</v>
      </c>
      <c r="Q88" s="154"/>
      <c r="R88" s="154"/>
      <c r="S88" s="155">
        <f t="array" ref="S88">IFERROR(XLOOKUP(B88,'ImportaçãoGoogleAds - Adveronix'!$F:$F,'ImportaçãoGoogleAds - Adveronix'!C:C)," ")</f>
        <v>3</v>
      </c>
      <c r="T88" s="155">
        <f t="array" ref="T88">IFERROR(XLOOKUP(B88,'ImportaçãoGoogleAds - Adveronix'!$F:$F,'ImportaçãoGoogleAds - Adveronix'!D:D)," ")</f>
        <v>0</v>
      </c>
      <c r="U88" s="155">
        <f t="array" ref="U88">IFERROR(XLOOKUP(B88,'ImportaçãoGoogleAds - Adveronix'!$F:$F,'ImportaçãoGoogleAds - Adveronix'!E:E)," ")</f>
        <v>0</v>
      </c>
      <c r="V88" s="156"/>
      <c r="W88" s="157"/>
      <c r="X88" s="157"/>
      <c r="Y88" s="158"/>
      <c r="Z88" s="158">
        <f>IFERROR(COUNTIFS(Leads!$L:$L,$B88,Leads!$F:$F,"*google-ads*"),0)</f>
        <v>0</v>
      </c>
      <c r="AA88" s="158">
        <f>IFERROR(COUNTIFS(Leads!$L:$L,$B88,Leads!$F:$F,"*google-ads*",Leads!$N:$N,"Sim"),0)</f>
        <v>0</v>
      </c>
      <c r="AB88" s="152">
        <f t="array" ref="AB88">IFERROR(XLOOKUP(B88,'ImportaçãoMeta - Adveronix'!F:F,'ImportaçãoMeta - Adveronix'!B:B),"")</f>
        <v>27.15</v>
      </c>
      <c r="AC88" s="154"/>
      <c r="AD88" s="154"/>
      <c r="AE88" s="159">
        <f t="array" ref="AE88">IFERROR(XLOOKUP(B88,'ImportaçãoMeta - Adveronix'!$F:$F,'ImportaçãoMeta - Adveronix'!C:C),"")</f>
        <v>4777</v>
      </c>
      <c r="AF88" s="159">
        <f t="array" ref="AF88">IFERROR(XLOOKUP(B88,'ImportaçãoMeta - Adveronix'!$F:$F,'ImportaçãoMeta - Adveronix'!D:D),"")</f>
        <v>6</v>
      </c>
      <c r="AG88" s="159" t="str">
        <f t="array" ref="AG88">IFERROR(XLOOKUP(B88,'ImportaçãoMeta - Adveronix'!$F:$F,'ImportaçãoMeta - Adveronix'!E:E),"")</f>
        <v/>
      </c>
      <c r="AH88" s="157"/>
      <c r="AI88" s="157"/>
      <c r="AJ88" s="156"/>
      <c r="AK88" s="160">
        <f>IFERROR(COUNTIFS(Leads!$L:$L,$B88,Leads!$F:$F,"*MetaAds"),0)</f>
        <v>0</v>
      </c>
      <c r="AL88" s="160">
        <f>IFERROR(COUNTIFS(Leads!$L:$L,$B88,Leads!$F:$F,"*MetaAds*",Leads!$N:$N,"Sim"),0)</f>
        <v>0</v>
      </c>
    </row>
    <row r="89" ht="15.75" customHeight="1">
      <c r="A89" s="149" t="str">
        <f t="array" ref="A89">XLOOKUP(MONTH(B89),BASE!$F$16:$F$27,BASE!$G$16:$G$27)</f>
        <v>Março</v>
      </c>
      <c r="B89" s="150">
        <v>46110.0</v>
      </c>
      <c r="C89" s="151"/>
      <c r="D89" s="149" t="str">
        <f t="shared" si="4"/>
        <v>domingo</v>
      </c>
      <c r="E89" s="152">
        <f t="shared" ref="E89:J89" si="177">IFERROR(SUM(P89,AB89)," ")</f>
        <v>30.51</v>
      </c>
      <c r="F89" s="152">
        <f t="shared" si="177"/>
        <v>0</v>
      </c>
      <c r="G89" s="152">
        <f t="shared" si="177"/>
        <v>0</v>
      </c>
      <c r="H89" s="153">
        <f t="shared" si="177"/>
        <v>6062</v>
      </c>
      <c r="I89" s="153">
        <f t="shared" si="177"/>
        <v>11</v>
      </c>
      <c r="J89" s="153">
        <f t="shared" si="177"/>
        <v>0</v>
      </c>
      <c r="K89" s="153">
        <f t="shared" ref="K89:O89" si="178">IFERROR(SUM(W89,AH89)," ")</f>
        <v>0</v>
      </c>
      <c r="L89" s="153">
        <f t="shared" si="178"/>
        <v>0</v>
      </c>
      <c r="M89" s="153">
        <f t="shared" si="178"/>
        <v>0</v>
      </c>
      <c r="N89" s="153">
        <f t="shared" si="178"/>
        <v>0</v>
      </c>
      <c r="O89" s="153">
        <f t="shared" si="178"/>
        <v>0</v>
      </c>
      <c r="P89" s="152">
        <f t="array" ref="P89">IFERROR(XLOOKUP(B89,'ImportaçãoGoogleAds - Adveronix'!$F:$F,'ImportaçãoGoogleAds - Adveronix'!$B:$B)," ")</f>
        <v>0.77</v>
      </c>
      <c r="Q89" s="154"/>
      <c r="R89" s="154"/>
      <c r="S89" s="155">
        <f t="array" ref="S89">IFERROR(XLOOKUP(B89,'ImportaçãoGoogleAds - Adveronix'!$F:$F,'ImportaçãoGoogleAds - Adveronix'!C:C)," ")</f>
        <v>10</v>
      </c>
      <c r="T89" s="155">
        <f t="array" ref="T89">IFERROR(XLOOKUP(B89,'ImportaçãoGoogleAds - Adveronix'!$F:$F,'ImportaçãoGoogleAds - Adveronix'!D:D)," ")</f>
        <v>1</v>
      </c>
      <c r="U89" s="155">
        <f t="array" ref="U89">IFERROR(XLOOKUP(B89,'ImportaçãoGoogleAds - Adveronix'!$F:$F,'ImportaçãoGoogleAds - Adveronix'!E:E)," ")</f>
        <v>0</v>
      </c>
      <c r="V89" s="156"/>
      <c r="W89" s="157"/>
      <c r="X89" s="157"/>
      <c r="Y89" s="158"/>
      <c r="Z89" s="158">
        <f>IFERROR(COUNTIFS(Leads!$L:$L,$B89,Leads!$F:$F,"*google-ads*"),0)</f>
        <v>0</v>
      </c>
      <c r="AA89" s="158">
        <f>IFERROR(COUNTIFS(Leads!$L:$L,$B89,Leads!$F:$F,"*google-ads*",Leads!$N:$N,"Sim"),0)</f>
        <v>0</v>
      </c>
      <c r="AB89" s="152">
        <f t="array" ref="AB89">IFERROR(XLOOKUP(B89,'ImportaçãoMeta - Adveronix'!F:F,'ImportaçãoMeta - Adveronix'!B:B),"")</f>
        <v>29.74</v>
      </c>
      <c r="AC89" s="154"/>
      <c r="AD89" s="154"/>
      <c r="AE89" s="159">
        <f t="array" ref="AE89">IFERROR(XLOOKUP(B89,'ImportaçãoMeta - Adveronix'!$F:$F,'ImportaçãoMeta - Adveronix'!C:C),"")</f>
        <v>6052</v>
      </c>
      <c r="AF89" s="159">
        <f t="array" ref="AF89">IFERROR(XLOOKUP(B89,'ImportaçãoMeta - Adveronix'!$F:$F,'ImportaçãoMeta - Adveronix'!D:D),"")</f>
        <v>10</v>
      </c>
      <c r="AG89" s="159" t="str">
        <f t="array" ref="AG89">IFERROR(XLOOKUP(B89,'ImportaçãoMeta - Adveronix'!$F:$F,'ImportaçãoMeta - Adveronix'!E:E),"")</f>
        <v/>
      </c>
      <c r="AH89" s="157"/>
      <c r="AI89" s="157"/>
      <c r="AJ89" s="156"/>
      <c r="AK89" s="160">
        <f>IFERROR(COUNTIFS(Leads!$L:$L,$B89,Leads!$F:$F,"*MetaAds"),0)</f>
        <v>0</v>
      </c>
      <c r="AL89" s="160">
        <f>IFERROR(COUNTIFS(Leads!$L:$L,$B89,Leads!$F:$F,"*MetaAds*",Leads!$N:$N,"Sim"),0)</f>
        <v>0</v>
      </c>
    </row>
    <row r="90" ht="15.75" customHeight="1">
      <c r="A90" s="149" t="str">
        <f t="array" ref="A90">XLOOKUP(MONTH(B90),BASE!$F$16:$F$27,BASE!$G$16:$G$27)</f>
        <v>Março</v>
      </c>
      <c r="B90" s="150">
        <v>46111.0</v>
      </c>
      <c r="C90" s="151"/>
      <c r="D90" s="149" t="str">
        <f t="shared" si="4"/>
        <v>segunda-feira</v>
      </c>
      <c r="E90" s="152">
        <f t="shared" ref="E90:J90" si="179">IFERROR(SUM(P90,AB90)," ")</f>
        <v>28.07</v>
      </c>
      <c r="F90" s="152">
        <f t="shared" si="179"/>
        <v>0</v>
      </c>
      <c r="G90" s="152">
        <f t="shared" si="179"/>
        <v>0</v>
      </c>
      <c r="H90" s="153">
        <f t="shared" si="179"/>
        <v>5273</v>
      </c>
      <c r="I90" s="153">
        <f t="shared" si="179"/>
        <v>5</v>
      </c>
      <c r="J90" s="153">
        <f t="shared" si="179"/>
        <v>0</v>
      </c>
      <c r="K90" s="153">
        <f t="shared" ref="K90:O90" si="180">IFERROR(SUM(W90,AH90)," ")</f>
        <v>0</v>
      </c>
      <c r="L90" s="153">
        <f t="shared" si="180"/>
        <v>0</v>
      </c>
      <c r="M90" s="153">
        <f t="shared" si="180"/>
        <v>0</v>
      </c>
      <c r="N90" s="153">
        <f t="shared" si="180"/>
        <v>0</v>
      </c>
      <c r="O90" s="153">
        <f t="shared" si="180"/>
        <v>0</v>
      </c>
      <c r="P90" s="152">
        <f t="array" ref="P90">IFERROR(XLOOKUP(B90,'ImportaçãoGoogleAds - Adveronix'!$F:$F,'ImportaçãoGoogleAds - Adveronix'!$B:$B)," ")</f>
        <v>0.8</v>
      </c>
      <c r="Q90" s="154"/>
      <c r="R90" s="154"/>
      <c r="S90" s="155">
        <f t="array" ref="S90">IFERROR(XLOOKUP(B90,'ImportaçãoGoogleAds - Adveronix'!$F:$F,'ImportaçãoGoogleAds - Adveronix'!C:C)," ")</f>
        <v>4</v>
      </c>
      <c r="T90" s="155">
        <f t="array" ref="T90">IFERROR(XLOOKUP(B90,'ImportaçãoGoogleAds - Adveronix'!$F:$F,'ImportaçãoGoogleAds - Adveronix'!D:D)," ")</f>
        <v>1</v>
      </c>
      <c r="U90" s="155">
        <f t="array" ref="U90">IFERROR(XLOOKUP(B90,'ImportaçãoGoogleAds - Adveronix'!$F:$F,'ImportaçãoGoogleAds - Adveronix'!E:E)," ")</f>
        <v>0</v>
      </c>
      <c r="V90" s="156"/>
      <c r="W90" s="157"/>
      <c r="X90" s="157"/>
      <c r="Y90" s="158"/>
      <c r="Z90" s="158">
        <f>IFERROR(COUNTIFS(Leads!$L:$L,$B90,Leads!$F:$F,"*google-ads*"),0)</f>
        <v>0</v>
      </c>
      <c r="AA90" s="158">
        <f>IFERROR(COUNTIFS(Leads!$L:$L,$B90,Leads!$F:$F,"*google-ads*",Leads!$N:$N,"Sim"),0)</f>
        <v>0</v>
      </c>
      <c r="AB90" s="152">
        <f t="array" ref="AB90">IFERROR(XLOOKUP(B90,'ImportaçãoMeta - Adveronix'!F:F,'ImportaçãoMeta - Adveronix'!B:B),"")</f>
        <v>27.27</v>
      </c>
      <c r="AC90" s="154"/>
      <c r="AD90" s="154"/>
      <c r="AE90" s="159">
        <f t="array" ref="AE90">IFERROR(XLOOKUP(B90,'ImportaçãoMeta - Adveronix'!$F:$F,'ImportaçãoMeta - Adveronix'!C:C),"")</f>
        <v>5269</v>
      </c>
      <c r="AF90" s="159">
        <f t="array" ref="AF90">IFERROR(XLOOKUP(B90,'ImportaçãoMeta - Adveronix'!$F:$F,'ImportaçãoMeta - Adveronix'!D:D),"")</f>
        <v>4</v>
      </c>
      <c r="AG90" s="159" t="str">
        <f t="array" ref="AG90">IFERROR(XLOOKUP(B90,'ImportaçãoMeta - Adveronix'!$F:$F,'ImportaçãoMeta - Adveronix'!E:E),"")</f>
        <v/>
      </c>
      <c r="AH90" s="157"/>
      <c r="AI90" s="157"/>
      <c r="AJ90" s="156"/>
      <c r="AK90" s="160">
        <f>IFERROR(COUNTIFS(Leads!$L:$L,$B90,Leads!$F:$F,"*MetaAds"),0)</f>
        <v>0</v>
      </c>
      <c r="AL90" s="160">
        <f>IFERROR(COUNTIFS(Leads!$L:$L,$B90,Leads!$F:$F,"*MetaAds*",Leads!$N:$N,"Sim"),0)</f>
        <v>0</v>
      </c>
    </row>
    <row r="91" ht="15.75" customHeight="1">
      <c r="A91" s="149" t="str">
        <f t="array" ref="A91">XLOOKUP(MONTH(B91),BASE!$F$16:$F$27,BASE!$G$16:$G$27)</f>
        <v>Março</v>
      </c>
      <c r="B91" s="150">
        <v>46112.0</v>
      </c>
      <c r="C91" s="151"/>
      <c r="D91" s="149" t="str">
        <f t="shared" si="4"/>
        <v>terça-feira</v>
      </c>
      <c r="E91" s="152">
        <f t="shared" ref="E91:J91" si="181">IFERROR(SUM(P91,AB91)," ")</f>
        <v>36.2</v>
      </c>
      <c r="F91" s="152">
        <f t="shared" si="181"/>
        <v>0</v>
      </c>
      <c r="G91" s="152">
        <f t="shared" si="181"/>
        <v>0</v>
      </c>
      <c r="H91" s="153">
        <f t="shared" si="181"/>
        <v>6394</v>
      </c>
      <c r="I91" s="153">
        <f t="shared" si="181"/>
        <v>16</v>
      </c>
      <c r="J91" s="153">
        <f t="shared" si="181"/>
        <v>0</v>
      </c>
      <c r="K91" s="153">
        <f t="shared" ref="K91:O91" si="182">IFERROR(SUM(W91,AH91)," ")</f>
        <v>0</v>
      </c>
      <c r="L91" s="153">
        <f t="shared" si="182"/>
        <v>0</v>
      </c>
      <c r="M91" s="153">
        <f t="shared" si="182"/>
        <v>0</v>
      </c>
      <c r="N91" s="153">
        <f t="shared" si="182"/>
        <v>0</v>
      </c>
      <c r="O91" s="153">
        <f t="shared" si="182"/>
        <v>0</v>
      </c>
      <c r="P91" s="152">
        <f t="array" ref="P91">IFERROR(XLOOKUP(B91,'ImportaçãoGoogleAds - Adveronix'!$F:$F,'ImportaçãoGoogleAds - Adveronix'!$B:$B)," ")</f>
        <v>2.73</v>
      </c>
      <c r="Q91" s="154"/>
      <c r="R91" s="154"/>
      <c r="S91" s="155">
        <f t="array" ref="S91">IFERROR(XLOOKUP(B91,'ImportaçãoGoogleAds - Adveronix'!$F:$F,'ImportaçãoGoogleAds - Adveronix'!C:C)," ")</f>
        <v>30</v>
      </c>
      <c r="T91" s="155">
        <f t="array" ref="T91">IFERROR(XLOOKUP(B91,'ImportaçãoGoogleAds - Adveronix'!$F:$F,'ImportaçãoGoogleAds - Adveronix'!D:D)," ")</f>
        <v>2</v>
      </c>
      <c r="U91" s="155">
        <f t="array" ref="U91">IFERROR(XLOOKUP(B91,'ImportaçãoGoogleAds - Adveronix'!$F:$F,'ImportaçãoGoogleAds - Adveronix'!E:E)," ")</f>
        <v>0</v>
      </c>
      <c r="V91" s="156"/>
      <c r="W91" s="157"/>
      <c r="X91" s="157"/>
      <c r="Y91" s="158"/>
      <c r="Z91" s="158">
        <f>IFERROR(COUNTIFS(Leads!$L:$L,$B91,Leads!$F:$F,"*google-ads*"),0)</f>
        <v>0</v>
      </c>
      <c r="AA91" s="158">
        <f>IFERROR(COUNTIFS(Leads!$L:$L,$B91,Leads!$F:$F,"*google-ads*",Leads!$N:$N,"Sim"),0)</f>
        <v>0</v>
      </c>
      <c r="AB91" s="152">
        <f t="array" ref="AB91">IFERROR(XLOOKUP(B91,'ImportaçãoMeta - Adveronix'!F:F,'ImportaçãoMeta - Adveronix'!B:B),"")</f>
        <v>33.47</v>
      </c>
      <c r="AC91" s="154"/>
      <c r="AD91" s="154"/>
      <c r="AE91" s="159">
        <f t="array" ref="AE91">IFERROR(XLOOKUP(B91,'ImportaçãoMeta - Adveronix'!$F:$F,'ImportaçãoMeta - Adveronix'!C:C),"")</f>
        <v>6364</v>
      </c>
      <c r="AF91" s="159">
        <f t="array" ref="AF91">IFERROR(XLOOKUP(B91,'ImportaçãoMeta - Adveronix'!$F:$F,'ImportaçãoMeta - Adveronix'!D:D),"")</f>
        <v>14</v>
      </c>
      <c r="AG91" s="159" t="str">
        <f t="array" ref="AG91">IFERROR(XLOOKUP(B91,'ImportaçãoMeta - Adveronix'!$F:$F,'ImportaçãoMeta - Adveronix'!E:E),"")</f>
        <v/>
      </c>
      <c r="AH91" s="157"/>
      <c r="AI91" s="157"/>
      <c r="AJ91" s="156"/>
      <c r="AK91" s="160">
        <f>IFERROR(COUNTIFS(Leads!$L:$L,$B91,Leads!$F:$F,"*MetaAds"),0)</f>
        <v>0</v>
      </c>
      <c r="AL91" s="160">
        <f>IFERROR(COUNTIFS(Leads!$L:$L,$B91,Leads!$F:$F,"*MetaAds*",Leads!$N:$N,"Sim"),0)</f>
        <v>0</v>
      </c>
    </row>
    <row r="92" ht="15.75" customHeight="1">
      <c r="A92" s="149" t="str">
        <f t="array" ref="A92">XLOOKUP(MONTH(B92),BASE!$F$16:$F$27,BASE!$G$16:$G$27)</f>
        <v>Abril</v>
      </c>
      <c r="B92" s="150">
        <v>46113.0</v>
      </c>
      <c r="C92" s="151"/>
      <c r="D92" s="149" t="str">
        <f t="shared" si="4"/>
        <v>quarta-feira</v>
      </c>
      <c r="E92" s="152">
        <f t="shared" ref="E92:J92" si="183">IFERROR(SUM(P92,AB92)," ")</f>
        <v>72.64</v>
      </c>
      <c r="F92" s="152">
        <f t="shared" si="183"/>
        <v>0</v>
      </c>
      <c r="G92" s="152">
        <f t="shared" si="183"/>
        <v>0</v>
      </c>
      <c r="H92" s="153">
        <f t="shared" si="183"/>
        <v>6749</v>
      </c>
      <c r="I92" s="153">
        <f t="shared" si="183"/>
        <v>16</v>
      </c>
      <c r="J92" s="153">
        <f t="shared" si="183"/>
        <v>0</v>
      </c>
      <c r="K92" s="153">
        <f t="shared" ref="K92:O92" si="184">IFERROR(SUM(W92,AH92)," ")</f>
        <v>0</v>
      </c>
      <c r="L92" s="153">
        <f t="shared" si="184"/>
        <v>0</v>
      </c>
      <c r="M92" s="153">
        <f t="shared" si="184"/>
        <v>0</v>
      </c>
      <c r="N92" s="153">
        <f t="shared" si="184"/>
        <v>0</v>
      </c>
      <c r="O92" s="153">
        <f t="shared" si="184"/>
        <v>0</v>
      </c>
      <c r="P92" s="152">
        <f t="array" ref="P92">IFERROR(XLOOKUP(B92,'ImportaçãoGoogleAds - Adveronix'!$F:$F,'ImportaçãoGoogleAds - Adveronix'!$B:$B)," ")</f>
        <v>42.21</v>
      </c>
      <c r="Q92" s="154"/>
      <c r="R92" s="154"/>
      <c r="S92" s="155">
        <f t="array" ref="S92">IFERROR(XLOOKUP(B92,'ImportaçãoGoogleAds - Adveronix'!$F:$F,'ImportaçãoGoogleAds - Adveronix'!C:C)," ")</f>
        <v>20</v>
      </c>
      <c r="T92" s="155">
        <f t="array" ref="T92">IFERROR(XLOOKUP(B92,'ImportaçãoGoogleAds - Adveronix'!$F:$F,'ImportaçãoGoogleAds - Adveronix'!D:D)," ")</f>
        <v>4</v>
      </c>
      <c r="U92" s="155">
        <f t="array" ref="U92">IFERROR(XLOOKUP(B92,'ImportaçãoGoogleAds - Adveronix'!$F:$F,'ImportaçãoGoogleAds - Adveronix'!E:E)," ")</f>
        <v>0</v>
      </c>
      <c r="V92" s="156"/>
      <c r="W92" s="157"/>
      <c r="X92" s="157"/>
      <c r="Y92" s="158"/>
      <c r="Z92" s="158">
        <f>IFERROR(COUNTIFS(Leads!$L:$L,$B92,Leads!$F:$F,"*google-ads*"),0)</f>
        <v>0</v>
      </c>
      <c r="AA92" s="158">
        <f>IFERROR(COUNTIFS(Leads!$L:$L,$B92,Leads!$F:$F,"*google-ads*",Leads!$N:$N,"Sim"),0)</f>
        <v>0</v>
      </c>
      <c r="AB92" s="152">
        <f t="array" ref="AB92">IFERROR(XLOOKUP(B92,'ImportaçãoMeta - Adveronix'!F:F,'ImportaçãoMeta - Adveronix'!B:B),"")</f>
        <v>30.43</v>
      </c>
      <c r="AC92" s="154"/>
      <c r="AD92" s="154"/>
      <c r="AE92" s="159">
        <f t="array" ref="AE92">IFERROR(XLOOKUP(B92,'ImportaçãoMeta - Adveronix'!$F:$F,'ImportaçãoMeta - Adveronix'!C:C),"")</f>
        <v>6729</v>
      </c>
      <c r="AF92" s="159">
        <f t="array" ref="AF92">IFERROR(XLOOKUP(B92,'ImportaçãoMeta - Adveronix'!$F:$F,'ImportaçãoMeta - Adveronix'!D:D),"")</f>
        <v>12</v>
      </c>
      <c r="AG92" s="159" t="str">
        <f t="array" ref="AG92">IFERROR(XLOOKUP(B92,'ImportaçãoMeta - Adveronix'!$F:$F,'ImportaçãoMeta - Adveronix'!E:E),"")</f>
        <v/>
      </c>
      <c r="AH92" s="157"/>
      <c r="AI92" s="157"/>
      <c r="AJ92" s="156"/>
      <c r="AK92" s="160">
        <f>IFERROR(COUNTIFS(Leads!$L:$L,$B92,Leads!$F:$F,"*MetaAds"),0)</f>
        <v>0</v>
      </c>
      <c r="AL92" s="160">
        <f>IFERROR(COUNTIFS(Leads!$L:$L,$B92,Leads!$F:$F,"*MetaAds*",Leads!$N:$N,"Sim"),0)</f>
        <v>0</v>
      </c>
    </row>
    <row r="93" ht="15.75" customHeight="1">
      <c r="A93" s="149" t="str">
        <f t="array" ref="A93">XLOOKUP(MONTH(B93),BASE!$F$16:$F$27,BASE!$G$16:$G$27)</f>
        <v>Abril</v>
      </c>
      <c r="B93" s="150">
        <v>46114.0</v>
      </c>
      <c r="C93" s="151"/>
      <c r="D93" s="149" t="str">
        <f t="shared" si="4"/>
        <v>quinta-feira</v>
      </c>
      <c r="E93" s="152">
        <f t="shared" ref="E93:J93" si="185">IFERROR(SUM(P93,AB93)," ")</f>
        <v>75.79</v>
      </c>
      <c r="F93" s="152">
        <f t="shared" si="185"/>
        <v>0</v>
      </c>
      <c r="G93" s="152">
        <f t="shared" si="185"/>
        <v>0</v>
      </c>
      <c r="H93" s="153">
        <f t="shared" si="185"/>
        <v>8934</v>
      </c>
      <c r="I93" s="153">
        <f t="shared" si="185"/>
        <v>38</v>
      </c>
      <c r="J93" s="153">
        <f t="shared" si="185"/>
        <v>0</v>
      </c>
      <c r="K93" s="153">
        <f t="shared" ref="K93:O93" si="186">IFERROR(SUM(W93,AH93)," ")</f>
        <v>0</v>
      </c>
      <c r="L93" s="153">
        <f t="shared" si="186"/>
        <v>0</v>
      </c>
      <c r="M93" s="153">
        <f t="shared" si="186"/>
        <v>0</v>
      </c>
      <c r="N93" s="153">
        <f t="shared" si="186"/>
        <v>0</v>
      </c>
      <c r="O93" s="153">
        <f t="shared" si="186"/>
        <v>0</v>
      </c>
      <c r="P93" s="152">
        <f t="array" ref="P93">IFERROR(XLOOKUP(B93,'ImportaçãoGoogleAds - Adveronix'!$F:$F,'ImportaçãoGoogleAds - Adveronix'!$B:$B)," ")</f>
        <v>29.16</v>
      </c>
      <c r="Q93" s="154"/>
      <c r="R93" s="154"/>
      <c r="S93" s="155">
        <f t="array" ref="S93">IFERROR(XLOOKUP(B93,'ImportaçãoGoogleAds - Adveronix'!$F:$F,'ImportaçãoGoogleAds - Adveronix'!C:C)," ")</f>
        <v>166</v>
      </c>
      <c r="T93" s="155">
        <f t="array" ref="T93">IFERROR(XLOOKUP(B93,'ImportaçãoGoogleAds - Adveronix'!$F:$F,'ImportaçãoGoogleAds - Adveronix'!D:D)," ")</f>
        <v>4</v>
      </c>
      <c r="U93" s="155">
        <f t="array" ref="U93">IFERROR(XLOOKUP(B93,'ImportaçãoGoogleAds - Adveronix'!$F:$F,'ImportaçãoGoogleAds - Adveronix'!E:E)," ")</f>
        <v>0</v>
      </c>
      <c r="V93" s="156"/>
      <c r="W93" s="157"/>
      <c r="X93" s="157"/>
      <c r="Y93" s="158"/>
      <c r="Z93" s="158">
        <f>IFERROR(COUNTIFS(Leads!$L:$L,$B93,Leads!$F:$F,"*google-ads*"),0)</f>
        <v>0</v>
      </c>
      <c r="AA93" s="158">
        <f>IFERROR(COUNTIFS(Leads!$L:$L,$B93,Leads!$F:$F,"*google-ads*",Leads!$N:$N,"Sim"),0)</f>
        <v>0</v>
      </c>
      <c r="AB93" s="152">
        <f t="array" ref="AB93">IFERROR(XLOOKUP(B93,'ImportaçãoMeta - Adveronix'!F:F,'ImportaçãoMeta - Adveronix'!B:B),"")</f>
        <v>46.63</v>
      </c>
      <c r="AC93" s="154"/>
      <c r="AD93" s="154"/>
      <c r="AE93" s="159">
        <f t="array" ref="AE93">IFERROR(XLOOKUP(B93,'ImportaçãoMeta - Adveronix'!$F:$F,'ImportaçãoMeta - Adveronix'!C:C),"")</f>
        <v>8768</v>
      </c>
      <c r="AF93" s="159">
        <f t="array" ref="AF93">IFERROR(XLOOKUP(B93,'ImportaçãoMeta - Adveronix'!$F:$F,'ImportaçãoMeta - Adveronix'!D:D),"")</f>
        <v>34</v>
      </c>
      <c r="AG93" s="159" t="str">
        <f t="array" ref="AG93">IFERROR(XLOOKUP(B93,'ImportaçãoMeta - Adveronix'!$F:$F,'ImportaçãoMeta - Adveronix'!E:E),"")</f>
        <v/>
      </c>
      <c r="AH93" s="157"/>
      <c r="AI93" s="157"/>
      <c r="AJ93" s="156"/>
      <c r="AK93" s="160">
        <f>IFERROR(COUNTIFS(Leads!$L:$L,$B93,Leads!$F:$F,"*MetaAds"),0)</f>
        <v>0</v>
      </c>
      <c r="AL93" s="160">
        <f>IFERROR(COUNTIFS(Leads!$L:$L,$B93,Leads!$F:$F,"*MetaAds*",Leads!$N:$N,"Sim"),0)</f>
        <v>0</v>
      </c>
    </row>
    <row r="94" ht="15.75" customHeight="1">
      <c r="A94" s="149" t="str">
        <f t="array" ref="A94">XLOOKUP(MONTH(B94),BASE!$F$16:$F$27,BASE!$G$16:$G$27)</f>
        <v>Abril</v>
      </c>
      <c r="B94" s="150">
        <v>46115.0</v>
      </c>
      <c r="C94" s="151"/>
      <c r="D94" s="149" t="str">
        <f t="shared" si="4"/>
        <v>sexta-feira</v>
      </c>
      <c r="E94" s="152">
        <f t="shared" ref="E94:J94" si="187">IFERROR(SUM(P94,AB94)," ")</f>
        <v>62.96</v>
      </c>
      <c r="F94" s="152">
        <f t="shared" si="187"/>
        <v>0</v>
      </c>
      <c r="G94" s="152">
        <f t="shared" si="187"/>
        <v>0</v>
      </c>
      <c r="H94" s="153">
        <f t="shared" si="187"/>
        <v>3431</v>
      </c>
      <c r="I94" s="153">
        <f t="shared" si="187"/>
        <v>13</v>
      </c>
      <c r="J94" s="153">
        <f t="shared" si="187"/>
        <v>0</v>
      </c>
      <c r="K94" s="153">
        <f t="shared" ref="K94:O94" si="188">IFERROR(SUM(W94,AH94)," ")</f>
        <v>0</v>
      </c>
      <c r="L94" s="153">
        <f t="shared" si="188"/>
        <v>0</v>
      </c>
      <c r="M94" s="153">
        <f t="shared" si="188"/>
        <v>0</v>
      </c>
      <c r="N94" s="153">
        <f t="shared" si="188"/>
        <v>0</v>
      </c>
      <c r="O94" s="153">
        <f t="shared" si="188"/>
        <v>0</v>
      </c>
      <c r="P94" s="152">
        <f t="array" ref="P94">IFERROR(XLOOKUP(B94,'ImportaçãoGoogleAds - Adveronix'!$F:$F,'ImportaçãoGoogleAds - Adveronix'!$B:$B)," ")</f>
        <v>49.89</v>
      </c>
      <c r="Q94" s="154"/>
      <c r="R94" s="154"/>
      <c r="S94" s="155">
        <f t="array" ref="S94">IFERROR(XLOOKUP(B94,'ImportaçãoGoogleAds - Adveronix'!$F:$F,'ImportaçãoGoogleAds - Adveronix'!C:C)," ")</f>
        <v>1077</v>
      </c>
      <c r="T94" s="155">
        <f t="array" ref="T94">IFERROR(XLOOKUP(B94,'ImportaçãoGoogleAds - Adveronix'!$F:$F,'ImportaçãoGoogleAds - Adveronix'!D:D)," ")</f>
        <v>10</v>
      </c>
      <c r="U94" s="155">
        <f t="array" ref="U94">IFERROR(XLOOKUP(B94,'ImportaçãoGoogleAds - Adveronix'!$F:$F,'ImportaçãoGoogleAds - Adveronix'!E:E)," ")</f>
        <v>0</v>
      </c>
      <c r="V94" s="156"/>
      <c r="W94" s="157"/>
      <c r="X94" s="157"/>
      <c r="Y94" s="158"/>
      <c r="Z94" s="158">
        <f>IFERROR(COUNTIFS(Leads!$L:$L,$B94,Leads!$F:$F,"*google-ads*"),0)</f>
        <v>0</v>
      </c>
      <c r="AA94" s="158">
        <f>IFERROR(COUNTIFS(Leads!$L:$L,$B94,Leads!$F:$F,"*google-ads*",Leads!$N:$N,"Sim"),0)</f>
        <v>0</v>
      </c>
      <c r="AB94" s="152">
        <f t="array" ref="AB94">IFERROR(XLOOKUP(B94,'ImportaçãoMeta - Adveronix'!F:F,'ImportaçãoMeta - Adveronix'!B:B),"")</f>
        <v>13.07</v>
      </c>
      <c r="AC94" s="154"/>
      <c r="AD94" s="154"/>
      <c r="AE94" s="159">
        <f t="array" ref="AE94">IFERROR(XLOOKUP(B94,'ImportaçãoMeta - Adveronix'!$F:$F,'ImportaçãoMeta - Adveronix'!C:C),"")</f>
        <v>2354</v>
      </c>
      <c r="AF94" s="159">
        <f t="array" ref="AF94">IFERROR(XLOOKUP(B94,'ImportaçãoMeta - Adveronix'!$F:$F,'ImportaçãoMeta - Adveronix'!D:D),"")</f>
        <v>3</v>
      </c>
      <c r="AG94" s="159" t="str">
        <f t="array" ref="AG94">IFERROR(XLOOKUP(B94,'ImportaçãoMeta - Adveronix'!$F:$F,'ImportaçãoMeta - Adveronix'!E:E),"")</f>
        <v/>
      </c>
      <c r="AH94" s="157"/>
      <c r="AI94" s="157"/>
      <c r="AJ94" s="156"/>
      <c r="AK94" s="160">
        <f>IFERROR(COUNTIFS(Leads!$L:$L,$B94,Leads!$F:$F,"*MetaAds"),0)</f>
        <v>0</v>
      </c>
      <c r="AL94" s="160">
        <f>IFERROR(COUNTIFS(Leads!$L:$L,$B94,Leads!$F:$F,"*MetaAds*",Leads!$N:$N,"Sim"),0)</f>
        <v>0</v>
      </c>
    </row>
    <row r="95" ht="15.75" customHeight="1">
      <c r="A95" s="149" t="str">
        <f t="array" ref="A95">XLOOKUP(MONTH(B95),BASE!$F$16:$F$27,BASE!$G$16:$G$27)</f>
        <v>Abril</v>
      </c>
      <c r="B95" s="150">
        <v>46116.0</v>
      </c>
      <c r="C95" s="151"/>
      <c r="D95" s="149" t="str">
        <f t="shared" si="4"/>
        <v>sábado</v>
      </c>
      <c r="E95" s="152">
        <f t="shared" ref="E95:J95" si="189">IFERROR(SUM(P95,AB95)," ")</f>
        <v>48.5</v>
      </c>
      <c r="F95" s="152">
        <f t="shared" si="189"/>
        <v>0</v>
      </c>
      <c r="G95" s="152">
        <f t="shared" si="189"/>
        <v>0</v>
      </c>
      <c r="H95" s="153">
        <f t="shared" si="189"/>
        <v>4803</v>
      </c>
      <c r="I95" s="153">
        <f t="shared" si="189"/>
        <v>13</v>
      </c>
      <c r="J95" s="153">
        <f t="shared" si="189"/>
        <v>0</v>
      </c>
      <c r="K95" s="153">
        <f t="shared" ref="K95:O95" si="190">IFERROR(SUM(W95,AH95)," ")</f>
        <v>0</v>
      </c>
      <c r="L95" s="153">
        <f t="shared" si="190"/>
        <v>0</v>
      </c>
      <c r="M95" s="153">
        <f t="shared" si="190"/>
        <v>0</v>
      </c>
      <c r="N95" s="153">
        <f t="shared" si="190"/>
        <v>0</v>
      </c>
      <c r="O95" s="153">
        <f t="shared" si="190"/>
        <v>0</v>
      </c>
      <c r="P95" s="152">
        <f t="array" ref="P95">IFERROR(XLOOKUP(B95,'ImportaçãoGoogleAds - Adveronix'!$F:$F,'ImportaçãoGoogleAds - Adveronix'!$B:$B)," ")</f>
        <v>24.56</v>
      </c>
      <c r="Q95" s="154"/>
      <c r="R95" s="154"/>
      <c r="S95" s="155">
        <f t="array" ref="S95">IFERROR(XLOOKUP(B95,'ImportaçãoGoogleAds - Adveronix'!$F:$F,'ImportaçãoGoogleAds - Adveronix'!C:C)," ")</f>
        <v>885</v>
      </c>
      <c r="T95" s="155">
        <f t="array" ref="T95">IFERROR(XLOOKUP(B95,'ImportaçãoGoogleAds - Adveronix'!$F:$F,'ImportaçãoGoogleAds - Adveronix'!D:D)," ")</f>
        <v>5</v>
      </c>
      <c r="U95" s="155">
        <f t="array" ref="U95">IFERROR(XLOOKUP(B95,'ImportaçãoGoogleAds - Adveronix'!$F:$F,'ImportaçãoGoogleAds - Adveronix'!E:E)," ")</f>
        <v>0</v>
      </c>
      <c r="V95" s="156"/>
      <c r="W95" s="157"/>
      <c r="X95" s="157"/>
      <c r="Y95" s="158"/>
      <c r="Z95" s="158">
        <f>IFERROR(COUNTIFS(Leads!$L:$L,$B95,Leads!$F:$F,"*google-ads*"),0)</f>
        <v>0</v>
      </c>
      <c r="AA95" s="158">
        <f>IFERROR(COUNTIFS(Leads!$L:$L,$B95,Leads!$F:$F,"*google-ads*",Leads!$N:$N,"Sim"),0)</f>
        <v>0</v>
      </c>
      <c r="AB95" s="152">
        <f t="array" ref="AB95">IFERROR(XLOOKUP(B95,'ImportaçãoMeta - Adveronix'!F:F,'ImportaçãoMeta - Adveronix'!B:B),"")</f>
        <v>23.94</v>
      </c>
      <c r="AC95" s="154"/>
      <c r="AD95" s="154"/>
      <c r="AE95" s="159">
        <f t="array" ref="AE95">IFERROR(XLOOKUP(B95,'ImportaçãoMeta - Adveronix'!$F:$F,'ImportaçãoMeta - Adveronix'!C:C),"")</f>
        <v>3918</v>
      </c>
      <c r="AF95" s="159">
        <f t="array" ref="AF95">IFERROR(XLOOKUP(B95,'ImportaçãoMeta - Adveronix'!$F:$F,'ImportaçãoMeta - Adveronix'!D:D),"")</f>
        <v>8</v>
      </c>
      <c r="AG95" s="159" t="str">
        <f t="array" ref="AG95">IFERROR(XLOOKUP(B95,'ImportaçãoMeta - Adveronix'!$F:$F,'ImportaçãoMeta - Adveronix'!E:E),"")</f>
        <v/>
      </c>
      <c r="AH95" s="157"/>
      <c r="AI95" s="157"/>
      <c r="AJ95" s="156"/>
      <c r="AK95" s="160">
        <f>IFERROR(COUNTIFS(Leads!$L:$L,$B95,Leads!$F:$F,"*MetaAds"),0)</f>
        <v>0</v>
      </c>
      <c r="AL95" s="160">
        <f>IFERROR(COUNTIFS(Leads!$L:$L,$B95,Leads!$F:$F,"*MetaAds*",Leads!$N:$N,"Sim"),0)</f>
        <v>0</v>
      </c>
    </row>
    <row r="96" ht="15.75" customHeight="1">
      <c r="A96" s="149" t="str">
        <f t="array" ref="A96">XLOOKUP(MONTH(B96),BASE!$F$16:$F$27,BASE!$G$16:$G$27)</f>
        <v>Abril</v>
      </c>
      <c r="B96" s="150">
        <v>46117.0</v>
      </c>
      <c r="C96" s="151"/>
      <c r="D96" s="149" t="str">
        <f t="shared" si="4"/>
        <v>domingo</v>
      </c>
      <c r="E96" s="152">
        <f t="shared" ref="E96:J96" si="191">IFERROR(SUM(P96,AB96)," ")</f>
        <v>64.56</v>
      </c>
      <c r="F96" s="152">
        <f t="shared" si="191"/>
        <v>0</v>
      </c>
      <c r="G96" s="152">
        <f t="shared" si="191"/>
        <v>0</v>
      </c>
      <c r="H96" s="153">
        <f t="shared" si="191"/>
        <v>6732</v>
      </c>
      <c r="I96" s="153">
        <f t="shared" si="191"/>
        <v>31</v>
      </c>
      <c r="J96" s="153">
        <f t="shared" si="191"/>
        <v>1</v>
      </c>
      <c r="K96" s="153">
        <f t="shared" ref="K96:O96" si="192">IFERROR(SUM(W96,AH96)," ")</f>
        <v>0</v>
      </c>
      <c r="L96" s="153">
        <f t="shared" si="192"/>
        <v>0</v>
      </c>
      <c r="M96" s="153">
        <f t="shared" si="192"/>
        <v>0</v>
      </c>
      <c r="N96" s="153">
        <f t="shared" si="192"/>
        <v>0</v>
      </c>
      <c r="O96" s="153">
        <f t="shared" si="192"/>
        <v>0</v>
      </c>
      <c r="P96" s="152">
        <f t="array" ref="P96">IFERROR(XLOOKUP(B96,'ImportaçãoGoogleAds - Adveronix'!$F:$F,'ImportaçãoGoogleAds - Adveronix'!$B:$B)," ")</f>
        <v>33.26</v>
      </c>
      <c r="Q96" s="154"/>
      <c r="R96" s="154"/>
      <c r="S96" s="155">
        <f t="array" ref="S96">IFERROR(XLOOKUP(B96,'ImportaçãoGoogleAds - Adveronix'!$F:$F,'ImportaçãoGoogleAds - Adveronix'!C:C)," ")</f>
        <v>1484</v>
      </c>
      <c r="T96" s="155">
        <f t="array" ref="T96">IFERROR(XLOOKUP(B96,'ImportaçãoGoogleAds - Adveronix'!$F:$F,'ImportaçãoGoogleAds - Adveronix'!D:D)," ")</f>
        <v>16</v>
      </c>
      <c r="U96" s="155">
        <f t="array" ref="U96">IFERROR(XLOOKUP(B96,'ImportaçãoGoogleAds - Adveronix'!$F:$F,'ImportaçãoGoogleAds - Adveronix'!E:E)," ")</f>
        <v>0</v>
      </c>
      <c r="V96" s="156"/>
      <c r="W96" s="157"/>
      <c r="X96" s="157"/>
      <c r="Y96" s="158"/>
      <c r="Z96" s="158">
        <f>IFERROR(COUNTIFS(Leads!$L:$L,$B96,Leads!$F:$F,"*google-ads*"),0)</f>
        <v>0</v>
      </c>
      <c r="AA96" s="158">
        <f>IFERROR(COUNTIFS(Leads!$L:$L,$B96,Leads!$F:$F,"*google-ads*",Leads!$N:$N,"Sim"),0)</f>
        <v>0</v>
      </c>
      <c r="AB96" s="152">
        <f t="array" ref="AB96">IFERROR(XLOOKUP(B96,'ImportaçãoMeta - Adveronix'!F:F,'ImportaçãoMeta - Adveronix'!B:B),"")</f>
        <v>31.3</v>
      </c>
      <c r="AC96" s="154"/>
      <c r="AD96" s="154"/>
      <c r="AE96" s="159">
        <f t="array" ref="AE96">IFERROR(XLOOKUP(B96,'ImportaçãoMeta - Adveronix'!$F:$F,'ImportaçãoMeta - Adveronix'!C:C),"")</f>
        <v>5248</v>
      </c>
      <c r="AF96" s="159">
        <f t="array" ref="AF96">IFERROR(XLOOKUP(B96,'ImportaçãoMeta - Adveronix'!$F:$F,'ImportaçãoMeta - Adveronix'!D:D),"")</f>
        <v>15</v>
      </c>
      <c r="AG96" s="159">
        <f t="array" ref="AG96">IFERROR(XLOOKUP(B96,'ImportaçãoMeta - Adveronix'!$F:$F,'ImportaçãoMeta - Adveronix'!E:E),"")</f>
        <v>1</v>
      </c>
      <c r="AH96" s="157"/>
      <c r="AI96" s="157"/>
      <c r="AJ96" s="156"/>
      <c r="AK96" s="160">
        <f>IFERROR(COUNTIFS(Leads!$L:$L,$B96,Leads!$F:$F,"*MetaAds"),0)</f>
        <v>0</v>
      </c>
      <c r="AL96" s="160">
        <f>IFERROR(COUNTIFS(Leads!$L:$L,$B96,Leads!$F:$F,"*MetaAds*",Leads!$N:$N,"Sim"),0)</f>
        <v>0</v>
      </c>
    </row>
    <row r="97" ht="15.75" customHeight="1">
      <c r="A97" s="149" t="str">
        <f t="array" ref="A97">XLOOKUP(MONTH(B97),BASE!$F$16:$F$27,BASE!$G$16:$G$27)</f>
        <v>Abril</v>
      </c>
      <c r="B97" s="150">
        <v>46118.0</v>
      </c>
      <c r="C97" s="151"/>
      <c r="D97" s="149" t="str">
        <f t="shared" si="4"/>
        <v>segunda-feira</v>
      </c>
      <c r="E97" s="152">
        <f t="shared" ref="E97:J97" si="193">IFERROR(SUM(P97,AB97)," ")</f>
        <v>60.43</v>
      </c>
      <c r="F97" s="152">
        <f t="shared" si="193"/>
        <v>0</v>
      </c>
      <c r="G97" s="152">
        <f t="shared" si="193"/>
        <v>0</v>
      </c>
      <c r="H97" s="153">
        <f t="shared" si="193"/>
        <v>6746</v>
      </c>
      <c r="I97" s="153">
        <f t="shared" si="193"/>
        <v>18</v>
      </c>
      <c r="J97" s="153">
        <f t="shared" si="193"/>
        <v>0</v>
      </c>
      <c r="K97" s="153">
        <f t="shared" ref="K97:O97" si="194">IFERROR(SUM(W97,AH97)," ")</f>
        <v>0</v>
      </c>
      <c r="L97" s="153">
        <f t="shared" si="194"/>
        <v>0</v>
      </c>
      <c r="M97" s="153">
        <f t="shared" si="194"/>
        <v>0</v>
      </c>
      <c r="N97" s="153">
        <f t="shared" si="194"/>
        <v>0</v>
      </c>
      <c r="O97" s="153">
        <f t="shared" si="194"/>
        <v>0</v>
      </c>
      <c r="P97" s="152">
        <f t="array" ref="P97">IFERROR(XLOOKUP(B97,'ImportaçãoGoogleAds - Adveronix'!$F:$F,'ImportaçãoGoogleAds - Adveronix'!$B:$B)," ")</f>
        <v>30.36</v>
      </c>
      <c r="Q97" s="154"/>
      <c r="R97" s="154"/>
      <c r="S97" s="155">
        <f t="array" ref="S97">IFERROR(XLOOKUP(B97,'ImportaçãoGoogleAds - Adveronix'!$F:$F,'ImportaçãoGoogleAds - Adveronix'!C:C)," ")</f>
        <v>1221</v>
      </c>
      <c r="T97" s="155">
        <f t="array" ref="T97">IFERROR(XLOOKUP(B97,'ImportaçãoGoogleAds - Adveronix'!$F:$F,'ImportaçãoGoogleAds - Adveronix'!D:D)," ")</f>
        <v>10</v>
      </c>
      <c r="U97" s="155">
        <f t="array" ref="U97">IFERROR(XLOOKUP(B97,'ImportaçãoGoogleAds - Adveronix'!$F:$F,'ImportaçãoGoogleAds - Adveronix'!E:E)," ")</f>
        <v>0</v>
      </c>
      <c r="V97" s="156"/>
      <c r="W97" s="157"/>
      <c r="X97" s="157"/>
      <c r="Y97" s="158"/>
      <c r="Z97" s="158">
        <f>IFERROR(COUNTIFS(Leads!$L:$L,$B97,Leads!$F:$F,"*google-ads*"),0)</f>
        <v>0</v>
      </c>
      <c r="AA97" s="158">
        <f>IFERROR(COUNTIFS(Leads!$L:$L,$B97,Leads!$F:$F,"*google-ads*",Leads!$N:$N,"Sim"),0)</f>
        <v>0</v>
      </c>
      <c r="AB97" s="152">
        <f t="array" ref="AB97">IFERROR(XLOOKUP(B97,'ImportaçãoMeta - Adveronix'!F:F,'ImportaçãoMeta - Adveronix'!B:B),"")</f>
        <v>30.07</v>
      </c>
      <c r="AC97" s="154"/>
      <c r="AD97" s="154"/>
      <c r="AE97" s="159">
        <f t="array" ref="AE97">IFERROR(XLOOKUP(B97,'ImportaçãoMeta - Adveronix'!$F:$F,'ImportaçãoMeta - Adveronix'!C:C),"")</f>
        <v>5525</v>
      </c>
      <c r="AF97" s="159">
        <f t="array" ref="AF97">IFERROR(XLOOKUP(B97,'ImportaçãoMeta - Adveronix'!$F:$F,'ImportaçãoMeta - Adveronix'!D:D),"")</f>
        <v>8</v>
      </c>
      <c r="AG97" s="159" t="str">
        <f t="array" ref="AG97">IFERROR(XLOOKUP(B97,'ImportaçãoMeta - Adveronix'!$F:$F,'ImportaçãoMeta - Adveronix'!E:E),"")</f>
        <v/>
      </c>
      <c r="AH97" s="157"/>
      <c r="AI97" s="157"/>
      <c r="AJ97" s="156"/>
      <c r="AK97" s="160">
        <f>IFERROR(COUNTIFS(Leads!$L:$L,$B97,Leads!$F:$F,"*MetaAds"),0)</f>
        <v>0</v>
      </c>
      <c r="AL97" s="160">
        <f>IFERROR(COUNTIFS(Leads!$L:$L,$B97,Leads!$F:$F,"*MetaAds*",Leads!$N:$N,"Sim"),0)</f>
        <v>0</v>
      </c>
    </row>
    <row r="98" ht="15.75" customHeight="1">
      <c r="A98" s="149" t="str">
        <f t="array" ref="A98">XLOOKUP(MONTH(B98),BASE!$F$16:$F$27,BASE!$G$16:$G$27)</f>
        <v>Abril</v>
      </c>
      <c r="B98" s="150">
        <v>46119.0</v>
      </c>
      <c r="C98" s="151"/>
      <c r="D98" s="149" t="str">
        <f t="shared" si="4"/>
        <v>terça-feira</v>
      </c>
      <c r="E98" s="152">
        <f t="shared" ref="E98:J98" si="195">IFERROR(SUM(P98,AB98)," ")</f>
        <v>43.76</v>
      </c>
      <c r="F98" s="152">
        <f t="shared" si="195"/>
        <v>0</v>
      </c>
      <c r="G98" s="152">
        <f t="shared" si="195"/>
        <v>0</v>
      </c>
      <c r="H98" s="153">
        <f t="shared" si="195"/>
        <v>4307</v>
      </c>
      <c r="I98" s="153">
        <f t="shared" si="195"/>
        <v>15</v>
      </c>
      <c r="J98" s="153">
        <f t="shared" si="195"/>
        <v>0</v>
      </c>
      <c r="K98" s="153">
        <f t="shared" ref="K98:O98" si="196">IFERROR(SUM(W98,AH98)," ")</f>
        <v>0</v>
      </c>
      <c r="L98" s="153">
        <f t="shared" si="196"/>
        <v>0</v>
      </c>
      <c r="M98" s="153">
        <f t="shared" si="196"/>
        <v>0</v>
      </c>
      <c r="N98" s="153">
        <f t="shared" si="196"/>
        <v>1</v>
      </c>
      <c r="O98" s="153">
        <f t="shared" si="196"/>
        <v>0</v>
      </c>
      <c r="P98" s="152">
        <f t="array" ref="P98">IFERROR(XLOOKUP(B98,'ImportaçãoGoogleAds - Adveronix'!$F:$F,'ImportaçãoGoogleAds - Adveronix'!$B:$B)," ")</f>
        <v>22.72</v>
      </c>
      <c r="Q98" s="154"/>
      <c r="R98" s="154"/>
      <c r="S98" s="155">
        <f t="array" ref="S98">IFERROR(XLOOKUP(B98,'ImportaçãoGoogleAds - Adveronix'!$F:$F,'ImportaçãoGoogleAds - Adveronix'!C:C)," ")</f>
        <v>781</v>
      </c>
      <c r="T98" s="155">
        <f t="array" ref="T98">IFERROR(XLOOKUP(B98,'ImportaçãoGoogleAds - Adveronix'!$F:$F,'ImportaçãoGoogleAds - Adveronix'!D:D)," ")</f>
        <v>9</v>
      </c>
      <c r="U98" s="155">
        <f t="array" ref="U98">IFERROR(XLOOKUP(B98,'ImportaçãoGoogleAds - Adveronix'!$F:$F,'ImportaçãoGoogleAds - Adveronix'!E:E)," ")</f>
        <v>0</v>
      </c>
      <c r="V98" s="156"/>
      <c r="W98" s="157"/>
      <c r="X98" s="157"/>
      <c r="Y98" s="158"/>
      <c r="Z98" s="158">
        <f>IFERROR(COUNTIFS(Leads!$L:$L,$B98,Leads!$F:$F,"*google-ads*"),0)</f>
        <v>0</v>
      </c>
      <c r="AA98" s="158">
        <f>IFERROR(COUNTIFS(Leads!$L:$L,$B98,Leads!$F:$F,"*google-ads*",Leads!$N:$N,"Sim"),0)</f>
        <v>0</v>
      </c>
      <c r="AB98" s="152">
        <f t="array" ref="AB98">IFERROR(XLOOKUP(B98,'ImportaçãoMeta - Adveronix'!F:F,'ImportaçãoMeta - Adveronix'!B:B),"")</f>
        <v>21.04</v>
      </c>
      <c r="AC98" s="154"/>
      <c r="AD98" s="154"/>
      <c r="AE98" s="159">
        <f t="array" ref="AE98">IFERROR(XLOOKUP(B98,'ImportaçãoMeta - Adveronix'!$F:$F,'ImportaçãoMeta - Adveronix'!C:C),"")</f>
        <v>3526</v>
      </c>
      <c r="AF98" s="159">
        <f t="array" ref="AF98">IFERROR(XLOOKUP(B98,'ImportaçãoMeta - Adveronix'!$F:$F,'ImportaçãoMeta - Adveronix'!D:D),"")</f>
        <v>6</v>
      </c>
      <c r="AG98" s="159" t="str">
        <f t="array" ref="AG98">IFERROR(XLOOKUP(B98,'ImportaçãoMeta - Adveronix'!$F:$F,'ImportaçãoMeta - Adveronix'!E:E),"")</f>
        <v/>
      </c>
      <c r="AH98" s="157"/>
      <c r="AI98" s="157"/>
      <c r="AJ98" s="156"/>
      <c r="AK98" s="160">
        <f>IFERROR(COUNTIFS(Leads!$L:$L,$B98,Leads!$F:$F,"*MetaAds"),0)</f>
        <v>1</v>
      </c>
      <c r="AL98" s="160">
        <f>IFERROR(COUNTIFS(Leads!$L:$L,$B98,Leads!$F:$F,"*MetaAds*",Leads!$N:$N,"Sim"),0)</f>
        <v>0</v>
      </c>
    </row>
    <row r="99" ht="15.75" customHeight="1">
      <c r="A99" s="149" t="str">
        <f t="array" ref="A99">XLOOKUP(MONTH(B99),BASE!$F$16:$F$27,BASE!$G$16:$G$27)</f>
        <v>Abril</v>
      </c>
      <c r="B99" s="150">
        <v>46120.0</v>
      </c>
      <c r="C99" s="151"/>
      <c r="D99" s="149" t="str">
        <f t="shared" si="4"/>
        <v>quarta-feira</v>
      </c>
      <c r="E99" s="152">
        <f t="shared" ref="E99:J99" si="197">IFERROR(SUM(P99,AB99)," ")</f>
        <v>49.38</v>
      </c>
      <c r="F99" s="152">
        <f t="shared" si="197"/>
        <v>0</v>
      </c>
      <c r="G99" s="152">
        <f t="shared" si="197"/>
        <v>0</v>
      </c>
      <c r="H99" s="153">
        <f t="shared" si="197"/>
        <v>2668</v>
      </c>
      <c r="I99" s="153">
        <f t="shared" si="197"/>
        <v>24</v>
      </c>
      <c r="J99" s="153">
        <f t="shared" si="197"/>
        <v>0</v>
      </c>
      <c r="K99" s="153">
        <f t="shared" ref="K99:O99" si="198">IFERROR(SUM(W99,AH99)," ")</f>
        <v>0</v>
      </c>
      <c r="L99" s="153">
        <f t="shared" si="198"/>
        <v>0</v>
      </c>
      <c r="M99" s="153">
        <f t="shared" si="198"/>
        <v>0</v>
      </c>
      <c r="N99" s="153">
        <f t="shared" si="198"/>
        <v>0</v>
      </c>
      <c r="O99" s="153">
        <f t="shared" si="198"/>
        <v>0</v>
      </c>
      <c r="P99" s="152">
        <f t="array" ref="P99">IFERROR(XLOOKUP(B99,'ImportaçãoGoogleAds - Adveronix'!$F:$F,'ImportaçãoGoogleAds - Adveronix'!$B:$B)," ")</f>
        <v>41.18</v>
      </c>
      <c r="Q99" s="154"/>
      <c r="R99" s="154"/>
      <c r="S99" s="155">
        <f t="array" ref="S99">IFERROR(XLOOKUP(B99,'ImportaçãoGoogleAds - Adveronix'!$F:$F,'ImportaçãoGoogleAds - Adveronix'!C:C)," ")</f>
        <v>1747</v>
      </c>
      <c r="T99" s="155">
        <f t="array" ref="T99">IFERROR(XLOOKUP(B99,'ImportaçãoGoogleAds - Adveronix'!$F:$F,'ImportaçãoGoogleAds - Adveronix'!D:D)," ")</f>
        <v>16</v>
      </c>
      <c r="U99" s="155">
        <f t="array" ref="U99">IFERROR(XLOOKUP(B99,'ImportaçãoGoogleAds - Adveronix'!$F:$F,'ImportaçãoGoogleAds - Adveronix'!E:E)," ")</f>
        <v>0</v>
      </c>
      <c r="V99" s="156"/>
      <c r="W99" s="157"/>
      <c r="X99" s="157"/>
      <c r="Y99" s="158"/>
      <c r="Z99" s="158">
        <f>IFERROR(COUNTIFS(Leads!$L:$L,$B99,Leads!$F:$F,"*google-ads*"),0)</f>
        <v>0</v>
      </c>
      <c r="AA99" s="158">
        <f>IFERROR(COUNTIFS(Leads!$L:$L,$B99,Leads!$F:$F,"*google-ads*",Leads!$N:$N,"Sim"),0)</f>
        <v>0</v>
      </c>
      <c r="AB99" s="152">
        <f t="array" ref="AB99">IFERROR(XLOOKUP(B99,'ImportaçãoMeta - Adveronix'!F:F,'ImportaçãoMeta - Adveronix'!B:B),"")</f>
        <v>8.2</v>
      </c>
      <c r="AC99" s="154"/>
      <c r="AD99" s="154"/>
      <c r="AE99" s="159">
        <f t="array" ref="AE99">IFERROR(XLOOKUP(B99,'ImportaçãoMeta - Adveronix'!$F:$F,'ImportaçãoMeta - Adveronix'!C:C),"")</f>
        <v>921</v>
      </c>
      <c r="AF99" s="159">
        <f t="array" ref="AF99">IFERROR(XLOOKUP(B99,'ImportaçãoMeta - Adveronix'!$F:$F,'ImportaçãoMeta - Adveronix'!D:D),"")</f>
        <v>8</v>
      </c>
      <c r="AG99" s="159" t="str">
        <f t="array" ref="AG99">IFERROR(XLOOKUP(B99,'ImportaçãoMeta - Adveronix'!$F:$F,'ImportaçãoMeta - Adveronix'!E:E),"")</f>
        <v/>
      </c>
      <c r="AH99" s="157"/>
      <c r="AI99" s="157"/>
      <c r="AJ99" s="156"/>
      <c r="AK99" s="160">
        <f>IFERROR(COUNTIFS(Leads!$L:$L,$B99,Leads!$F:$F,"*MetaAds"),0)</f>
        <v>0</v>
      </c>
      <c r="AL99" s="160">
        <f>IFERROR(COUNTIFS(Leads!$L:$L,$B99,Leads!$F:$F,"*MetaAds*",Leads!$N:$N,"Sim"),0)</f>
        <v>0</v>
      </c>
    </row>
    <row r="100" ht="15.75" customHeight="1">
      <c r="A100" s="149" t="str">
        <f t="array" ref="A100">XLOOKUP(MONTH(B100),BASE!$F$16:$F$27,BASE!$G$16:$G$27)</f>
        <v>Abril</v>
      </c>
      <c r="B100" s="150">
        <v>46121.0</v>
      </c>
      <c r="C100" s="151"/>
      <c r="D100" s="149" t="str">
        <f t="shared" si="4"/>
        <v>quinta-feira</v>
      </c>
      <c r="E100" s="152">
        <f t="shared" ref="E100:J100" si="199">IFERROR(SUM(P100,AB100)," ")</f>
        <v>63.19</v>
      </c>
      <c r="F100" s="152">
        <f t="shared" si="199"/>
        <v>0</v>
      </c>
      <c r="G100" s="152">
        <f t="shared" si="199"/>
        <v>0</v>
      </c>
      <c r="H100" s="153">
        <f t="shared" si="199"/>
        <v>3438</v>
      </c>
      <c r="I100" s="153">
        <f t="shared" si="199"/>
        <v>71</v>
      </c>
      <c r="J100" s="153">
        <f t="shared" si="199"/>
        <v>1</v>
      </c>
      <c r="K100" s="153">
        <f t="shared" ref="K100:O100" si="200">IFERROR(SUM(W100,AH100)," ")</f>
        <v>0</v>
      </c>
      <c r="L100" s="153">
        <f t="shared" si="200"/>
        <v>0</v>
      </c>
      <c r="M100" s="153">
        <f t="shared" si="200"/>
        <v>0</v>
      </c>
      <c r="N100" s="153">
        <f t="shared" si="200"/>
        <v>0</v>
      </c>
      <c r="O100" s="153">
        <f t="shared" si="200"/>
        <v>0</v>
      </c>
      <c r="P100" s="152">
        <f t="array" ref="P100">IFERROR(XLOOKUP(B100,'ImportaçãoGoogleAds - Adveronix'!$F:$F,'ImportaçãoGoogleAds - Adveronix'!$B:$B)," ")</f>
        <v>35.58</v>
      </c>
      <c r="Q100" s="154"/>
      <c r="R100" s="154"/>
      <c r="S100" s="155">
        <f t="array" ref="S100">IFERROR(XLOOKUP(B100,'ImportaçãoGoogleAds - Adveronix'!$F:$F,'ImportaçãoGoogleAds - Adveronix'!C:C)," ")</f>
        <v>1239</v>
      </c>
      <c r="T100" s="155">
        <f t="array" ref="T100">IFERROR(XLOOKUP(B100,'ImportaçãoGoogleAds - Adveronix'!$F:$F,'ImportaçãoGoogleAds - Adveronix'!D:D)," ")</f>
        <v>14</v>
      </c>
      <c r="U100" s="155">
        <f t="array" ref="U100">IFERROR(XLOOKUP(B100,'ImportaçãoGoogleAds - Adveronix'!$F:$F,'ImportaçãoGoogleAds - Adveronix'!E:E)," ")</f>
        <v>0</v>
      </c>
      <c r="V100" s="156"/>
      <c r="W100" s="157"/>
      <c r="X100" s="157"/>
      <c r="Y100" s="158"/>
      <c r="Z100" s="158">
        <f>IFERROR(COUNTIFS(Leads!$L:$L,$B100,Leads!$F:$F,"*google-ads*"),0)</f>
        <v>0</v>
      </c>
      <c r="AA100" s="158">
        <f>IFERROR(COUNTIFS(Leads!$L:$L,$B100,Leads!$F:$F,"*google-ads*",Leads!$N:$N,"Sim"),0)</f>
        <v>0</v>
      </c>
      <c r="AB100" s="152">
        <f t="array" ref="AB100">IFERROR(XLOOKUP(B100,'ImportaçãoMeta - Adveronix'!F:F,'ImportaçãoMeta - Adveronix'!B:B),"")</f>
        <v>27.61</v>
      </c>
      <c r="AC100" s="154"/>
      <c r="AD100" s="154"/>
      <c r="AE100" s="159">
        <f t="array" ref="AE100">IFERROR(XLOOKUP(B100,'ImportaçãoMeta - Adveronix'!$F:$F,'ImportaçãoMeta - Adveronix'!C:C),"")</f>
        <v>2199</v>
      </c>
      <c r="AF100" s="159">
        <f t="array" ref="AF100">IFERROR(XLOOKUP(B100,'ImportaçãoMeta - Adveronix'!$F:$F,'ImportaçãoMeta - Adveronix'!D:D),"")</f>
        <v>57</v>
      </c>
      <c r="AG100" s="159">
        <f t="array" ref="AG100">IFERROR(XLOOKUP(B100,'ImportaçãoMeta - Adveronix'!$F:$F,'ImportaçãoMeta - Adveronix'!E:E),"")</f>
        <v>1</v>
      </c>
      <c r="AH100" s="157"/>
      <c r="AI100" s="157"/>
      <c r="AJ100" s="156"/>
      <c r="AK100" s="160">
        <f>IFERROR(COUNTIFS(Leads!$L:$L,$B100,Leads!$F:$F,"*MetaAds"),0)</f>
        <v>0</v>
      </c>
      <c r="AL100" s="160">
        <f>IFERROR(COUNTIFS(Leads!$L:$L,$B100,Leads!$F:$F,"*MetaAds*",Leads!$N:$N,"Sim"),0)</f>
        <v>0</v>
      </c>
    </row>
    <row r="101" ht="15.75" customHeight="1">
      <c r="A101" s="149" t="str">
        <f t="array" ref="A101">XLOOKUP(MONTH(B101),BASE!$F$16:$F$27,BASE!$G$16:$G$27)</f>
        <v>Abril</v>
      </c>
      <c r="B101" s="150">
        <v>46122.0</v>
      </c>
      <c r="C101" s="151"/>
      <c r="D101" s="149" t="str">
        <f t="shared" si="4"/>
        <v>sexta-feira</v>
      </c>
      <c r="E101" s="152">
        <f t="shared" ref="E101:J101" si="201">IFERROR(SUM(P101,AB101)," ")</f>
        <v>115.12</v>
      </c>
      <c r="F101" s="152">
        <f t="shared" si="201"/>
        <v>0</v>
      </c>
      <c r="G101" s="152">
        <f t="shared" si="201"/>
        <v>0</v>
      </c>
      <c r="H101" s="153">
        <f t="shared" si="201"/>
        <v>8722</v>
      </c>
      <c r="I101" s="153">
        <f t="shared" si="201"/>
        <v>191</v>
      </c>
      <c r="J101" s="153">
        <f t="shared" si="201"/>
        <v>0</v>
      </c>
      <c r="K101" s="153">
        <f t="shared" ref="K101:O101" si="202">IFERROR(SUM(W101,AH101)," ")</f>
        <v>0</v>
      </c>
      <c r="L101" s="153">
        <f t="shared" si="202"/>
        <v>0</v>
      </c>
      <c r="M101" s="153">
        <f t="shared" si="202"/>
        <v>0</v>
      </c>
      <c r="N101" s="153">
        <f t="shared" si="202"/>
        <v>12</v>
      </c>
      <c r="O101" s="153">
        <f t="shared" si="202"/>
        <v>8</v>
      </c>
      <c r="P101" s="152">
        <f t="array" ref="P101">IFERROR(XLOOKUP(B101,'ImportaçãoGoogleAds - Adveronix'!$F:$F,'ImportaçãoGoogleAds - Adveronix'!$B:$B)," ")</f>
        <v>29.41</v>
      </c>
      <c r="Q101" s="154"/>
      <c r="R101" s="154"/>
      <c r="S101" s="155">
        <f t="array" ref="S101">IFERROR(XLOOKUP(B101,'ImportaçãoGoogleAds - Adveronix'!$F:$F,'ImportaçãoGoogleAds - Adveronix'!C:C)," ")</f>
        <v>1200</v>
      </c>
      <c r="T101" s="155">
        <f t="array" ref="T101">IFERROR(XLOOKUP(B101,'ImportaçãoGoogleAds - Adveronix'!$F:$F,'ImportaçãoGoogleAds - Adveronix'!D:D)," ")</f>
        <v>11</v>
      </c>
      <c r="U101" s="155">
        <f t="array" ref="U101">IFERROR(XLOOKUP(B101,'ImportaçãoGoogleAds - Adveronix'!$F:$F,'ImportaçãoGoogleAds - Adveronix'!E:E)," ")</f>
        <v>0</v>
      </c>
      <c r="V101" s="156"/>
      <c r="W101" s="157"/>
      <c r="X101" s="157"/>
      <c r="Y101" s="158"/>
      <c r="Z101" s="158">
        <f>IFERROR(COUNTIFS(Leads!$L:$L,$B101,Leads!$F:$F,"*google-ads*"),0)</f>
        <v>0</v>
      </c>
      <c r="AA101" s="158">
        <f>IFERROR(COUNTIFS(Leads!$L:$L,$B101,Leads!$F:$F,"*google-ads*",Leads!$N:$N,"Sim"),0)</f>
        <v>0</v>
      </c>
      <c r="AB101" s="152">
        <f t="array" ref="AB101">IFERROR(XLOOKUP(B101,'ImportaçãoMeta - Adveronix'!F:F,'ImportaçãoMeta - Adveronix'!B:B),"")</f>
        <v>85.71</v>
      </c>
      <c r="AC101" s="154"/>
      <c r="AD101" s="154"/>
      <c r="AE101" s="159">
        <f t="array" ref="AE101">IFERROR(XLOOKUP(B101,'ImportaçãoMeta - Adveronix'!$F:$F,'ImportaçãoMeta - Adveronix'!C:C),"")</f>
        <v>7522</v>
      </c>
      <c r="AF101" s="159">
        <f t="array" ref="AF101">IFERROR(XLOOKUP(B101,'ImportaçãoMeta - Adveronix'!$F:$F,'ImportaçãoMeta - Adveronix'!D:D),"")</f>
        <v>180</v>
      </c>
      <c r="AG101" s="159" t="str">
        <f t="array" ref="AG101">IFERROR(XLOOKUP(B101,'ImportaçãoMeta - Adveronix'!$F:$F,'ImportaçãoMeta - Adveronix'!E:E),"")</f>
        <v/>
      </c>
      <c r="AH101" s="157"/>
      <c r="AI101" s="157"/>
      <c r="AJ101" s="156"/>
      <c r="AK101" s="160">
        <f>IFERROR(COUNTIFS(Leads!$L:$L,$B101,Leads!$F:$F,"*MetaAds"),0)</f>
        <v>12</v>
      </c>
      <c r="AL101" s="160">
        <f>IFERROR(COUNTIFS(Leads!$L:$L,$B101,Leads!$F:$F,"*MetaAds*",Leads!$N:$N,"Sim"),0)</f>
        <v>8</v>
      </c>
    </row>
    <row r="102" ht="15.75" customHeight="1">
      <c r="A102" s="149" t="str">
        <f t="array" ref="A102">XLOOKUP(MONTH(B102),BASE!$F$16:$F$27,BASE!$G$16:$G$27)</f>
        <v>Abril</v>
      </c>
      <c r="B102" s="150">
        <v>46123.0</v>
      </c>
      <c r="C102" s="151"/>
      <c r="D102" s="149" t="str">
        <f t="shared" si="4"/>
        <v>sábado</v>
      </c>
      <c r="E102" s="152">
        <f t="shared" ref="E102:J102" si="203">IFERROR(SUM(P102,AB102)," ")</f>
        <v>99.68</v>
      </c>
      <c r="F102" s="152">
        <f t="shared" si="203"/>
        <v>0</v>
      </c>
      <c r="G102" s="152">
        <f t="shared" si="203"/>
        <v>0</v>
      </c>
      <c r="H102" s="153">
        <f t="shared" si="203"/>
        <v>8870</v>
      </c>
      <c r="I102" s="153">
        <f t="shared" si="203"/>
        <v>174</v>
      </c>
      <c r="J102" s="153">
        <f t="shared" si="203"/>
        <v>1</v>
      </c>
      <c r="K102" s="153">
        <f t="shared" ref="K102:O102" si="204">IFERROR(SUM(W102,AH102)," ")</f>
        <v>0</v>
      </c>
      <c r="L102" s="153">
        <f t="shared" si="204"/>
        <v>0</v>
      </c>
      <c r="M102" s="153">
        <f t="shared" si="204"/>
        <v>0</v>
      </c>
      <c r="N102" s="153">
        <f t="shared" si="204"/>
        <v>12</v>
      </c>
      <c r="O102" s="153">
        <f t="shared" si="204"/>
        <v>7</v>
      </c>
      <c r="P102" s="152">
        <f t="array" ref="P102">IFERROR(XLOOKUP(B102,'ImportaçãoGoogleAds - Adveronix'!$F:$F,'ImportaçãoGoogleAds - Adveronix'!$B:$B)," ")</f>
        <v>31.68</v>
      </c>
      <c r="Q102" s="154"/>
      <c r="R102" s="154"/>
      <c r="S102" s="155">
        <f t="array" ref="S102">IFERROR(XLOOKUP(B102,'ImportaçãoGoogleAds - Adveronix'!$F:$F,'ImportaçãoGoogleAds - Adveronix'!C:C)," ")</f>
        <v>1238</v>
      </c>
      <c r="T102" s="155">
        <f t="array" ref="T102">IFERROR(XLOOKUP(B102,'ImportaçãoGoogleAds - Adveronix'!$F:$F,'ImportaçãoGoogleAds - Adveronix'!D:D)," ")</f>
        <v>19</v>
      </c>
      <c r="U102" s="155">
        <f t="array" ref="U102">IFERROR(XLOOKUP(B102,'ImportaçãoGoogleAds - Adveronix'!$F:$F,'ImportaçãoGoogleAds - Adveronix'!E:E)," ")</f>
        <v>0</v>
      </c>
      <c r="V102" s="156"/>
      <c r="W102" s="157"/>
      <c r="X102" s="157"/>
      <c r="Y102" s="158"/>
      <c r="Z102" s="158">
        <f>IFERROR(COUNTIFS(Leads!$L:$L,$B102,Leads!$F:$F,"*google-ads*"),0)</f>
        <v>0</v>
      </c>
      <c r="AA102" s="158">
        <f>IFERROR(COUNTIFS(Leads!$L:$L,$B102,Leads!$F:$F,"*google-ads*",Leads!$N:$N,"Sim"),0)</f>
        <v>0</v>
      </c>
      <c r="AB102" s="152">
        <f t="array" ref="AB102">IFERROR(XLOOKUP(B102,'ImportaçãoMeta - Adveronix'!F:F,'ImportaçãoMeta - Adveronix'!B:B),"")</f>
        <v>68</v>
      </c>
      <c r="AC102" s="154"/>
      <c r="AD102" s="154"/>
      <c r="AE102" s="159">
        <f t="array" ref="AE102">IFERROR(XLOOKUP(B102,'ImportaçãoMeta - Adveronix'!$F:$F,'ImportaçãoMeta - Adveronix'!C:C),"")</f>
        <v>7632</v>
      </c>
      <c r="AF102" s="159">
        <f t="array" ref="AF102">IFERROR(XLOOKUP(B102,'ImportaçãoMeta - Adveronix'!$F:$F,'ImportaçãoMeta - Adveronix'!D:D),"")</f>
        <v>155</v>
      </c>
      <c r="AG102" s="159">
        <f t="array" ref="AG102">IFERROR(XLOOKUP(B102,'ImportaçãoMeta - Adveronix'!$F:$F,'ImportaçãoMeta - Adveronix'!E:E),"")</f>
        <v>1</v>
      </c>
      <c r="AH102" s="157"/>
      <c r="AI102" s="157"/>
      <c r="AJ102" s="156"/>
      <c r="AK102" s="160">
        <f>IFERROR(COUNTIFS(Leads!$L:$L,$B102,Leads!$F:$F,"*MetaAds"),0)</f>
        <v>12</v>
      </c>
      <c r="AL102" s="160">
        <f>IFERROR(COUNTIFS(Leads!$L:$L,$B102,Leads!$F:$F,"*MetaAds*",Leads!$N:$N,"Sim"),0)</f>
        <v>7</v>
      </c>
    </row>
    <row r="103" ht="15.75" customHeight="1">
      <c r="A103" s="149" t="str">
        <f t="array" ref="A103">XLOOKUP(MONTH(B103),BASE!$F$16:$F$27,BASE!$G$16:$G$27)</f>
        <v>Abril</v>
      </c>
      <c r="B103" s="150">
        <v>46124.0</v>
      </c>
      <c r="C103" s="151"/>
      <c r="D103" s="149" t="str">
        <f t="shared" si="4"/>
        <v>domingo</v>
      </c>
      <c r="E103" s="152">
        <f t="shared" ref="E103:J103" si="205">IFERROR(SUM(P103,AB103)," ")</f>
        <v>151.91</v>
      </c>
      <c r="F103" s="152">
        <f t="shared" si="205"/>
        <v>0</v>
      </c>
      <c r="G103" s="152">
        <f t="shared" si="205"/>
        <v>0</v>
      </c>
      <c r="H103" s="153">
        <f t="shared" si="205"/>
        <v>9304</v>
      </c>
      <c r="I103" s="153">
        <f t="shared" si="205"/>
        <v>284</v>
      </c>
      <c r="J103" s="153">
        <f t="shared" si="205"/>
        <v>0</v>
      </c>
      <c r="K103" s="153">
        <f t="shared" ref="K103:O103" si="206">IFERROR(SUM(W103,AH103)," ")</f>
        <v>0</v>
      </c>
      <c r="L103" s="153">
        <f t="shared" si="206"/>
        <v>0</v>
      </c>
      <c r="M103" s="153">
        <f t="shared" si="206"/>
        <v>0</v>
      </c>
      <c r="N103" s="153">
        <f t="shared" si="206"/>
        <v>23</v>
      </c>
      <c r="O103" s="153">
        <f t="shared" si="206"/>
        <v>20</v>
      </c>
      <c r="P103" s="152">
        <f t="array" ref="P103">IFERROR(XLOOKUP(B103,'ImportaçãoGoogleAds - Adveronix'!$F:$F,'ImportaçãoGoogleAds - Adveronix'!$B:$B)," ")</f>
        <v>85.02</v>
      </c>
      <c r="Q103" s="154"/>
      <c r="R103" s="154"/>
      <c r="S103" s="155">
        <f t="array" ref="S103">IFERROR(XLOOKUP(B103,'ImportaçãoGoogleAds - Adveronix'!$F:$F,'ImportaçãoGoogleAds - Adveronix'!C:C)," ")</f>
        <v>1194</v>
      </c>
      <c r="T103" s="155">
        <f t="array" ref="T103">IFERROR(XLOOKUP(B103,'ImportaçãoGoogleAds - Adveronix'!$F:$F,'ImportaçãoGoogleAds - Adveronix'!D:D)," ")</f>
        <v>14</v>
      </c>
      <c r="U103" s="155">
        <f t="array" ref="U103">IFERROR(XLOOKUP(B103,'ImportaçãoGoogleAds - Adveronix'!$F:$F,'ImportaçãoGoogleAds - Adveronix'!E:E)," ")</f>
        <v>0</v>
      </c>
      <c r="V103" s="156"/>
      <c r="W103" s="157"/>
      <c r="X103" s="157"/>
      <c r="Y103" s="158"/>
      <c r="Z103" s="158">
        <f>IFERROR(COUNTIFS(Leads!$L:$L,$B103,Leads!$F:$F,"*google-ads*"),0)</f>
        <v>0</v>
      </c>
      <c r="AA103" s="158">
        <f>IFERROR(COUNTIFS(Leads!$L:$L,$B103,Leads!$F:$F,"*google-ads*",Leads!$N:$N,"Sim"),0)</f>
        <v>0</v>
      </c>
      <c r="AB103" s="152">
        <f t="array" ref="AB103">IFERROR(XLOOKUP(B103,'ImportaçãoMeta - Adveronix'!F:F,'ImportaçãoMeta - Adveronix'!B:B),"")</f>
        <v>66.89</v>
      </c>
      <c r="AC103" s="154"/>
      <c r="AD103" s="154"/>
      <c r="AE103" s="159">
        <f t="array" ref="AE103">IFERROR(XLOOKUP(B103,'ImportaçãoMeta - Adveronix'!$F:$F,'ImportaçãoMeta - Adveronix'!C:C),"")</f>
        <v>8110</v>
      </c>
      <c r="AF103" s="159">
        <f t="array" ref="AF103">IFERROR(XLOOKUP(B103,'ImportaçãoMeta - Adveronix'!$F:$F,'ImportaçãoMeta - Adveronix'!D:D),"")</f>
        <v>270</v>
      </c>
      <c r="AG103" s="159" t="str">
        <f t="array" ref="AG103">IFERROR(XLOOKUP(B103,'ImportaçãoMeta - Adveronix'!$F:$F,'ImportaçãoMeta - Adveronix'!E:E),"")</f>
        <v/>
      </c>
      <c r="AH103" s="157"/>
      <c r="AI103" s="157"/>
      <c r="AJ103" s="156"/>
      <c r="AK103" s="160">
        <f>IFERROR(COUNTIFS(Leads!$L:$L,$B103,Leads!$F:$F,"*MetaAds"),0)</f>
        <v>23</v>
      </c>
      <c r="AL103" s="160">
        <f>IFERROR(COUNTIFS(Leads!$L:$L,$B103,Leads!$F:$F,"*MetaAds*",Leads!$N:$N,"Sim"),0)</f>
        <v>20</v>
      </c>
    </row>
    <row r="104" ht="15.75" customHeight="1">
      <c r="A104" s="149" t="str">
        <f t="array" ref="A104">XLOOKUP(MONTH(B104),BASE!$F$16:$F$27,BASE!$G$16:$G$27)</f>
        <v>Abril</v>
      </c>
      <c r="B104" s="150">
        <v>46125.0</v>
      </c>
      <c r="C104" s="151"/>
      <c r="D104" s="149" t="str">
        <f t="shared" si="4"/>
        <v>segunda-feira</v>
      </c>
      <c r="E104" s="152">
        <f t="shared" ref="E104:J104" si="207">IFERROR(SUM(P104,AB104)," ")</f>
        <v>87.64</v>
      </c>
      <c r="F104" s="152">
        <f t="shared" si="207"/>
        <v>0</v>
      </c>
      <c r="G104" s="152">
        <f t="shared" si="207"/>
        <v>0</v>
      </c>
      <c r="H104" s="153">
        <f t="shared" si="207"/>
        <v>7410</v>
      </c>
      <c r="I104" s="153">
        <f t="shared" si="207"/>
        <v>259</v>
      </c>
      <c r="J104" s="153">
        <f t="shared" si="207"/>
        <v>1</v>
      </c>
      <c r="K104" s="153">
        <f t="shared" ref="K104:O104" si="208">IFERROR(SUM(W104,AH104)," ")</f>
        <v>0</v>
      </c>
      <c r="L104" s="153">
        <f t="shared" si="208"/>
        <v>0</v>
      </c>
      <c r="M104" s="153">
        <f t="shared" si="208"/>
        <v>0</v>
      </c>
      <c r="N104" s="153">
        <f t="shared" si="208"/>
        <v>12</v>
      </c>
      <c r="O104" s="153">
        <f t="shared" si="208"/>
        <v>12</v>
      </c>
      <c r="P104" s="152">
        <f t="array" ref="P104">IFERROR(XLOOKUP(B104,'ImportaçãoGoogleAds - Adveronix'!$F:$F,'ImportaçãoGoogleAds - Adveronix'!$B:$B)," ")</f>
        <v>36.17</v>
      </c>
      <c r="Q104" s="154"/>
      <c r="R104" s="154"/>
      <c r="S104" s="155">
        <f t="array" ref="S104">IFERROR(XLOOKUP(B104,'ImportaçãoGoogleAds - Adveronix'!$F:$F,'ImportaçãoGoogleAds - Adveronix'!C:C)," ")</f>
        <v>1368</v>
      </c>
      <c r="T104" s="155">
        <f t="array" ref="T104">IFERROR(XLOOKUP(B104,'ImportaçãoGoogleAds - Adveronix'!$F:$F,'ImportaçãoGoogleAds - Adveronix'!D:D)," ")</f>
        <v>16</v>
      </c>
      <c r="U104" s="155">
        <f t="array" ref="U104">IFERROR(XLOOKUP(B104,'ImportaçãoGoogleAds - Adveronix'!$F:$F,'ImportaçãoGoogleAds - Adveronix'!E:E)," ")</f>
        <v>0</v>
      </c>
      <c r="V104" s="156"/>
      <c r="W104" s="157"/>
      <c r="X104" s="157"/>
      <c r="Y104" s="158"/>
      <c r="Z104" s="158">
        <f>IFERROR(COUNTIFS(Leads!$L:$L,$B104,Leads!$F:$F,"*google-ads*"),0)</f>
        <v>0</v>
      </c>
      <c r="AA104" s="158">
        <f>IFERROR(COUNTIFS(Leads!$L:$L,$B104,Leads!$F:$F,"*google-ads*",Leads!$N:$N,"Sim"),0)</f>
        <v>0</v>
      </c>
      <c r="AB104" s="152">
        <f t="array" ref="AB104">IFERROR(XLOOKUP(B104,'ImportaçãoMeta - Adveronix'!F:F,'ImportaçãoMeta - Adveronix'!B:B),"")</f>
        <v>51.47</v>
      </c>
      <c r="AC104" s="154"/>
      <c r="AD104" s="154"/>
      <c r="AE104" s="159">
        <f t="array" ref="AE104">IFERROR(XLOOKUP(B104,'ImportaçãoMeta - Adveronix'!$F:$F,'ImportaçãoMeta - Adveronix'!C:C),"")</f>
        <v>6042</v>
      </c>
      <c r="AF104" s="159">
        <f t="array" ref="AF104">IFERROR(XLOOKUP(B104,'ImportaçãoMeta - Adveronix'!$F:$F,'ImportaçãoMeta - Adveronix'!D:D),"")</f>
        <v>243</v>
      </c>
      <c r="AG104" s="159">
        <f t="array" ref="AG104">IFERROR(XLOOKUP(B104,'ImportaçãoMeta - Adveronix'!$F:$F,'ImportaçãoMeta - Adveronix'!E:E),"")</f>
        <v>1</v>
      </c>
      <c r="AH104" s="157"/>
      <c r="AI104" s="157"/>
      <c r="AJ104" s="156"/>
      <c r="AK104" s="160">
        <f>IFERROR(COUNTIFS(Leads!$L:$L,$B104,Leads!$F:$F,"*MetaAds"),0)</f>
        <v>12</v>
      </c>
      <c r="AL104" s="160">
        <f>IFERROR(COUNTIFS(Leads!$L:$L,$B104,Leads!$F:$F,"*MetaAds*",Leads!$N:$N,"Sim"),0)</f>
        <v>12</v>
      </c>
    </row>
    <row r="105" ht="15.75" customHeight="1">
      <c r="A105" s="149" t="str">
        <f t="array" ref="A105">XLOOKUP(MONTH(B105),BASE!$F$16:$F$27,BASE!$G$16:$G$27)</f>
        <v>Abril</v>
      </c>
      <c r="B105" s="150">
        <v>46126.0</v>
      </c>
      <c r="C105" s="151"/>
      <c r="D105" s="149" t="str">
        <f t="shared" si="4"/>
        <v>terça-feira</v>
      </c>
      <c r="E105" s="152">
        <f t="shared" ref="E105:J105" si="209">IFERROR(SUM(P105,AB105)," ")</f>
        <v>91.53</v>
      </c>
      <c r="F105" s="152">
        <f t="shared" si="209"/>
        <v>0</v>
      </c>
      <c r="G105" s="152">
        <f t="shared" si="209"/>
        <v>0</v>
      </c>
      <c r="H105" s="153">
        <f t="shared" si="209"/>
        <v>7162</v>
      </c>
      <c r="I105" s="153">
        <f t="shared" si="209"/>
        <v>201</v>
      </c>
      <c r="J105" s="153">
        <f t="shared" si="209"/>
        <v>2</v>
      </c>
      <c r="K105" s="153">
        <f t="shared" ref="K105:O105" si="210">IFERROR(SUM(W105,AH105)," ")</f>
        <v>0</v>
      </c>
      <c r="L105" s="153">
        <f t="shared" si="210"/>
        <v>0</v>
      </c>
      <c r="M105" s="153">
        <f t="shared" si="210"/>
        <v>0</v>
      </c>
      <c r="N105" s="153">
        <f t="shared" si="210"/>
        <v>14</v>
      </c>
      <c r="O105" s="153">
        <f t="shared" si="210"/>
        <v>8</v>
      </c>
      <c r="P105" s="152">
        <f t="array" ref="P105">IFERROR(XLOOKUP(B105,'ImportaçãoGoogleAds - Adveronix'!$F:$F,'ImportaçãoGoogleAds - Adveronix'!$B:$B)," ")</f>
        <v>36.96</v>
      </c>
      <c r="Q105" s="154"/>
      <c r="R105" s="154"/>
      <c r="S105" s="155">
        <f t="array" ref="S105">IFERROR(XLOOKUP(B105,'ImportaçãoGoogleAds - Adveronix'!$F:$F,'ImportaçãoGoogleAds - Adveronix'!C:C)," ")</f>
        <v>1217</v>
      </c>
      <c r="T105" s="155">
        <f t="array" ref="T105">IFERROR(XLOOKUP(B105,'ImportaçãoGoogleAds - Adveronix'!$F:$F,'ImportaçãoGoogleAds - Adveronix'!D:D)," ")</f>
        <v>12</v>
      </c>
      <c r="U105" s="155">
        <f t="array" ref="U105">IFERROR(XLOOKUP(B105,'ImportaçãoGoogleAds - Adveronix'!$F:$F,'ImportaçãoGoogleAds - Adveronix'!E:E)," ")</f>
        <v>1</v>
      </c>
      <c r="V105" s="156"/>
      <c r="W105" s="157"/>
      <c r="X105" s="157"/>
      <c r="Y105" s="158"/>
      <c r="Z105" s="158">
        <f>IFERROR(COUNTIFS(Leads!$L:$L,$B105,Leads!$F:$F,"*google-ads*"),0)</f>
        <v>1</v>
      </c>
      <c r="AA105" s="158">
        <f>IFERROR(COUNTIFS(Leads!$L:$L,$B105,Leads!$F:$F,"*google-ads*",Leads!$N:$N,"Sim"),0)</f>
        <v>0</v>
      </c>
      <c r="AB105" s="152">
        <f t="array" ref="AB105">IFERROR(XLOOKUP(B105,'ImportaçãoMeta - Adveronix'!F:F,'ImportaçãoMeta - Adveronix'!B:B),"")</f>
        <v>54.57</v>
      </c>
      <c r="AC105" s="154"/>
      <c r="AD105" s="154"/>
      <c r="AE105" s="159">
        <f t="array" ref="AE105">IFERROR(XLOOKUP(B105,'ImportaçãoMeta - Adveronix'!$F:$F,'ImportaçãoMeta - Adveronix'!C:C),"")</f>
        <v>5945</v>
      </c>
      <c r="AF105" s="159">
        <f t="array" ref="AF105">IFERROR(XLOOKUP(B105,'ImportaçãoMeta - Adveronix'!$F:$F,'ImportaçãoMeta - Adveronix'!D:D),"")</f>
        <v>189</v>
      </c>
      <c r="AG105" s="159">
        <f t="array" ref="AG105">IFERROR(XLOOKUP(B105,'ImportaçãoMeta - Adveronix'!$F:$F,'ImportaçãoMeta - Adveronix'!E:E),"")</f>
        <v>1</v>
      </c>
      <c r="AH105" s="157"/>
      <c r="AI105" s="157"/>
      <c r="AJ105" s="156"/>
      <c r="AK105" s="160">
        <f>IFERROR(COUNTIFS(Leads!$L:$L,$B105,Leads!$F:$F,"*MetaAds"),0)</f>
        <v>13</v>
      </c>
      <c r="AL105" s="160">
        <f>IFERROR(COUNTIFS(Leads!$L:$L,$B105,Leads!$F:$F,"*MetaAds*",Leads!$N:$N,"Sim"),0)</f>
        <v>8</v>
      </c>
    </row>
    <row r="106" ht="15.75" customHeight="1">
      <c r="A106" s="149" t="str">
        <f t="array" ref="A106">XLOOKUP(MONTH(B106),BASE!$F$16:$F$27,BASE!$G$16:$G$27)</f>
        <v>Abril</v>
      </c>
      <c r="B106" s="150">
        <v>46127.0</v>
      </c>
      <c r="C106" s="151"/>
      <c r="D106" s="149" t="str">
        <f t="shared" si="4"/>
        <v>quarta-feira</v>
      </c>
      <c r="E106" s="152">
        <f t="shared" ref="E106:J106" si="211">IFERROR(SUM(P106,AB106)," ")</f>
        <v>77.4</v>
      </c>
      <c r="F106" s="152">
        <f t="shared" si="211"/>
        <v>0</v>
      </c>
      <c r="G106" s="152">
        <f t="shared" si="211"/>
        <v>0</v>
      </c>
      <c r="H106" s="153">
        <f t="shared" si="211"/>
        <v>5884</v>
      </c>
      <c r="I106" s="153">
        <f t="shared" si="211"/>
        <v>158</v>
      </c>
      <c r="J106" s="153">
        <f t="shared" si="211"/>
        <v>0</v>
      </c>
      <c r="K106" s="153">
        <f t="shared" ref="K106:O106" si="212">IFERROR(SUM(W106,AH106)," ")</f>
        <v>0</v>
      </c>
      <c r="L106" s="153">
        <f t="shared" si="212"/>
        <v>0</v>
      </c>
      <c r="M106" s="153">
        <f t="shared" si="212"/>
        <v>0</v>
      </c>
      <c r="N106" s="153">
        <f t="shared" si="212"/>
        <v>14</v>
      </c>
      <c r="O106" s="153">
        <f t="shared" si="212"/>
        <v>13</v>
      </c>
      <c r="P106" s="152">
        <f t="array" ref="P106">IFERROR(XLOOKUP(B106,'ImportaçãoGoogleAds - Adveronix'!$F:$F,'ImportaçãoGoogleAds - Adveronix'!$B:$B)," ")</f>
        <v>32.16</v>
      </c>
      <c r="Q106" s="154"/>
      <c r="R106" s="154"/>
      <c r="S106" s="155">
        <f t="array" ref="S106">IFERROR(XLOOKUP(B106,'ImportaçãoGoogleAds - Adveronix'!$F:$F,'ImportaçãoGoogleAds - Adveronix'!C:C)," ")</f>
        <v>1008</v>
      </c>
      <c r="T106" s="155">
        <f t="array" ref="T106">IFERROR(XLOOKUP(B106,'ImportaçãoGoogleAds - Adveronix'!$F:$F,'ImportaçãoGoogleAds - Adveronix'!D:D)," ")</f>
        <v>14</v>
      </c>
      <c r="U106" s="155">
        <f t="array" ref="U106">IFERROR(XLOOKUP(B106,'ImportaçãoGoogleAds - Adveronix'!$F:$F,'ImportaçãoGoogleAds - Adveronix'!E:E)," ")</f>
        <v>0</v>
      </c>
      <c r="V106" s="156"/>
      <c r="W106" s="157"/>
      <c r="X106" s="157"/>
      <c r="Y106" s="158"/>
      <c r="Z106" s="158">
        <f>IFERROR(COUNTIFS(Leads!$L:$L,$B106,Leads!$F:$F,"*google-ads*"),0)</f>
        <v>0</v>
      </c>
      <c r="AA106" s="158">
        <f>IFERROR(COUNTIFS(Leads!$L:$L,$B106,Leads!$F:$F,"*google-ads*",Leads!$N:$N,"Sim"),0)</f>
        <v>0</v>
      </c>
      <c r="AB106" s="152">
        <f t="array" ref="AB106">IFERROR(XLOOKUP(B106,'ImportaçãoMeta - Adveronix'!F:F,'ImportaçãoMeta - Adveronix'!B:B),"")</f>
        <v>45.24</v>
      </c>
      <c r="AC106" s="154"/>
      <c r="AD106" s="154"/>
      <c r="AE106" s="159">
        <f t="array" ref="AE106">IFERROR(XLOOKUP(B106,'ImportaçãoMeta - Adveronix'!$F:$F,'ImportaçãoMeta - Adveronix'!C:C),"")</f>
        <v>4876</v>
      </c>
      <c r="AF106" s="159">
        <f t="array" ref="AF106">IFERROR(XLOOKUP(B106,'ImportaçãoMeta - Adveronix'!$F:$F,'ImportaçãoMeta - Adveronix'!D:D),"")</f>
        <v>144</v>
      </c>
      <c r="AG106" s="159" t="str">
        <f t="array" ref="AG106">IFERROR(XLOOKUP(B106,'ImportaçãoMeta - Adveronix'!$F:$F,'ImportaçãoMeta - Adveronix'!E:E),"")</f>
        <v/>
      </c>
      <c r="AH106" s="157"/>
      <c r="AI106" s="157"/>
      <c r="AJ106" s="156"/>
      <c r="AK106" s="160">
        <f>IFERROR(COUNTIFS(Leads!$L:$L,$B106,Leads!$F:$F,"*MetaAds"),0)</f>
        <v>14</v>
      </c>
      <c r="AL106" s="160">
        <f>IFERROR(COUNTIFS(Leads!$L:$L,$B106,Leads!$F:$F,"*MetaAds*",Leads!$N:$N,"Sim"),0)</f>
        <v>13</v>
      </c>
    </row>
    <row r="107" ht="15.75" customHeight="1">
      <c r="A107" s="149" t="str">
        <f t="array" ref="A107">XLOOKUP(MONTH(B107),BASE!$F$16:$F$27,BASE!$G$16:$G$27)</f>
        <v>Abril</v>
      </c>
      <c r="B107" s="150">
        <v>46128.0</v>
      </c>
      <c r="C107" s="151"/>
      <c r="D107" s="149" t="str">
        <f t="shared" si="4"/>
        <v>quinta-feira</v>
      </c>
      <c r="E107" s="152">
        <f t="shared" ref="E107:J107" si="213">IFERROR(SUM(P107,AB107)," ")</f>
        <v>123.56</v>
      </c>
      <c r="F107" s="152">
        <f t="shared" si="213"/>
        <v>0</v>
      </c>
      <c r="G107" s="152">
        <f t="shared" si="213"/>
        <v>0</v>
      </c>
      <c r="H107" s="153">
        <f t="shared" si="213"/>
        <v>6356</v>
      </c>
      <c r="I107" s="153">
        <f t="shared" si="213"/>
        <v>151</v>
      </c>
      <c r="J107" s="153">
        <f t="shared" si="213"/>
        <v>1</v>
      </c>
      <c r="K107" s="153">
        <f t="shared" ref="K107:O107" si="214">IFERROR(SUM(W107,AH107)," ")</f>
        <v>0</v>
      </c>
      <c r="L107" s="153">
        <f t="shared" si="214"/>
        <v>0</v>
      </c>
      <c r="M107" s="153">
        <f t="shared" si="214"/>
        <v>0</v>
      </c>
      <c r="N107" s="153">
        <f t="shared" si="214"/>
        <v>14</v>
      </c>
      <c r="O107" s="153">
        <f t="shared" si="214"/>
        <v>7</v>
      </c>
      <c r="P107" s="152">
        <f t="array" ref="P107">IFERROR(XLOOKUP(B107,'ImportaçãoGoogleAds - Adveronix'!$F:$F,'ImportaçãoGoogleAds - Adveronix'!$B:$B)," ")</f>
        <v>77.92</v>
      </c>
      <c r="Q107" s="154"/>
      <c r="R107" s="154"/>
      <c r="S107" s="155">
        <f t="array" ref="S107">IFERROR(XLOOKUP(B107,'ImportaçãoGoogleAds - Adveronix'!$F:$F,'ImportaçãoGoogleAds - Adveronix'!C:C)," ")</f>
        <v>1154</v>
      </c>
      <c r="T107" s="155">
        <f t="array" ref="T107">IFERROR(XLOOKUP(B107,'ImportaçãoGoogleAds - Adveronix'!$F:$F,'ImportaçãoGoogleAds - Adveronix'!D:D)," ")</f>
        <v>9</v>
      </c>
      <c r="U107" s="155">
        <f t="array" ref="U107">IFERROR(XLOOKUP(B107,'ImportaçãoGoogleAds - Adveronix'!$F:$F,'ImportaçãoGoogleAds - Adveronix'!E:E)," ")</f>
        <v>0</v>
      </c>
      <c r="V107" s="156"/>
      <c r="W107" s="157"/>
      <c r="X107" s="157"/>
      <c r="Y107" s="158"/>
      <c r="Z107" s="158">
        <f>IFERROR(COUNTIFS(Leads!$L:$L,$B107,Leads!$F:$F,"*google-ads*"),0)</f>
        <v>0</v>
      </c>
      <c r="AA107" s="158">
        <f>IFERROR(COUNTIFS(Leads!$L:$L,$B107,Leads!$F:$F,"*google-ads*",Leads!$N:$N,"Sim"),0)</f>
        <v>0</v>
      </c>
      <c r="AB107" s="152">
        <f t="array" ref="AB107">IFERROR(XLOOKUP(B107,'ImportaçãoMeta - Adveronix'!F:F,'ImportaçãoMeta - Adveronix'!B:B),"")</f>
        <v>45.64</v>
      </c>
      <c r="AC107" s="154"/>
      <c r="AD107" s="154"/>
      <c r="AE107" s="159">
        <f t="array" ref="AE107">IFERROR(XLOOKUP(B107,'ImportaçãoMeta - Adveronix'!$F:$F,'ImportaçãoMeta - Adveronix'!C:C),"")</f>
        <v>5202</v>
      </c>
      <c r="AF107" s="159">
        <f t="array" ref="AF107">IFERROR(XLOOKUP(B107,'ImportaçãoMeta - Adveronix'!$F:$F,'ImportaçãoMeta - Adveronix'!D:D),"")</f>
        <v>142</v>
      </c>
      <c r="AG107" s="159">
        <f t="array" ref="AG107">IFERROR(XLOOKUP(B107,'ImportaçãoMeta - Adveronix'!$F:$F,'ImportaçãoMeta - Adveronix'!E:E),"")</f>
        <v>1</v>
      </c>
      <c r="AH107" s="157"/>
      <c r="AI107" s="157"/>
      <c r="AJ107" s="156"/>
      <c r="AK107" s="160">
        <f>IFERROR(COUNTIFS(Leads!$L:$L,$B107,Leads!$F:$F,"*MetaAds"),0)</f>
        <v>14</v>
      </c>
      <c r="AL107" s="160">
        <f>IFERROR(COUNTIFS(Leads!$L:$L,$B107,Leads!$F:$F,"*MetaAds*",Leads!$N:$N,"Sim"),0)</f>
        <v>7</v>
      </c>
    </row>
    <row r="108" ht="15.75" customHeight="1">
      <c r="A108" s="149" t="str">
        <f t="array" ref="A108">XLOOKUP(MONTH(B108),BASE!$F$16:$F$27,BASE!$G$16:$G$27)</f>
        <v>Abril</v>
      </c>
      <c r="B108" s="150">
        <v>46129.0</v>
      </c>
      <c r="C108" s="151"/>
      <c r="D108" s="149" t="str">
        <f t="shared" si="4"/>
        <v>sexta-feira</v>
      </c>
      <c r="E108" s="152">
        <f t="shared" ref="E108:J108" si="215">IFERROR(SUM(P108,AB108)," ")</f>
        <v>95.34</v>
      </c>
      <c r="F108" s="152">
        <f t="shared" si="215"/>
        <v>0</v>
      </c>
      <c r="G108" s="152">
        <f t="shared" si="215"/>
        <v>0</v>
      </c>
      <c r="H108" s="153">
        <f t="shared" si="215"/>
        <v>6752</v>
      </c>
      <c r="I108" s="153">
        <f t="shared" si="215"/>
        <v>145</v>
      </c>
      <c r="J108" s="153">
        <f t="shared" si="215"/>
        <v>1</v>
      </c>
      <c r="K108" s="153">
        <f t="shared" ref="K108:O108" si="216">IFERROR(SUM(W108,AH108)," ")</f>
        <v>0</v>
      </c>
      <c r="L108" s="153">
        <f t="shared" si="216"/>
        <v>0</v>
      </c>
      <c r="M108" s="153">
        <f t="shared" si="216"/>
        <v>0</v>
      </c>
      <c r="N108" s="153">
        <f t="shared" si="216"/>
        <v>12</v>
      </c>
      <c r="O108" s="153">
        <f t="shared" si="216"/>
        <v>10</v>
      </c>
      <c r="P108" s="152">
        <f t="array" ref="P108">IFERROR(XLOOKUP(B108,'ImportaçãoGoogleAds - Adveronix'!$F:$F,'ImportaçãoGoogleAds - Adveronix'!$B:$B)," ")</f>
        <v>48.94</v>
      </c>
      <c r="Q108" s="154"/>
      <c r="R108" s="154"/>
      <c r="S108" s="155">
        <f t="array" ref="S108">IFERROR(XLOOKUP(B108,'ImportaçãoGoogleAds - Adveronix'!$F:$F,'ImportaçãoGoogleAds - Adveronix'!C:C)," ")</f>
        <v>1032</v>
      </c>
      <c r="T108" s="155">
        <f t="array" ref="T108">IFERROR(XLOOKUP(B108,'ImportaçãoGoogleAds - Adveronix'!$F:$F,'ImportaçãoGoogleAds - Adveronix'!D:D)," ")</f>
        <v>15</v>
      </c>
      <c r="U108" s="155">
        <f t="array" ref="U108">IFERROR(XLOOKUP(B108,'ImportaçãoGoogleAds - Adveronix'!$F:$F,'ImportaçãoGoogleAds - Adveronix'!E:E)," ")</f>
        <v>0</v>
      </c>
      <c r="V108" s="156"/>
      <c r="W108" s="157"/>
      <c r="X108" s="157"/>
      <c r="Y108" s="158"/>
      <c r="Z108" s="158">
        <f>IFERROR(COUNTIFS(Leads!$L:$L,$B108,Leads!$F:$F,"*google-ads*"),0)</f>
        <v>0</v>
      </c>
      <c r="AA108" s="158">
        <f>IFERROR(COUNTIFS(Leads!$L:$L,$B108,Leads!$F:$F,"*google-ads*",Leads!$N:$N,"Sim"),0)</f>
        <v>0</v>
      </c>
      <c r="AB108" s="152">
        <f t="array" ref="AB108">IFERROR(XLOOKUP(B108,'ImportaçãoMeta - Adveronix'!F:F,'ImportaçãoMeta - Adveronix'!B:B),"")</f>
        <v>46.4</v>
      </c>
      <c r="AC108" s="154"/>
      <c r="AD108" s="154"/>
      <c r="AE108" s="159">
        <f t="array" ref="AE108">IFERROR(XLOOKUP(B108,'ImportaçãoMeta - Adveronix'!$F:$F,'ImportaçãoMeta - Adveronix'!C:C),"")</f>
        <v>5720</v>
      </c>
      <c r="AF108" s="159">
        <f t="array" ref="AF108">IFERROR(XLOOKUP(B108,'ImportaçãoMeta - Adveronix'!$F:$F,'ImportaçãoMeta - Adveronix'!D:D),"")</f>
        <v>130</v>
      </c>
      <c r="AG108" s="159">
        <f t="array" ref="AG108">IFERROR(XLOOKUP(B108,'ImportaçãoMeta - Adveronix'!$F:$F,'ImportaçãoMeta - Adveronix'!E:E),"")</f>
        <v>1</v>
      </c>
      <c r="AH108" s="157"/>
      <c r="AI108" s="157"/>
      <c r="AJ108" s="156"/>
      <c r="AK108" s="160">
        <f>IFERROR(COUNTIFS(Leads!$L:$L,$B108,Leads!$F:$F,"*MetaAds"),0)</f>
        <v>12</v>
      </c>
      <c r="AL108" s="160">
        <f>IFERROR(COUNTIFS(Leads!$L:$L,$B108,Leads!$F:$F,"*MetaAds*",Leads!$N:$N,"Sim"),0)</f>
        <v>10</v>
      </c>
    </row>
    <row r="109" ht="15.75" customHeight="1">
      <c r="A109" s="149" t="str">
        <f t="array" ref="A109">XLOOKUP(MONTH(B109),BASE!$F$16:$F$27,BASE!$G$16:$G$27)</f>
        <v>Abril</v>
      </c>
      <c r="B109" s="150">
        <v>46130.0</v>
      </c>
      <c r="C109" s="151"/>
      <c r="D109" s="149" t="str">
        <f t="shared" si="4"/>
        <v>sábado</v>
      </c>
      <c r="E109" s="152">
        <f t="shared" ref="E109:J109" si="217">IFERROR(SUM(P109,AB109)," ")</f>
        <v>99.38</v>
      </c>
      <c r="F109" s="152">
        <f t="shared" si="217"/>
        <v>0</v>
      </c>
      <c r="G109" s="152">
        <f t="shared" si="217"/>
        <v>0</v>
      </c>
      <c r="H109" s="153">
        <f t="shared" si="217"/>
        <v>8678</v>
      </c>
      <c r="I109" s="153">
        <f t="shared" si="217"/>
        <v>161</v>
      </c>
      <c r="J109" s="153">
        <f t="shared" si="217"/>
        <v>2</v>
      </c>
      <c r="K109" s="153">
        <f t="shared" ref="K109:O109" si="218">IFERROR(SUM(W109,AH109)," ")</f>
        <v>0</v>
      </c>
      <c r="L109" s="153">
        <f t="shared" si="218"/>
        <v>0</v>
      </c>
      <c r="M109" s="153">
        <f t="shared" si="218"/>
        <v>0</v>
      </c>
      <c r="N109" s="153">
        <f t="shared" si="218"/>
        <v>18</v>
      </c>
      <c r="O109" s="153">
        <f t="shared" si="218"/>
        <v>14</v>
      </c>
      <c r="P109" s="152">
        <f t="array" ref="P109">IFERROR(XLOOKUP(B109,'ImportaçãoGoogleAds - Adveronix'!$F:$F,'ImportaçãoGoogleAds - Adveronix'!$B:$B)," ")</f>
        <v>42.49</v>
      </c>
      <c r="Q109" s="154"/>
      <c r="R109" s="154"/>
      <c r="S109" s="155">
        <f t="array" ref="S109">IFERROR(XLOOKUP(B109,'ImportaçãoGoogleAds - Adveronix'!$F:$F,'ImportaçãoGoogleAds - Adveronix'!C:C)," ")</f>
        <v>936</v>
      </c>
      <c r="T109" s="155">
        <f t="array" ref="T109">IFERROR(XLOOKUP(B109,'ImportaçãoGoogleAds - Adveronix'!$F:$F,'ImportaçãoGoogleAds - Adveronix'!D:D)," ")</f>
        <v>12</v>
      </c>
      <c r="U109" s="155">
        <f t="array" ref="U109">IFERROR(XLOOKUP(B109,'ImportaçãoGoogleAds - Adveronix'!$F:$F,'ImportaçãoGoogleAds - Adveronix'!E:E)," ")</f>
        <v>1</v>
      </c>
      <c r="V109" s="156"/>
      <c r="W109" s="157"/>
      <c r="X109" s="157"/>
      <c r="Y109" s="158"/>
      <c r="Z109" s="158">
        <f>IFERROR(COUNTIFS(Leads!$L:$L,$B109,Leads!$F:$F,"*google-ads*"),0)</f>
        <v>1</v>
      </c>
      <c r="AA109" s="158">
        <f>IFERROR(COUNTIFS(Leads!$L:$L,$B109,Leads!$F:$F,"*google-ads*",Leads!$N:$N,"Sim"),0)</f>
        <v>1</v>
      </c>
      <c r="AB109" s="152">
        <f t="array" ref="AB109">IFERROR(XLOOKUP(B109,'ImportaçãoMeta - Adveronix'!F:F,'ImportaçãoMeta - Adveronix'!B:B),"")</f>
        <v>56.89</v>
      </c>
      <c r="AC109" s="154"/>
      <c r="AD109" s="154"/>
      <c r="AE109" s="159">
        <f t="array" ref="AE109">IFERROR(XLOOKUP(B109,'ImportaçãoMeta - Adveronix'!$F:$F,'ImportaçãoMeta - Adveronix'!C:C),"")</f>
        <v>7742</v>
      </c>
      <c r="AF109" s="159">
        <f t="array" ref="AF109">IFERROR(XLOOKUP(B109,'ImportaçãoMeta - Adveronix'!$F:$F,'ImportaçãoMeta - Adveronix'!D:D),"")</f>
        <v>149</v>
      </c>
      <c r="AG109" s="159">
        <f t="array" ref="AG109">IFERROR(XLOOKUP(B109,'ImportaçãoMeta - Adveronix'!$F:$F,'ImportaçãoMeta - Adveronix'!E:E),"")</f>
        <v>1</v>
      </c>
      <c r="AH109" s="157"/>
      <c r="AI109" s="157"/>
      <c r="AJ109" s="156"/>
      <c r="AK109" s="160">
        <f>IFERROR(COUNTIFS(Leads!$L:$L,$B109,Leads!$F:$F,"*MetaAds"),0)</f>
        <v>17</v>
      </c>
      <c r="AL109" s="160">
        <f>IFERROR(COUNTIFS(Leads!$L:$L,$B109,Leads!$F:$F,"*MetaAds*",Leads!$N:$N,"Sim"),0)</f>
        <v>13</v>
      </c>
    </row>
    <row r="110" ht="15.75" customHeight="1">
      <c r="A110" s="149" t="str">
        <f t="array" ref="A110">XLOOKUP(MONTH(B110),BASE!$F$16:$F$27,BASE!$G$16:$G$27)</f>
        <v>Abril</v>
      </c>
      <c r="B110" s="150">
        <v>46131.0</v>
      </c>
      <c r="C110" s="151"/>
      <c r="D110" s="149" t="str">
        <f t="shared" si="4"/>
        <v>domingo</v>
      </c>
      <c r="E110" s="152">
        <f t="shared" ref="E110:J110" si="219">IFERROR(SUM(P110,AB110)," ")</f>
        <v>97.72</v>
      </c>
      <c r="F110" s="152">
        <f t="shared" si="219"/>
        <v>0</v>
      </c>
      <c r="G110" s="152">
        <f t="shared" si="219"/>
        <v>0</v>
      </c>
      <c r="H110" s="153">
        <f t="shared" si="219"/>
        <v>9064</v>
      </c>
      <c r="I110" s="153">
        <f t="shared" si="219"/>
        <v>171</v>
      </c>
      <c r="J110" s="153">
        <f t="shared" si="219"/>
        <v>3</v>
      </c>
      <c r="K110" s="153">
        <f t="shared" ref="K110:O110" si="220">IFERROR(SUM(W110,AH110)," ")</f>
        <v>0</v>
      </c>
      <c r="L110" s="153">
        <f t="shared" si="220"/>
        <v>0</v>
      </c>
      <c r="M110" s="153">
        <f t="shared" si="220"/>
        <v>0</v>
      </c>
      <c r="N110" s="153">
        <f t="shared" si="220"/>
        <v>10</v>
      </c>
      <c r="O110" s="153">
        <f t="shared" si="220"/>
        <v>7</v>
      </c>
      <c r="P110" s="152">
        <f t="array" ref="P110">IFERROR(XLOOKUP(B110,'ImportaçãoGoogleAds - Adveronix'!$F:$F,'ImportaçãoGoogleAds - Adveronix'!$B:$B)," ")</f>
        <v>41.82</v>
      </c>
      <c r="Q110" s="154"/>
      <c r="R110" s="154"/>
      <c r="S110" s="155">
        <f t="array" ref="S110">IFERROR(XLOOKUP(B110,'ImportaçãoGoogleAds - Adveronix'!$F:$F,'ImportaçãoGoogleAds - Adveronix'!C:C)," ")</f>
        <v>1199</v>
      </c>
      <c r="T110" s="155">
        <f t="array" ref="T110">IFERROR(XLOOKUP(B110,'ImportaçãoGoogleAds - Adveronix'!$F:$F,'ImportaçãoGoogleAds - Adveronix'!D:D)," ")</f>
        <v>19</v>
      </c>
      <c r="U110" s="155">
        <f t="array" ref="U110">IFERROR(XLOOKUP(B110,'ImportaçãoGoogleAds - Adveronix'!$F:$F,'ImportaçãoGoogleAds - Adveronix'!E:E)," ")</f>
        <v>0</v>
      </c>
      <c r="V110" s="156"/>
      <c r="W110" s="157"/>
      <c r="X110" s="157"/>
      <c r="Y110" s="158"/>
      <c r="Z110" s="158">
        <f>IFERROR(COUNTIFS(Leads!$L:$L,$B110,Leads!$F:$F,"*google-ads*"),0)</f>
        <v>0</v>
      </c>
      <c r="AA110" s="158">
        <f>IFERROR(COUNTIFS(Leads!$L:$L,$B110,Leads!$F:$F,"*google-ads*",Leads!$N:$N,"Sim"),0)</f>
        <v>0</v>
      </c>
      <c r="AB110" s="152">
        <f t="array" ref="AB110">IFERROR(XLOOKUP(B110,'ImportaçãoMeta - Adveronix'!F:F,'ImportaçãoMeta - Adveronix'!B:B),"")</f>
        <v>55.9</v>
      </c>
      <c r="AC110" s="154"/>
      <c r="AD110" s="154"/>
      <c r="AE110" s="159">
        <f t="array" ref="AE110">IFERROR(XLOOKUP(B110,'ImportaçãoMeta - Adveronix'!$F:$F,'ImportaçãoMeta - Adveronix'!C:C),"")</f>
        <v>7865</v>
      </c>
      <c r="AF110" s="159">
        <f t="array" ref="AF110">IFERROR(XLOOKUP(B110,'ImportaçãoMeta - Adveronix'!$F:$F,'ImportaçãoMeta - Adveronix'!D:D),"")</f>
        <v>152</v>
      </c>
      <c r="AG110" s="159">
        <f t="array" ref="AG110">IFERROR(XLOOKUP(B110,'ImportaçãoMeta - Adveronix'!$F:$F,'ImportaçãoMeta - Adveronix'!E:E),"")</f>
        <v>3</v>
      </c>
      <c r="AH110" s="157"/>
      <c r="AI110" s="157"/>
      <c r="AJ110" s="156"/>
      <c r="AK110" s="160">
        <f>IFERROR(COUNTIFS(Leads!$L:$L,$B110,Leads!$F:$F,"*MetaAds"),0)</f>
        <v>10</v>
      </c>
      <c r="AL110" s="160">
        <f>IFERROR(COUNTIFS(Leads!$L:$L,$B110,Leads!$F:$F,"*MetaAds*",Leads!$N:$N,"Sim"),0)</f>
        <v>7</v>
      </c>
    </row>
    <row r="111" ht="15.75" customHeight="1">
      <c r="A111" s="149" t="str">
        <f t="array" ref="A111">XLOOKUP(MONTH(B111),BASE!$F$16:$F$27,BASE!$G$16:$G$27)</f>
        <v>Abril</v>
      </c>
      <c r="B111" s="150">
        <v>46132.0</v>
      </c>
      <c r="C111" s="151"/>
      <c r="D111" s="149" t="str">
        <f t="shared" si="4"/>
        <v>segunda-feira</v>
      </c>
      <c r="E111" s="152">
        <f t="shared" ref="E111:J111" si="221">IFERROR(SUM(P111,AB111)," ")</f>
        <v>78.58</v>
      </c>
      <c r="F111" s="152">
        <f t="shared" si="221"/>
        <v>0</v>
      </c>
      <c r="G111" s="152">
        <f t="shared" si="221"/>
        <v>0</v>
      </c>
      <c r="H111" s="153">
        <f t="shared" si="221"/>
        <v>5644</v>
      </c>
      <c r="I111" s="153">
        <f t="shared" si="221"/>
        <v>146</v>
      </c>
      <c r="J111" s="153">
        <f t="shared" si="221"/>
        <v>2</v>
      </c>
      <c r="K111" s="153">
        <f t="shared" ref="K111:O111" si="222">IFERROR(SUM(W111,AH111)," ")</f>
        <v>0</v>
      </c>
      <c r="L111" s="153">
        <f t="shared" si="222"/>
        <v>0</v>
      </c>
      <c r="M111" s="153">
        <f t="shared" si="222"/>
        <v>0</v>
      </c>
      <c r="N111" s="153">
        <f t="shared" si="222"/>
        <v>3</v>
      </c>
      <c r="O111" s="153">
        <f t="shared" si="222"/>
        <v>3</v>
      </c>
      <c r="P111" s="152">
        <f t="array" ref="P111">IFERROR(XLOOKUP(B111,'ImportaçãoGoogleAds - Adveronix'!$F:$F,'ImportaçãoGoogleAds - Adveronix'!$B:$B)," ")</f>
        <v>36.42</v>
      </c>
      <c r="Q111" s="154"/>
      <c r="R111" s="154"/>
      <c r="S111" s="155">
        <f t="array" ref="S111">IFERROR(XLOOKUP(B111,'ImportaçãoGoogleAds - Adveronix'!$F:$F,'ImportaçãoGoogleAds - Adveronix'!C:C)," ")</f>
        <v>1366</v>
      </c>
      <c r="T111" s="155">
        <f t="array" ref="T111">IFERROR(XLOOKUP(B111,'ImportaçãoGoogleAds - Adveronix'!$F:$F,'ImportaçãoGoogleAds - Adveronix'!D:D)," ")</f>
        <v>19</v>
      </c>
      <c r="U111" s="155">
        <f t="array" ref="U111">IFERROR(XLOOKUP(B111,'ImportaçãoGoogleAds - Adveronix'!$F:$F,'ImportaçãoGoogleAds - Adveronix'!E:E)," ")</f>
        <v>1</v>
      </c>
      <c r="V111" s="156"/>
      <c r="W111" s="157"/>
      <c r="X111" s="157"/>
      <c r="Y111" s="158"/>
      <c r="Z111" s="158">
        <f>IFERROR(COUNTIFS(Leads!$L:$L,$B111,Leads!$F:$F,"*google-ads*"),0)</f>
        <v>1</v>
      </c>
      <c r="AA111" s="158">
        <f>IFERROR(COUNTIFS(Leads!$L:$L,$B111,Leads!$F:$F,"*google-ads*",Leads!$N:$N,"Sim"),0)</f>
        <v>1</v>
      </c>
      <c r="AB111" s="152">
        <f t="array" ref="AB111">IFERROR(XLOOKUP(B111,'ImportaçãoMeta - Adveronix'!F:F,'ImportaçãoMeta - Adveronix'!B:B),"")</f>
        <v>42.16</v>
      </c>
      <c r="AC111" s="154"/>
      <c r="AD111" s="154"/>
      <c r="AE111" s="159">
        <f t="array" ref="AE111">IFERROR(XLOOKUP(B111,'ImportaçãoMeta - Adveronix'!$F:$F,'ImportaçãoMeta - Adveronix'!C:C),"")</f>
        <v>4278</v>
      </c>
      <c r="AF111" s="159">
        <f t="array" ref="AF111">IFERROR(XLOOKUP(B111,'ImportaçãoMeta - Adveronix'!$F:$F,'ImportaçãoMeta - Adveronix'!D:D),"")</f>
        <v>127</v>
      </c>
      <c r="AG111" s="159">
        <f t="array" ref="AG111">IFERROR(XLOOKUP(B111,'ImportaçãoMeta - Adveronix'!$F:$F,'ImportaçãoMeta - Adveronix'!E:E),"")</f>
        <v>1</v>
      </c>
      <c r="AH111" s="157"/>
      <c r="AI111" s="157"/>
      <c r="AJ111" s="156"/>
      <c r="AK111" s="160">
        <f>IFERROR(COUNTIFS(Leads!$L:$L,$B111,Leads!$F:$F,"*MetaAds"),0)</f>
        <v>2</v>
      </c>
      <c r="AL111" s="160">
        <f>IFERROR(COUNTIFS(Leads!$L:$L,$B111,Leads!$F:$F,"*MetaAds*",Leads!$N:$N,"Sim"),0)</f>
        <v>2</v>
      </c>
    </row>
    <row r="112" ht="15.75" customHeight="1">
      <c r="A112" s="149" t="str">
        <f t="array" ref="A112">XLOOKUP(MONTH(B112),BASE!$F$16:$F$27,BASE!$G$16:$G$27)</f>
        <v>Abril</v>
      </c>
      <c r="B112" s="150">
        <v>46133.0</v>
      </c>
      <c r="C112" s="151"/>
      <c r="D112" s="149" t="str">
        <f t="shared" si="4"/>
        <v>terça-feira</v>
      </c>
      <c r="E112" s="152">
        <f t="shared" ref="E112:J112" si="223">IFERROR(SUM(P112,AB112)," ")</f>
        <v>115.67</v>
      </c>
      <c r="F112" s="152">
        <f t="shared" si="223"/>
        <v>0</v>
      </c>
      <c r="G112" s="152">
        <f t="shared" si="223"/>
        <v>0</v>
      </c>
      <c r="H112" s="153">
        <f t="shared" si="223"/>
        <v>11077</v>
      </c>
      <c r="I112" s="153">
        <f t="shared" si="223"/>
        <v>202</v>
      </c>
      <c r="J112" s="153">
        <f t="shared" si="223"/>
        <v>0</v>
      </c>
      <c r="K112" s="153">
        <f t="shared" ref="K112:O112" si="224">IFERROR(SUM(W112,AH112)," ")</f>
        <v>0</v>
      </c>
      <c r="L112" s="153">
        <f t="shared" si="224"/>
        <v>0</v>
      </c>
      <c r="M112" s="153">
        <f t="shared" si="224"/>
        <v>0</v>
      </c>
      <c r="N112" s="153">
        <f t="shared" si="224"/>
        <v>10</v>
      </c>
      <c r="O112" s="153">
        <f t="shared" si="224"/>
        <v>6</v>
      </c>
      <c r="P112" s="152">
        <f t="array" ref="P112">IFERROR(XLOOKUP(B112,'ImportaçãoGoogleAds - Adveronix'!$F:$F,'ImportaçãoGoogleAds - Adveronix'!$B:$B)," ")</f>
        <v>25.86</v>
      </c>
      <c r="Q112" s="154"/>
      <c r="R112" s="154"/>
      <c r="S112" s="155">
        <f t="array" ref="S112">IFERROR(XLOOKUP(B112,'ImportaçãoGoogleAds - Adveronix'!$F:$F,'ImportaçãoGoogleAds - Adveronix'!C:C)," ")</f>
        <v>1581</v>
      </c>
      <c r="T112" s="155">
        <f t="array" ref="T112">IFERROR(XLOOKUP(B112,'ImportaçãoGoogleAds - Adveronix'!$F:$F,'ImportaçãoGoogleAds - Adveronix'!D:D)," ")</f>
        <v>15</v>
      </c>
      <c r="U112" s="155">
        <f t="array" ref="U112">IFERROR(XLOOKUP(B112,'ImportaçãoGoogleAds - Adveronix'!$F:$F,'ImportaçãoGoogleAds - Adveronix'!E:E)," ")</f>
        <v>0</v>
      </c>
      <c r="V112" s="156"/>
      <c r="W112" s="157"/>
      <c r="X112" s="157"/>
      <c r="Y112" s="158"/>
      <c r="Z112" s="158">
        <f>IFERROR(COUNTIFS(Leads!$L:$L,$B112,Leads!$F:$F,"*google-ads*"),0)</f>
        <v>0</v>
      </c>
      <c r="AA112" s="158">
        <f>IFERROR(COUNTIFS(Leads!$L:$L,$B112,Leads!$F:$F,"*google-ads*",Leads!$N:$N,"Sim"),0)</f>
        <v>0</v>
      </c>
      <c r="AB112" s="152">
        <f t="array" ref="AB112">IFERROR(XLOOKUP(B112,'ImportaçãoMeta - Adveronix'!F:F,'ImportaçãoMeta - Adveronix'!B:B),"")</f>
        <v>89.81</v>
      </c>
      <c r="AC112" s="154"/>
      <c r="AD112" s="154"/>
      <c r="AE112" s="159">
        <f t="array" ref="AE112">IFERROR(XLOOKUP(B112,'ImportaçãoMeta - Adveronix'!$F:$F,'ImportaçãoMeta - Adveronix'!C:C),"")</f>
        <v>9496</v>
      </c>
      <c r="AF112" s="159">
        <f t="array" ref="AF112">IFERROR(XLOOKUP(B112,'ImportaçãoMeta - Adveronix'!$F:$F,'ImportaçãoMeta - Adveronix'!D:D),"")</f>
        <v>187</v>
      </c>
      <c r="AG112" s="159" t="str">
        <f t="array" ref="AG112">IFERROR(XLOOKUP(B112,'ImportaçãoMeta - Adveronix'!$F:$F,'ImportaçãoMeta - Adveronix'!E:E),"")</f>
        <v/>
      </c>
      <c r="AH112" s="157"/>
      <c r="AI112" s="157"/>
      <c r="AJ112" s="156"/>
      <c r="AK112" s="160">
        <f>IFERROR(COUNTIFS(Leads!$L:$L,$B112,Leads!$F:$F,"*MetaAds"),0)</f>
        <v>10</v>
      </c>
      <c r="AL112" s="160">
        <f>IFERROR(COUNTIFS(Leads!$L:$L,$B112,Leads!$F:$F,"*MetaAds*",Leads!$N:$N,"Sim"),0)</f>
        <v>6</v>
      </c>
    </row>
    <row r="113" ht="15.75" customHeight="1">
      <c r="A113" s="149" t="str">
        <f t="array" ref="A113">XLOOKUP(MONTH(B113),BASE!$F$16:$F$27,BASE!$G$16:$G$27)</f>
        <v>Abril</v>
      </c>
      <c r="B113" s="150">
        <v>46134.0</v>
      </c>
      <c r="C113" s="151"/>
      <c r="D113" s="149" t="str">
        <f t="shared" si="4"/>
        <v>quarta-feira</v>
      </c>
      <c r="E113" s="152">
        <f t="shared" ref="E113:J113" si="225">IFERROR(SUM(P113,AB113)," ")</f>
        <v>224.39</v>
      </c>
      <c r="F113" s="152">
        <f t="shared" si="225"/>
        <v>0</v>
      </c>
      <c r="G113" s="152">
        <f t="shared" si="225"/>
        <v>0</v>
      </c>
      <c r="H113" s="153">
        <f t="shared" si="225"/>
        <v>9190</v>
      </c>
      <c r="I113" s="153">
        <f t="shared" si="225"/>
        <v>154</v>
      </c>
      <c r="J113" s="153">
        <f t="shared" si="225"/>
        <v>0</v>
      </c>
      <c r="K113" s="153">
        <f t="shared" ref="K113:O113" si="226">IFERROR(SUM(W113,AH113)," ")</f>
        <v>0</v>
      </c>
      <c r="L113" s="153">
        <f t="shared" si="226"/>
        <v>0</v>
      </c>
      <c r="M113" s="153">
        <f t="shared" si="226"/>
        <v>0</v>
      </c>
      <c r="N113" s="153">
        <f t="shared" si="226"/>
        <v>6</v>
      </c>
      <c r="O113" s="153">
        <f t="shared" si="226"/>
        <v>2</v>
      </c>
      <c r="P113" s="152">
        <f t="array" ref="P113">IFERROR(XLOOKUP(B113,'ImportaçãoGoogleAds - Adveronix'!$F:$F,'ImportaçãoGoogleAds - Adveronix'!$B:$B)," ")</f>
        <v>157.82</v>
      </c>
      <c r="Q113" s="154"/>
      <c r="R113" s="154"/>
      <c r="S113" s="155">
        <f t="array" ref="S113">IFERROR(XLOOKUP(B113,'ImportaçãoGoogleAds - Adveronix'!$F:$F,'ImportaçãoGoogleAds - Adveronix'!C:C)," ")</f>
        <v>1128</v>
      </c>
      <c r="T113" s="155">
        <f t="array" ref="T113">IFERROR(XLOOKUP(B113,'ImportaçãoGoogleAds - Adveronix'!$F:$F,'ImportaçãoGoogleAds - Adveronix'!D:D)," ")</f>
        <v>14</v>
      </c>
      <c r="U113" s="155">
        <f t="array" ref="U113">IFERROR(XLOOKUP(B113,'ImportaçãoGoogleAds - Adveronix'!$F:$F,'ImportaçãoGoogleAds - Adveronix'!E:E)," ")</f>
        <v>0</v>
      </c>
      <c r="V113" s="156"/>
      <c r="W113" s="157"/>
      <c r="X113" s="157"/>
      <c r="Y113" s="158"/>
      <c r="Z113" s="158">
        <f>IFERROR(COUNTIFS(Leads!$L:$L,$B113,Leads!$F:$F,"*google-ads*"),0)</f>
        <v>0</v>
      </c>
      <c r="AA113" s="158">
        <f>IFERROR(COUNTIFS(Leads!$L:$L,$B113,Leads!$F:$F,"*google-ads*",Leads!$N:$N,"Sim"),0)</f>
        <v>0</v>
      </c>
      <c r="AB113" s="152">
        <f t="array" ref="AB113">IFERROR(XLOOKUP(B113,'ImportaçãoMeta - Adveronix'!F:F,'ImportaçãoMeta - Adveronix'!B:B),"")</f>
        <v>66.57</v>
      </c>
      <c r="AC113" s="154"/>
      <c r="AD113" s="154"/>
      <c r="AE113" s="159">
        <f t="array" ref="AE113">IFERROR(XLOOKUP(B113,'ImportaçãoMeta - Adveronix'!$F:$F,'ImportaçãoMeta - Adveronix'!C:C),"")</f>
        <v>8062</v>
      </c>
      <c r="AF113" s="159">
        <f t="array" ref="AF113">IFERROR(XLOOKUP(B113,'ImportaçãoMeta - Adveronix'!$F:$F,'ImportaçãoMeta - Adveronix'!D:D),"")</f>
        <v>140</v>
      </c>
      <c r="AG113" s="159" t="str">
        <f t="array" ref="AG113">IFERROR(XLOOKUP(B113,'ImportaçãoMeta - Adveronix'!$F:$F,'ImportaçãoMeta - Adveronix'!E:E),"")</f>
        <v/>
      </c>
      <c r="AH113" s="157"/>
      <c r="AI113" s="157"/>
      <c r="AJ113" s="156"/>
      <c r="AK113" s="160">
        <f>IFERROR(COUNTIFS(Leads!$L:$L,$B113,Leads!$F:$F,"*MetaAds"),0)</f>
        <v>6</v>
      </c>
      <c r="AL113" s="160">
        <f>IFERROR(COUNTIFS(Leads!$L:$L,$B113,Leads!$F:$F,"*MetaAds*",Leads!$N:$N,"Sim"),0)</f>
        <v>2</v>
      </c>
    </row>
    <row r="114" ht="15.75" customHeight="1">
      <c r="A114" s="149" t="str">
        <f t="array" ref="A114">XLOOKUP(MONTH(B114),BASE!$F$16:$F$27,BASE!$G$16:$G$27)</f>
        <v>Abril</v>
      </c>
      <c r="B114" s="150">
        <v>46135.0</v>
      </c>
      <c r="C114" s="151"/>
      <c r="D114" s="149" t="str">
        <f t="shared" si="4"/>
        <v>quinta-feira</v>
      </c>
      <c r="E114" s="152">
        <f t="shared" ref="E114:J114" si="227">IFERROR(SUM(P114,AB114)," ")</f>
        <v>82.89</v>
      </c>
      <c r="F114" s="152">
        <f t="shared" si="227"/>
        <v>0</v>
      </c>
      <c r="G114" s="152">
        <f t="shared" si="227"/>
        <v>0</v>
      </c>
      <c r="H114" s="153">
        <f t="shared" si="227"/>
        <v>6522</v>
      </c>
      <c r="I114" s="153">
        <f t="shared" si="227"/>
        <v>99</v>
      </c>
      <c r="J114" s="153">
        <f t="shared" si="227"/>
        <v>0</v>
      </c>
      <c r="K114" s="153">
        <f t="shared" ref="K114:O114" si="228">IFERROR(SUM(W114,AH114)," ")</f>
        <v>0</v>
      </c>
      <c r="L114" s="153">
        <f t="shared" si="228"/>
        <v>0</v>
      </c>
      <c r="M114" s="153">
        <f t="shared" si="228"/>
        <v>0</v>
      </c>
      <c r="N114" s="153">
        <f t="shared" si="228"/>
        <v>5</v>
      </c>
      <c r="O114" s="153">
        <f t="shared" si="228"/>
        <v>5</v>
      </c>
      <c r="P114" s="152">
        <f t="array" ref="P114">IFERROR(XLOOKUP(B114,'ImportaçãoGoogleAds - Adveronix'!$F:$F,'ImportaçãoGoogleAds - Adveronix'!$B:$B)," ")</f>
        <v>33.26</v>
      </c>
      <c r="Q114" s="154"/>
      <c r="R114" s="154"/>
      <c r="S114" s="155">
        <f t="array" ref="S114">IFERROR(XLOOKUP(B114,'ImportaçãoGoogleAds - Adveronix'!$F:$F,'ImportaçãoGoogleAds - Adveronix'!C:C)," ")</f>
        <v>1065</v>
      </c>
      <c r="T114" s="155">
        <f t="array" ref="T114">IFERROR(XLOOKUP(B114,'ImportaçãoGoogleAds - Adveronix'!$F:$F,'ImportaçãoGoogleAds - Adveronix'!D:D)," ")</f>
        <v>14</v>
      </c>
      <c r="U114" s="155">
        <f t="array" ref="U114">IFERROR(XLOOKUP(B114,'ImportaçãoGoogleAds - Adveronix'!$F:$F,'ImportaçãoGoogleAds - Adveronix'!E:E)," ")</f>
        <v>0</v>
      </c>
      <c r="V114" s="156"/>
      <c r="W114" s="157"/>
      <c r="X114" s="157"/>
      <c r="Y114" s="158"/>
      <c r="Z114" s="158">
        <f>IFERROR(COUNTIFS(Leads!$L:$L,$B114,Leads!$F:$F,"*google-ads*"),0)</f>
        <v>0</v>
      </c>
      <c r="AA114" s="158">
        <f>IFERROR(COUNTIFS(Leads!$L:$L,$B114,Leads!$F:$F,"*google-ads*",Leads!$N:$N,"Sim"),0)</f>
        <v>0</v>
      </c>
      <c r="AB114" s="152">
        <f t="array" ref="AB114">IFERROR(XLOOKUP(B114,'ImportaçãoMeta - Adveronix'!F:F,'ImportaçãoMeta - Adveronix'!B:B),"")</f>
        <v>49.63</v>
      </c>
      <c r="AC114" s="154"/>
      <c r="AD114" s="154"/>
      <c r="AE114" s="159">
        <f t="array" ref="AE114">IFERROR(XLOOKUP(B114,'ImportaçãoMeta - Adveronix'!$F:$F,'ImportaçãoMeta - Adveronix'!C:C),"")</f>
        <v>5457</v>
      </c>
      <c r="AF114" s="159">
        <f t="array" ref="AF114">IFERROR(XLOOKUP(B114,'ImportaçãoMeta - Adveronix'!$F:$F,'ImportaçãoMeta - Adveronix'!D:D),"")</f>
        <v>85</v>
      </c>
      <c r="AG114" s="159" t="str">
        <f t="array" ref="AG114">IFERROR(XLOOKUP(B114,'ImportaçãoMeta - Adveronix'!$F:$F,'ImportaçãoMeta - Adveronix'!E:E),"")</f>
        <v/>
      </c>
      <c r="AH114" s="157"/>
      <c r="AI114" s="157"/>
      <c r="AJ114" s="156"/>
      <c r="AK114" s="160">
        <f>IFERROR(COUNTIFS(Leads!$L:$L,$B114,Leads!$F:$F,"*MetaAds"),0)</f>
        <v>5</v>
      </c>
      <c r="AL114" s="160">
        <f>IFERROR(COUNTIFS(Leads!$L:$L,$B114,Leads!$F:$F,"*MetaAds*",Leads!$N:$N,"Sim"),0)</f>
        <v>5</v>
      </c>
    </row>
    <row r="115" ht="15.75" customHeight="1">
      <c r="A115" s="149" t="str">
        <f t="array" ref="A115">XLOOKUP(MONTH(B115),BASE!$F$16:$F$27,BASE!$G$16:$G$27)</f>
        <v>Abril</v>
      </c>
      <c r="B115" s="150">
        <v>46136.0</v>
      </c>
      <c r="C115" s="151"/>
      <c r="D115" s="149" t="str">
        <f t="shared" si="4"/>
        <v>sexta-feira</v>
      </c>
      <c r="E115" s="152">
        <f t="shared" ref="E115:J115" si="229">IFERROR(SUM(P115,AB115)," ")</f>
        <v>48.39</v>
      </c>
      <c r="F115" s="152">
        <f t="shared" si="229"/>
        <v>0</v>
      </c>
      <c r="G115" s="152">
        <f t="shared" si="229"/>
        <v>0</v>
      </c>
      <c r="H115" s="153">
        <f t="shared" si="229"/>
        <v>2682</v>
      </c>
      <c r="I115" s="153">
        <f t="shared" si="229"/>
        <v>40</v>
      </c>
      <c r="J115" s="153">
        <f t="shared" si="229"/>
        <v>0</v>
      </c>
      <c r="K115" s="153">
        <f t="shared" ref="K115:O115" si="230">IFERROR(SUM(W115,AH115)," ")</f>
        <v>0</v>
      </c>
      <c r="L115" s="153">
        <f t="shared" si="230"/>
        <v>0</v>
      </c>
      <c r="M115" s="153">
        <f t="shared" si="230"/>
        <v>0</v>
      </c>
      <c r="N115" s="153">
        <f t="shared" si="230"/>
        <v>2</v>
      </c>
      <c r="O115" s="153">
        <f t="shared" si="230"/>
        <v>1</v>
      </c>
      <c r="P115" s="152">
        <f t="array" ref="P115">IFERROR(XLOOKUP(B115,'ImportaçãoGoogleAds - Adveronix'!$F:$F,'ImportaçãoGoogleAds - Adveronix'!$B:$B)," ")</f>
        <v>30.01</v>
      </c>
      <c r="Q115" s="154"/>
      <c r="R115" s="154"/>
      <c r="S115" s="155">
        <f t="array" ref="S115">IFERROR(XLOOKUP(B115,'ImportaçãoGoogleAds - Adveronix'!$F:$F,'ImportaçãoGoogleAds - Adveronix'!C:C)," ")</f>
        <v>1071</v>
      </c>
      <c r="T115" s="155">
        <f t="array" ref="T115">IFERROR(XLOOKUP(B115,'ImportaçãoGoogleAds - Adveronix'!$F:$F,'ImportaçãoGoogleAds - Adveronix'!D:D)," ")</f>
        <v>5</v>
      </c>
      <c r="U115" s="155">
        <f t="array" ref="U115">IFERROR(XLOOKUP(B115,'ImportaçãoGoogleAds - Adveronix'!$F:$F,'ImportaçãoGoogleAds - Adveronix'!E:E)," ")</f>
        <v>0</v>
      </c>
      <c r="V115" s="156"/>
      <c r="W115" s="157"/>
      <c r="X115" s="157"/>
      <c r="Y115" s="158"/>
      <c r="Z115" s="158">
        <f>IFERROR(COUNTIFS(Leads!$L:$L,$B115,Leads!$F:$F,"*google-ads*"),0)</f>
        <v>0</v>
      </c>
      <c r="AA115" s="158">
        <f>IFERROR(COUNTIFS(Leads!$L:$L,$B115,Leads!$F:$F,"*google-ads*",Leads!$N:$N,"Sim"),0)</f>
        <v>0</v>
      </c>
      <c r="AB115" s="152">
        <f t="array" ref="AB115">IFERROR(XLOOKUP(B115,'ImportaçãoMeta - Adveronix'!F:F,'ImportaçãoMeta - Adveronix'!B:B),"")</f>
        <v>18.38</v>
      </c>
      <c r="AC115" s="154"/>
      <c r="AD115" s="154"/>
      <c r="AE115" s="159">
        <f t="array" ref="AE115">IFERROR(XLOOKUP(B115,'ImportaçãoMeta - Adveronix'!$F:$F,'ImportaçãoMeta - Adveronix'!C:C),"")</f>
        <v>1611</v>
      </c>
      <c r="AF115" s="159">
        <f t="array" ref="AF115">IFERROR(XLOOKUP(B115,'ImportaçãoMeta - Adveronix'!$F:$F,'ImportaçãoMeta - Adveronix'!D:D),"")</f>
        <v>35</v>
      </c>
      <c r="AG115" s="159" t="str">
        <f t="array" ref="AG115">IFERROR(XLOOKUP(B115,'ImportaçãoMeta - Adveronix'!$F:$F,'ImportaçãoMeta - Adveronix'!E:E),"")</f>
        <v/>
      </c>
      <c r="AH115" s="157"/>
      <c r="AI115" s="157"/>
      <c r="AJ115" s="156"/>
      <c r="AK115" s="160">
        <f>IFERROR(COUNTIFS(Leads!$L:$L,$B115,Leads!$F:$F,"*MetaAds"),0)</f>
        <v>2</v>
      </c>
      <c r="AL115" s="160">
        <f>IFERROR(COUNTIFS(Leads!$L:$L,$B115,Leads!$F:$F,"*MetaAds*",Leads!$N:$N,"Sim"),0)</f>
        <v>1</v>
      </c>
    </row>
    <row r="116" ht="15.75" customHeight="1">
      <c r="A116" s="149" t="str">
        <f t="array" ref="A116">XLOOKUP(MONTH(B116),BASE!$F$16:$F$27,BASE!$G$16:$G$27)</f>
        <v>Abril</v>
      </c>
      <c r="B116" s="150">
        <v>46137.0</v>
      </c>
      <c r="C116" s="151"/>
      <c r="D116" s="149" t="str">
        <f t="shared" si="4"/>
        <v>sábado</v>
      </c>
      <c r="E116" s="152">
        <f t="shared" ref="E116:J116" si="231">IFERROR(SUM(P116,AB116)," ")</f>
        <v>24.57</v>
      </c>
      <c r="F116" s="152">
        <f t="shared" si="231"/>
        <v>0</v>
      </c>
      <c r="G116" s="152">
        <f t="shared" si="231"/>
        <v>0</v>
      </c>
      <c r="H116" s="153">
        <f t="shared" si="231"/>
        <v>1330</v>
      </c>
      <c r="I116" s="153">
        <f t="shared" si="231"/>
        <v>11</v>
      </c>
      <c r="J116" s="153">
        <f t="shared" si="231"/>
        <v>2</v>
      </c>
      <c r="K116" s="153">
        <f t="shared" ref="K116:O116" si="232">IFERROR(SUM(W116,AH116)," ")</f>
        <v>0</v>
      </c>
      <c r="L116" s="153">
        <f t="shared" si="232"/>
        <v>0</v>
      </c>
      <c r="M116" s="153">
        <f t="shared" si="232"/>
        <v>0</v>
      </c>
      <c r="N116" s="153">
        <f t="shared" si="232"/>
        <v>1</v>
      </c>
      <c r="O116" s="153">
        <f t="shared" si="232"/>
        <v>1</v>
      </c>
      <c r="P116" s="152">
        <f t="array" ref="P116">IFERROR(XLOOKUP(B116,'ImportaçãoGoogleAds - Adveronix'!$F:$F,'ImportaçãoGoogleAds - Adveronix'!$B:$B)," ")</f>
        <v>24.57</v>
      </c>
      <c r="Q116" s="154"/>
      <c r="R116" s="154"/>
      <c r="S116" s="155">
        <f t="array" ref="S116">IFERROR(XLOOKUP(B116,'ImportaçãoGoogleAds - Adveronix'!$F:$F,'ImportaçãoGoogleAds - Adveronix'!C:C)," ")</f>
        <v>1330</v>
      </c>
      <c r="T116" s="155">
        <f t="array" ref="T116">IFERROR(XLOOKUP(B116,'ImportaçãoGoogleAds - Adveronix'!$F:$F,'ImportaçãoGoogleAds - Adveronix'!D:D)," ")</f>
        <v>11</v>
      </c>
      <c r="U116" s="155">
        <f t="array" ref="U116">IFERROR(XLOOKUP(B116,'ImportaçãoGoogleAds - Adveronix'!$F:$F,'ImportaçãoGoogleAds - Adveronix'!E:E)," ")</f>
        <v>2</v>
      </c>
      <c r="V116" s="156"/>
      <c r="W116" s="157"/>
      <c r="X116" s="157"/>
      <c r="Y116" s="158"/>
      <c r="Z116" s="158">
        <f>IFERROR(COUNTIFS(Leads!$L:$L,$B116,Leads!$F:$F,"*google-ads*"),0)</f>
        <v>1</v>
      </c>
      <c r="AA116" s="158">
        <f>IFERROR(COUNTIFS(Leads!$L:$L,$B116,Leads!$F:$F,"*google-ads*",Leads!$N:$N,"Sim"),0)</f>
        <v>1</v>
      </c>
      <c r="AB116" s="152" t="str">
        <f t="array" ref="AB116">IFERROR(XLOOKUP(B116,'ImportaçãoMeta - Adveronix'!F:F,'ImportaçãoMeta - Adveronix'!B:B),"")</f>
        <v/>
      </c>
      <c r="AC116" s="154"/>
      <c r="AD116" s="154"/>
      <c r="AE116" s="159" t="str">
        <f t="array" ref="AE116">IFERROR(XLOOKUP(B116,'ImportaçãoMeta - Adveronix'!$F:$F,'ImportaçãoMeta - Adveronix'!C:C),"")</f>
        <v/>
      </c>
      <c r="AF116" s="159" t="str">
        <f t="array" ref="AF116">IFERROR(XLOOKUP(B116,'ImportaçãoMeta - Adveronix'!$F:$F,'ImportaçãoMeta - Adveronix'!D:D),"")</f>
        <v/>
      </c>
      <c r="AG116" s="159" t="str">
        <f t="array" ref="AG116">IFERROR(XLOOKUP(B116,'ImportaçãoMeta - Adveronix'!$F:$F,'ImportaçãoMeta - Adveronix'!E:E),"")</f>
        <v/>
      </c>
      <c r="AH116" s="157"/>
      <c r="AI116" s="157"/>
      <c r="AJ116" s="156"/>
      <c r="AK116" s="160">
        <f>IFERROR(COUNTIFS(Leads!$L:$L,$B116,Leads!$F:$F,"*MetaAds"),0)</f>
        <v>0</v>
      </c>
      <c r="AL116" s="160">
        <f>IFERROR(COUNTIFS(Leads!$L:$L,$B116,Leads!$F:$F,"*MetaAds*",Leads!$N:$N,"Sim"),0)</f>
        <v>0</v>
      </c>
    </row>
    <row r="117" ht="15.75" customHeight="1">
      <c r="A117" s="149" t="str">
        <f t="array" ref="A117">XLOOKUP(MONTH(B117),BASE!$F$16:$F$27,BASE!$G$16:$G$27)</f>
        <v>Abril</v>
      </c>
      <c r="B117" s="150">
        <v>46138.0</v>
      </c>
      <c r="C117" s="151"/>
      <c r="D117" s="149" t="str">
        <f t="shared" si="4"/>
        <v>domingo</v>
      </c>
      <c r="E117" s="152">
        <f t="shared" ref="E117:J117" si="233">IFERROR(SUM(P117,AB117)," ")</f>
        <v>26.84</v>
      </c>
      <c r="F117" s="152">
        <f t="shared" si="233"/>
        <v>0</v>
      </c>
      <c r="G117" s="152">
        <f t="shared" si="233"/>
        <v>0</v>
      </c>
      <c r="H117" s="153">
        <f t="shared" si="233"/>
        <v>1255</v>
      </c>
      <c r="I117" s="153">
        <f t="shared" si="233"/>
        <v>15</v>
      </c>
      <c r="J117" s="153">
        <f t="shared" si="233"/>
        <v>0</v>
      </c>
      <c r="K117" s="153">
        <f t="shared" ref="K117:O117" si="234">IFERROR(SUM(W117,AH117)," ")</f>
        <v>0</v>
      </c>
      <c r="L117" s="153">
        <f t="shared" si="234"/>
        <v>0</v>
      </c>
      <c r="M117" s="153">
        <f t="shared" si="234"/>
        <v>0</v>
      </c>
      <c r="N117" s="153">
        <f t="shared" si="234"/>
        <v>1</v>
      </c>
      <c r="O117" s="153">
        <f t="shared" si="234"/>
        <v>0</v>
      </c>
      <c r="P117" s="152">
        <f t="array" ref="P117">IFERROR(XLOOKUP(B117,'ImportaçãoGoogleAds - Adveronix'!$F:$F,'ImportaçãoGoogleAds - Adveronix'!$B:$B)," ")</f>
        <v>26.84</v>
      </c>
      <c r="Q117" s="154"/>
      <c r="R117" s="154"/>
      <c r="S117" s="155">
        <f t="array" ref="S117">IFERROR(XLOOKUP(B117,'ImportaçãoGoogleAds - Adveronix'!$F:$F,'ImportaçãoGoogleAds - Adveronix'!C:C)," ")</f>
        <v>1255</v>
      </c>
      <c r="T117" s="155">
        <f t="array" ref="T117">IFERROR(XLOOKUP(B117,'ImportaçãoGoogleAds - Adveronix'!$F:$F,'ImportaçãoGoogleAds - Adveronix'!D:D)," ")</f>
        <v>15</v>
      </c>
      <c r="U117" s="155">
        <f t="array" ref="U117">IFERROR(XLOOKUP(B117,'ImportaçãoGoogleAds - Adveronix'!$F:$F,'ImportaçãoGoogleAds - Adveronix'!E:E)," ")</f>
        <v>0</v>
      </c>
      <c r="V117" s="156"/>
      <c r="W117" s="157"/>
      <c r="X117" s="157"/>
      <c r="Y117" s="158"/>
      <c r="Z117" s="158">
        <f>IFERROR(COUNTIFS(Leads!$L:$L,$B117,Leads!$F:$F,"*google-ads*"),0)</f>
        <v>0</v>
      </c>
      <c r="AA117" s="158">
        <f>IFERROR(COUNTIFS(Leads!$L:$L,$B117,Leads!$F:$F,"*google-ads*",Leads!$N:$N,"Sim"),0)</f>
        <v>0</v>
      </c>
      <c r="AB117" s="152" t="str">
        <f t="array" ref="AB117">IFERROR(XLOOKUP(B117,'ImportaçãoMeta - Adveronix'!F:F,'ImportaçãoMeta - Adveronix'!B:B),"")</f>
        <v/>
      </c>
      <c r="AC117" s="154"/>
      <c r="AD117" s="154"/>
      <c r="AE117" s="159" t="str">
        <f t="array" ref="AE117">IFERROR(XLOOKUP(B117,'ImportaçãoMeta - Adveronix'!$F:$F,'ImportaçãoMeta - Adveronix'!C:C),"")</f>
        <v/>
      </c>
      <c r="AF117" s="159" t="str">
        <f t="array" ref="AF117">IFERROR(XLOOKUP(B117,'ImportaçãoMeta - Adveronix'!$F:$F,'ImportaçãoMeta - Adveronix'!D:D),"")</f>
        <v/>
      </c>
      <c r="AG117" s="159" t="str">
        <f t="array" ref="AG117">IFERROR(XLOOKUP(B117,'ImportaçãoMeta - Adveronix'!$F:$F,'ImportaçãoMeta - Adveronix'!E:E),"")</f>
        <v/>
      </c>
      <c r="AH117" s="157"/>
      <c r="AI117" s="157"/>
      <c r="AJ117" s="156"/>
      <c r="AK117" s="160">
        <f>IFERROR(COUNTIFS(Leads!$L:$L,$B117,Leads!$F:$F,"*MetaAds"),0)</f>
        <v>1</v>
      </c>
      <c r="AL117" s="160">
        <f>IFERROR(COUNTIFS(Leads!$L:$L,$B117,Leads!$F:$F,"*MetaAds*",Leads!$N:$N,"Sim"),0)</f>
        <v>0</v>
      </c>
    </row>
    <row r="118" ht="15.75" customHeight="1">
      <c r="A118" s="149" t="str">
        <f t="array" ref="A118">XLOOKUP(MONTH(B118),BASE!$F$16:$F$27,BASE!$G$16:$G$27)</f>
        <v>Abril</v>
      </c>
      <c r="B118" s="150">
        <v>46139.0</v>
      </c>
      <c r="C118" s="151"/>
      <c r="D118" s="149" t="str">
        <f t="shared" si="4"/>
        <v>segunda-feira</v>
      </c>
      <c r="E118" s="152">
        <f t="shared" ref="E118:J118" si="235">IFERROR(SUM(P118,AB118)," ")</f>
        <v>55.71</v>
      </c>
      <c r="F118" s="152">
        <f t="shared" si="235"/>
        <v>0</v>
      </c>
      <c r="G118" s="152">
        <f t="shared" si="235"/>
        <v>0</v>
      </c>
      <c r="H118" s="153">
        <f t="shared" si="235"/>
        <v>3358</v>
      </c>
      <c r="I118" s="153">
        <f t="shared" si="235"/>
        <v>54</v>
      </c>
      <c r="J118" s="153">
        <f t="shared" si="235"/>
        <v>0</v>
      </c>
      <c r="K118" s="153">
        <f t="shared" ref="K118:O118" si="236">IFERROR(SUM(W118,AH118)," ")</f>
        <v>0</v>
      </c>
      <c r="L118" s="153">
        <f t="shared" si="236"/>
        <v>0</v>
      </c>
      <c r="M118" s="153">
        <f t="shared" si="236"/>
        <v>0</v>
      </c>
      <c r="N118" s="153">
        <f t="shared" si="236"/>
        <v>0</v>
      </c>
      <c r="O118" s="153">
        <f t="shared" si="236"/>
        <v>0</v>
      </c>
      <c r="P118" s="152">
        <f t="array" ref="P118">IFERROR(XLOOKUP(B118,'ImportaçãoGoogleAds - Adveronix'!$F:$F,'ImportaçãoGoogleAds - Adveronix'!$B:$B)," ")</f>
        <v>23.69</v>
      </c>
      <c r="Q118" s="154"/>
      <c r="R118" s="154"/>
      <c r="S118" s="155">
        <f t="array" ref="S118">IFERROR(XLOOKUP(B118,'ImportaçãoGoogleAds - Adveronix'!$F:$F,'ImportaçãoGoogleAds - Adveronix'!C:C)," ")</f>
        <v>892</v>
      </c>
      <c r="T118" s="155">
        <f t="array" ref="T118">IFERROR(XLOOKUP(B118,'ImportaçãoGoogleAds - Adveronix'!$F:$F,'ImportaçãoGoogleAds - Adveronix'!D:D)," ")</f>
        <v>9</v>
      </c>
      <c r="U118" s="155">
        <f t="array" ref="U118">IFERROR(XLOOKUP(B118,'ImportaçãoGoogleAds - Adveronix'!$F:$F,'ImportaçãoGoogleAds - Adveronix'!E:E)," ")</f>
        <v>0</v>
      </c>
      <c r="V118" s="156"/>
      <c r="W118" s="157"/>
      <c r="X118" s="157"/>
      <c r="Y118" s="158"/>
      <c r="Z118" s="158">
        <f>IFERROR(COUNTIFS(Leads!$L:$L,$B118,Leads!$F:$F,"*google-ads*"),0)</f>
        <v>0</v>
      </c>
      <c r="AA118" s="158">
        <f>IFERROR(COUNTIFS(Leads!$L:$L,$B118,Leads!$F:$F,"*google-ads*",Leads!$N:$N,"Sim"),0)</f>
        <v>0</v>
      </c>
      <c r="AB118" s="152">
        <f t="array" ref="AB118">IFERROR(XLOOKUP(B118,'ImportaçãoMeta - Adveronix'!F:F,'ImportaçãoMeta - Adveronix'!B:B),"")</f>
        <v>32.02</v>
      </c>
      <c r="AC118" s="154"/>
      <c r="AD118" s="154"/>
      <c r="AE118" s="159">
        <f t="array" ref="AE118">IFERROR(XLOOKUP(B118,'ImportaçãoMeta - Adveronix'!$F:$F,'ImportaçãoMeta - Adveronix'!C:C),"")</f>
        <v>2466</v>
      </c>
      <c r="AF118" s="159">
        <f t="array" ref="AF118">IFERROR(XLOOKUP(B118,'ImportaçãoMeta - Adveronix'!$F:$F,'ImportaçãoMeta - Adveronix'!D:D),"")</f>
        <v>45</v>
      </c>
      <c r="AG118" s="159" t="str">
        <f t="array" ref="AG118">IFERROR(XLOOKUP(B118,'ImportaçãoMeta - Adveronix'!$F:$F,'ImportaçãoMeta - Adveronix'!E:E),"")</f>
        <v/>
      </c>
      <c r="AH118" s="157"/>
      <c r="AI118" s="157"/>
      <c r="AJ118" s="156"/>
      <c r="AK118" s="160">
        <f>IFERROR(COUNTIFS(Leads!$L:$L,$B118,Leads!$F:$F,"*MetaAds"),0)</f>
        <v>0</v>
      </c>
      <c r="AL118" s="160">
        <f>IFERROR(COUNTIFS(Leads!$L:$L,$B118,Leads!$F:$F,"*MetaAds*",Leads!$N:$N,"Sim"),0)</f>
        <v>0</v>
      </c>
    </row>
    <row r="119" ht="15.75" customHeight="1">
      <c r="A119" s="149" t="str">
        <f t="array" ref="A119">XLOOKUP(MONTH(B119),BASE!$F$16:$F$27,BASE!$G$16:$G$27)</f>
        <v>Abril</v>
      </c>
      <c r="B119" s="150">
        <v>46140.0</v>
      </c>
      <c r="C119" s="151"/>
      <c r="D119" s="149" t="str">
        <f t="shared" si="4"/>
        <v>terça-feira</v>
      </c>
      <c r="E119" s="152">
        <f t="shared" ref="E119:J119" si="237">IFERROR(SUM(P119,AB119)," ")</f>
        <v>69.33</v>
      </c>
      <c r="F119" s="152">
        <f t="shared" si="237"/>
        <v>0</v>
      </c>
      <c r="G119" s="152">
        <f t="shared" si="237"/>
        <v>0</v>
      </c>
      <c r="H119" s="153">
        <f t="shared" si="237"/>
        <v>4894</v>
      </c>
      <c r="I119" s="153">
        <f t="shared" si="237"/>
        <v>40</v>
      </c>
      <c r="J119" s="153">
        <f t="shared" si="237"/>
        <v>0</v>
      </c>
      <c r="K119" s="153">
        <f t="shared" ref="K119:O119" si="238">IFERROR(SUM(W119,AH119)," ")</f>
        <v>0</v>
      </c>
      <c r="L119" s="153">
        <f t="shared" si="238"/>
        <v>0</v>
      </c>
      <c r="M119" s="153">
        <f t="shared" si="238"/>
        <v>0</v>
      </c>
      <c r="N119" s="153">
        <f t="shared" si="238"/>
        <v>0</v>
      </c>
      <c r="O119" s="153">
        <f t="shared" si="238"/>
        <v>0</v>
      </c>
      <c r="P119" s="152">
        <f t="array" ref="P119">IFERROR(XLOOKUP(B119,'ImportaçãoGoogleAds - Adveronix'!$F:$F,'ImportaçãoGoogleAds - Adveronix'!$B:$B)," ")</f>
        <v>28.08</v>
      </c>
      <c r="Q119" s="154"/>
      <c r="R119" s="154"/>
      <c r="S119" s="155">
        <f t="array" ref="S119">IFERROR(XLOOKUP(B119,'ImportaçãoGoogleAds - Adveronix'!$F:$F,'ImportaçãoGoogleAds - Adveronix'!C:C)," ")</f>
        <v>855</v>
      </c>
      <c r="T119" s="155">
        <f t="array" ref="T119">IFERROR(XLOOKUP(B119,'ImportaçãoGoogleAds - Adveronix'!$F:$F,'ImportaçãoGoogleAds - Adveronix'!D:D)," ")</f>
        <v>9</v>
      </c>
      <c r="U119" s="155">
        <f t="array" ref="U119">IFERROR(XLOOKUP(B119,'ImportaçãoGoogleAds - Adveronix'!$F:$F,'ImportaçãoGoogleAds - Adveronix'!E:E)," ")</f>
        <v>0</v>
      </c>
      <c r="V119" s="156"/>
      <c r="W119" s="157"/>
      <c r="X119" s="157"/>
      <c r="Y119" s="158"/>
      <c r="Z119" s="158">
        <f>IFERROR(COUNTIFS(Leads!$L:$L,$B119,Leads!$F:$F,"*google-ads*"),0)</f>
        <v>0</v>
      </c>
      <c r="AA119" s="158">
        <f>IFERROR(COUNTIFS(Leads!$L:$L,$B119,Leads!$F:$F,"*google-ads*",Leads!$N:$N,"Sim"),0)</f>
        <v>0</v>
      </c>
      <c r="AB119" s="152">
        <f t="array" ref="AB119">IFERROR(XLOOKUP(B119,'ImportaçãoMeta - Adveronix'!F:F,'ImportaçãoMeta - Adveronix'!B:B),"")</f>
        <v>41.25</v>
      </c>
      <c r="AC119" s="154"/>
      <c r="AD119" s="154"/>
      <c r="AE119" s="159">
        <f t="array" ref="AE119">IFERROR(XLOOKUP(B119,'ImportaçãoMeta - Adveronix'!$F:$F,'ImportaçãoMeta - Adveronix'!C:C),"")</f>
        <v>4039</v>
      </c>
      <c r="AF119" s="159">
        <f t="array" ref="AF119">IFERROR(XLOOKUP(B119,'ImportaçãoMeta - Adveronix'!$F:$F,'ImportaçãoMeta - Adveronix'!D:D),"")</f>
        <v>31</v>
      </c>
      <c r="AG119" s="159" t="str">
        <f t="array" ref="AG119">IFERROR(XLOOKUP(B119,'ImportaçãoMeta - Adveronix'!$F:$F,'ImportaçãoMeta - Adveronix'!E:E),"")</f>
        <v/>
      </c>
      <c r="AH119" s="157"/>
      <c r="AI119" s="157"/>
      <c r="AJ119" s="156"/>
      <c r="AK119" s="160">
        <f>IFERROR(COUNTIFS(Leads!$L:$L,$B119,Leads!$F:$F,"*MetaAds"),0)</f>
        <v>0</v>
      </c>
      <c r="AL119" s="160">
        <f>IFERROR(COUNTIFS(Leads!$L:$L,$B119,Leads!$F:$F,"*MetaAds*",Leads!$N:$N,"Sim"),0)</f>
        <v>0</v>
      </c>
    </row>
    <row r="120" ht="15.75" customHeight="1">
      <c r="A120" s="149" t="str">
        <f t="array" ref="A120">XLOOKUP(MONTH(B120),BASE!$F$16:$F$27,BASE!$G$16:$G$27)</f>
        <v>Abril</v>
      </c>
      <c r="B120" s="150">
        <v>46141.0</v>
      </c>
      <c r="C120" s="151"/>
      <c r="D120" s="149" t="str">
        <f t="shared" si="4"/>
        <v>quarta-feira</v>
      </c>
      <c r="E120" s="152">
        <f t="shared" ref="E120:J120" si="239">IFERROR(SUM(P120,AB120)," ")</f>
        <v>63.98</v>
      </c>
      <c r="F120" s="152">
        <f t="shared" si="239"/>
        <v>0</v>
      </c>
      <c r="G120" s="152">
        <f t="shared" si="239"/>
        <v>0</v>
      </c>
      <c r="H120" s="153">
        <f t="shared" si="239"/>
        <v>3375</v>
      </c>
      <c r="I120" s="153">
        <f t="shared" si="239"/>
        <v>46</v>
      </c>
      <c r="J120" s="153">
        <f t="shared" si="239"/>
        <v>0</v>
      </c>
      <c r="K120" s="153">
        <f t="shared" ref="K120:O120" si="240">IFERROR(SUM(W120,AH120)," ")</f>
        <v>0</v>
      </c>
      <c r="L120" s="153">
        <f t="shared" si="240"/>
        <v>0</v>
      </c>
      <c r="M120" s="153">
        <f t="shared" si="240"/>
        <v>0</v>
      </c>
      <c r="N120" s="153">
        <f t="shared" si="240"/>
        <v>1</v>
      </c>
      <c r="O120" s="153">
        <f t="shared" si="240"/>
        <v>1</v>
      </c>
      <c r="P120" s="152">
        <f t="array" ref="P120">IFERROR(XLOOKUP(B120,'ImportaçãoGoogleAds - Adveronix'!$F:$F,'ImportaçãoGoogleAds - Adveronix'!$B:$B)," ")</f>
        <v>24.57</v>
      </c>
      <c r="Q120" s="154"/>
      <c r="R120" s="154"/>
      <c r="S120" s="155">
        <f t="array" ref="S120">IFERROR(XLOOKUP(B120,'ImportaçãoGoogleAds - Adveronix'!$F:$F,'ImportaçãoGoogleAds - Adveronix'!C:C)," ")</f>
        <v>719</v>
      </c>
      <c r="T120" s="155">
        <f t="array" ref="T120">IFERROR(XLOOKUP(B120,'ImportaçãoGoogleAds - Adveronix'!$F:$F,'ImportaçãoGoogleAds - Adveronix'!D:D)," ")</f>
        <v>7</v>
      </c>
      <c r="U120" s="155">
        <f t="array" ref="U120">IFERROR(XLOOKUP(B120,'ImportaçãoGoogleAds - Adveronix'!$F:$F,'ImportaçãoGoogleAds - Adveronix'!E:E)," ")</f>
        <v>0</v>
      </c>
      <c r="V120" s="156"/>
      <c r="W120" s="157"/>
      <c r="X120" s="157"/>
      <c r="Y120" s="158"/>
      <c r="Z120" s="158">
        <f>IFERROR(COUNTIFS(Leads!$L:$L,$B120,Leads!$F:$F,"*google-ads*"),0)</f>
        <v>0</v>
      </c>
      <c r="AA120" s="158">
        <f>IFERROR(COUNTIFS(Leads!$L:$L,$B120,Leads!$F:$F,"*google-ads*",Leads!$N:$N,"Sim"),0)</f>
        <v>0</v>
      </c>
      <c r="AB120" s="152">
        <f t="array" ref="AB120">IFERROR(XLOOKUP(B120,'ImportaçãoMeta - Adveronix'!F:F,'ImportaçãoMeta - Adveronix'!B:B),"")</f>
        <v>39.41</v>
      </c>
      <c r="AC120" s="154"/>
      <c r="AD120" s="154"/>
      <c r="AE120" s="159">
        <f t="array" ref="AE120">IFERROR(XLOOKUP(B120,'ImportaçãoMeta - Adveronix'!$F:$F,'ImportaçãoMeta - Adveronix'!C:C),"")</f>
        <v>2656</v>
      </c>
      <c r="AF120" s="159">
        <f t="array" ref="AF120">IFERROR(XLOOKUP(B120,'ImportaçãoMeta - Adveronix'!$F:$F,'ImportaçãoMeta - Adveronix'!D:D),"")</f>
        <v>39</v>
      </c>
      <c r="AG120" s="159" t="str">
        <f t="array" ref="AG120">IFERROR(XLOOKUP(B120,'ImportaçãoMeta - Adveronix'!$F:$F,'ImportaçãoMeta - Adveronix'!E:E),"")</f>
        <v/>
      </c>
      <c r="AH120" s="157"/>
      <c r="AI120" s="157"/>
      <c r="AJ120" s="156"/>
      <c r="AK120" s="160">
        <f>IFERROR(COUNTIFS(Leads!$L:$L,$B120,Leads!$F:$F,"*MetaAds"),0)</f>
        <v>1</v>
      </c>
      <c r="AL120" s="160">
        <f>IFERROR(COUNTIFS(Leads!$L:$L,$B120,Leads!$F:$F,"*MetaAds*",Leads!$N:$N,"Sim"),0)</f>
        <v>1</v>
      </c>
    </row>
    <row r="121" ht="15.75" customHeight="1">
      <c r="A121" s="149" t="str">
        <f t="array" ref="A121">XLOOKUP(MONTH(B121),BASE!$F$16:$F$27,BASE!$G$16:$G$27)</f>
        <v>Abril</v>
      </c>
      <c r="B121" s="150">
        <v>46142.0</v>
      </c>
      <c r="C121" s="151"/>
      <c r="D121" s="149" t="str">
        <f t="shared" si="4"/>
        <v>quinta-feira</v>
      </c>
      <c r="E121" s="152">
        <f t="shared" ref="E121:J121" si="241">IFERROR(SUM(P121,AB121)," ")</f>
        <v>58.79</v>
      </c>
      <c r="F121" s="152">
        <f t="shared" si="241"/>
        <v>0</v>
      </c>
      <c r="G121" s="152">
        <f t="shared" si="241"/>
        <v>0</v>
      </c>
      <c r="H121" s="153">
        <f t="shared" si="241"/>
        <v>3455</v>
      </c>
      <c r="I121" s="153">
        <f t="shared" si="241"/>
        <v>43</v>
      </c>
      <c r="J121" s="153">
        <f t="shared" si="241"/>
        <v>0</v>
      </c>
      <c r="K121" s="153">
        <f t="shared" ref="K121:O121" si="242">IFERROR(SUM(W121,AH121)," ")</f>
        <v>0</v>
      </c>
      <c r="L121" s="153">
        <f t="shared" si="242"/>
        <v>0</v>
      </c>
      <c r="M121" s="153">
        <f t="shared" si="242"/>
        <v>0</v>
      </c>
      <c r="N121" s="153">
        <f t="shared" si="242"/>
        <v>1</v>
      </c>
      <c r="O121" s="153">
        <f t="shared" si="242"/>
        <v>1</v>
      </c>
      <c r="P121" s="152">
        <f t="array" ref="P121">IFERROR(XLOOKUP(B121,'ImportaçãoGoogleAds - Adveronix'!$F:$F,'ImportaçãoGoogleAds - Adveronix'!$B:$B)," ")</f>
        <v>21.7</v>
      </c>
      <c r="Q121" s="154"/>
      <c r="R121" s="154"/>
      <c r="S121" s="155">
        <f t="array" ref="S121">IFERROR(XLOOKUP(B121,'ImportaçãoGoogleAds - Adveronix'!$F:$F,'ImportaçãoGoogleAds - Adveronix'!C:C)," ")</f>
        <v>688</v>
      </c>
      <c r="T121" s="155">
        <f t="array" ref="T121">IFERROR(XLOOKUP(B121,'ImportaçãoGoogleAds - Adveronix'!$F:$F,'ImportaçãoGoogleAds - Adveronix'!D:D)," ")</f>
        <v>8</v>
      </c>
      <c r="U121" s="155">
        <f t="array" ref="U121">IFERROR(XLOOKUP(B121,'ImportaçãoGoogleAds - Adveronix'!$F:$F,'ImportaçãoGoogleAds - Adveronix'!E:E)," ")</f>
        <v>0</v>
      </c>
      <c r="V121" s="156"/>
      <c r="W121" s="157"/>
      <c r="X121" s="157"/>
      <c r="Y121" s="158"/>
      <c r="Z121" s="158">
        <f>IFERROR(COUNTIFS(Leads!$L:$L,$B121,Leads!$F:$F,"*google-ads*"),0)</f>
        <v>0</v>
      </c>
      <c r="AA121" s="158">
        <f>IFERROR(COUNTIFS(Leads!$L:$L,$B121,Leads!$F:$F,"*google-ads*",Leads!$N:$N,"Sim"),0)</f>
        <v>0</v>
      </c>
      <c r="AB121" s="152">
        <f t="array" ref="AB121">IFERROR(XLOOKUP(B121,'ImportaçãoMeta - Adveronix'!F:F,'ImportaçãoMeta - Adveronix'!B:B),"")</f>
        <v>37.09</v>
      </c>
      <c r="AC121" s="154"/>
      <c r="AD121" s="154"/>
      <c r="AE121" s="159">
        <f t="array" ref="AE121">IFERROR(XLOOKUP(B121,'ImportaçãoMeta - Adveronix'!$F:$F,'ImportaçãoMeta - Adveronix'!C:C),"")</f>
        <v>2767</v>
      </c>
      <c r="AF121" s="159">
        <f t="array" ref="AF121">IFERROR(XLOOKUP(B121,'ImportaçãoMeta - Adveronix'!$F:$F,'ImportaçãoMeta - Adveronix'!D:D),"")</f>
        <v>35</v>
      </c>
      <c r="AG121" s="159" t="str">
        <f t="array" ref="AG121">IFERROR(XLOOKUP(B121,'ImportaçãoMeta - Adveronix'!$F:$F,'ImportaçãoMeta - Adveronix'!E:E),"")</f>
        <v/>
      </c>
      <c r="AH121" s="157"/>
      <c r="AI121" s="157"/>
      <c r="AJ121" s="156"/>
      <c r="AK121" s="160">
        <f>IFERROR(COUNTIFS(Leads!$L:$L,$B121,Leads!$F:$F,"*MetaAds"),0)</f>
        <v>1</v>
      </c>
      <c r="AL121" s="160">
        <f>IFERROR(COUNTIFS(Leads!$L:$L,$B121,Leads!$F:$F,"*MetaAds*",Leads!$N:$N,"Sim"),0)</f>
        <v>1</v>
      </c>
    </row>
    <row r="122" ht="15.75" customHeight="1">
      <c r="A122" s="149" t="str">
        <f t="array" ref="A122">XLOOKUP(MONTH(B122),BASE!$F$16:$F$27,BASE!$G$16:$G$27)</f>
        <v>Maio</v>
      </c>
      <c r="B122" s="150">
        <v>46143.0</v>
      </c>
      <c r="C122" s="151"/>
      <c r="D122" s="149" t="str">
        <f t="shared" si="4"/>
        <v>sexta-feira</v>
      </c>
      <c r="E122" s="152">
        <f t="shared" ref="E122:J122" si="243">IFERROR(SUM(P122,AB122)," ")</f>
        <v>70.59</v>
      </c>
      <c r="F122" s="152">
        <f t="shared" si="243"/>
        <v>0</v>
      </c>
      <c r="G122" s="152">
        <f t="shared" si="243"/>
        <v>0</v>
      </c>
      <c r="H122" s="153">
        <f t="shared" si="243"/>
        <v>3814</v>
      </c>
      <c r="I122" s="153">
        <f t="shared" si="243"/>
        <v>58</v>
      </c>
      <c r="J122" s="153">
        <f t="shared" si="243"/>
        <v>1</v>
      </c>
      <c r="K122" s="153">
        <f t="shared" ref="K122:O122" si="244">IFERROR(SUM(W122,AH122)," ")</f>
        <v>0</v>
      </c>
      <c r="L122" s="153">
        <f t="shared" si="244"/>
        <v>0</v>
      </c>
      <c r="M122" s="153">
        <f t="shared" si="244"/>
        <v>0</v>
      </c>
      <c r="N122" s="153">
        <f t="shared" si="244"/>
        <v>1</v>
      </c>
      <c r="O122" s="153">
        <f t="shared" si="244"/>
        <v>1</v>
      </c>
      <c r="P122" s="152">
        <f t="array" ref="P122">IFERROR(XLOOKUP(B122,'ImportaçãoGoogleAds - Adveronix'!$F:$F,'ImportaçãoGoogleAds - Adveronix'!$B:$B)," ")</f>
        <v>26.19</v>
      </c>
      <c r="Q122" s="154"/>
      <c r="R122" s="154"/>
      <c r="S122" s="155">
        <f t="array" ref="S122">IFERROR(XLOOKUP(B122,'ImportaçãoGoogleAds - Adveronix'!$F:$F,'ImportaçãoGoogleAds - Adveronix'!C:C)," ")</f>
        <v>858</v>
      </c>
      <c r="T122" s="155">
        <f t="array" ref="T122">IFERROR(XLOOKUP(B122,'ImportaçãoGoogleAds - Adveronix'!$F:$F,'ImportaçãoGoogleAds - Adveronix'!D:D)," ")</f>
        <v>9</v>
      </c>
      <c r="U122" s="155">
        <f t="array" ref="U122">IFERROR(XLOOKUP(B122,'ImportaçãoGoogleAds - Adveronix'!$F:$F,'ImportaçãoGoogleAds - Adveronix'!E:E)," ")</f>
        <v>1</v>
      </c>
      <c r="V122" s="156"/>
      <c r="W122" s="157"/>
      <c r="X122" s="157"/>
      <c r="Y122" s="158"/>
      <c r="Z122" s="158">
        <f>IFERROR(COUNTIFS(Leads!$L:$L,$B122,Leads!$F:$F,"*google-ads*"),0)</f>
        <v>1</v>
      </c>
      <c r="AA122" s="158">
        <f>IFERROR(COUNTIFS(Leads!$L:$L,$B122,Leads!$F:$F,"*google-ads*",Leads!$N:$N,"Sim"),0)</f>
        <v>1</v>
      </c>
      <c r="AB122" s="152">
        <f t="array" ref="AB122">IFERROR(XLOOKUP(B122,'ImportaçãoMeta - Adveronix'!F:F,'ImportaçãoMeta - Adveronix'!B:B),"")</f>
        <v>44.4</v>
      </c>
      <c r="AC122" s="154"/>
      <c r="AD122" s="154"/>
      <c r="AE122" s="159">
        <f t="array" ref="AE122">IFERROR(XLOOKUP(B122,'ImportaçãoMeta - Adveronix'!$F:$F,'ImportaçãoMeta - Adveronix'!C:C),"")</f>
        <v>2956</v>
      </c>
      <c r="AF122" s="159">
        <f t="array" ref="AF122">IFERROR(XLOOKUP(B122,'ImportaçãoMeta - Adveronix'!$F:$F,'ImportaçãoMeta - Adveronix'!D:D),"")</f>
        <v>49</v>
      </c>
      <c r="AG122" s="159" t="str">
        <f t="array" ref="AG122">IFERROR(XLOOKUP(B122,'ImportaçãoMeta - Adveronix'!$F:$F,'ImportaçãoMeta - Adveronix'!E:E),"")</f>
        <v/>
      </c>
      <c r="AH122" s="157"/>
      <c r="AI122" s="157"/>
      <c r="AJ122" s="156"/>
      <c r="AK122" s="160">
        <f>IFERROR(COUNTIFS(Leads!$L:$L,$B122,Leads!$F:$F,"*MetaAds"),0)</f>
        <v>0</v>
      </c>
      <c r="AL122" s="160">
        <f>IFERROR(COUNTIFS(Leads!$L:$L,$B122,Leads!$F:$F,"*MetaAds*",Leads!$N:$N,"Sim"),0)</f>
        <v>0</v>
      </c>
    </row>
    <row r="123" ht="15.75" customHeight="1">
      <c r="A123" s="149" t="str">
        <f t="array" ref="A123">XLOOKUP(MONTH(B123),BASE!$F$16:$F$27,BASE!$G$16:$G$27)</f>
        <v>Maio</v>
      </c>
      <c r="B123" s="150">
        <v>46144.0</v>
      </c>
      <c r="C123" s="151"/>
      <c r="D123" s="149" t="str">
        <f t="shared" si="4"/>
        <v>sábado</v>
      </c>
      <c r="E123" s="152">
        <f t="shared" ref="E123:J123" si="245">IFERROR(SUM(P123,AB123)," ")</f>
        <v>75.65</v>
      </c>
      <c r="F123" s="152">
        <f t="shared" si="245"/>
        <v>0</v>
      </c>
      <c r="G123" s="152">
        <f t="shared" si="245"/>
        <v>0</v>
      </c>
      <c r="H123" s="153">
        <f t="shared" si="245"/>
        <v>2759</v>
      </c>
      <c r="I123" s="153">
        <f t="shared" si="245"/>
        <v>39</v>
      </c>
      <c r="J123" s="153">
        <f t="shared" si="245"/>
        <v>0</v>
      </c>
      <c r="K123" s="153">
        <f t="shared" ref="K123:O123" si="246">IFERROR(SUM(W123,AH123)," ")</f>
        <v>0</v>
      </c>
      <c r="L123" s="153">
        <f t="shared" si="246"/>
        <v>0</v>
      </c>
      <c r="M123" s="153">
        <f t="shared" si="246"/>
        <v>0</v>
      </c>
      <c r="N123" s="153">
        <f t="shared" si="246"/>
        <v>3</v>
      </c>
      <c r="O123" s="153">
        <f t="shared" si="246"/>
        <v>3</v>
      </c>
      <c r="P123" s="152">
        <f t="array" ref="P123">IFERROR(XLOOKUP(B123,'ImportaçãoGoogleAds - Adveronix'!$F:$F,'ImportaçãoGoogleAds - Adveronix'!$B:$B)," ")</f>
        <v>42.58</v>
      </c>
      <c r="Q123" s="154"/>
      <c r="R123" s="154"/>
      <c r="S123" s="155">
        <f t="array" ref="S123">IFERROR(XLOOKUP(B123,'ImportaçãoGoogleAds - Adveronix'!$F:$F,'ImportaçãoGoogleAds - Adveronix'!C:C)," ")</f>
        <v>665</v>
      </c>
      <c r="T123" s="155">
        <f t="array" ref="T123">IFERROR(XLOOKUP(B123,'ImportaçãoGoogleAds - Adveronix'!$F:$F,'ImportaçãoGoogleAds - Adveronix'!D:D)," ")</f>
        <v>15</v>
      </c>
      <c r="U123" s="155">
        <f t="array" ref="U123">IFERROR(XLOOKUP(B123,'ImportaçãoGoogleAds - Adveronix'!$F:$F,'ImportaçãoGoogleAds - Adveronix'!E:E)," ")</f>
        <v>0</v>
      </c>
      <c r="V123" s="156"/>
      <c r="W123" s="157"/>
      <c r="X123" s="157"/>
      <c r="Y123" s="158"/>
      <c r="Z123" s="158">
        <f>IFERROR(COUNTIFS(Leads!$L:$L,$B123,Leads!$F:$F,"*google-ads*"),0)</f>
        <v>0</v>
      </c>
      <c r="AA123" s="158">
        <f>IFERROR(COUNTIFS(Leads!$L:$L,$B123,Leads!$F:$F,"*google-ads*",Leads!$N:$N,"Sim"),0)</f>
        <v>0</v>
      </c>
      <c r="AB123" s="152">
        <f t="array" ref="AB123">IFERROR(XLOOKUP(B123,'ImportaçãoMeta - Adveronix'!F:F,'ImportaçãoMeta - Adveronix'!B:B),"")</f>
        <v>33.07</v>
      </c>
      <c r="AC123" s="154"/>
      <c r="AD123" s="154"/>
      <c r="AE123" s="159">
        <f t="array" ref="AE123">IFERROR(XLOOKUP(B123,'ImportaçãoMeta - Adveronix'!$F:$F,'ImportaçãoMeta - Adveronix'!C:C),"")</f>
        <v>2094</v>
      </c>
      <c r="AF123" s="159">
        <f t="array" ref="AF123">IFERROR(XLOOKUP(B123,'ImportaçãoMeta - Adveronix'!$F:$F,'ImportaçãoMeta - Adveronix'!D:D),"")</f>
        <v>24</v>
      </c>
      <c r="AG123" s="159" t="str">
        <f t="array" ref="AG123">IFERROR(XLOOKUP(B123,'ImportaçãoMeta - Adveronix'!$F:$F,'ImportaçãoMeta - Adveronix'!E:E),"")</f>
        <v/>
      </c>
      <c r="AH123" s="157"/>
      <c r="AI123" s="157"/>
      <c r="AJ123" s="156"/>
      <c r="AK123" s="160">
        <f>IFERROR(COUNTIFS(Leads!$L:$L,$B123,Leads!$F:$F,"*MetaAds"),0)</f>
        <v>3</v>
      </c>
      <c r="AL123" s="160">
        <f>IFERROR(COUNTIFS(Leads!$L:$L,$B123,Leads!$F:$F,"*MetaAds*",Leads!$N:$N,"Sim"),0)</f>
        <v>3</v>
      </c>
    </row>
    <row r="124" ht="15.75" customHeight="1">
      <c r="A124" s="149" t="str">
        <f t="array" ref="A124">XLOOKUP(MONTH(B124),BASE!$F$16:$F$27,BASE!$G$16:$G$27)</f>
        <v>Maio</v>
      </c>
      <c r="B124" s="150">
        <v>46145.0</v>
      </c>
      <c r="C124" s="151"/>
      <c r="D124" s="149" t="str">
        <f t="shared" si="4"/>
        <v>domingo</v>
      </c>
      <c r="E124" s="152">
        <f t="shared" ref="E124:J124" si="247">IFERROR(SUM(P124,AB124)," ")</f>
        <v>66.11</v>
      </c>
      <c r="F124" s="152">
        <f t="shared" si="247"/>
        <v>0</v>
      </c>
      <c r="G124" s="152">
        <f t="shared" si="247"/>
        <v>0</v>
      </c>
      <c r="H124" s="153">
        <f t="shared" si="247"/>
        <v>2941</v>
      </c>
      <c r="I124" s="153">
        <f t="shared" si="247"/>
        <v>58</v>
      </c>
      <c r="J124" s="153">
        <f t="shared" si="247"/>
        <v>0</v>
      </c>
      <c r="K124" s="153">
        <f t="shared" ref="K124:O124" si="248">IFERROR(SUM(W124,AH124)," ")</f>
        <v>0</v>
      </c>
      <c r="L124" s="153">
        <f t="shared" si="248"/>
        <v>0</v>
      </c>
      <c r="M124" s="153">
        <f t="shared" si="248"/>
        <v>0</v>
      </c>
      <c r="N124" s="153">
        <f t="shared" si="248"/>
        <v>2</v>
      </c>
      <c r="O124" s="153">
        <f t="shared" si="248"/>
        <v>0</v>
      </c>
      <c r="P124" s="152">
        <f t="array" ref="P124">IFERROR(XLOOKUP(B124,'ImportaçãoGoogleAds - Adveronix'!$F:$F,'ImportaçãoGoogleAds - Adveronix'!$B:$B)," ")</f>
        <v>25.83</v>
      </c>
      <c r="Q124" s="154"/>
      <c r="R124" s="154"/>
      <c r="S124" s="155">
        <f t="array" ref="S124">IFERROR(XLOOKUP(B124,'ImportaçãoGoogleAds - Adveronix'!$F:$F,'ImportaçãoGoogleAds - Adveronix'!C:C)," ")</f>
        <v>589</v>
      </c>
      <c r="T124" s="155">
        <f t="array" ref="T124">IFERROR(XLOOKUP(B124,'ImportaçãoGoogleAds - Adveronix'!$F:$F,'ImportaçãoGoogleAds - Adveronix'!D:D)," ")</f>
        <v>10</v>
      </c>
      <c r="U124" s="155">
        <f t="array" ref="U124">IFERROR(XLOOKUP(B124,'ImportaçãoGoogleAds - Adveronix'!$F:$F,'ImportaçãoGoogleAds - Adveronix'!E:E)," ")</f>
        <v>0</v>
      </c>
      <c r="V124" s="156"/>
      <c r="W124" s="157"/>
      <c r="X124" s="157"/>
      <c r="Y124" s="158"/>
      <c r="Z124" s="158">
        <f>IFERROR(COUNTIFS(Leads!$L:$L,$B124,Leads!$F:$F,"*google-ads*"),0)</f>
        <v>0</v>
      </c>
      <c r="AA124" s="158">
        <f>IFERROR(COUNTIFS(Leads!$L:$L,$B124,Leads!$F:$F,"*google-ads*",Leads!$N:$N,"Sim"),0)</f>
        <v>0</v>
      </c>
      <c r="AB124" s="152">
        <f t="array" ref="AB124">IFERROR(XLOOKUP(B124,'ImportaçãoMeta - Adveronix'!F:F,'ImportaçãoMeta - Adveronix'!B:B),"")</f>
        <v>40.28</v>
      </c>
      <c r="AC124" s="154"/>
      <c r="AD124" s="154"/>
      <c r="AE124" s="159">
        <f t="array" ref="AE124">IFERROR(XLOOKUP(B124,'ImportaçãoMeta - Adveronix'!$F:$F,'ImportaçãoMeta - Adveronix'!C:C),"")</f>
        <v>2352</v>
      </c>
      <c r="AF124" s="159">
        <f t="array" ref="AF124">IFERROR(XLOOKUP(B124,'ImportaçãoMeta - Adveronix'!$F:$F,'ImportaçãoMeta - Adveronix'!D:D),"")</f>
        <v>48</v>
      </c>
      <c r="AG124" s="159" t="str">
        <f t="array" ref="AG124">IFERROR(XLOOKUP(B124,'ImportaçãoMeta - Adveronix'!$F:$F,'ImportaçãoMeta - Adveronix'!E:E),"")</f>
        <v/>
      </c>
      <c r="AH124" s="157"/>
      <c r="AI124" s="157"/>
      <c r="AJ124" s="156"/>
      <c r="AK124" s="160">
        <f>IFERROR(COUNTIFS(Leads!$L:$L,$B124,Leads!$F:$F,"*MetaAds"),0)</f>
        <v>2</v>
      </c>
      <c r="AL124" s="160">
        <f>IFERROR(COUNTIFS(Leads!$L:$L,$B124,Leads!$F:$F,"*MetaAds*",Leads!$N:$N,"Sim"),0)</f>
        <v>0</v>
      </c>
    </row>
    <row r="125" ht="15.75" customHeight="1">
      <c r="A125" s="149" t="str">
        <f t="array" ref="A125">XLOOKUP(MONTH(B125),BASE!$F$16:$F$27,BASE!$G$16:$G$27)</f>
        <v>Maio</v>
      </c>
      <c r="B125" s="150">
        <v>46146.0</v>
      </c>
      <c r="C125" s="151"/>
      <c r="D125" s="149" t="str">
        <f t="shared" si="4"/>
        <v>segunda-feira</v>
      </c>
      <c r="E125" s="152">
        <f t="shared" ref="E125:J125" si="249">IFERROR(SUM(P125,AB125)," ")</f>
        <v>59.77</v>
      </c>
      <c r="F125" s="152">
        <f t="shared" si="249"/>
        <v>0</v>
      </c>
      <c r="G125" s="152">
        <f t="shared" si="249"/>
        <v>0</v>
      </c>
      <c r="H125" s="153">
        <f t="shared" si="249"/>
        <v>2761</v>
      </c>
      <c r="I125" s="153">
        <f t="shared" si="249"/>
        <v>49</v>
      </c>
      <c r="J125" s="153">
        <f t="shared" si="249"/>
        <v>1</v>
      </c>
      <c r="K125" s="153">
        <f t="shared" ref="K125:O125" si="250">IFERROR(SUM(W125,AH125)," ")</f>
        <v>0</v>
      </c>
      <c r="L125" s="153">
        <f t="shared" si="250"/>
        <v>0</v>
      </c>
      <c r="M125" s="153">
        <f t="shared" si="250"/>
        <v>0</v>
      </c>
      <c r="N125" s="153">
        <f t="shared" si="250"/>
        <v>2</v>
      </c>
      <c r="O125" s="153">
        <f t="shared" si="250"/>
        <v>2</v>
      </c>
      <c r="P125" s="152">
        <f t="array" ref="P125">IFERROR(XLOOKUP(B125,'ImportaçãoGoogleAds - Adveronix'!$F:$F,'ImportaçãoGoogleAds - Adveronix'!$B:$B)," ")</f>
        <v>26.33</v>
      </c>
      <c r="Q125" s="154"/>
      <c r="R125" s="154"/>
      <c r="S125" s="155">
        <f t="array" ref="S125">IFERROR(XLOOKUP(B125,'ImportaçãoGoogleAds - Adveronix'!$F:$F,'ImportaçãoGoogleAds - Adveronix'!C:C)," ")</f>
        <v>730</v>
      </c>
      <c r="T125" s="155">
        <f t="array" ref="T125">IFERROR(XLOOKUP(B125,'ImportaçãoGoogleAds - Adveronix'!$F:$F,'ImportaçãoGoogleAds - Adveronix'!D:D)," ")</f>
        <v>15</v>
      </c>
      <c r="U125" s="155">
        <f t="array" ref="U125">IFERROR(XLOOKUP(B125,'ImportaçãoGoogleAds - Adveronix'!$F:$F,'ImportaçãoGoogleAds - Adveronix'!E:E)," ")</f>
        <v>1</v>
      </c>
      <c r="V125" s="156"/>
      <c r="W125" s="157"/>
      <c r="X125" s="157"/>
      <c r="Y125" s="158"/>
      <c r="Z125" s="158">
        <f>IFERROR(COUNTIFS(Leads!$L:$L,$B125,Leads!$F:$F,"*google-ads*"),0)</f>
        <v>0</v>
      </c>
      <c r="AA125" s="158">
        <f>IFERROR(COUNTIFS(Leads!$L:$L,$B125,Leads!$F:$F,"*google-ads*",Leads!$N:$N,"Sim"),0)</f>
        <v>0</v>
      </c>
      <c r="AB125" s="152">
        <f t="array" ref="AB125">IFERROR(XLOOKUP(B125,'ImportaçãoMeta - Adveronix'!F:F,'ImportaçãoMeta - Adveronix'!B:B),"")</f>
        <v>33.44</v>
      </c>
      <c r="AC125" s="154"/>
      <c r="AD125" s="154"/>
      <c r="AE125" s="159">
        <f t="array" ref="AE125">IFERROR(XLOOKUP(B125,'ImportaçãoMeta - Adveronix'!$F:$F,'ImportaçãoMeta - Adveronix'!C:C),"")</f>
        <v>2031</v>
      </c>
      <c r="AF125" s="159">
        <f t="array" ref="AF125">IFERROR(XLOOKUP(B125,'ImportaçãoMeta - Adveronix'!$F:$F,'ImportaçãoMeta - Adveronix'!D:D),"")</f>
        <v>34</v>
      </c>
      <c r="AG125" s="159" t="str">
        <f t="array" ref="AG125">IFERROR(XLOOKUP(B125,'ImportaçãoMeta - Adveronix'!$F:$F,'ImportaçãoMeta - Adveronix'!E:E),"")</f>
        <v/>
      </c>
      <c r="AH125" s="157"/>
      <c r="AI125" s="157"/>
      <c r="AJ125" s="156"/>
      <c r="AK125" s="160">
        <f>IFERROR(COUNTIFS(Leads!$L:$L,$B125,Leads!$F:$F,"*MetaAds"),0)</f>
        <v>2</v>
      </c>
      <c r="AL125" s="160">
        <f>IFERROR(COUNTIFS(Leads!$L:$L,$B125,Leads!$F:$F,"*MetaAds*",Leads!$N:$N,"Sim"),0)</f>
        <v>2</v>
      </c>
    </row>
    <row r="126" ht="15.75" customHeight="1">
      <c r="A126" s="149" t="str">
        <f t="array" ref="A126">XLOOKUP(MONTH(B126),BASE!$F$16:$F$27,BASE!$G$16:$G$27)</f>
        <v>Maio</v>
      </c>
      <c r="B126" s="150">
        <v>46147.0</v>
      </c>
      <c r="C126" s="151"/>
      <c r="D126" s="149" t="str">
        <f t="shared" si="4"/>
        <v>terça-feira</v>
      </c>
      <c r="E126" s="152">
        <f t="shared" ref="E126:J126" si="251">IFERROR(SUM(P126,AB126)," ")</f>
        <v>84.62</v>
      </c>
      <c r="F126" s="152">
        <f t="shared" si="251"/>
        <v>0</v>
      </c>
      <c r="G126" s="152">
        <f t="shared" si="251"/>
        <v>0</v>
      </c>
      <c r="H126" s="153">
        <f t="shared" si="251"/>
        <v>3126</v>
      </c>
      <c r="I126" s="153">
        <f t="shared" si="251"/>
        <v>33</v>
      </c>
      <c r="J126" s="153">
        <f t="shared" si="251"/>
        <v>0</v>
      </c>
      <c r="K126" s="153">
        <f t="shared" ref="K126:O126" si="252">IFERROR(SUM(W126,AH126)," ")</f>
        <v>0</v>
      </c>
      <c r="L126" s="153">
        <f t="shared" si="252"/>
        <v>0</v>
      </c>
      <c r="M126" s="153">
        <f t="shared" si="252"/>
        <v>0</v>
      </c>
      <c r="N126" s="153">
        <f t="shared" si="252"/>
        <v>2</v>
      </c>
      <c r="O126" s="153">
        <f t="shared" si="252"/>
        <v>1</v>
      </c>
      <c r="P126" s="152">
        <f t="array" ref="P126">IFERROR(XLOOKUP(B126,'ImportaçãoGoogleAds - Adveronix'!$F:$F,'ImportaçãoGoogleAds - Adveronix'!$B:$B)," ")</f>
        <v>49.77</v>
      </c>
      <c r="Q126" s="154"/>
      <c r="R126" s="154"/>
      <c r="S126" s="155">
        <f t="array" ref="S126">IFERROR(XLOOKUP(B126,'ImportaçãoGoogleAds - Adveronix'!$F:$F,'ImportaçãoGoogleAds - Adveronix'!C:C)," ")</f>
        <v>722</v>
      </c>
      <c r="T126" s="155">
        <f t="array" ref="T126">IFERROR(XLOOKUP(B126,'ImportaçãoGoogleAds - Adveronix'!$F:$F,'ImportaçãoGoogleAds - Adveronix'!D:D)," ")</f>
        <v>11</v>
      </c>
      <c r="U126" s="155">
        <f t="array" ref="U126">IFERROR(XLOOKUP(B126,'ImportaçãoGoogleAds - Adveronix'!$F:$F,'ImportaçãoGoogleAds - Adveronix'!E:E)," ")</f>
        <v>0</v>
      </c>
      <c r="V126" s="156"/>
      <c r="W126" s="157"/>
      <c r="X126" s="157"/>
      <c r="Y126" s="158"/>
      <c r="Z126" s="158">
        <f>IFERROR(COUNTIFS(Leads!$L:$L,$B126,Leads!$F:$F,"*google-ads*"),0)</f>
        <v>0</v>
      </c>
      <c r="AA126" s="158">
        <f>IFERROR(COUNTIFS(Leads!$L:$L,$B126,Leads!$F:$F,"*google-ads*",Leads!$N:$N,"Sim"),0)</f>
        <v>0</v>
      </c>
      <c r="AB126" s="152">
        <f t="array" ref="AB126">IFERROR(XLOOKUP(B126,'ImportaçãoMeta - Adveronix'!F:F,'ImportaçãoMeta - Adveronix'!B:B),"")</f>
        <v>34.85</v>
      </c>
      <c r="AC126" s="154"/>
      <c r="AD126" s="154"/>
      <c r="AE126" s="159">
        <f t="array" ref="AE126">IFERROR(XLOOKUP(B126,'ImportaçãoMeta - Adveronix'!$F:$F,'ImportaçãoMeta - Adveronix'!C:C),"")</f>
        <v>2404</v>
      </c>
      <c r="AF126" s="159">
        <f t="array" ref="AF126">IFERROR(XLOOKUP(B126,'ImportaçãoMeta - Adveronix'!$F:$F,'ImportaçãoMeta - Adveronix'!D:D),"")</f>
        <v>22</v>
      </c>
      <c r="AG126" s="159" t="str">
        <f t="array" ref="AG126">IFERROR(XLOOKUP(B126,'ImportaçãoMeta - Adveronix'!$F:$F,'ImportaçãoMeta - Adveronix'!E:E),"")</f>
        <v/>
      </c>
      <c r="AH126" s="157"/>
      <c r="AI126" s="157"/>
      <c r="AJ126" s="156"/>
      <c r="AK126" s="160">
        <f>IFERROR(COUNTIFS(Leads!$L:$L,$B126,Leads!$F:$F,"*MetaAds"),0)</f>
        <v>2</v>
      </c>
      <c r="AL126" s="160">
        <f>IFERROR(COUNTIFS(Leads!$L:$L,$B126,Leads!$F:$F,"*MetaAds*",Leads!$N:$N,"Sim"),0)</f>
        <v>1</v>
      </c>
    </row>
    <row r="127" ht="15.75" customHeight="1">
      <c r="A127" s="149" t="str">
        <f t="array" ref="A127">XLOOKUP(MONTH(B127),BASE!$F$16:$F$27,BASE!$G$16:$G$27)</f>
        <v>Maio</v>
      </c>
      <c r="B127" s="150">
        <v>46148.0</v>
      </c>
      <c r="C127" s="151"/>
      <c r="D127" s="149" t="str">
        <f t="shared" si="4"/>
        <v>quarta-feira</v>
      </c>
      <c r="E127" s="152">
        <f t="shared" ref="E127:J127" si="253">IFERROR(SUM(P127,AB127)," ")</f>
        <v>52.86</v>
      </c>
      <c r="F127" s="152">
        <f t="shared" si="253"/>
        <v>0</v>
      </c>
      <c r="G127" s="152">
        <f t="shared" si="253"/>
        <v>0</v>
      </c>
      <c r="H127" s="153">
        <f t="shared" si="253"/>
        <v>1747</v>
      </c>
      <c r="I127" s="153">
        <f t="shared" si="253"/>
        <v>38</v>
      </c>
      <c r="J127" s="153">
        <f t="shared" si="253"/>
        <v>1</v>
      </c>
      <c r="K127" s="153">
        <f t="shared" ref="K127:O127" si="254">IFERROR(SUM(W127,AH127)," ")</f>
        <v>0</v>
      </c>
      <c r="L127" s="153">
        <f t="shared" si="254"/>
        <v>0</v>
      </c>
      <c r="M127" s="153">
        <f t="shared" si="254"/>
        <v>0</v>
      </c>
      <c r="N127" s="153">
        <f t="shared" si="254"/>
        <v>2</v>
      </c>
      <c r="O127" s="153">
        <f t="shared" si="254"/>
        <v>1</v>
      </c>
      <c r="P127" s="152">
        <f t="array" ref="P127">IFERROR(XLOOKUP(B127,'ImportaçãoGoogleAds - Adveronix'!$F:$F,'ImportaçãoGoogleAds - Adveronix'!$B:$B)," ")</f>
        <v>29.27</v>
      </c>
      <c r="Q127" s="154"/>
      <c r="R127" s="154"/>
      <c r="S127" s="155">
        <f t="array" ref="S127">IFERROR(XLOOKUP(B127,'ImportaçãoGoogleAds - Adveronix'!$F:$F,'ImportaçãoGoogleAds - Adveronix'!C:C)," ")</f>
        <v>525</v>
      </c>
      <c r="T127" s="155">
        <f t="array" ref="T127">IFERROR(XLOOKUP(B127,'ImportaçãoGoogleAds - Adveronix'!$F:$F,'ImportaçãoGoogleAds - Adveronix'!D:D)," ")</f>
        <v>10</v>
      </c>
      <c r="U127" s="155">
        <f t="array" ref="U127">IFERROR(XLOOKUP(B127,'ImportaçãoGoogleAds - Adveronix'!$F:$F,'ImportaçãoGoogleAds - Adveronix'!E:E)," ")</f>
        <v>1</v>
      </c>
      <c r="V127" s="156"/>
      <c r="W127" s="157"/>
      <c r="X127" s="157"/>
      <c r="Y127" s="158"/>
      <c r="Z127" s="158">
        <f>IFERROR(COUNTIFS(Leads!$L:$L,$B127,Leads!$F:$F,"*google-ads*"),0)</f>
        <v>1</v>
      </c>
      <c r="AA127" s="158">
        <f>IFERROR(COUNTIFS(Leads!$L:$L,$B127,Leads!$F:$F,"*google-ads*",Leads!$N:$N,"Sim"),0)</f>
        <v>0</v>
      </c>
      <c r="AB127" s="152">
        <f t="array" ref="AB127">IFERROR(XLOOKUP(B127,'ImportaçãoMeta - Adveronix'!F:F,'ImportaçãoMeta - Adveronix'!B:B),"")</f>
        <v>23.59</v>
      </c>
      <c r="AC127" s="154"/>
      <c r="AD127" s="154"/>
      <c r="AE127" s="159">
        <f t="array" ref="AE127">IFERROR(XLOOKUP(B127,'ImportaçãoMeta - Adveronix'!$F:$F,'ImportaçãoMeta - Adveronix'!C:C),"")</f>
        <v>1222</v>
      </c>
      <c r="AF127" s="159">
        <f t="array" ref="AF127">IFERROR(XLOOKUP(B127,'ImportaçãoMeta - Adveronix'!$F:$F,'ImportaçãoMeta - Adveronix'!D:D),"")</f>
        <v>28</v>
      </c>
      <c r="AG127" s="159" t="str">
        <f t="array" ref="AG127">IFERROR(XLOOKUP(B127,'ImportaçãoMeta - Adveronix'!$F:$F,'ImportaçãoMeta - Adveronix'!E:E),"")</f>
        <v/>
      </c>
      <c r="AH127" s="157"/>
      <c r="AI127" s="157"/>
      <c r="AJ127" s="156"/>
      <c r="AK127" s="160">
        <f>IFERROR(COUNTIFS(Leads!$L:$L,$B127,Leads!$F:$F,"*MetaAds"),0)</f>
        <v>1</v>
      </c>
      <c r="AL127" s="160">
        <f>IFERROR(COUNTIFS(Leads!$L:$L,$B127,Leads!$F:$F,"*MetaAds*",Leads!$N:$N,"Sim"),0)</f>
        <v>1</v>
      </c>
    </row>
    <row r="128" ht="15.75" customHeight="1">
      <c r="A128" s="149" t="str">
        <f t="array" ref="A128">XLOOKUP(MONTH(B128),BASE!$F$16:$F$27,BASE!$G$16:$G$27)</f>
        <v>Maio</v>
      </c>
      <c r="B128" s="150">
        <v>46149.0</v>
      </c>
      <c r="C128" s="151"/>
      <c r="D128" s="149" t="str">
        <f t="shared" si="4"/>
        <v>quinta-feira</v>
      </c>
      <c r="E128" s="152">
        <f t="shared" ref="E128:J128" si="255">IFERROR(SUM(P128,AB128)," ")</f>
        <v>34.85</v>
      </c>
      <c r="F128" s="152">
        <f t="shared" si="255"/>
        <v>0</v>
      </c>
      <c r="G128" s="152">
        <f t="shared" si="255"/>
        <v>0</v>
      </c>
      <c r="H128" s="153">
        <f t="shared" si="255"/>
        <v>1555</v>
      </c>
      <c r="I128" s="153">
        <f t="shared" si="255"/>
        <v>30</v>
      </c>
      <c r="J128" s="153">
        <f t="shared" si="255"/>
        <v>0</v>
      </c>
      <c r="K128" s="153">
        <f t="shared" ref="K128:O128" si="256">IFERROR(SUM(W128,AH128)," ")</f>
        <v>0</v>
      </c>
      <c r="L128" s="153">
        <f t="shared" si="256"/>
        <v>0</v>
      </c>
      <c r="M128" s="153">
        <f t="shared" si="256"/>
        <v>0</v>
      </c>
      <c r="N128" s="153">
        <f t="shared" si="256"/>
        <v>1</v>
      </c>
      <c r="O128" s="153">
        <f t="shared" si="256"/>
        <v>1</v>
      </c>
      <c r="P128" s="152">
        <f t="array" ref="P128">IFERROR(XLOOKUP(B128,'ImportaçãoGoogleAds - Adveronix'!$F:$F,'ImportaçãoGoogleAds - Adveronix'!$B:$B)," ")</f>
        <v>16.68</v>
      </c>
      <c r="Q128" s="154"/>
      <c r="R128" s="154"/>
      <c r="S128" s="155">
        <f t="array" ref="S128">IFERROR(XLOOKUP(B128,'ImportaçãoGoogleAds - Adveronix'!$F:$F,'ImportaçãoGoogleAds - Adveronix'!C:C)," ")</f>
        <v>418</v>
      </c>
      <c r="T128" s="155">
        <f t="array" ref="T128">IFERROR(XLOOKUP(B128,'ImportaçãoGoogleAds - Adveronix'!$F:$F,'ImportaçãoGoogleAds - Adveronix'!D:D)," ")</f>
        <v>6</v>
      </c>
      <c r="U128" s="155">
        <f t="array" ref="U128">IFERROR(XLOOKUP(B128,'ImportaçãoGoogleAds - Adveronix'!$F:$F,'ImportaçãoGoogleAds - Adveronix'!E:E)," ")</f>
        <v>0</v>
      </c>
      <c r="V128" s="156"/>
      <c r="W128" s="157"/>
      <c r="X128" s="157"/>
      <c r="Y128" s="158"/>
      <c r="Z128" s="158">
        <f>IFERROR(COUNTIFS(Leads!$L:$L,$B128,Leads!$F:$F,"*google-ads*"),0)</f>
        <v>0</v>
      </c>
      <c r="AA128" s="158">
        <f>IFERROR(COUNTIFS(Leads!$L:$L,$B128,Leads!$F:$F,"*google-ads*",Leads!$N:$N,"Sim"),0)</f>
        <v>0</v>
      </c>
      <c r="AB128" s="152">
        <f t="array" ref="AB128">IFERROR(XLOOKUP(B128,'ImportaçãoMeta - Adveronix'!F:F,'ImportaçãoMeta - Adveronix'!B:B),"")</f>
        <v>18.17</v>
      </c>
      <c r="AC128" s="154"/>
      <c r="AD128" s="154"/>
      <c r="AE128" s="159">
        <f t="array" ref="AE128">IFERROR(XLOOKUP(B128,'ImportaçãoMeta - Adveronix'!$F:$F,'ImportaçãoMeta - Adveronix'!C:C),"")</f>
        <v>1137</v>
      </c>
      <c r="AF128" s="159">
        <f t="array" ref="AF128">IFERROR(XLOOKUP(B128,'ImportaçãoMeta - Adveronix'!$F:$F,'ImportaçãoMeta - Adveronix'!D:D),"")</f>
        <v>24</v>
      </c>
      <c r="AG128" s="159" t="str">
        <f t="array" ref="AG128">IFERROR(XLOOKUP(B128,'ImportaçãoMeta - Adveronix'!$F:$F,'ImportaçãoMeta - Adveronix'!E:E),"")</f>
        <v/>
      </c>
      <c r="AH128" s="157"/>
      <c r="AI128" s="157"/>
      <c r="AJ128" s="156"/>
      <c r="AK128" s="160">
        <f>IFERROR(COUNTIFS(Leads!$L:$L,$B128,Leads!$F:$F,"*MetaAds"),0)</f>
        <v>1</v>
      </c>
      <c r="AL128" s="160">
        <f>IFERROR(COUNTIFS(Leads!$L:$L,$B128,Leads!$F:$F,"*MetaAds*",Leads!$N:$N,"Sim"),0)</f>
        <v>1</v>
      </c>
    </row>
    <row r="129" ht="15.75" customHeight="1">
      <c r="A129" s="149" t="str">
        <f t="array" ref="A129">XLOOKUP(MONTH(B129),BASE!$F$16:$F$27,BASE!$G$16:$G$27)</f>
        <v>Maio</v>
      </c>
      <c r="B129" s="150">
        <v>46150.0</v>
      </c>
      <c r="C129" s="151"/>
      <c r="D129" s="149" t="str">
        <f t="shared" si="4"/>
        <v>sexta-feira</v>
      </c>
      <c r="E129" s="152">
        <f t="shared" ref="E129:J129" si="257">IFERROR(SUM(P129,AB129)," ")</f>
        <v>32.29</v>
      </c>
      <c r="F129" s="152">
        <f t="shared" si="257"/>
        <v>0</v>
      </c>
      <c r="G129" s="152">
        <f t="shared" si="257"/>
        <v>0</v>
      </c>
      <c r="H129" s="153">
        <f t="shared" si="257"/>
        <v>1550</v>
      </c>
      <c r="I129" s="153">
        <f t="shared" si="257"/>
        <v>27</v>
      </c>
      <c r="J129" s="153">
        <f t="shared" si="257"/>
        <v>0</v>
      </c>
      <c r="K129" s="153">
        <f t="shared" ref="K129:O129" si="258">IFERROR(SUM(W129,AH129)," ")</f>
        <v>0</v>
      </c>
      <c r="L129" s="153">
        <f t="shared" si="258"/>
        <v>0</v>
      </c>
      <c r="M129" s="153">
        <f t="shared" si="258"/>
        <v>0</v>
      </c>
      <c r="N129" s="153">
        <f t="shared" si="258"/>
        <v>1</v>
      </c>
      <c r="O129" s="153">
        <f t="shared" si="258"/>
        <v>1</v>
      </c>
      <c r="P129" s="152">
        <f t="array" ref="P129">IFERROR(XLOOKUP(B129,'ImportaçãoGoogleAds - Adveronix'!$F:$F,'ImportaçãoGoogleAds - Adveronix'!$B:$B)," ")</f>
        <v>15.49</v>
      </c>
      <c r="Q129" s="154"/>
      <c r="R129" s="154"/>
      <c r="S129" s="155">
        <f t="array" ref="S129">IFERROR(XLOOKUP(B129,'ImportaçãoGoogleAds - Adveronix'!$F:$F,'ImportaçãoGoogleAds - Adveronix'!C:C)," ")</f>
        <v>416</v>
      </c>
      <c r="T129" s="155">
        <f t="array" ref="T129">IFERROR(XLOOKUP(B129,'ImportaçãoGoogleAds - Adveronix'!$F:$F,'ImportaçãoGoogleAds - Adveronix'!D:D)," ")</f>
        <v>6</v>
      </c>
      <c r="U129" s="155">
        <f t="array" ref="U129">IFERROR(XLOOKUP(B129,'ImportaçãoGoogleAds - Adveronix'!$F:$F,'ImportaçãoGoogleAds - Adveronix'!E:E)," ")</f>
        <v>0</v>
      </c>
      <c r="V129" s="156"/>
      <c r="W129" s="157"/>
      <c r="X129" s="157"/>
      <c r="Y129" s="158"/>
      <c r="Z129" s="158">
        <f>IFERROR(COUNTIFS(Leads!$L:$L,$B129,Leads!$F:$F,"*google-ads*"),0)</f>
        <v>0</v>
      </c>
      <c r="AA129" s="158">
        <f>IFERROR(COUNTIFS(Leads!$L:$L,$B129,Leads!$F:$F,"*google-ads*",Leads!$N:$N,"Sim"),0)</f>
        <v>0</v>
      </c>
      <c r="AB129" s="152">
        <f t="array" ref="AB129">IFERROR(XLOOKUP(B129,'ImportaçãoMeta - Adveronix'!F:F,'ImportaçãoMeta - Adveronix'!B:B),"")</f>
        <v>16.8</v>
      </c>
      <c r="AC129" s="154"/>
      <c r="AD129" s="154"/>
      <c r="AE129" s="159">
        <f t="array" ref="AE129">IFERROR(XLOOKUP(B129,'ImportaçãoMeta - Adveronix'!$F:$F,'ImportaçãoMeta - Adveronix'!C:C),"")</f>
        <v>1134</v>
      </c>
      <c r="AF129" s="159">
        <f t="array" ref="AF129">IFERROR(XLOOKUP(B129,'ImportaçãoMeta - Adveronix'!$F:$F,'ImportaçãoMeta - Adveronix'!D:D),"")</f>
        <v>21</v>
      </c>
      <c r="AG129" s="159" t="str">
        <f t="array" ref="AG129">IFERROR(XLOOKUP(B129,'ImportaçãoMeta - Adveronix'!$F:$F,'ImportaçãoMeta - Adveronix'!E:E),"")</f>
        <v/>
      </c>
      <c r="AH129" s="157"/>
      <c r="AI129" s="157"/>
      <c r="AJ129" s="156"/>
      <c r="AK129" s="160">
        <f>IFERROR(COUNTIFS(Leads!$L:$L,$B129,Leads!$F:$F,"*MetaAds"),0)</f>
        <v>1</v>
      </c>
      <c r="AL129" s="160">
        <f>IFERROR(COUNTIFS(Leads!$L:$L,$B129,Leads!$F:$F,"*MetaAds*",Leads!$N:$N,"Sim"),0)</f>
        <v>1</v>
      </c>
    </row>
    <row r="130" ht="15.75" customHeight="1">
      <c r="A130" s="149" t="str">
        <f t="array" ref="A130">XLOOKUP(MONTH(B130),BASE!$F$16:$F$27,BASE!$G$16:$G$27)</f>
        <v>Maio</v>
      </c>
      <c r="B130" s="150">
        <v>46151.0</v>
      </c>
      <c r="C130" s="151"/>
      <c r="D130" s="149" t="str">
        <f t="shared" si="4"/>
        <v>sábado</v>
      </c>
      <c r="E130" s="152">
        <f t="shared" ref="E130:J130" si="259">IFERROR(SUM(P130,AB130)," ")</f>
        <v>35.17</v>
      </c>
      <c r="F130" s="152">
        <f t="shared" si="259"/>
        <v>0</v>
      </c>
      <c r="G130" s="152">
        <f t="shared" si="259"/>
        <v>0</v>
      </c>
      <c r="H130" s="153">
        <f t="shared" si="259"/>
        <v>1817</v>
      </c>
      <c r="I130" s="153">
        <f t="shared" si="259"/>
        <v>26</v>
      </c>
      <c r="J130" s="153">
        <f t="shared" si="259"/>
        <v>0</v>
      </c>
      <c r="K130" s="153">
        <f t="shared" ref="K130:O130" si="260">IFERROR(SUM(W130,AH130)," ")</f>
        <v>0</v>
      </c>
      <c r="L130" s="153">
        <f t="shared" si="260"/>
        <v>0</v>
      </c>
      <c r="M130" s="153">
        <f t="shared" si="260"/>
        <v>0</v>
      </c>
      <c r="N130" s="153">
        <f t="shared" si="260"/>
        <v>1</v>
      </c>
      <c r="O130" s="153">
        <f t="shared" si="260"/>
        <v>0</v>
      </c>
      <c r="P130" s="152">
        <f t="array" ref="P130">IFERROR(XLOOKUP(B130,'ImportaçãoGoogleAds - Adveronix'!$F:$F,'ImportaçãoGoogleAds - Adveronix'!$B:$B)," ")</f>
        <v>17.9</v>
      </c>
      <c r="Q130" s="154"/>
      <c r="R130" s="154"/>
      <c r="S130" s="155">
        <f t="array" ref="S130">IFERROR(XLOOKUP(B130,'ImportaçãoGoogleAds - Adveronix'!$F:$F,'ImportaçãoGoogleAds - Adveronix'!C:C)," ")</f>
        <v>504</v>
      </c>
      <c r="T130" s="155">
        <f t="array" ref="T130">IFERROR(XLOOKUP(B130,'ImportaçãoGoogleAds - Adveronix'!$F:$F,'ImportaçãoGoogleAds - Adveronix'!D:D)," ")</f>
        <v>6</v>
      </c>
      <c r="U130" s="155">
        <f t="array" ref="U130">IFERROR(XLOOKUP(B130,'ImportaçãoGoogleAds - Adveronix'!$F:$F,'ImportaçãoGoogleAds - Adveronix'!E:E)," ")</f>
        <v>0</v>
      </c>
      <c r="V130" s="156"/>
      <c r="W130" s="157"/>
      <c r="X130" s="157"/>
      <c r="Y130" s="158"/>
      <c r="Z130" s="158">
        <f>IFERROR(COUNTIFS(Leads!$L:$L,$B130,Leads!$F:$F,"*google-ads*"),0)</f>
        <v>0</v>
      </c>
      <c r="AA130" s="158">
        <f>IFERROR(COUNTIFS(Leads!$L:$L,$B130,Leads!$F:$F,"*google-ads*",Leads!$N:$N,"Sim"),0)</f>
        <v>0</v>
      </c>
      <c r="AB130" s="152">
        <f t="array" ref="AB130">IFERROR(XLOOKUP(B130,'ImportaçãoMeta - Adveronix'!F:F,'ImportaçãoMeta - Adveronix'!B:B),"")</f>
        <v>17.27</v>
      </c>
      <c r="AC130" s="154"/>
      <c r="AD130" s="154"/>
      <c r="AE130" s="159">
        <f t="array" ref="AE130">IFERROR(XLOOKUP(B130,'ImportaçãoMeta - Adveronix'!$F:$F,'ImportaçãoMeta - Adveronix'!C:C),"")</f>
        <v>1313</v>
      </c>
      <c r="AF130" s="159">
        <f t="array" ref="AF130">IFERROR(XLOOKUP(B130,'ImportaçãoMeta - Adveronix'!$F:$F,'ImportaçãoMeta - Adveronix'!D:D),"")</f>
        <v>20</v>
      </c>
      <c r="AG130" s="159" t="str">
        <f t="array" ref="AG130">IFERROR(XLOOKUP(B130,'ImportaçãoMeta - Adveronix'!$F:$F,'ImportaçãoMeta - Adveronix'!E:E),"")</f>
        <v/>
      </c>
      <c r="AH130" s="157"/>
      <c r="AI130" s="157"/>
      <c r="AJ130" s="156"/>
      <c r="AK130" s="160">
        <f>IFERROR(COUNTIFS(Leads!$L:$L,$B130,Leads!$F:$F,"*MetaAds"),0)</f>
        <v>1</v>
      </c>
      <c r="AL130" s="160">
        <f>IFERROR(COUNTIFS(Leads!$L:$L,$B130,Leads!$F:$F,"*MetaAds*",Leads!$N:$N,"Sim"),0)</f>
        <v>0</v>
      </c>
    </row>
    <row r="131" ht="15.75" customHeight="1">
      <c r="A131" s="149" t="str">
        <f t="array" ref="A131">XLOOKUP(MONTH(B131),BASE!$F$16:$F$27,BASE!$G$16:$G$27)</f>
        <v>Maio</v>
      </c>
      <c r="B131" s="150">
        <v>46152.0</v>
      </c>
      <c r="C131" s="151"/>
      <c r="D131" s="149" t="str">
        <f t="shared" si="4"/>
        <v>domingo</v>
      </c>
      <c r="E131" s="152">
        <f t="shared" ref="E131:J131" si="261">IFERROR(SUM(P131,AB131)," ")</f>
        <v>39.36</v>
      </c>
      <c r="F131" s="152">
        <f t="shared" si="261"/>
        <v>0</v>
      </c>
      <c r="G131" s="152">
        <f t="shared" si="261"/>
        <v>0</v>
      </c>
      <c r="H131" s="153">
        <f t="shared" si="261"/>
        <v>2331</v>
      </c>
      <c r="I131" s="153">
        <f t="shared" si="261"/>
        <v>41</v>
      </c>
      <c r="J131" s="153">
        <f t="shared" si="261"/>
        <v>0</v>
      </c>
      <c r="K131" s="153">
        <f t="shared" ref="K131:O131" si="262">IFERROR(SUM(W131,AH131)," ")</f>
        <v>0</v>
      </c>
      <c r="L131" s="153">
        <f t="shared" si="262"/>
        <v>0</v>
      </c>
      <c r="M131" s="153">
        <f t="shared" si="262"/>
        <v>0</v>
      </c>
      <c r="N131" s="153">
        <f t="shared" si="262"/>
        <v>3</v>
      </c>
      <c r="O131" s="153">
        <f t="shared" si="262"/>
        <v>1</v>
      </c>
      <c r="P131" s="152">
        <f t="array" ref="P131">IFERROR(XLOOKUP(B131,'ImportaçãoGoogleAds - Adveronix'!$F:$F,'ImportaçãoGoogleAds - Adveronix'!$B:$B)," ")</f>
        <v>15.71</v>
      </c>
      <c r="Q131" s="154"/>
      <c r="R131" s="154"/>
      <c r="S131" s="155">
        <f t="array" ref="S131">IFERROR(XLOOKUP(B131,'ImportaçãoGoogleAds - Adveronix'!$F:$F,'ImportaçãoGoogleAds - Adveronix'!C:C)," ")</f>
        <v>487</v>
      </c>
      <c r="T131" s="155">
        <f t="array" ref="T131">IFERROR(XLOOKUP(B131,'ImportaçãoGoogleAds - Adveronix'!$F:$F,'ImportaçãoGoogleAds - Adveronix'!D:D)," ")</f>
        <v>9</v>
      </c>
      <c r="U131" s="155">
        <f t="array" ref="U131">IFERROR(XLOOKUP(B131,'ImportaçãoGoogleAds - Adveronix'!$F:$F,'ImportaçãoGoogleAds - Adveronix'!E:E)," ")</f>
        <v>0</v>
      </c>
      <c r="V131" s="156"/>
      <c r="W131" s="157"/>
      <c r="X131" s="157"/>
      <c r="Y131" s="158"/>
      <c r="Z131" s="158">
        <f>IFERROR(COUNTIFS(Leads!$L:$L,$B131,Leads!$F:$F,"*google-ads*"),0)</f>
        <v>0</v>
      </c>
      <c r="AA131" s="158">
        <f>IFERROR(COUNTIFS(Leads!$L:$L,$B131,Leads!$F:$F,"*google-ads*",Leads!$N:$N,"Sim"),0)</f>
        <v>0</v>
      </c>
      <c r="AB131" s="152">
        <f t="array" ref="AB131">IFERROR(XLOOKUP(B131,'ImportaçãoMeta - Adveronix'!F:F,'ImportaçãoMeta - Adveronix'!B:B),"")</f>
        <v>23.65</v>
      </c>
      <c r="AC131" s="154"/>
      <c r="AD131" s="154"/>
      <c r="AE131" s="159">
        <f t="array" ref="AE131">IFERROR(XLOOKUP(B131,'ImportaçãoMeta - Adveronix'!$F:$F,'ImportaçãoMeta - Adveronix'!C:C),"")</f>
        <v>1844</v>
      </c>
      <c r="AF131" s="159">
        <f t="array" ref="AF131">IFERROR(XLOOKUP(B131,'ImportaçãoMeta - Adveronix'!$F:$F,'ImportaçãoMeta - Adveronix'!D:D),"")</f>
        <v>32</v>
      </c>
      <c r="AG131" s="159" t="str">
        <f t="array" ref="AG131">IFERROR(XLOOKUP(B131,'ImportaçãoMeta - Adveronix'!$F:$F,'ImportaçãoMeta - Adveronix'!E:E),"")</f>
        <v/>
      </c>
      <c r="AH131" s="157"/>
      <c r="AI131" s="157"/>
      <c r="AJ131" s="156"/>
      <c r="AK131" s="160">
        <f>IFERROR(COUNTIFS(Leads!$L:$L,$B131,Leads!$F:$F,"*MetaAds"),0)</f>
        <v>3</v>
      </c>
      <c r="AL131" s="160">
        <f>IFERROR(COUNTIFS(Leads!$L:$L,$B131,Leads!$F:$F,"*MetaAds*",Leads!$N:$N,"Sim"),0)</f>
        <v>1</v>
      </c>
    </row>
    <row r="132" ht="15.75" customHeight="1">
      <c r="A132" s="149" t="str">
        <f t="array" ref="A132">XLOOKUP(MONTH(B132),BASE!$F$16:$F$27,BASE!$G$16:$G$27)</f>
        <v>Maio</v>
      </c>
      <c r="B132" s="150">
        <v>46153.0</v>
      </c>
      <c r="C132" s="151"/>
      <c r="D132" s="149" t="str">
        <f t="shared" si="4"/>
        <v>segunda-feira</v>
      </c>
      <c r="E132" s="152">
        <f t="shared" ref="E132:J132" si="263">IFERROR(SUM(P132,AB132)," ")</f>
        <v>17.51</v>
      </c>
      <c r="F132" s="152">
        <f t="shared" si="263"/>
        <v>0</v>
      </c>
      <c r="G132" s="152">
        <f t="shared" si="263"/>
        <v>0</v>
      </c>
      <c r="H132" s="153">
        <f t="shared" si="263"/>
        <v>897</v>
      </c>
      <c r="I132" s="153">
        <f t="shared" si="263"/>
        <v>16</v>
      </c>
      <c r="J132" s="153">
        <f t="shared" si="263"/>
        <v>0</v>
      </c>
      <c r="K132" s="153">
        <f t="shared" ref="K132:O132" si="264">IFERROR(SUM(W132,AH132)," ")</f>
        <v>0</v>
      </c>
      <c r="L132" s="153">
        <f t="shared" si="264"/>
        <v>0</v>
      </c>
      <c r="M132" s="153">
        <f t="shared" si="264"/>
        <v>0</v>
      </c>
      <c r="N132" s="153">
        <f t="shared" si="264"/>
        <v>0</v>
      </c>
      <c r="O132" s="153">
        <f t="shared" si="264"/>
        <v>0</v>
      </c>
      <c r="P132" s="152">
        <f t="array" ref="P132">IFERROR(XLOOKUP(B132,'ImportaçãoGoogleAds - Adveronix'!$F:$F,'ImportaçãoGoogleAds - Adveronix'!$B:$B)," ")</f>
        <v>6.15</v>
      </c>
      <c r="Q132" s="154"/>
      <c r="R132" s="154"/>
      <c r="S132" s="155">
        <f t="array" ref="S132">IFERROR(XLOOKUP(B132,'ImportaçãoGoogleAds - Adveronix'!$F:$F,'ImportaçãoGoogleAds - Adveronix'!C:C)," ")</f>
        <v>64</v>
      </c>
      <c r="T132" s="155">
        <f t="array" ref="T132">IFERROR(XLOOKUP(B132,'ImportaçãoGoogleAds - Adveronix'!$F:$F,'ImportaçãoGoogleAds - Adveronix'!D:D)," ")</f>
        <v>2</v>
      </c>
      <c r="U132" s="155">
        <f t="array" ref="U132">IFERROR(XLOOKUP(B132,'ImportaçãoGoogleAds - Adveronix'!$F:$F,'ImportaçãoGoogleAds - Adveronix'!E:E)," ")</f>
        <v>0</v>
      </c>
      <c r="V132" s="156"/>
      <c r="W132" s="157"/>
      <c r="X132" s="157"/>
      <c r="Y132" s="158"/>
      <c r="Z132" s="158">
        <f>IFERROR(COUNTIFS(Leads!$L:$L,$B132,Leads!$F:$F,"*google-ads*"),0)</f>
        <v>0</v>
      </c>
      <c r="AA132" s="158">
        <f>IFERROR(COUNTIFS(Leads!$L:$L,$B132,Leads!$F:$F,"*google-ads*",Leads!$N:$N,"Sim"),0)</f>
        <v>0</v>
      </c>
      <c r="AB132" s="152">
        <f t="array" ref="AB132">IFERROR(XLOOKUP(B132,'ImportaçãoMeta - Adveronix'!F:F,'ImportaçãoMeta - Adveronix'!B:B),"")</f>
        <v>11.36</v>
      </c>
      <c r="AC132" s="154"/>
      <c r="AD132" s="154"/>
      <c r="AE132" s="159">
        <f t="array" ref="AE132">IFERROR(XLOOKUP(B132,'ImportaçãoMeta - Adveronix'!$F:$F,'ImportaçãoMeta - Adveronix'!C:C),"")</f>
        <v>833</v>
      </c>
      <c r="AF132" s="159">
        <f t="array" ref="AF132">IFERROR(XLOOKUP(B132,'ImportaçãoMeta - Adveronix'!$F:$F,'ImportaçãoMeta - Adveronix'!D:D),"")</f>
        <v>14</v>
      </c>
      <c r="AG132" s="159" t="str">
        <f t="array" ref="AG132">IFERROR(XLOOKUP(B132,'ImportaçãoMeta - Adveronix'!$F:$F,'ImportaçãoMeta - Adveronix'!E:E),"")</f>
        <v/>
      </c>
      <c r="AH132" s="157"/>
      <c r="AI132" s="157"/>
      <c r="AJ132" s="156"/>
      <c r="AK132" s="160">
        <f>IFERROR(COUNTIFS(Leads!$L:$L,$B132,Leads!$F:$F,"*MetaAds"),0)</f>
        <v>0</v>
      </c>
      <c r="AL132" s="160">
        <f>IFERROR(COUNTIFS(Leads!$L:$L,$B132,Leads!$F:$F,"*MetaAds*",Leads!$N:$N,"Sim"),0)</f>
        <v>0</v>
      </c>
    </row>
    <row r="133" ht="15.75" customHeight="1">
      <c r="A133" s="149" t="str">
        <f t="array" ref="A133">XLOOKUP(MONTH(B133),BASE!$F$16:$F$27,BASE!$G$16:$G$27)</f>
        <v>Maio</v>
      </c>
      <c r="B133" s="150">
        <v>46154.0</v>
      </c>
      <c r="C133" s="151"/>
      <c r="D133" s="149" t="str">
        <f t="shared" si="4"/>
        <v>terça-feira</v>
      </c>
      <c r="E133" s="152">
        <f t="shared" ref="E133:J133" si="265">IFERROR(SUM(P133,AB133)," ")</f>
        <v>0.03</v>
      </c>
      <c r="F133" s="152">
        <f t="shared" si="265"/>
        <v>0</v>
      </c>
      <c r="G133" s="152">
        <f t="shared" si="265"/>
        <v>0</v>
      </c>
      <c r="H133" s="153">
        <f t="shared" si="265"/>
        <v>1</v>
      </c>
      <c r="I133" s="153">
        <f t="shared" si="265"/>
        <v>0</v>
      </c>
      <c r="J133" s="153">
        <f t="shared" si="265"/>
        <v>0</v>
      </c>
      <c r="K133" s="153">
        <f t="shared" ref="K133:O133" si="266">IFERROR(SUM(W133,AH133)," ")</f>
        <v>0</v>
      </c>
      <c r="L133" s="153">
        <f t="shared" si="266"/>
        <v>0</v>
      </c>
      <c r="M133" s="153">
        <f t="shared" si="266"/>
        <v>0</v>
      </c>
      <c r="N133" s="153">
        <f t="shared" si="266"/>
        <v>0</v>
      </c>
      <c r="O133" s="153">
        <f t="shared" si="266"/>
        <v>0</v>
      </c>
      <c r="P133" s="152">
        <f t="array" ref="P133">IFERROR(XLOOKUP(B133,'ImportaçãoGoogleAds - Adveronix'!$F:$F,'ImportaçãoGoogleAds - Adveronix'!$B:$B)," ")</f>
        <v>0.03</v>
      </c>
      <c r="Q133" s="154"/>
      <c r="R133" s="154"/>
      <c r="S133" s="155">
        <f t="array" ref="S133">IFERROR(XLOOKUP(B133,'ImportaçãoGoogleAds - Adveronix'!$F:$F,'ImportaçãoGoogleAds - Adveronix'!C:C)," ")</f>
        <v>1</v>
      </c>
      <c r="T133" s="155">
        <f t="array" ref="T133">IFERROR(XLOOKUP(B133,'ImportaçãoGoogleAds - Adveronix'!$F:$F,'ImportaçãoGoogleAds - Adveronix'!D:D)," ")</f>
        <v>0</v>
      </c>
      <c r="U133" s="155">
        <f t="array" ref="U133">IFERROR(XLOOKUP(B133,'ImportaçãoGoogleAds - Adveronix'!$F:$F,'ImportaçãoGoogleAds - Adveronix'!E:E)," ")</f>
        <v>0</v>
      </c>
      <c r="V133" s="156"/>
      <c r="W133" s="157"/>
      <c r="X133" s="157"/>
      <c r="Y133" s="158"/>
      <c r="Z133" s="158">
        <f>IFERROR(COUNTIFS(Leads!$L:$L,$B133,Leads!$F:$F,"*google-ads*"),0)</f>
        <v>0</v>
      </c>
      <c r="AA133" s="158">
        <f>IFERROR(COUNTIFS(Leads!$L:$L,$B133,Leads!$F:$F,"*google-ads*",Leads!$N:$N,"Sim"),0)</f>
        <v>0</v>
      </c>
      <c r="AB133" s="152">
        <f t="array" ref="AB133">IFERROR(XLOOKUP(B133,'ImportaçãoMeta - Adveronix'!F:F,'ImportaçãoMeta - Adveronix'!B:B),"")</f>
        <v>0</v>
      </c>
      <c r="AC133" s="154"/>
      <c r="AD133" s="154"/>
      <c r="AE133" s="159">
        <f t="array" ref="AE133">IFERROR(XLOOKUP(B133,'ImportaçãoMeta - Adveronix'!$F:$F,'ImportaçãoMeta - Adveronix'!C:C),"")</f>
        <v>0</v>
      </c>
      <c r="AF133" s="159">
        <f t="array" ref="AF133">IFERROR(XLOOKUP(B133,'ImportaçãoMeta - Adveronix'!$F:$F,'ImportaçãoMeta - Adveronix'!D:D),"")</f>
        <v>0</v>
      </c>
      <c r="AG133" s="159" t="str">
        <f t="array" ref="AG133">IFERROR(XLOOKUP(B133,'ImportaçãoMeta - Adveronix'!$F:$F,'ImportaçãoMeta - Adveronix'!E:E),"")</f>
        <v/>
      </c>
      <c r="AH133" s="157"/>
      <c r="AI133" s="157"/>
      <c r="AJ133" s="156"/>
      <c r="AK133" s="160">
        <f>IFERROR(COUNTIFS(Leads!$L:$L,$B133,Leads!$F:$F,"*MetaAds"),0)</f>
        <v>0</v>
      </c>
      <c r="AL133" s="160">
        <f>IFERROR(COUNTIFS(Leads!$L:$L,$B133,Leads!$F:$F,"*MetaAds*",Leads!$N:$N,"Sim"),0)</f>
        <v>0</v>
      </c>
    </row>
    <row r="134" ht="15.75" customHeight="1">
      <c r="A134" s="149" t="str">
        <f t="array" ref="A134">XLOOKUP(MONTH(B134),BASE!$F$16:$F$27,BASE!$G$16:$G$27)</f>
        <v>Maio</v>
      </c>
      <c r="B134" s="150">
        <v>46155.0</v>
      </c>
      <c r="C134" s="151"/>
      <c r="D134" s="149" t="str">
        <f t="shared" si="4"/>
        <v>quarta-feira</v>
      </c>
      <c r="E134" s="152">
        <f t="shared" ref="E134:J134" si="267">IFERROR(SUM(P134,AB134)," ")</f>
        <v>0.45</v>
      </c>
      <c r="F134" s="152">
        <f t="shared" si="267"/>
        <v>0</v>
      </c>
      <c r="G134" s="152">
        <f t="shared" si="267"/>
        <v>0</v>
      </c>
      <c r="H134" s="153">
        <f t="shared" si="267"/>
        <v>8</v>
      </c>
      <c r="I134" s="153">
        <f t="shared" si="267"/>
        <v>0</v>
      </c>
      <c r="J134" s="153">
        <f t="shared" si="267"/>
        <v>0</v>
      </c>
      <c r="K134" s="153">
        <f t="shared" ref="K134:O134" si="268">IFERROR(SUM(W134,AH134)," ")</f>
        <v>0</v>
      </c>
      <c r="L134" s="153">
        <f t="shared" si="268"/>
        <v>0</v>
      </c>
      <c r="M134" s="153">
        <f t="shared" si="268"/>
        <v>0</v>
      </c>
      <c r="N134" s="153">
        <f t="shared" si="268"/>
        <v>0</v>
      </c>
      <c r="O134" s="153">
        <f t="shared" si="268"/>
        <v>0</v>
      </c>
      <c r="P134" s="152">
        <f t="array" ref="P134">IFERROR(XLOOKUP(B134,'ImportaçãoGoogleAds - Adveronix'!$F:$F,'ImportaçãoGoogleAds - Adveronix'!$B:$B)," ")</f>
        <v>0.45</v>
      </c>
      <c r="Q134" s="154"/>
      <c r="R134" s="154"/>
      <c r="S134" s="155">
        <f t="array" ref="S134">IFERROR(XLOOKUP(B134,'ImportaçãoGoogleAds - Adveronix'!$F:$F,'ImportaçãoGoogleAds - Adveronix'!C:C)," ")</f>
        <v>8</v>
      </c>
      <c r="T134" s="155">
        <f t="array" ref="T134">IFERROR(XLOOKUP(B134,'ImportaçãoGoogleAds - Adveronix'!$F:$F,'ImportaçãoGoogleAds - Adveronix'!D:D)," ")</f>
        <v>0</v>
      </c>
      <c r="U134" s="155">
        <f t="array" ref="U134">IFERROR(XLOOKUP(B134,'ImportaçãoGoogleAds - Adveronix'!$F:$F,'ImportaçãoGoogleAds - Adveronix'!E:E)," ")</f>
        <v>0</v>
      </c>
      <c r="V134" s="156"/>
      <c r="W134" s="157"/>
      <c r="X134" s="157"/>
      <c r="Y134" s="158"/>
      <c r="Z134" s="158">
        <f>IFERROR(COUNTIFS(Leads!$L:$L,$B134,Leads!$F:$F,"*google-ads*"),0)</f>
        <v>0</v>
      </c>
      <c r="AA134" s="158">
        <f>IFERROR(COUNTIFS(Leads!$L:$L,$B134,Leads!$F:$F,"*google-ads*",Leads!$N:$N,"Sim"),0)</f>
        <v>0</v>
      </c>
      <c r="AB134" s="152">
        <f t="array" ref="AB134">IFERROR(XLOOKUP(B134,'ImportaçãoMeta - Adveronix'!F:F,'ImportaçãoMeta - Adveronix'!B:B),"")</f>
        <v>0</v>
      </c>
      <c r="AC134" s="154"/>
      <c r="AD134" s="154"/>
      <c r="AE134" s="159">
        <f t="array" ref="AE134">IFERROR(XLOOKUP(B134,'ImportaçãoMeta - Adveronix'!$F:$F,'ImportaçãoMeta - Adveronix'!C:C),"")</f>
        <v>0</v>
      </c>
      <c r="AF134" s="159">
        <f t="array" ref="AF134">IFERROR(XLOOKUP(B134,'ImportaçãoMeta - Adveronix'!$F:$F,'ImportaçãoMeta - Adveronix'!D:D),"")</f>
        <v>0</v>
      </c>
      <c r="AG134" s="159" t="str">
        <f t="array" ref="AG134">IFERROR(XLOOKUP(B134,'ImportaçãoMeta - Adveronix'!$F:$F,'ImportaçãoMeta - Adveronix'!E:E),"")</f>
        <v/>
      </c>
      <c r="AH134" s="157"/>
      <c r="AI134" s="157"/>
      <c r="AJ134" s="156"/>
      <c r="AK134" s="160">
        <f>IFERROR(COUNTIFS(Leads!$L:$L,$B134,Leads!$F:$F,"*MetaAds"),0)</f>
        <v>0</v>
      </c>
      <c r="AL134" s="160">
        <f>IFERROR(COUNTIFS(Leads!$L:$L,$B134,Leads!$F:$F,"*MetaAds*",Leads!$N:$N,"Sim"),0)</f>
        <v>0</v>
      </c>
    </row>
    <row r="135" ht="15.75" customHeight="1">
      <c r="A135" s="149" t="str">
        <f t="array" ref="A135">XLOOKUP(MONTH(B135),BASE!$F$16:$F$27,BASE!$G$16:$G$27)</f>
        <v>Maio</v>
      </c>
      <c r="B135" s="150">
        <v>46156.0</v>
      </c>
      <c r="C135" s="151"/>
      <c r="D135" s="149" t="str">
        <f t="shared" si="4"/>
        <v>quinta-feira</v>
      </c>
      <c r="E135" s="152">
        <f t="shared" ref="E135:J135" si="269">IFERROR(SUM(P135,AB135)," ")</f>
        <v>43.84</v>
      </c>
      <c r="F135" s="152">
        <f t="shared" si="269"/>
        <v>0</v>
      </c>
      <c r="G135" s="152">
        <f t="shared" si="269"/>
        <v>0</v>
      </c>
      <c r="H135" s="153">
        <f t="shared" si="269"/>
        <v>1860</v>
      </c>
      <c r="I135" s="153">
        <f t="shared" si="269"/>
        <v>18</v>
      </c>
      <c r="J135" s="153">
        <f t="shared" si="269"/>
        <v>0</v>
      </c>
      <c r="K135" s="153">
        <f t="shared" ref="K135:O135" si="270">IFERROR(SUM(W135,AH135)," ")</f>
        <v>0</v>
      </c>
      <c r="L135" s="153">
        <f t="shared" si="270"/>
        <v>0</v>
      </c>
      <c r="M135" s="153">
        <f t="shared" si="270"/>
        <v>0</v>
      </c>
      <c r="N135" s="153">
        <f t="shared" si="270"/>
        <v>0</v>
      </c>
      <c r="O135" s="153">
        <f t="shared" si="270"/>
        <v>0</v>
      </c>
      <c r="P135" s="152">
        <f t="array" ref="P135">IFERROR(XLOOKUP(B135,'ImportaçãoGoogleAds - Adveronix'!$F:$F,'ImportaçãoGoogleAds - Adveronix'!$B:$B)," ")</f>
        <v>28.47</v>
      </c>
      <c r="Q135" s="154"/>
      <c r="R135" s="154"/>
      <c r="S135" s="155">
        <f t="array" ref="S135">IFERROR(XLOOKUP(B135,'ImportaçãoGoogleAds - Adveronix'!$F:$F,'ImportaçãoGoogleAds - Adveronix'!C:C)," ")</f>
        <v>651</v>
      </c>
      <c r="T135" s="155">
        <f t="array" ref="T135">IFERROR(XLOOKUP(B135,'ImportaçãoGoogleAds - Adveronix'!$F:$F,'ImportaçãoGoogleAds - Adveronix'!D:D)," ")</f>
        <v>4</v>
      </c>
      <c r="U135" s="155">
        <f t="array" ref="U135">IFERROR(XLOOKUP(B135,'ImportaçãoGoogleAds - Adveronix'!$F:$F,'ImportaçãoGoogleAds - Adveronix'!E:E)," ")</f>
        <v>0</v>
      </c>
      <c r="V135" s="156"/>
      <c r="W135" s="157"/>
      <c r="X135" s="157"/>
      <c r="Y135" s="158"/>
      <c r="Z135" s="158">
        <f>IFERROR(COUNTIFS(Leads!$L:$L,$B135,Leads!$F:$F,"*google-ads*"),0)</f>
        <v>0</v>
      </c>
      <c r="AA135" s="158">
        <f>IFERROR(COUNTIFS(Leads!$L:$L,$B135,Leads!$F:$F,"*google-ads*",Leads!$N:$N,"Sim"),0)</f>
        <v>0</v>
      </c>
      <c r="AB135" s="152">
        <f t="array" ref="AB135">IFERROR(XLOOKUP(B135,'ImportaçãoMeta - Adveronix'!F:F,'ImportaçãoMeta - Adveronix'!B:B),"")</f>
        <v>15.37</v>
      </c>
      <c r="AC135" s="154"/>
      <c r="AD135" s="154"/>
      <c r="AE135" s="159">
        <f t="array" ref="AE135">IFERROR(XLOOKUP(B135,'ImportaçãoMeta - Adveronix'!$F:$F,'ImportaçãoMeta - Adveronix'!C:C),"")</f>
        <v>1209</v>
      </c>
      <c r="AF135" s="159">
        <f t="array" ref="AF135">IFERROR(XLOOKUP(B135,'ImportaçãoMeta - Adveronix'!$F:$F,'ImportaçãoMeta - Adveronix'!D:D),"")</f>
        <v>14</v>
      </c>
      <c r="AG135" s="159" t="str">
        <f t="array" ref="AG135">IFERROR(XLOOKUP(B135,'ImportaçãoMeta - Adveronix'!$F:$F,'ImportaçãoMeta - Adveronix'!E:E),"")</f>
        <v/>
      </c>
      <c r="AH135" s="157"/>
      <c r="AI135" s="157"/>
      <c r="AJ135" s="156"/>
      <c r="AK135" s="160">
        <f>IFERROR(COUNTIFS(Leads!$L:$L,$B135,Leads!$F:$F,"*MetaAds"),0)</f>
        <v>0</v>
      </c>
      <c r="AL135" s="160">
        <f>IFERROR(COUNTIFS(Leads!$L:$L,$B135,Leads!$F:$F,"*MetaAds*",Leads!$N:$N,"Sim"),0)</f>
        <v>0</v>
      </c>
    </row>
    <row r="136" ht="15.75" customHeight="1">
      <c r="A136" s="149" t="str">
        <f t="array" ref="A136">XLOOKUP(MONTH(B136),BASE!$F$16:$F$27,BASE!$G$16:$G$27)</f>
        <v>Maio</v>
      </c>
      <c r="B136" s="150">
        <v>46157.0</v>
      </c>
      <c r="C136" s="151"/>
      <c r="D136" s="149" t="str">
        <f t="shared" si="4"/>
        <v>sexta-feira</v>
      </c>
      <c r="E136" s="152">
        <f t="shared" ref="E136:J136" si="271">IFERROR(SUM(P136,AB136)," ")</f>
        <v>94.26</v>
      </c>
      <c r="F136" s="152">
        <f t="shared" si="271"/>
        <v>0</v>
      </c>
      <c r="G136" s="152">
        <f t="shared" si="271"/>
        <v>0</v>
      </c>
      <c r="H136" s="153">
        <f t="shared" si="271"/>
        <v>3485</v>
      </c>
      <c r="I136" s="153">
        <f t="shared" si="271"/>
        <v>64</v>
      </c>
      <c r="J136" s="153">
        <f t="shared" si="271"/>
        <v>0</v>
      </c>
      <c r="K136" s="153">
        <f t="shared" ref="K136:O136" si="272">IFERROR(SUM(W136,AH136)," ")</f>
        <v>0</v>
      </c>
      <c r="L136" s="153">
        <f t="shared" si="272"/>
        <v>0</v>
      </c>
      <c r="M136" s="153">
        <f t="shared" si="272"/>
        <v>0</v>
      </c>
      <c r="N136" s="153">
        <f t="shared" si="272"/>
        <v>5</v>
      </c>
      <c r="O136" s="153">
        <f t="shared" si="272"/>
        <v>5</v>
      </c>
      <c r="P136" s="152">
        <f t="array" ref="P136">IFERROR(XLOOKUP(B136,'ImportaçãoGoogleAds - Adveronix'!$F:$F,'ImportaçãoGoogleAds - Adveronix'!$B:$B)," ")</f>
        <v>59.71</v>
      </c>
      <c r="Q136" s="154"/>
      <c r="R136" s="154"/>
      <c r="S136" s="155">
        <f t="array" ref="S136">IFERROR(XLOOKUP(B136,'ImportaçãoGoogleAds - Adveronix'!$F:$F,'ImportaçãoGoogleAds - Adveronix'!C:C)," ")</f>
        <v>913</v>
      </c>
      <c r="T136" s="155">
        <f t="array" ref="T136">IFERROR(XLOOKUP(B136,'ImportaçãoGoogleAds - Adveronix'!$F:$F,'ImportaçãoGoogleAds - Adveronix'!D:D)," ")</f>
        <v>18</v>
      </c>
      <c r="U136" s="155">
        <f t="array" ref="U136">IFERROR(XLOOKUP(B136,'ImportaçãoGoogleAds - Adveronix'!$F:$F,'ImportaçãoGoogleAds - Adveronix'!E:E)," ")</f>
        <v>0</v>
      </c>
      <c r="V136" s="156"/>
      <c r="W136" s="157"/>
      <c r="X136" s="157"/>
      <c r="Y136" s="158"/>
      <c r="Z136" s="158">
        <f>IFERROR(COUNTIFS(Leads!$L:$L,$B136,Leads!$F:$F,"*google-ads*"),0)</f>
        <v>0</v>
      </c>
      <c r="AA136" s="158">
        <f>IFERROR(COUNTIFS(Leads!$L:$L,$B136,Leads!$F:$F,"*google-ads*",Leads!$N:$N,"Sim"),0)</f>
        <v>0</v>
      </c>
      <c r="AB136" s="152">
        <f t="array" ref="AB136">IFERROR(XLOOKUP(B136,'ImportaçãoMeta - Adveronix'!F:F,'ImportaçãoMeta - Adveronix'!B:B),"")</f>
        <v>34.55</v>
      </c>
      <c r="AC136" s="154"/>
      <c r="AD136" s="154"/>
      <c r="AE136" s="159">
        <f t="array" ref="AE136">IFERROR(XLOOKUP(B136,'ImportaçãoMeta - Adveronix'!$F:$F,'ImportaçãoMeta - Adveronix'!C:C),"")</f>
        <v>2572</v>
      </c>
      <c r="AF136" s="159">
        <f t="array" ref="AF136">IFERROR(XLOOKUP(B136,'ImportaçãoMeta - Adveronix'!$F:$F,'ImportaçãoMeta - Adveronix'!D:D),"")</f>
        <v>46</v>
      </c>
      <c r="AG136" s="159" t="str">
        <f t="array" ref="AG136">IFERROR(XLOOKUP(B136,'ImportaçãoMeta - Adveronix'!$F:$F,'ImportaçãoMeta - Adveronix'!E:E),"")</f>
        <v/>
      </c>
      <c r="AH136" s="157"/>
      <c r="AI136" s="157"/>
      <c r="AJ136" s="156"/>
      <c r="AK136" s="160">
        <f>IFERROR(COUNTIFS(Leads!$L:$L,$B136,Leads!$F:$F,"*MetaAds"),0)</f>
        <v>5</v>
      </c>
      <c r="AL136" s="160">
        <f>IFERROR(COUNTIFS(Leads!$L:$L,$B136,Leads!$F:$F,"*MetaAds*",Leads!$N:$N,"Sim"),0)</f>
        <v>5</v>
      </c>
    </row>
    <row r="137" ht="15.75" customHeight="1">
      <c r="A137" s="149" t="str">
        <f t="array" ref="A137">XLOOKUP(MONTH(B137),BASE!$F$16:$F$27,BASE!$G$16:$G$27)</f>
        <v>Maio</v>
      </c>
      <c r="B137" s="150">
        <v>46158.0</v>
      </c>
      <c r="C137" s="151"/>
      <c r="D137" s="149" t="str">
        <f t="shared" si="4"/>
        <v>sábado</v>
      </c>
      <c r="E137" s="152">
        <f t="shared" ref="E137:J137" si="273">IFERROR(SUM(P137,AB137)," ")</f>
        <v>101.74</v>
      </c>
      <c r="F137" s="152">
        <f t="shared" si="273"/>
        <v>0</v>
      </c>
      <c r="G137" s="152">
        <f t="shared" si="273"/>
        <v>0</v>
      </c>
      <c r="H137" s="153">
        <f t="shared" si="273"/>
        <v>3441</v>
      </c>
      <c r="I137" s="153">
        <f t="shared" si="273"/>
        <v>74</v>
      </c>
      <c r="J137" s="153">
        <f t="shared" si="273"/>
        <v>1</v>
      </c>
      <c r="K137" s="153">
        <f t="shared" ref="K137:O137" si="274">IFERROR(SUM(W137,AH137)," ")</f>
        <v>0</v>
      </c>
      <c r="L137" s="153">
        <f t="shared" si="274"/>
        <v>0</v>
      </c>
      <c r="M137" s="153">
        <f t="shared" si="274"/>
        <v>0</v>
      </c>
      <c r="N137" s="153">
        <f t="shared" si="274"/>
        <v>4</v>
      </c>
      <c r="O137" s="153">
        <f t="shared" si="274"/>
        <v>2</v>
      </c>
      <c r="P137" s="152">
        <f t="array" ref="P137">IFERROR(XLOOKUP(B137,'ImportaçãoGoogleAds - Adveronix'!$F:$F,'ImportaçãoGoogleAds - Adveronix'!$B:$B)," ")</f>
        <v>67.26</v>
      </c>
      <c r="Q137" s="154"/>
      <c r="R137" s="154"/>
      <c r="S137" s="155">
        <f t="array" ref="S137">IFERROR(XLOOKUP(B137,'ImportaçãoGoogleAds - Adveronix'!$F:$F,'ImportaçãoGoogleAds - Adveronix'!C:C)," ")</f>
        <v>1120</v>
      </c>
      <c r="T137" s="155">
        <f t="array" ref="T137">IFERROR(XLOOKUP(B137,'ImportaçãoGoogleAds - Adveronix'!$F:$F,'ImportaçãoGoogleAds - Adveronix'!D:D)," ")</f>
        <v>14</v>
      </c>
      <c r="U137" s="155">
        <f t="array" ref="U137">IFERROR(XLOOKUP(B137,'ImportaçãoGoogleAds - Adveronix'!$F:$F,'ImportaçãoGoogleAds - Adveronix'!E:E)," ")</f>
        <v>1</v>
      </c>
      <c r="V137" s="156"/>
      <c r="W137" s="157"/>
      <c r="X137" s="157"/>
      <c r="Y137" s="158"/>
      <c r="Z137" s="158">
        <f>IFERROR(COUNTIFS(Leads!$L:$L,$B137,Leads!$F:$F,"*google-ads*"),0)</f>
        <v>1</v>
      </c>
      <c r="AA137" s="158">
        <f>IFERROR(COUNTIFS(Leads!$L:$L,$B137,Leads!$F:$F,"*google-ads*",Leads!$N:$N,"Sim"),0)</f>
        <v>0</v>
      </c>
      <c r="AB137" s="152">
        <f t="array" ref="AB137">IFERROR(XLOOKUP(B137,'ImportaçãoMeta - Adveronix'!F:F,'ImportaçãoMeta - Adveronix'!B:B),"")</f>
        <v>34.48</v>
      </c>
      <c r="AC137" s="154"/>
      <c r="AD137" s="154"/>
      <c r="AE137" s="159">
        <f t="array" ref="AE137">IFERROR(XLOOKUP(B137,'ImportaçãoMeta - Adveronix'!$F:$F,'ImportaçãoMeta - Adveronix'!C:C),"")</f>
        <v>2321</v>
      </c>
      <c r="AF137" s="159">
        <f t="array" ref="AF137">IFERROR(XLOOKUP(B137,'ImportaçãoMeta - Adveronix'!$F:$F,'ImportaçãoMeta - Adveronix'!D:D),"")</f>
        <v>60</v>
      </c>
      <c r="AG137" s="159" t="str">
        <f t="array" ref="AG137">IFERROR(XLOOKUP(B137,'ImportaçãoMeta - Adveronix'!$F:$F,'ImportaçãoMeta - Adveronix'!E:E),"")</f>
        <v/>
      </c>
      <c r="AH137" s="157"/>
      <c r="AI137" s="157"/>
      <c r="AJ137" s="156"/>
      <c r="AK137" s="160">
        <f>IFERROR(COUNTIFS(Leads!$L:$L,$B137,Leads!$F:$F,"*MetaAds"),0)</f>
        <v>3</v>
      </c>
      <c r="AL137" s="160">
        <f>IFERROR(COUNTIFS(Leads!$L:$L,$B137,Leads!$F:$F,"*MetaAds*",Leads!$N:$N,"Sim"),0)</f>
        <v>2</v>
      </c>
    </row>
    <row r="138" ht="15.75" customHeight="1">
      <c r="A138" s="149" t="str">
        <f t="array" ref="A138">XLOOKUP(MONTH(B138),BASE!$F$16:$F$27,BASE!$G$16:$G$27)</f>
        <v>Maio</v>
      </c>
      <c r="B138" s="150">
        <v>46159.0</v>
      </c>
      <c r="C138" s="151"/>
      <c r="D138" s="149" t="str">
        <f t="shared" si="4"/>
        <v>domingo</v>
      </c>
      <c r="E138" s="152">
        <f t="shared" ref="E138:J138" si="275">IFERROR(SUM(P138,AB138)," ")</f>
        <v>75.32</v>
      </c>
      <c r="F138" s="152">
        <f t="shared" si="275"/>
        <v>0</v>
      </c>
      <c r="G138" s="152">
        <f t="shared" si="275"/>
        <v>0</v>
      </c>
      <c r="H138" s="153">
        <f t="shared" si="275"/>
        <v>3103</v>
      </c>
      <c r="I138" s="153">
        <f t="shared" si="275"/>
        <v>76</v>
      </c>
      <c r="J138" s="153">
        <f t="shared" si="275"/>
        <v>0</v>
      </c>
      <c r="K138" s="153">
        <f t="shared" ref="K138:O138" si="276">IFERROR(SUM(W138,AH138)," ")</f>
        <v>0</v>
      </c>
      <c r="L138" s="153">
        <f t="shared" si="276"/>
        <v>0</v>
      </c>
      <c r="M138" s="153">
        <f t="shared" si="276"/>
        <v>0</v>
      </c>
      <c r="N138" s="153">
        <f t="shared" si="276"/>
        <v>5</v>
      </c>
      <c r="O138" s="153">
        <f t="shared" si="276"/>
        <v>4</v>
      </c>
      <c r="P138" s="152">
        <f t="array" ref="P138">IFERROR(XLOOKUP(B138,'ImportaçãoGoogleAds - Adveronix'!$F:$F,'ImportaçãoGoogleAds - Adveronix'!$B:$B)," ")</f>
        <v>47.58</v>
      </c>
      <c r="Q138" s="154"/>
      <c r="R138" s="154"/>
      <c r="S138" s="155">
        <f t="array" ref="S138">IFERROR(XLOOKUP(B138,'ImportaçãoGoogleAds - Adveronix'!$F:$F,'ImportaçãoGoogleAds - Adveronix'!C:C)," ")</f>
        <v>882</v>
      </c>
      <c r="T138" s="155">
        <f t="array" ref="T138">IFERROR(XLOOKUP(B138,'ImportaçãoGoogleAds - Adveronix'!$F:$F,'ImportaçãoGoogleAds - Adveronix'!D:D)," ")</f>
        <v>13</v>
      </c>
      <c r="U138" s="155">
        <f t="array" ref="U138">IFERROR(XLOOKUP(B138,'ImportaçãoGoogleAds - Adveronix'!$F:$F,'ImportaçãoGoogleAds - Adveronix'!E:E)," ")</f>
        <v>0</v>
      </c>
      <c r="V138" s="156"/>
      <c r="W138" s="157"/>
      <c r="X138" s="157"/>
      <c r="Y138" s="158"/>
      <c r="Z138" s="158">
        <f>IFERROR(COUNTIFS(Leads!$L:$L,$B138,Leads!$F:$F,"*google-ads*"),0)</f>
        <v>0</v>
      </c>
      <c r="AA138" s="158">
        <f>IFERROR(COUNTIFS(Leads!$L:$L,$B138,Leads!$F:$F,"*google-ads*",Leads!$N:$N,"Sim"),0)</f>
        <v>0</v>
      </c>
      <c r="AB138" s="152">
        <f t="array" ref="AB138">IFERROR(XLOOKUP(B138,'ImportaçãoMeta - Adveronix'!F:F,'ImportaçãoMeta - Adveronix'!B:B),"")</f>
        <v>27.74</v>
      </c>
      <c r="AC138" s="154"/>
      <c r="AD138" s="154"/>
      <c r="AE138" s="159">
        <f t="array" ref="AE138">IFERROR(XLOOKUP(B138,'ImportaçãoMeta - Adveronix'!$F:$F,'ImportaçãoMeta - Adveronix'!C:C),"")</f>
        <v>2221</v>
      </c>
      <c r="AF138" s="159">
        <f t="array" ref="AF138">IFERROR(XLOOKUP(B138,'ImportaçãoMeta - Adveronix'!$F:$F,'ImportaçãoMeta - Adveronix'!D:D),"")</f>
        <v>63</v>
      </c>
      <c r="AG138" s="159" t="str">
        <f t="array" ref="AG138">IFERROR(XLOOKUP(B138,'ImportaçãoMeta - Adveronix'!$F:$F,'ImportaçãoMeta - Adveronix'!E:E),"")</f>
        <v/>
      </c>
      <c r="AH138" s="157"/>
      <c r="AI138" s="157"/>
      <c r="AJ138" s="156"/>
      <c r="AK138" s="160">
        <f>IFERROR(COUNTIFS(Leads!$L:$L,$B138,Leads!$F:$F,"*MetaAds"),0)</f>
        <v>5</v>
      </c>
      <c r="AL138" s="160">
        <f>IFERROR(COUNTIFS(Leads!$L:$L,$B138,Leads!$F:$F,"*MetaAds*",Leads!$N:$N,"Sim"),0)</f>
        <v>4</v>
      </c>
    </row>
    <row r="139" ht="15.75" customHeight="1">
      <c r="A139" s="149" t="str">
        <f t="array" ref="A139">XLOOKUP(MONTH(B139),BASE!$F$16:$F$27,BASE!$G$16:$G$27)</f>
        <v>Maio</v>
      </c>
      <c r="B139" s="150">
        <v>46160.0</v>
      </c>
      <c r="C139" s="151"/>
      <c r="D139" s="149" t="str">
        <f t="shared" si="4"/>
        <v>segunda-feira</v>
      </c>
      <c r="E139" s="152">
        <f t="shared" ref="E139:J139" si="277">IFERROR(SUM(P139,AB139)," ")</f>
        <v>42.98</v>
      </c>
      <c r="F139" s="152">
        <f t="shared" si="277"/>
        <v>0</v>
      </c>
      <c r="G139" s="152">
        <f t="shared" si="277"/>
        <v>0</v>
      </c>
      <c r="H139" s="153">
        <f t="shared" si="277"/>
        <v>1786</v>
      </c>
      <c r="I139" s="153">
        <f t="shared" si="277"/>
        <v>45</v>
      </c>
      <c r="J139" s="153">
        <f t="shared" si="277"/>
        <v>0</v>
      </c>
      <c r="K139" s="153">
        <f t="shared" ref="K139:O139" si="278">IFERROR(SUM(W139,AH139)," ")</f>
        <v>0</v>
      </c>
      <c r="L139" s="153">
        <f t="shared" si="278"/>
        <v>0</v>
      </c>
      <c r="M139" s="153">
        <f t="shared" si="278"/>
        <v>0</v>
      </c>
      <c r="N139" s="153">
        <f t="shared" si="278"/>
        <v>1</v>
      </c>
      <c r="O139" s="153">
        <f t="shared" si="278"/>
        <v>1</v>
      </c>
      <c r="P139" s="152">
        <f t="array" ref="P139">IFERROR(XLOOKUP(B139,'ImportaçãoGoogleAds - Adveronix'!$F:$F,'ImportaçãoGoogleAds - Adveronix'!$B:$B)," ")</f>
        <v>23.66</v>
      </c>
      <c r="Q139" s="154"/>
      <c r="R139" s="154"/>
      <c r="S139" s="155">
        <f t="array" ref="S139">IFERROR(XLOOKUP(B139,'ImportaçãoGoogleAds - Adveronix'!$F:$F,'ImportaçãoGoogleAds - Adveronix'!C:C)," ")</f>
        <v>343</v>
      </c>
      <c r="T139" s="155">
        <f t="array" ref="T139">IFERROR(XLOOKUP(B139,'ImportaçãoGoogleAds - Adveronix'!$F:$F,'ImportaçãoGoogleAds - Adveronix'!D:D)," ")</f>
        <v>9</v>
      </c>
      <c r="U139" s="155">
        <f t="array" ref="U139">IFERROR(XLOOKUP(B139,'ImportaçãoGoogleAds - Adveronix'!$F:$F,'ImportaçãoGoogleAds - Adveronix'!E:E)," ")</f>
        <v>0</v>
      </c>
      <c r="V139" s="156"/>
      <c r="W139" s="157"/>
      <c r="X139" s="157"/>
      <c r="Y139" s="158"/>
      <c r="Z139" s="158">
        <f>IFERROR(COUNTIFS(Leads!$L:$L,$B139,Leads!$F:$F,"*google-ads*"),0)</f>
        <v>0</v>
      </c>
      <c r="AA139" s="158">
        <f>IFERROR(COUNTIFS(Leads!$L:$L,$B139,Leads!$F:$F,"*google-ads*",Leads!$N:$N,"Sim"),0)</f>
        <v>0</v>
      </c>
      <c r="AB139" s="152">
        <f t="array" ref="AB139">IFERROR(XLOOKUP(B139,'ImportaçãoMeta - Adveronix'!F:F,'ImportaçãoMeta - Adveronix'!B:B),"")</f>
        <v>19.32</v>
      </c>
      <c r="AC139" s="154"/>
      <c r="AD139" s="154"/>
      <c r="AE139" s="159">
        <f t="array" ref="AE139">IFERROR(XLOOKUP(B139,'ImportaçãoMeta - Adveronix'!$F:$F,'ImportaçãoMeta - Adveronix'!C:C),"")</f>
        <v>1443</v>
      </c>
      <c r="AF139" s="159">
        <f t="array" ref="AF139">IFERROR(XLOOKUP(B139,'ImportaçãoMeta - Adveronix'!$F:$F,'ImportaçãoMeta - Adveronix'!D:D),"")</f>
        <v>36</v>
      </c>
      <c r="AG139" s="159" t="str">
        <f t="array" ref="AG139">IFERROR(XLOOKUP(B139,'ImportaçãoMeta - Adveronix'!$F:$F,'ImportaçãoMeta - Adveronix'!E:E),"")</f>
        <v/>
      </c>
      <c r="AH139" s="157"/>
      <c r="AI139" s="157"/>
      <c r="AJ139" s="156"/>
      <c r="AK139" s="160">
        <f>IFERROR(COUNTIFS(Leads!$L:$L,$B139,Leads!$F:$F,"*MetaAds"),0)</f>
        <v>1</v>
      </c>
      <c r="AL139" s="160">
        <f>IFERROR(COUNTIFS(Leads!$L:$L,$B139,Leads!$F:$F,"*MetaAds*",Leads!$N:$N,"Sim"),0)</f>
        <v>1</v>
      </c>
    </row>
    <row r="140" ht="15.75" customHeight="1">
      <c r="A140" s="149" t="str">
        <f t="array" ref="A140">XLOOKUP(MONTH(B140),BASE!$F$16:$F$27,BASE!$G$16:$G$27)</f>
        <v>Maio</v>
      </c>
      <c r="B140" s="150">
        <v>46161.0</v>
      </c>
      <c r="C140" s="151"/>
      <c r="D140" s="149" t="str">
        <f t="shared" si="4"/>
        <v>terça-feira</v>
      </c>
      <c r="E140" s="152">
        <f t="shared" ref="E140:J140" si="279">IFERROR(SUM(P140,AB140)," ")</f>
        <v>45.97</v>
      </c>
      <c r="F140" s="152">
        <f t="shared" si="279"/>
        <v>0</v>
      </c>
      <c r="G140" s="152">
        <f t="shared" si="279"/>
        <v>0</v>
      </c>
      <c r="H140" s="153">
        <f t="shared" si="279"/>
        <v>1403</v>
      </c>
      <c r="I140" s="153">
        <f t="shared" si="279"/>
        <v>59</v>
      </c>
      <c r="J140" s="153">
        <f t="shared" si="279"/>
        <v>0</v>
      </c>
      <c r="K140" s="153">
        <f t="shared" ref="K140:O140" si="280">IFERROR(SUM(W140,AH140)," ")</f>
        <v>0</v>
      </c>
      <c r="L140" s="153">
        <f t="shared" si="280"/>
        <v>0</v>
      </c>
      <c r="M140" s="153">
        <f t="shared" si="280"/>
        <v>0</v>
      </c>
      <c r="N140" s="153">
        <f t="shared" si="280"/>
        <v>6</v>
      </c>
      <c r="O140" s="153">
        <f t="shared" si="280"/>
        <v>5</v>
      </c>
      <c r="P140" s="152">
        <f t="array" ref="P140">IFERROR(XLOOKUP(B140,'ImportaçãoGoogleAds - Adveronix'!$F:$F,'ImportaçãoGoogleAds - Adveronix'!$B:$B)," ")</f>
        <v>22.62</v>
      </c>
      <c r="Q140" s="154"/>
      <c r="R140" s="154"/>
      <c r="S140" s="155">
        <f t="array" ref="S140">IFERROR(XLOOKUP(B140,'ImportaçãoGoogleAds - Adveronix'!$F:$F,'ImportaçãoGoogleAds - Adveronix'!C:C)," ")</f>
        <v>11</v>
      </c>
      <c r="T140" s="155">
        <f t="array" ref="T140">IFERROR(XLOOKUP(B140,'ImportaçãoGoogleAds - Adveronix'!$F:$F,'ImportaçãoGoogleAds - Adveronix'!D:D)," ")</f>
        <v>3</v>
      </c>
      <c r="U140" s="155">
        <f t="array" ref="U140">IFERROR(XLOOKUP(B140,'ImportaçãoGoogleAds - Adveronix'!$F:$F,'ImportaçãoGoogleAds - Adveronix'!E:E)," ")</f>
        <v>0</v>
      </c>
      <c r="V140" s="156"/>
      <c r="W140" s="157"/>
      <c r="X140" s="157"/>
      <c r="Y140" s="158"/>
      <c r="Z140" s="158">
        <f>IFERROR(COUNTIFS(Leads!$L:$L,$B140,Leads!$F:$F,"*google-ads*"),0)</f>
        <v>0</v>
      </c>
      <c r="AA140" s="158">
        <f>IFERROR(COUNTIFS(Leads!$L:$L,$B140,Leads!$F:$F,"*google-ads*",Leads!$N:$N,"Sim"),0)</f>
        <v>0</v>
      </c>
      <c r="AB140" s="152">
        <f t="array" ref="AB140">IFERROR(XLOOKUP(B140,'ImportaçãoMeta - Adveronix'!F:F,'ImportaçãoMeta - Adveronix'!B:B),"")</f>
        <v>23.35</v>
      </c>
      <c r="AC140" s="154"/>
      <c r="AD140" s="154"/>
      <c r="AE140" s="159">
        <f t="array" ref="AE140">IFERROR(XLOOKUP(B140,'ImportaçãoMeta - Adveronix'!$F:$F,'ImportaçãoMeta - Adveronix'!C:C),"")</f>
        <v>1392</v>
      </c>
      <c r="AF140" s="159">
        <f t="array" ref="AF140">IFERROR(XLOOKUP(B140,'ImportaçãoMeta - Adveronix'!$F:$F,'ImportaçãoMeta - Adveronix'!D:D),"")</f>
        <v>56</v>
      </c>
      <c r="AG140" s="159" t="str">
        <f t="array" ref="AG140">IFERROR(XLOOKUP(B140,'ImportaçãoMeta - Adveronix'!$F:$F,'ImportaçãoMeta - Adveronix'!E:E),"")</f>
        <v/>
      </c>
      <c r="AH140" s="157"/>
      <c r="AI140" s="157"/>
      <c r="AJ140" s="156"/>
      <c r="AK140" s="160">
        <f>IFERROR(COUNTIFS(Leads!$L:$L,$B140,Leads!$F:$F,"*MetaAds"),0)</f>
        <v>6</v>
      </c>
      <c r="AL140" s="160">
        <f>IFERROR(COUNTIFS(Leads!$L:$L,$B140,Leads!$F:$F,"*MetaAds*",Leads!$N:$N,"Sim"),0)</f>
        <v>5</v>
      </c>
    </row>
    <row r="141" ht="15.75" customHeight="1">
      <c r="A141" s="149" t="str">
        <f t="array" ref="A141">XLOOKUP(MONTH(B141),BASE!$F$16:$F$27,BASE!$G$16:$G$27)</f>
        <v>Maio</v>
      </c>
      <c r="B141" s="150">
        <v>46162.0</v>
      </c>
      <c r="C141" s="151"/>
      <c r="D141" s="149" t="str">
        <f t="shared" si="4"/>
        <v>quarta-feira</v>
      </c>
      <c r="E141" s="152">
        <f t="shared" ref="E141:J141" si="281">IFERROR(SUM(P141,AB141)," ")</f>
        <v>47.06</v>
      </c>
      <c r="F141" s="152">
        <f t="shared" si="281"/>
        <v>0</v>
      </c>
      <c r="G141" s="152">
        <f t="shared" si="281"/>
        <v>0</v>
      </c>
      <c r="H141" s="153">
        <f t="shared" si="281"/>
        <v>934</v>
      </c>
      <c r="I141" s="153">
        <f t="shared" si="281"/>
        <v>66</v>
      </c>
      <c r="J141" s="153">
        <f t="shared" si="281"/>
        <v>1</v>
      </c>
      <c r="K141" s="153">
        <f t="shared" ref="K141:O141" si="282">IFERROR(SUM(W141,AH141)," ")</f>
        <v>0</v>
      </c>
      <c r="L141" s="153">
        <f t="shared" si="282"/>
        <v>0</v>
      </c>
      <c r="M141" s="153">
        <f t="shared" si="282"/>
        <v>0</v>
      </c>
      <c r="N141" s="153">
        <f t="shared" si="282"/>
        <v>8</v>
      </c>
      <c r="O141" s="153">
        <f t="shared" si="282"/>
        <v>4</v>
      </c>
      <c r="P141" s="152">
        <f t="array" ref="P141">IFERROR(XLOOKUP(B141,'ImportaçãoGoogleAds - Adveronix'!$F:$F,'ImportaçãoGoogleAds - Adveronix'!$B:$B)," ")</f>
        <v>32.58</v>
      </c>
      <c r="Q141" s="154"/>
      <c r="R141" s="154"/>
      <c r="S141" s="155">
        <f t="array" ref="S141">IFERROR(XLOOKUP(B141,'ImportaçãoGoogleAds - Adveronix'!$F:$F,'ImportaçãoGoogleAds - Adveronix'!C:C)," ")</f>
        <v>14</v>
      </c>
      <c r="T141" s="155">
        <f t="array" ref="T141">IFERROR(XLOOKUP(B141,'ImportaçãoGoogleAds - Adveronix'!$F:$F,'ImportaçãoGoogleAds - Adveronix'!D:D)," ")</f>
        <v>3</v>
      </c>
      <c r="U141" s="155">
        <f t="array" ref="U141">IFERROR(XLOOKUP(B141,'ImportaçãoGoogleAds - Adveronix'!$F:$F,'ImportaçãoGoogleAds - Adveronix'!E:E)," ")</f>
        <v>0</v>
      </c>
      <c r="V141" s="156"/>
      <c r="W141" s="157"/>
      <c r="X141" s="157"/>
      <c r="Y141" s="158"/>
      <c r="Z141" s="158">
        <f>IFERROR(COUNTIFS(Leads!$L:$L,$B141,Leads!$F:$F,"*google-ads*"),0)</f>
        <v>0</v>
      </c>
      <c r="AA141" s="158">
        <f>IFERROR(COUNTIFS(Leads!$L:$L,$B141,Leads!$F:$F,"*google-ads*",Leads!$N:$N,"Sim"),0)</f>
        <v>0</v>
      </c>
      <c r="AB141" s="152">
        <f t="array" ref="AB141">IFERROR(XLOOKUP(B141,'ImportaçãoMeta - Adveronix'!F:F,'ImportaçãoMeta - Adveronix'!B:B),"")</f>
        <v>14.48</v>
      </c>
      <c r="AC141" s="154"/>
      <c r="AD141" s="154"/>
      <c r="AE141" s="159">
        <f t="array" ref="AE141">IFERROR(XLOOKUP(B141,'ImportaçãoMeta - Adveronix'!$F:$F,'ImportaçãoMeta - Adveronix'!C:C),"")</f>
        <v>920</v>
      </c>
      <c r="AF141" s="159">
        <f t="array" ref="AF141">IFERROR(XLOOKUP(B141,'ImportaçãoMeta - Adveronix'!$F:$F,'ImportaçãoMeta - Adveronix'!D:D),"")</f>
        <v>63</v>
      </c>
      <c r="AG141" s="159">
        <f t="array" ref="AG141">IFERROR(XLOOKUP(B141,'ImportaçãoMeta - Adveronix'!$F:$F,'ImportaçãoMeta - Adveronix'!E:E),"")</f>
        <v>1</v>
      </c>
      <c r="AH141" s="157"/>
      <c r="AI141" s="157"/>
      <c r="AJ141" s="156"/>
      <c r="AK141" s="160">
        <f>IFERROR(COUNTIFS(Leads!$L:$L,$B141,Leads!$F:$F,"*MetaAds"),0)</f>
        <v>8</v>
      </c>
      <c r="AL141" s="160">
        <f>IFERROR(COUNTIFS(Leads!$L:$L,$B141,Leads!$F:$F,"*MetaAds*",Leads!$N:$N,"Sim"),0)</f>
        <v>4</v>
      </c>
    </row>
    <row r="142" ht="15.75" customHeight="1">
      <c r="A142" s="149" t="str">
        <f t="array" ref="A142">XLOOKUP(MONTH(B142),BASE!$F$16:$F$27,BASE!$G$16:$G$27)</f>
        <v>Maio</v>
      </c>
      <c r="B142" s="150">
        <v>46163.0</v>
      </c>
      <c r="C142" s="151"/>
      <c r="D142" s="149" t="str">
        <f t="shared" si="4"/>
        <v>quinta-feira</v>
      </c>
      <c r="E142" s="152">
        <f t="shared" ref="E142:J142" si="283">IFERROR(SUM(P142,AB142)," ")</f>
        <v>30.59</v>
      </c>
      <c r="F142" s="152">
        <f t="shared" si="283"/>
        <v>0</v>
      </c>
      <c r="G142" s="152">
        <f t="shared" si="283"/>
        <v>0</v>
      </c>
      <c r="H142" s="153">
        <f t="shared" si="283"/>
        <v>602</v>
      </c>
      <c r="I142" s="153">
        <f t="shared" si="283"/>
        <v>44</v>
      </c>
      <c r="J142" s="153">
        <f t="shared" si="283"/>
        <v>0</v>
      </c>
      <c r="K142" s="153">
        <f t="shared" ref="K142:O142" si="284">IFERROR(SUM(W142,AH142)," ")</f>
        <v>0</v>
      </c>
      <c r="L142" s="153">
        <f t="shared" si="284"/>
        <v>0</v>
      </c>
      <c r="M142" s="153">
        <f t="shared" si="284"/>
        <v>0</v>
      </c>
      <c r="N142" s="153">
        <f t="shared" si="284"/>
        <v>7</v>
      </c>
      <c r="O142" s="153">
        <f t="shared" si="284"/>
        <v>6</v>
      </c>
      <c r="P142" s="152">
        <f t="array" ref="P142">IFERROR(XLOOKUP(B142,'ImportaçãoGoogleAds - Adveronix'!$F:$F,'ImportaçãoGoogleAds - Adveronix'!$B:$B)," ")</f>
        <v>22.31</v>
      </c>
      <c r="Q142" s="154"/>
      <c r="R142" s="154"/>
      <c r="S142" s="155">
        <f t="array" ref="S142">IFERROR(XLOOKUP(B142,'ImportaçãoGoogleAds - Adveronix'!$F:$F,'ImportaçãoGoogleAds - Adveronix'!C:C)," ")</f>
        <v>19</v>
      </c>
      <c r="T142" s="155">
        <f t="array" ref="T142">IFERROR(XLOOKUP(B142,'ImportaçãoGoogleAds - Adveronix'!$F:$F,'ImportaçãoGoogleAds - Adveronix'!D:D)," ")</f>
        <v>2</v>
      </c>
      <c r="U142" s="155">
        <f t="array" ref="U142">IFERROR(XLOOKUP(B142,'ImportaçãoGoogleAds - Adveronix'!$F:$F,'ImportaçãoGoogleAds - Adveronix'!E:E)," ")</f>
        <v>0</v>
      </c>
      <c r="V142" s="156"/>
      <c r="W142" s="157"/>
      <c r="X142" s="157"/>
      <c r="Y142" s="158"/>
      <c r="Z142" s="158">
        <f>IFERROR(COUNTIFS(Leads!$L:$L,$B142,Leads!$F:$F,"*google-ads*"),0)</f>
        <v>0</v>
      </c>
      <c r="AA142" s="158">
        <f>IFERROR(COUNTIFS(Leads!$L:$L,$B142,Leads!$F:$F,"*google-ads*",Leads!$N:$N,"Sim"),0)</f>
        <v>0</v>
      </c>
      <c r="AB142" s="152">
        <f t="array" ref="AB142">IFERROR(XLOOKUP(B142,'ImportaçãoMeta - Adveronix'!F:F,'ImportaçãoMeta - Adveronix'!B:B),"")</f>
        <v>8.28</v>
      </c>
      <c r="AC142" s="154"/>
      <c r="AD142" s="154"/>
      <c r="AE142" s="159">
        <f t="array" ref="AE142">IFERROR(XLOOKUP(B142,'ImportaçãoMeta - Adveronix'!$F:$F,'ImportaçãoMeta - Adveronix'!C:C),"")</f>
        <v>583</v>
      </c>
      <c r="AF142" s="159">
        <f t="array" ref="AF142">IFERROR(XLOOKUP(B142,'ImportaçãoMeta - Adveronix'!$F:$F,'ImportaçãoMeta - Adveronix'!D:D),"")</f>
        <v>42</v>
      </c>
      <c r="AG142" s="159" t="str">
        <f t="array" ref="AG142">IFERROR(XLOOKUP(B142,'ImportaçãoMeta - Adveronix'!$F:$F,'ImportaçãoMeta - Adveronix'!E:E),"")</f>
        <v/>
      </c>
      <c r="AH142" s="157"/>
      <c r="AI142" s="157"/>
      <c r="AJ142" s="156"/>
      <c r="AK142" s="160">
        <f>IFERROR(COUNTIFS(Leads!$L:$L,$B142,Leads!$F:$F,"*MetaAds"),0)</f>
        <v>7</v>
      </c>
      <c r="AL142" s="160">
        <f>IFERROR(COUNTIFS(Leads!$L:$L,$B142,Leads!$F:$F,"*MetaAds*",Leads!$N:$N,"Sim"),0)</f>
        <v>6</v>
      </c>
    </row>
    <row r="143" ht="15.75" customHeight="1">
      <c r="A143" s="149" t="str">
        <f t="array" ref="A143">XLOOKUP(MONTH(B143),BASE!$F$16:$F$27,BASE!$G$16:$G$27)</f>
        <v>Maio</v>
      </c>
      <c r="B143" s="150">
        <v>46164.0</v>
      </c>
      <c r="C143" s="151"/>
      <c r="D143" s="149" t="str">
        <f t="shared" si="4"/>
        <v>sexta-feira</v>
      </c>
      <c r="E143" s="152">
        <f t="shared" ref="E143:J143" si="285">IFERROR(SUM(P143,AB143)," ")</f>
        <v>25.41</v>
      </c>
      <c r="F143" s="152">
        <f t="shared" si="285"/>
        <v>0</v>
      </c>
      <c r="G143" s="152">
        <f t="shared" si="285"/>
        <v>0</v>
      </c>
      <c r="H143" s="153">
        <f t="shared" si="285"/>
        <v>808</v>
      </c>
      <c r="I143" s="153">
        <f t="shared" si="285"/>
        <v>90</v>
      </c>
      <c r="J143" s="153">
        <f t="shared" si="285"/>
        <v>0</v>
      </c>
      <c r="K143" s="153">
        <f t="shared" ref="K143:O143" si="286">IFERROR(SUM(W143,AH143)," ")</f>
        <v>0</v>
      </c>
      <c r="L143" s="153">
        <f t="shared" si="286"/>
        <v>0</v>
      </c>
      <c r="M143" s="153">
        <f t="shared" si="286"/>
        <v>0</v>
      </c>
      <c r="N143" s="153">
        <f t="shared" si="286"/>
        <v>8</v>
      </c>
      <c r="O143" s="153">
        <f t="shared" si="286"/>
        <v>5</v>
      </c>
      <c r="P143" s="152">
        <f t="array" ref="P143">IFERROR(XLOOKUP(B143,'ImportaçãoGoogleAds - Adveronix'!$F:$F,'ImportaçãoGoogleAds - Adveronix'!$B:$B)," ")</f>
        <v>17</v>
      </c>
      <c r="Q143" s="154"/>
      <c r="R143" s="154"/>
      <c r="S143" s="155">
        <f t="array" ref="S143">IFERROR(XLOOKUP(B143,'ImportaçãoGoogleAds - Adveronix'!$F:$F,'ImportaçãoGoogleAds - Adveronix'!C:C)," ")</f>
        <v>24</v>
      </c>
      <c r="T143" s="155">
        <f t="array" ref="T143">IFERROR(XLOOKUP(B143,'ImportaçãoGoogleAds - Adveronix'!$F:$F,'ImportaçãoGoogleAds - Adveronix'!D:D)," ")</f>
        <v>3</v>
      </c>
      <c r="U143" s="155">
        <f t="array" ref="U143">IFERROR(XLOOKUP(B143,'ImportaçãoGoogleAds - Adveronix'!$F:$F,'ImportaçãoGoogleAds - Adveronix'!E:E)," ")</f>
        <v>0</v>
      </c>
      <c r="V143" s="156"/>
      <c r="W143" s="157"/>
      <c r="X143" s="157"/>
      <c r="Y143" s="158"/>
      <c r="Z143" s="158">
        <f>IFERROR(COUNTIFS(Leads!$L:$L,$B143,Leads!$F:$F,"*google-ads*"),0)</f>
        <v>0</v>
      </c>
      <c r="AA143" s="158">
        <f>IFERROR(COUNTIFS(Leads!$L:$L,$B143,Leads!$F:$F,"*google-ads*",Leads!$N:$N,"Sim"),0)</f>
        <v>0</v>
      </c>
      <c r="AB143" s="152">
        <f t="array" ref="AB143">IFERROR(XLOOKUP(B143,'ImportaçãoMeta - Adveronix'!F:F,'ImportaçãoMeta - Adveronix'!B:B),"")</f>
        <v>8.41</v>
      </c>
      <c r="AC143" s="154"/>
      <c r="AD143" s="154"/>
      <c r="AE143" s="159">
        <f t="array" ref="AE143">IFERROR(XLOOKUP(B143,'ImportaçãoMeta - Adveronix'!$F:$F,'ImportaçãoMeta - Adveronix'!C:C),"")</f>
        <v>784</v>
      </c>
      <c r="AF143" s="159">
        <f t="array" ref="AF143">IFERROR(XLOOKUP(B143,'ImportaçãoMeta - Adveronix'!$F:$F,'ImportaçãoMeta - Adveronix'!D:D),"")</f>
        <v>87</v>
      </c>
      <c r="AG143" s="159" t="str">
        <f t="array" ref="AG143">IFERROR(XLOOKUP(B143,'ImportaçãoMeta - Adveronix'!$F:$F,'ImportaçãoMeta - Adveronix'!E:E),"")</f>
        <v/>
      </c>
      <c r="AH143" s="157"/>
      <c r="AI143" s="157"/>
      <c r="AJ143" s="156"/>
      <c r="AK143" s="160">
        <f>IFERROR(COUNTIFS(Leads!$L:$L,$B143,Leads!$F:$F,"*MetaAds"),0)</f>
        <v>8</v>
      </c>
      <c r="AL143" s="160">
        <f>IFERROR(COUNTIFS(Leads!$L:$L,$B143,Leads!$F:$F,"*MetaAds*",Leads!$N:$N,"Sim"),0)</f>
        <v>5</v>
      </c>
    </row>
    <row r="144" ht="15.75" customHeight="1">
      <c r="A144" s="149" t="str">
        <f t="array" ref="A144">XLOOKUP(MONTH(B144),BASE!$F$16:$F$27,BASE!$G$16:$G$27)</f>
        <v>Maio</v>
      </c>
      <c r="B144" s="150">
        <v>46165.0</v>
      </c>
      <c r="C144" s="151"/>
      <c r="D144" s="149" t="str">
        <f t="shared" si="4"/>
        <v>sábado</v>
      </c>
      <c r="E144" s="152">
        <f t="shared" ref="E144:J144" si="287">IFERROR(SUM(P144,AB144)," ")</f>
        <v>3.99</v>
      </c>
      <c r="F144" s="152">
        <f t="shared" si="287"/>
        <v>0</v>
      </c>
      <c r="G144" s="152">
        <f t="shared" si="287"/>
        <v>0</v>
      </c>
      <c r="H144" s="153">
        <f t="shared" si="287"/>
        <v>421</v>
      </c>
      <c r="I144" s="153">
        <f t="shared" si="287"/>
        <v>28</v>
      </c>
      <c r="J144" s="153">
        <f t="shared" si="287"/>
        <v>0</v>
      </c>
      <c r="K144" s="153">
        <f t="shared" ref="K144:O144" si="288">IFERROR(SUM(W144,AH144)," ")</f>
        <v>0</v>
      </c>
      <c r="L144" s="153">
        <f t="shared" si="288"/>
        <v>0</v>
      </c>
      <c r="M144" s="153">
        <f t="shared" si="288"/>
        <v>0</v>
      </c>
      <c r="N144" s="153">
        <f t="shared" si="288"/>
        <v>4</v>
      </c>
      <c r="O144" s="153">
        <f t="shared" si="288"/>
        <v>1</v>
      </c>
      <c r="P144" s="152">
        <f t="array" ref="P144">IFERROR(XLOOKUP(B144,'ImportaçãoGoogleAds - Adveronix'!$F:$F,'ImportaçãoGoogleAds - Adveronix'!$B:$B)," ")</f>
        <v>0</v>
      </c>
      <c r="Q144" s="154"/>
      <c r="R144" s="154"/>
      <c r="S144" s="155">
        <f t="array" ref="S144">IFERROR(XLOOKUP(B144,'ImportaçãoGoogleAds - Adveronix'!$F:$F,'ImportaçãoGoogleAds - Adveronix'!C:C)," ")</f>
        <v>8</v>
      </c>
      <c r="T144" s="155">
        <f t="array" ref="T144">IFERROR(XLOOKUP(B144,'ImportaçãoGoogleAds - Adveronix'!$F:$F,'ImportaçãoGoogleAds - Adveronix'!D:D)," ")</f>
        <v>0</v>
      </c>
      <c r="U144" s="155">
        <f t="array" ref="U144">IFERROR(XLOOKUP(B144,'ImportaçãoGoogleAds - Adveronix'!$F:$F,'ImportaçãoGoogleAds - Adveronix'!E:E)," ")</f>
        <v>0</v>
      </c>
      <c r="V144" s="156"/>
      <c r="W144" s="157"/>
      <c r="X144" s="157"/>
      <c r="Y144" s="158"/>
      <c r="Z144" s="158">
        <f>IFERROR(COUNTIFS(Leads!$L:$L,$B144,Leads!$F:$F,"*google-ads*"),0)</f>
        <v>0</v>
      </c>
      <c r="AA144" s="158">
        <f>IFERROR(COUNTIFS(Leads!$L:$L,$B144,Leads!$F:$F,"*google-ads*",Leads!$N:$N,"Sim"),0)</f>
        <v>0</v>
      </c>
      <c r="AB144" s="152">
        <f t="array" ref="AB144">IFERROR(XLOOKUP(B144,'ImportaçãoMeta - Adveronix'!F:F,'ImportaçãoMeta - Adveronix'!B:B),"")</f>
        <v>3.99</v>
      </c>
      <c r="AC144" s="154"/>
      <c r="AD144" s="154"/>
      <c r="AE144" s="159">
        <f t="array" ref="AE144">IFERROR(XLOOKUP(B144,'ImportaçãoMeta - Adveronix'!$F:$F,'ImportaçãoMeta - Adveronix'!C:C),"")</f>
        <v>413</v>
      </c>
      <c r="AF144" s="159">
        <f t="array" ref="AF144">IFERROR(XLOOKUP(B144,'ImportaçãoMeta - Adveronix'!$F:$F,'ImportaçãoMeta - Adveronix'!D:D),"")</f>
        <v>28</v>
      </c>
      <c r="AG144" s="159" t="str">
        <f t="array" ref="AG144">IFERROR(XLOOKUP(B144,'ImportaçãoMeta - Adveronix'!$F:$F,'ImportaçãoMeta - Adveronix'!E:E),"")</f>
        <v/>
      </c>
      <c r="AH144" s="157"/>
      <c r="AI144" s="157"/>
      <c r="AJ144" s="156"/>
      <c r="AK144" s="160">
        <f>IFERROR(COUNTIFS(Leads!$L:$L,$B144,Leads!$F:$F,"*MetaAds"),0)</f>
        <v>4</v>
      </c>
      <c r="AL144" s="160">
        <f>IFERROR(COUNTIFS(Leads!$L:$L,$B144,Leads!$F:$F,"*MetaAds*",Leads!$N:$N,"Sim"),0)</f>
        <v>1</v>
      </c>
    </row>
    <row r="145" ht="15.75" customHeight="1">
      <c r="A145" s="149" t="str">
        <f t="array" ref="A145">XLOOKUP(MONTH(B145),BASE!$F$16:$F$27,BASE!$G$16:$G$27)</f>
        <v>Maio</v>
      </c>
      <c r="B145" s="150">
        <v>46166.0</v>
      </c>
      <c r="C145" s="151"/>
      <c r="D145" s="149" t="str">
        <f t="shared" si="4"/>
        <v>domingo</v>
      </c>
      <c r="E145" s="152">
        <f t="shared" ref="E145:J145" si="289">IFERROR(SUM(P145,AB145)," ")</f>
        <v>41.81</v>
      </c>
      <c r="F145" s="152">
        <f t="shared" si="289"/>
        <v>0</v>
      </c>
      <c r="G145" s="152">
        <f t="shared" si="289"/>
        <v>0</v>
      </c>
      <c r="H145" s="153">
        <f t="shared" si="289"/>
        <v>1181</v>
      </c>
      <c r="I145" s="153">
        <f t="shared" si="289"/>
        <v>101</v>
      </c>
      <c r="J145" s="153">
        <f t="shared" si="289"/>
        <v>0</v>
      </c>
      <c r="K145" s="153">
        <f t="shared" ref="K145:O145" si="290">IFERROR(SUM(W145,AH145)," ")</f>
        <v>0</v>
      </c>
      <c r="L145" s="153">
        <f t="shared" si="290"/>
        <v>0</v>
      </c>
      <c r="M145" s="153">
        <f t="shared" si="290"/>
        <v>0</v>
      </c>
      <c r="N145" s="153">
        <f t="shared" si="290"/>
        <v>5</v>
      </c>
      <c r="O145" s="153">
        <f t="shared" si="290"/>
        <v>4</v>
      </c>
      <c r="P145" s="152">
        <f t="array" ref="P145">IFERROR(XLOOKUP(B145,'ImportaçãoGoogleAds - Adveronix'!$F:$F,'ImportaçãoGoogleAds - Adveronix'!$B:$B)," ")</f>
        <v>29.47</v>
      </c>
      <c r="Q145" s="154"/>
      <c r="R145" s="154"/>
      <c r="S145" s="155">
        <f t="array" ref="S145">IFERROR(XLOOKUP(B145,'ImportaçãoGoogleAds - Adveronix'!$F:$F,'ImportaçãoGoogleAds - Adveronix'!C:C)," ")</f>
        <v>17</v>
      </c>
      <c r="T145" s="155">
        <f t="array" ref="T145">IFERROR(XLOOKUP(B145,'ImportaçãoGoogleAds - Adveronix'!$F:$F,'ImportaçãoGoogleAds - Adveronix'!D:D)," ")</f>
        <v>4</v>
      </c>
      <c r="U145" s="155">
        <f t="array" ref="U145">IFERROR(XLOOKUP(B145,'ImportaçãoGoogleAds - Adveronix'!$F:$F,'ImportaçãoGoogleAds - Adveronix'!E:E)," ")</f>
        <v>0</v>
      </c>
      <c r="V145" s="156"/>
      <c r="W145" s="157"/>
      <c r="X145" s="157"/>
      <c r="Y145" s="158"/>
      <c r="Z145" s="158">
        <f>IFERROR(COUNTIFS(Leads!$L:$L,$B145,Leads!$F:$F,"*google-ads*"),0)</f>
        <v>0</v>
      </c>
      <c r="AA145" s="158">
        <f>IFERROR(COUNTIFS(Leads!$L:$L,$B145,Leads!$F:$F,"*google-ads*",Leads!$N:$N,"Sim"),0)</f>
        <v>0</v>
      </c>
      <c r="AB145" s="152">
        <f t="array" ref="AB145">IFERROR(XLOOKUP(B145,'ImportaçãoMeta - Adveronix'!F:F,'ImportaçãoMeta - Adveronix'!B:B),"")</f>
        <v>12.34</v>
      </c>
      <c r="AC145" s="154"/>
      <c r="AD145" s="154"/>
      <c r="AE145" s="159">
        <f t="array" ref="AE145">IFERROR(XLOOKUP(B145,'ImportaçãoMeta - Adveronix'!$F:$F,'ImportaçãoMeta - Adveronix'!C:C),"")</f>
        <v>1164</v>
      </c>
      <c r="AF145" s="159">
        <f t="array" ref="AF145">IFERROR(XLOOKUP(B145,'ImportaçãoMeta - Adveronix'!$F:$F,'ImportaçãoMeta - Adveronix'!D:D),"")</f>
        <v>97</v>
      </c>
      <c r="AG145" s="159" t="str">
        <f t="array" ref="AG145">IFERROR(XLOOKUP(B145,'ImportaçãoMeta - Adveronix'!$F:$F,'ImportaçãoMeta - Adveronix'!E:E),"")</f>
        <v/>
      </c>
      <c r="AH145" s="157"/>
      <c r="AI145" s="157"/>
      <c r="AJ145" s="156"/>
      <c r="AK145" s="160">
        <f>IFERROR(COUNTIFS(Leads!$L:$L,$B145,Leads!$F:$F,"*MetaAds"),0)</f>
        <v>5</v>
      </c>
      <c r="AL145" s="160">
        <f>IFERROR(COUNTIFS(Leads!$L:$L,$B145,Leads!$F:$F,"*MetaAds*",Leads!$N:$N,"Sim"),0)</f>
        <v>4</v>
      </c>
    </row>
    <row r="146" ht="15.75" customHeight="1">
      <c r="A146" s="149" t="str">
        <f t="array" ref="A146">XLOOKUP(MONTH(B146),BASE!$F$16:$F$27,BASE!$G$16:$G$27)</f>
        <v>Maio</v>
      </c>
      <c r="B146" s="150">
        <v>46167.0</v>
      </c>
      <c r="C146" s="151"/>
      <c r="D146" s="149" t="str">
        <f t="shared" si="4"/>
        <v>segunda-feira</v>
      </c>
      <c r="E146" s="152">
        <f t="shared" ref="E146:J146" si="291">IFERROR(SUM(P146,AB146)," ")</f>
        <v>9.83</v>
      </c>
      <c r="F146" s="152">
        <f t="shared" si="291"/>
        <v>0</v>
      </c>
      <c r="G146" s="152">
        <f t="shared" si="291"/>
        <v>0</v>
      </c>
      <c r="H146" s="153">
        <f t="shared" si="291"/>
        <v>776</v>
      </c>
      <c r="I146" s="153">
        <f t="shared" si="291"/>
        <v>53</v>
      </c>
      <c r="J146" s="153">
        <f t="shared" si="291"/>
        <v>1</v>
      </c>
      <c r="K146" s="153">
        <f t="shared" ref="K146:O146" si="292">IFERROR(SUM(W146,AH146)," ")</f>
        <v>0</v>
      </c>
      <c r="L146" s="153">
        <f t="shared" si="292"/>
        <v>0</v>
      </c>
      <c r="M146" s="153">
        <f t="shared" si="292"/>
        <v>0</v>
      </c>
      <c r="N146" s="153">
        <f t="shared" si="292"/>
        <v>2</v>
      </c>
      <c r="O146" s="153">
        <f t="shared" si="292"/>
        <v>2</v>
      </c>
      <c r="P146" s="152">
        <f t="array" ref="P146">IFERROR(XLOOKUP(B146,'ImportaçãoGoogleAds - Adveronix'!$F:$F,'ImportaçãoGoogleAds - Adveronix'!$B:$B)," ")</f>
        <v>0</v>
      </c>
      <c r="Q146" s="154"/>
      <c r="R146" s="154"/>
      <c r="S146" s="155">
        <f t="array" ref="S146">IFERROR(XLOOKUP(B146,'ImportaçãoGoogleAds - Adveronix'!$F:$F,'ImportaçãoGoogleAds - Adveronix'!C:C)," ")</f>
        <v>5</v>
      </c>
      <c r="T146" s="155">
        <f t="array" ref="T146">IFERROR(XLOOKUP(B146,'ImportaçãoGoogleAds - Adveronix'!$F:$F,'ImportaçãoGoogleAds - Adveronix'!D:D)," ")</f>
        <v>0</v>
      </c>
      <c r="U146" s="155">
        <f t="array" ref="U146">IFERROR(XLOOKUP(B146,'ImportaçãoGoogleAds - Adveronix'!$F:$F,'ImportaçãoGoogleAds - Adveronix'!E:E)," ")</f>
        <v>0</v>
      </c>
      <c r="V146" s="156"/>
      <c r="W146" s="157"/>
      <c r="X146" s="157"/>
      <c r="Y146" s="158"/>
      <c r="Z146" s="158">
        <f>IFERROR(COUNTIFS(Leads!$L:$L,$B146,Leads!$F:$F,"*google-ads*"),0)</f>
        <v>0</v>
      </c>
      <c r="AA146" s="158">
        <f>IFERROR(COUNTIFS(Leads!$L:$L,$B146,Leads!$F:$F,"*google-ads*",Leads!$N:$N,"Sim"),0)</f>
        <v>0</v>
      </c>
      <c r="AB146" s="152">
        <f t="array" ref="AB146">IFERROR(XLOOKUP(B146,'ImportaçãoMeta - Adveronix'!F:F,'ImportaçãoMeta - Adveronix'!B:B),"")</f>
        <v>9.83</v>
      </c>
      <c r="AC146" s="154"/>
      <c r="AD146" s="154"/>
      <c r="AE146" s="159">
        <f t="array" ref="AE146">IFERROR(XLOOKUP(B146,'ImportaçãoMeta - Adveronix'!$F:$F,'ImportaçãoMeta - Adveronix'!C:C),"")</f>
        <v>771</v>
      </c>
      <c r="AF146" s="159">
        <f t="array" ref="AF146">IFERROR(XLOOKUP(B146,'ImportaçãoMeta - Adveronix'!$F:$F,'ImportaçãoMeta - Adveronix'!D:D),"")</f>
        <v>53</v>
      </c>
      <c r="AG146" s="159">
        <f t="array" ref="AG146">IFERROR(XLOOKUP(B146,'ImportaçãoMeta - Adveronix'!$F:$F,'ImportaçãoMeta - Adveronix'!E:E),"")</f>
        <v>1</v>
      </c>
      <c r="AH146" s="157"/>
      <c r="AI146" s="157"/>
      <c r="AJ146" s="156"/>
      <c r="AK146" s="160">
        <f>IFERROR(COUNTIFS(Leads!$L:$L,$B146,Leads!$F:$F,"*MetaAds"),0)</f>
        <v>2</v>
      </c>
      <c r="AL146" s="160">
        <f>IFERROR(COUNTIFS(Leads!$L:$L,$B146,Leads!$F:$F,"*MetaAds*",Leads!$N:$N,"Sim"),0)</f>
        <v>2</v>
      </c>
    </row>
    <row r="147" ht="15.75" customHeight="1">
      <c r="A147" s="149" t="str">
        <f t="array" ref="A147">XLOOKUP(MONTH(B147),BASE!$F$16:$F$27,BASE!$G$16:$G$27)</f>
        <v>Maio</v>
      </c>
      <c r="B147" s="150">
        <v>46168.0</v>
      </c>
      <c r="C147" s="151"/>
      <c r="D147" s="149" t="str">
        <f t="shared" si="4"/>
        <v>terça-feira</v>
      </c>
      <c r="E147" s="152">
        <f t="shared" ref="E147:J147" si="293">IFERROR(SUM(P147,AB147)," ")</f>
        <v>14.34</v>
      </c>
      <c r="F147" s="152">
        <f t="shared" si="293"/>
        <v>0</v>
      </c>
      <c r="G147" s="152">
        <f t="shared" si="293"/>
        <v>0</v>
      </c>
      <c r="H147" s="153">
        <f t="shared" si="293"/>
        <v>955</v>
      </c>
      <c r="I147" s="153">
        <f t="shared" si="293"/>
        <v>74</v>
      </c>
      <c r="J147" s="153">
        <f t="shared" si="293"/>
        <v>0</v>
      </c>
      <c r="K147" s="153">
        <f t="shared" ref="K147:O147" si="294">IFERROR(SUM(W147,AH147)," ")</f>
        <v>0</v>
      </c>
      <c r="L147" s="153">
        <f t="shared" si="294"/>
        <v>0</v>
      </c>
      <c r="M147" s="153">
        <f t="shared" si="294"/>
        <v>0</v>
      </c>
      <c r="N147" s="153">
        <f t="shared" si="294"/>
        <v>12</v>
      </c>
      <c r="O147" s="153">
        <f t="shared" si="294"/>
        <v>9</v>
      </c>
      <c r="P147" s="152">
        <f t="array" ref="P147">IFERROR(XLOOKUP(B147,'ImportaçãoGoogleAds - Adveronix'!$F:$F,'ImportaçãoGoogleAds - Adveronix'!$B:$B)," ")</f>
        <v>3.75</v>
      </c>
      <c r="Q147" s="154"/>
      <c r="R147" s="154"/>
      <c r="S147" s="155">
        <f t="array" ref="S147">IFERROR(XLOOKUP(B147,'ImportaçãoGoogleAds - Adveronix'!$F:$F,'ImportaçãoGoogleAds - Adveronix'!C:C)," ")</f>
        <v>22</v>
      </c>
      <c r="T147" s="155">
        <f t="array" ref="T147">IFERROR(XLOOKUP(B147,'ImportaçãoGoogleAds - Adveronix'!$F:$F,'ImportaçãoGoogleAds - Adveronix'!D:D)," ")</f>
        <v>1</v>
      </c>
      <c r="U147" s="155">
        <f t="array" ref="U147">IFERROR(XLOOKUP(B147,'ImportaçãoGoogleAds - Adveronix'!$F:$F,'ImportaçãoGoogleAds - Adveronix'!E:E)," ")</f>
        <v>0</v>
      </c>
      <c r="V147" s="156"/>
      <c r="W147" s="157"/>
      <c r="X147" s="157"/>
      <c r="Y147" s="158"/>
      <c r="Z147" s="158">
        <f>IFERROR(COUNTIFS(Leads!$L:$L,$B147,Leads!$F:$F,"*google-ads*"),0)</f>
        <v>0</v>
      </c>
      <c r="AA147" s="158">
        <f>IFERROR(COUNTIFS(Leads!$L:$L,$B147,Leads!$F:$F,"*google-ads*",Leads!$N:$N,"Sim"),0)</f>
        <v>0</v>
      </c>
      <c r="AB147" s="152">
        <f t="array" ref="AB147">IFERROR(XLOOKUP(B147,'ImportaçãoMeta - Adveronix'!F:F,'ImportaçãoMeta - Adveronix'!B:B),"")</f>
        <v>10.59</v>
      </c>
      <c r="AC147" s="154"/>
      <c r="AD147" s="154"/>
      <c r="AE147" s="159">
        <f t="array" ref="AE147">IFERROR(XLOOKUP(B147,'ImportaçãoMeta - Adveronix'!$F:$F,'ImportaçãoMeta - Adveronix'!C:C),"")</f>
        <v>933</v>
      </c>
      <c r="AF147" s="159">
        <f t="array" ref="AF147">IFERROR(XLOOKUP(B147,'ImportaçãoMeta - Adveronix'!$F:$F,'ImportaçãoMeta - Adveronix'!D:D),"")</f>
        <v>73</v>
      </c>
      <c r="AG147" s="159" t="str">
        <f t="array" ref="AG147">IFERROR(XLOOKUP(B147,'ImportaçãoMeta - Adveronix'!$F:$F,'ImportaçãoMeta - Adveronix'!E:E),"")</f>
        <v/>
      </c>
      <c r="AH147" s="157"/>
      <c r="AI147" s="157"/>
      <c r="AJ147" s="156"/>
      <c r="AK147" s="160">
        <f>IFERROR(COUNTIFS(Leads!$L:$L,$B147,Leads!$F:$F,"*MetaAds"),0)</f>
        <v>12</v>
      </c>
      <c r="AL147" s="160">
        <f>IFERROR(COUNTIFS(Leads!$L:$L,$B147,Leads!$F:$F,"*MetaAds*",Leads!$N:$N,"Sim"),0)</f>
        <v>9</v>
      </c>
    </row>
    <row r="148" ht="15.75" customHeight="1">
      <c r="A148" s="149" t="str">
        <f t="array" ref="A148">XLOOKUP(MONTH(B148),BASE!$F$16:$F$27,BASE!$G$16:$G$27)</f>
        <v>Maio</v>
      </c>
      <c r="B148" s="150">
        <v>46169.0</v>
      </c>
      <c r="C148" s="151"/>
      <c r="D148" s="149" t="str">
        <f t="shared" si="4"/>
        <v>quarta-feira</v>
      </c>
      <c r="E148" s="152">
        <f t="shared" ref="E148:J148" si="295">IFERROR(SUM(P148,AB148)," ")</f>
        <v>19.38</v>
      </c>
      <c r="F148" s="152">
        <f t="shared" si="295"/>
        <v>0</v>
      </c>
      <c r="G148" s="152">
        <f t="shared" si="295"/>
        <v>0</v>
      </c>
      <c r="H148" s="153">
        <f t="shared" si="295"/>
        <v>1144</v>
      </c>
      <c r="I148" s="153">
        <f t="shared" si="295"/>
        <v>93</v>
      </c>
      <c r="J148" s="153">
        <f t="shared" si="295"/>
        <v>1</v>
      </c>
      <c r="K148" s="153">
        <f t="shared" ref="K148:O148" si="296">IFERROR(SUM(W148,AH148)," ")</f>
        <v>0</v>
      </c>
      <c r="L148" s="153">
        <f t="shared" si="296"/>
        <v>0</v>
      </c>
      <c r="M148" s="153">
        <f t="shared" si="296"/>
        <v>0</v>
      </c>
      <c r="N148" s="153">
        <f t="shared" si="296"/>
        <v>10</v>
      </c>
      <c r="O148" s="153">
        <f t="shared" si="296"/>
        <v>8</v>
      </c>
      <c r="P148" s="152">
        <f t="array" ref="P148">IFERROR(XLOOKUP(B148,'ImportaçãoGoogleAds - Adveronix'!$F:$F,'ImportaçãoGoogleAds - Adveronix'!$B:$B)," ")</f>
        <v>6.79</v>
      </c>
      <c r="Q148" s="154"/>
      <c r="R148" s="154"/>
      <c r="S148" s="155">
        <f t="array" ref="S148">IFERROR(XLOOKUP(B148,'ImportaçãoGoogleAds - Adveronix'!$F:$F,'ImportaçãoGoogleAds - Adveronix'!C:C)," ")</f>
        <v>20</v>
      </c>
      <c r="T148" s="155">
        <f t="array" ref="T148">IFERROR(XLOOKUP(B148,'ImportaçãoGoogleAds - Adveronix'!$F:$F,'ImportaçãoGoogleAds - Adveronix'!D:D)," ")</f>
        <v>1</v>
      </c>
      <c r="U148" s="155">
        <f t="array" ref="U148">IFERROR(XLOOKUP(B148,'ImportaçãoGoogleAds - Adveronix'!$F:$F,'ImportaçãoGoogleAds - Adveronix'!E:E)," ")</f>
        <v>0</v>
      </c>
      <c r="V148" s="156"/>
      <c r="W148" s="157"/>
      <c r="X148" s="157"/>
      <c r="Y148" s="158"/>
      <c r="Z148" s="158">
        <f>IFERROR(COUNTIFS(Leads!$L:$L,$B148,Leads!$F:$F,"*google-ads*"),0)</f>
        <v>0</v>
      </c>
      <c r="AA148" s="158">
        <f>IFERROR(COUNTIFS(Leads!$L:$L,$B148,Leads!$F:$F,"*google-ads*",Leads!$N:$N,"Sim"),0)</f>
        <v>0</v>
      </c>
      <c r="AB148" s="152">
        <f t="array" ref="AB148">IFERROR(XLOOKUP(B148,'ImportaçãoMeta - Adveronix'!F:F,'ImportaçãoMeta - Adveronix'!B:B),"")</f>
        <v>12.59</v>
      </c>
      <c r="AC148" s="154"/>
      <c r="AD148" s="154"/>
      <c r="AE148" s="159">
        <f t="array" ref="AE148">IFERROR(XLOOKUP(B148,'ImportaçãoMeta - Adveronix'!$F:$F,'ImportaçãoMeta - Adveronix'!C:C),"")</f>
        <v>1124</v>
      </c>
      <c r="AF148" s="159">
        <f t="array" ref="AF148">IFERROR(XLOOKUP(B148,'ImportaçãoMeta - Adveronix'!$F:$F,'ImportaçãoMeta - Adveronix'!D:D),"")</f>
        <v>92</v>
      </c>
      <c r="AG148" s="159">
        <f t="array" ref="AG148">IFERROR(XLOOKUP(B148,'ImportaçãoMeta - Adveronix'!$F:$F,'ImportaçãoMeta - Adveronix'!E:E),"")</f>
        <v>1</v>
      </c>
      <c r="AH148" s="157"/>
      <c r="AI148" s="157"/>
      <c r="AJ148" s="156"/>
      <c r="AK148" s="160">
        <f>IFERROR(COUNTIFS(Leads!$L:$L,$B148,Leads!$F:$F,"*MetaAds"),0)</f>
        <v>10</v>
      </c>
      <c r="AL148" s="160">
        <f>IFERROR(COUNTIFS(Leads!$L:$L,$B148,Leads!$F:$F,"*MetaAds*",Leads!$N:$N,"Sim"),0)</f>
        <v>8</v>
      </c>
    </row>
    <row r="149" ht="15.75" customHeight="1">
      <c r="A149" s="149" t="str">
        <f t="array" ref="A149">XLOOKUP(MONTH(B149),BASE!$F$16:$F$27,BASE!$G$16:$G$27)</f>
        <v>Maio</v>
      </c>
      <c r="B149" s="150">
        <v>46170.0</v>
      </c>
      <c r="C149" s="151"/>
      <c r="D149" s="149" t="str">
        <f t="shared" si="4"/>
        <v>quinta-feira</v>
      </c>
      <c r="E149" s="152">
        <f t="shared" ref="E149:J149" si="297">IFERROR(SUM(P149,AB149)," ")</f>
        <v>37.77</v>
      </c>
      <c r="F149" s="152">
        <f t="shared" si="297"/>
        <v>0</v>
      </c>
      <c r="G149" s="152">
        <f t="shared" si="297"/>
        <v>0</v>
      </c>
      <c r="H149" s="153">
        <f t="shared" si="297"/>
        <v>817</v>
      </c>
      <c r="I149" s="153">
        <f t="shared" si="297"/>
        <v>69</v>
      </c>
      <c r="J149" s="153">
        <f t="shared" si="297"/>
        <v>1</v>
      </c>
      <c r="K149" s="153">
        <f t="shared" ref="K149:O149" si="298">IFERROR(SUM(W149,AH149)," ")</f>
        <v>0</v>
      </c>
      <c r="L149" s="153">
        <f t="shared" si="298"/>
        <v>0</v>
      </c>
      <c r="M149" s="153">
        <f t="shared" si="298"/>
        <v>0</v>
      </c>
      <c r="N149" s="153">
        <f t="shared" si="298"/>
        <v>8</v>
      </c>
      <c r="O149" s="153">
        <f t="shared" si="298"/>
        <v>6</v>
      </c>
      <c r="P149" s="152">
        <f t="array" ref="P149">IFERROR(XLOOKUP(B149,'ImportaçãoGoogleAds - Adveronix'!$F:$F,'ImportaçãoGoogleAds - Adveronix'!$B:$B)," ")</f>
        <v>29</v>
      </c>
      <c r="Q149" s="154"/>
      <c r="R149" s="154"/>
      <c r="S149" s="155">
        <f t="array" ref="S149">IFERROR(XLOOKUP(B149,'ImportaçãoGoogleAds - Adveronix'!$F:$F,'ImportaçãoGoogleAds - Adveronix'!C:C)," ")</f>
        <v>11</v>
      </c>
      <c r="T149" s="155">
        <f t="array" ref="T149">IFERROR(XLOOKUP(B149,'ImportaçãoGoogleAds - Adveronix'!$F:$F,'ImportaçãoGoogleAds - Adveronix'!D:D)," ")</f>
        <v>4</v>
      </c>
      <c r="U149" s="155">
        <f t="array" ref="U149">IFERROR(XLOOKUP(B149,'ImportaçãoGoogleAds - Adveronix'!$F:$F,'ImportaçãoGoogleAds - Adveronix'!E:E)," ")</f>
        <v>1</v>
      </c>
      <c r="V149" s="156"/>
      <c r="W149" s="157"/>
      <c r="X149" s="157"/>
      <c r="Y149" s="158"/>
      <c r="Z149" s="158">
        <f>IFERROR(COUNTIFS(Leads!$L:$L,$B149,Leads!$F:$F,"*google-ads*"),0)</f>
        <v>1</v>
      </c>
      <c r="AA149" s="158">
        <f>IFERROR(COUNTIFS(Leads!$L:$L,$B149,Leads!$F:$F,"*google-ads*",Leads!$N:$N,"Sim"),0)</f>
        <v>1</v>
      </c>
      <c r="AB149" s="152">
        <f t="array" ref="AB149">IFERROR(XLOOKUP(B149,'ImportaçãoMeta - Adveronix'!F:F,'ImportaçãoMeta - Adveronix'!B:B),"")</f>
        <v>8.77</v>
      </c>
      <c r="AC149" s="154"/>
      <c r="AD149" s="154"/>
      <c r="AE149" s="159">
        <f t="array" ref="AE149">IFERROR(XLOOKUP(B149,'ImportaçãoMeta - Adveronix'!$F:$F,'ImportaçãoMeta - Adveronix'!C:C),"")</f>
        <v>806</v>
      </c>
      <c r="AF149" s="159">
        <f t="array" ref="AF149">IFERROR(XLOOKUP(B149,'ImportaçãoMeta - Adveronix'!$F:$F,'ImportaçãoMeta - Adveronix'!D:D),"")</f>
        <v>65</v>
      </c>
      <c r="AG149" s="159" t="str">
        <f t="array" ref="AG149">IFERROR(XLOOKUP(B149,'ImportaçãoMeta - Adveronix'!$F:$F,'ImportaçãoMeta - Adveronix'!E:E),"")</f>
        <v/>
      </c>
      <c r="AH149" s="157"/>
      <c r="AI149" s="157"/>
      <c r="AJ149" s="156"/>
      <c r="AK149" s="160">
        <f>IFERROR(COUNTIFS(Leads!$L:$L,$B149,Leads!$F:$F,"*MetaAds"),0)</f>
        <v>7</v>
      </c>
      <c r="AL149" s="160">
        <f>IFERROR(COUNTIFS(Leads!$L:$L,$B149,Leads!$F:$F,"*MetaAds*",Leads!$N:$N,"Sim"),0)</f>
        <v>5</v>
      </c>
    </row>
    <row r="150" ht="15.75" customHeight="1">
      <c r="A150" s="149" t="str">
        <f t="array" ref="A150">XLOOKUP(MONTH(B150),BASE!$F$16:$F$27,BASE!$G$16:$G$27)</f>
        <v>Maio</v>
      </c>
      <c r="B150" s="150">
        <v>46171.0</v>
      </c>
      <c r="C150" s="151"/>
      <c r="D150" s="149" t="str">
        <f t="shared" si="4"/>
        <v>sexta-feira</v>
      </c>
      <c r="E150" s="152">
        <f t="shared" ref="E150:J150" si="299">IFERROR(SUM(P150,AB150)," ")</f>
        <v>34.48</v>
      </c>
      <c r="F150" s="152">
        <f t="shared" si="299"/>
        <v>0</v>
      </c>
      <c r="G150" s="152">
        <f t="shared" si="299"/>
        <v>0</v>
      </c>
      <c r="H150" s="153">
        <f t="shared" si="299"/>
        <v>1536</v>
      </c>
      <c r="I150" s="153">
        <f t="shared" si="299"/>
        <v>62</v>
      </c>
      <c r="J150" s="153">
        <f t="shared" si="299"/>
        <v>3</v>
      </c>
      <c r="K150" s="153">
        <f t="shared" ref="K150:O150" si="300">IFERROR(SUM(W150,AH150)," ")</f>
        <v>0</v>
      </c>
      <c r="L150" s="153">
        <f t="shared" si="300"/>
        <v>0</v>
      </c>
      <c r="M150" s="153">
        <f t="shared" si="300"/>
        <v>0</v>
      </c>
      <c r="N150" s="153">
        <f t="shared" si="300"/>
        <v>8</v>
      </c>
      <c r="O150" s="153">
        <f t="shared" si="300"/>
        <v>7</v>
      </c>
      <c r="P150" s="152">
        <f t="array" ref="P150">IFERROR(XLOOKUP(B150,'ImportaçãoGoogleAds - Adveronix'!$F:$F,'ImportaçãoGoogleAds - Adveronix'!$B:$B)," ")</f>
        <v>8.5</v>
      </c>
      <c r="Q150" s="154"/>
      <c r="R150" s="154"/>
      <c r="S150" s="155">
        <f t="array" ref="S150">IFERROR(XLOOKUP(B150,'ImportaçãoGoogleAds - Adveronix'!$F:$F,'ImportaçãoGoogleAds - Adveronix'!C:C)," ")</f>
        <v>22</v>
      </c>
      <c r="T150" s="155">
        <f t="array" ref="T150">IFERROR(XLOOKUP(B150,'ImportaçãoGoogleAds - Adveronix'!$F:$F,'ImportaçãoGoogleAds - Adveronix'!D:D)," ")</f>
        <v>5</v>
      </c>
      <c r="U150" s="155">
        <f t="array" ref="U150">IFERROR(XLOOKUP(B150,'ImportaçãoGoogleAds - Adveronix'!$F:$F,'ImportaçãoGoogleAds - Adveronix'!E:E)," ")</f>
        <v>1</v>
      </c>
      <c r="V150" s="156"/>
      <c r="W150" s="157"/>
      <c r="X150" s="157"/>
      <c r="Y150" s="158"/>
      <c r="Z150" s="158">
        <f>IFERROR(COUNTIFS(Leads!$L:$L,$B150,Leads!$F:$F,"*google-ads*"),0)</f>
        <v>0</v>
      </c>
      <c r="AA150" s="158">
        <f>IFERROR(COUNTIFS(Leads!$L:$L,$B150,Leads!$F:$F,"*google-ads*",Leads!$N:$N,"Sim"),0)</f>
        <v>0</v>
      </c>
      <c r="AB150" s="152">
        <f t="array" ref="AB150">IFERROR(XLOOKUP(B150,'ImportaçãoMeta - Adveronix'!F:F,'ImportaçãoMeta - Adveronix'!B:B),"")</f>
        <v>25.98</v>
      </c>
      <c r="AC150" s="154"/>
      <c r="AD150" s="154"/>
      <c r="AE150" s="159">
        <f t="array" ref="AE150">IFERROR(XLOOKUP(B150,'ImportaçãoMeta - Adveronix'!$F:$F,'ImportaçãoMeta - Adveronix'!C:C),"")</f>
        <v>1514</v>
      </c>
      <c r="AF150" s="159">
        <f t="array" ref="AF150">IFERROR(XLOOKUP(B150,'ImportaçãoMeta - Adveronix'!$F:$F,'ImportaçãoMeta - Adveronix'!D:D),"")</f>
        <v>57</v>
      </c>
      <c r="AG150" s="159">
        <f t="array" ref="AG150">IFERROR(XLOOKUP(B150,'ImportaçãoMeta - Adveronix'!$F:$F,'ImportaçãoMeta - Adveronix'!E:E),"")</f>
        <v>2</v>
      </c>
      <c r="AH150" s="157"/>
      <c r="AI150" s="157"/>
      <c r="AJ150" s="156"/>
      <c r="AK150" s="160">
        <f>IFERROR(COUNTIFS(Leads!$L:$L,$B150,Leads!$F:$F,"*MetaAds"),0)</f>
        <v>8</v>
      </c>
      <c r="AL150" s="160">
        <f>IFERROR(COUNTIFS(Leads!$L:$L,$B150,Leads!$F:$F,"*MetaAds*",Leads!$N:$N,"Sim"),0)</f>
        <v>7</v>
      </c>
    </row>
    <row r="151" ht="15.75" customHeight="1">
      <c r="A151" s="149" t="str">
        <f t="array" ref="A151">XLOOKUP(MONTH(B151),BASE!$F$16:$F$27,BASE!$G$16:$G$27)</f>
        <v>Maio</v>
      </c>
      <c r="B151" s="150">
        <v>46172.0</v>
      </c>
      <c r="C151" s="151"/>
      <c r="D151" s="149" t="str">
        <f t="shared" si="4"/>
        <v>sábado</v>
      </c>
      <c r="E151" s="152">
        <f t="shared" ref="E151:J151" si="301">IFERROR(SUM(P151,AB151)," ")</f>
        <v>23.48</v>
      </c>
      <c r="F151" s="152">
        <f t="shared" si="301"/>
        <v>0</v>
      </c>
      <c r="G151" s="152">
        <f t="shared" si="301"/>
        <v>0</v>
      </c>
      <c r="H151" s="153">
        <f t="shared" si="301"/>
        <v>1480</v>
      </c>
      <c r="I151" s="153">
        <f t="shared" si="301"/>
        <v>71</v>
      </c>
      <c r="J151" s="153">
        <f t="shared" si="301"/>
        <v>2</v>
      </c>
      <c r="K151" s="153">
        <f t="shared" ref="K151:O151" si="302">IFERROR(SUM(W151,AH151)," ")</f>
        <v>0</v>
      </c>
      <c r="L151" s="153">
        <f t="shared" si="302"/>
        <v>0</v>
      </c>
      <c r="M151" s="153">
        <f t="shared" si="302"/>
        <v>0</v>
      </c>
      <c r="N151" s="153">
        <f t="shared" si="302"/>
        <v>6</v>
      </c>
      <c r="O151" s="153">
        <f t="shared" si="302"/>
        <v>5</v>
      </c>
      <c r="P151" s="152">
        <f t="array" ref="P151">IFERROR(XLOOKUP(B151,'ImportaçãoGoogleAds - Adveronix'!$F:$F,'ImportaçãoGoogleAds - Adveronix'!$B:$B)," ")</f>
        <v>0</v>
      </c>
      <c r="Q151" s="154"/>
      <c r="R151" s="154"/>
      <c r="S151" s="155">
        <f t="array" ref="S151">IFERROR(XLOOKUP(B151,'ImportaçãoGoogleAds - Adveronix'!$F:$F,'ImportaçãoGoogleAds - Adveronix'!C:C)," ")</f>
        <v>7</v>
      </c>
      <c r="T151" s="155">
        <f t="array" ref="T151">IFERROR(XLOOKUP(B151,'ImportaçãoGoogleAds - Adveronix'!$F:$F,'ImportaçãoGoogleAds - Adveronix'!D:D)," ")</f>
        <v>0</v>
      </c>
      <c r="U151" s="155">
        <f t="array" ref="U151">IFERROR(XLOOKUP(B151,'ImportaçãoGoogleAds - Adveronix'!$F:$F,'ImportaçãoGoogleAds - Adveronix'!E:E)," ")</f>
        <v>0</v>
      </c>
      <c r="V151" s="156"/>
      <c r="W151" s="157"/>
      <c r="X151" s="157"/>
      <c r="Y151" s="158"/>
      <c r="Z151" s="158">
        <f>IFERROR(COUNTIFS(Leads!$L:$L,$B151,Leads!$F:$F,"*google-ads*"),0)</f>
        <v>1</v>
      </c>
      <c r="AA151" s="158">
        <f>IFERROR(COUNTIFS(Leads!$L:$L,$B151,Leads!$F:$F,"*google-ads*",Leads!$N:$N,"Sim"),0)</f>
        <v>1</v>
      </c>
      <c r="AB151" s="152">
        <f t="array" ref="AB151">IFERROR(XLOOKUP(B151,'ImportaçãoMeta - Adveronix'!F:F,'ImportaçãoMeta - Adveronix'!B:B),"")</f>
        <v>23.48</v>
      </c>
      <c r="AC151" s="154"/>
      <c r="AD151" s="154"/>
      <c r="AE151" s="159">
        <f t="array" ref="AE151">IFERROR(XLOOKUP(B151,'ImportaçãoMeta - Adveronix'!$F:$F,'ImportaçãoMeta - Adveronix'!C:C),"")</f>
        <v>1473</v>
      </c>
      <c r="AF151" s="159">
        <f t="array" ref="AF151">IFERROR(XLOOKUP(B151,'ImportaçãoMeta - Adveronix'!$F:$F,'ImportaçãoMeta - Adveronix'!D:D),"")</f>
        <v>71</v>
      </c>
      <c r="AG151" s="159">
        <f t="array" ref="AG151">IFERROR(XLOOKUP(B151,'ImportaçãoMeta - Adveronix'!$F:$F,'ImportaçãoMeta - Adveronix'!E:E),"")</f>
        <v>2</v>
      </c>
      <c r="AH151" s="157"/>
      <c r="AI151" s="157"/>
      <c r="AJ151" s="156"/>
      <c r="AK151" s="160">
        <f>IFERROR(COUNTIFS(Leads!$L:$L,$B151,Leads!$F:$F,"*MetaAds"),0)</f>
        <v>5</v>
      </c>
      <c r="AL151" s="160">
        <f>IFERROR(COUNTIFS(Leads!$L:$L,$B151,Leads!$F:$F,"*MetaAds*",Leads!$N:$N,"Sim"),0)</f>
        <v>4</v>
      </c>
    </row>
    <row r="152" ht="15.75" customHeight="1">
      <c r="A152" s="149" t="str">
        <f t="array" ref="A152">XLOOKUP(MONTH(B152),BASE!$F$16:$F$27,BASE!$G$16:$G$27)</f>
        <v>Maio</v>
      </c>
      <c r="B152" s="150">
        <v>46173.0</v>
      </c>
      <c r="C152" s="151"/>
      <c r="D152" s="149" t="str">
        <f t="shared" si="4"/>
        <v>domingo</v>
      </c>
      <c r="E152" s="152">
        <f t="shared" ref="E152:J152" si="303">IFERROR(SUM(P152,AB152)," ")</f>
        <v>30.57</v>
      </c>
      <c r="F152" s="152">
        <f t="shared" si="303"/>
        <v>0</v>
      </c>
      <c r="G152" s="152">
        <f t="shared" si="303"/>
        <v>0</v>
      </c>
      <c r="H152" s="153">
        <f t="shared" si="303"/>
        <v>2144</v>
      </c>
      <c r="I152" s="153">
        <f t="shared" si="303"/>
        <v>112</v>
      </c>
      <c r="J152" s="153">
        <f t="shared" si="303"/>
        <v>2</v>
      </c>
      <c r="K152" s="153">
        <f t="shared" ref="K152:O152" si="304">IFERROR(SUM(W152,AH152)," ")</f>
        <v>0</v>
      </c>
      <c r="L152" s="153">
        <f t="shared" si="304"/>
        <v>0</v>
      </c>
      <c r="M152" s="153">
        <f t="shared" si="304"/>
        <v>0</v>
      </c>
      <c r="N152" s="153">
        <f t="shared" si="304"/>
        <v>10</v>
      </c>
      <c r="O152" s="153">
        <f t="shared" si="304"/>
        <v>7</v>
      </c>
      <c r="P152" s="152">
        <f t="array" ref="P152">IFERROR(XLOOKUP(B152,'ImportaçãoGoogleAds - Adveronix'!$F:$F,'ImportaçãoGoogleAds - Adveronix'!$B:$B)," ")</f>
        <v>2.68</v>
      </c>
      <c r="Q152" s="154"/>
      <c r="R152" s="154"/>
      <c r="S152" s="155">
        <f t="array" ref="S152">IFERROR(XLOOKUP(B152,'ImportaçãoGoogleAds - Adveronix'!$F:$F,'ImportaçãoGoogleAds - Adveronix'!C:C)," ")</f>
        <v>2</v>
      </c>
      <c r="T152" s="155">
        <f t="array" ref="T152">IFERROR(XLOOKUP(B152,'ImportaçãoGoogleAds - Adveronix'!$F:$F,'ImportaçãoGoogleAds - Adveronix'!D:D)," ")</f>
        <v>1</v>
      </c>
      <c r="U152" s="155">
        <f t="array" ref="U152">IFERROR(XLOOKUP(B152,'ImportaçãoGoogleAds - Adveronix'!$F:$F,'ImportaçãoGoogleAds - Adveronix'!E:E)," ")</f>
        <v>0</v>
      </c>
      <c r="V152" s="156"/>
      <c r="W152" s="157"/>
      <c r="X152" s="157"/>
      <c r="Y152" s="158"/>
      <c r="Z152" s="158">
        <f>IFERROR(COUNTIFS(Leads!$L:$L,$B152,Leads!$F:$F,"*google-ads*"),0)</f>
        <v>0</v>
      </c>
      <c r="AA152" s="158">
        <f>IFERROR(COUNTIFS(Leads!$L:$L,$B152,Leads!$F:$F,"*google-ads*",Leads!$N:$N,"Sim"),0)</f>
        <v>0</v>
      </c>
      <c r="AB152" s="152">
        <f t="array" ref="AB152">IFERROR(XLOOKUP(B152,'ImportaçãoMeta - Adveronix'!F:F,'ImportaçãoMeta - Adveronix'!B:B),"")</f>
        <v>27.89</v>
      </c>
      <c r="AC152" s="154"/>
      <c r="AD152" s="154"/>
      <c r="AE152" s="159">
        <f t="array" ref="AE152">IFERROR(XLOOKUP(B152,'ImportaçãoMeta - Adveronix'!$F:$F,'ImportaçãoMeta - Adveronix'!C:C),"")</f>
        <v>2142</v>
      </c>
      <c r="AF152" s="159">
        <f t="array" ref="AF152">IFERROR(XLOOKUP(B152,'ImportaçãoMeta - Adveronix'!$F:$F,'ImportaçãoMeta - Adveronix'!D:D),"")</f>
        <v>111</v>
      </c>
      <c r="AG152" s="159">
        <f t="array" ref="AG152">IFERROR(XLOOKUP(B152,'ImportaçãoMeta - Adveronix'!$F:$F,'ImportaçãoMeta - Adveronix'!E:E),"")</f>
        <v>2</v>
      </c>
      <c r="AH152" s="157"/>
      <c r="AI152" s="157"/>
      <c r="AJ152" s="156"/>
      <c r="AK152" s="160">
        <f>IFERROR(COUNTIFS(Leads!$L:$L,$B152,Leads!$F:$F,"*MetaAds"),0)</f>
        <v>10</v>
      </c>
      <c r="AL152" s="160">
        <f>IFERROR(COUNTIFS(Leads!$L:$L,$B152,Leads!$F:$F,"*MetaAds*",Leads!$N:$N,"Sim"),0)</f>
        <v>7</v>
      </c>
    </row>
    <row r="153" ht="15.75" customHeight="1">
      <c r="A153" s="149" t="str">
        <f t="array" ref="A153">XLOOKUP(MONTH(B153),BASE!$F$16:$F$27,BASE!$G$16:$G$27)</f>
        <v>Junho</v>
      </c>
      <c r="B153" s="150">
        <v>46174.0</v>
      </c>
      <c r="C153" s="151"/>
      <c r="D153" s="149" t="str">
        <f t="shared" si="4"/>
        <v>segunda-feira</v>
      </c>
      <c r="E153" s="152">
        <f t="shared" ref="E153:J153" si="305">IFERROR(SUM(P153,AB153)," ")</f>
        <v>39.94</v>
      </c>
      <c r="F153" s="152">
        <f t="shared" si="305"/>
        <v>0</v>
      </c>
      <c r="G153" s="152">
        <f t="shared" si="305"/>
        <v>0</v>
      </c>
      <c r="H153" s="153">
        <f t="shared" si="305"/>
        <v>1667</v>
      </c>
      <c r="I153" s="153">
        <f t="shared" si="305"/>
        <v>70</v>
      </c>
      <c r="J153" s="153">
        <f t="shared" si="305"/>
        <v>2</v>
      </c>
      <c r="K153" s="153">
        <f t="shared" ref="K153:O153" si="306">IFERROR(SUM(W153,AH153)," ")</f>
        <v>0</v>
      </c>
      <c r="L153" s="153">
        <f t="shared" si="306"/>
        <v>0</v>
      </c>
      <c r="M153" s="153">
        <f t="shared" si="306"/>
        <v>0</v>
      </c>
      <c r="N153" s="153">
        <f t="shared" si="306"/>
        <v>10</v>
      </c>
      <c r="O153" s="153">
        <f t="shared" si="306"/>
        <v>7</v>
      </c>
      <c r="P153" s="152">
        <f t="array" ref="P153">IFERROR(XLOOKUP(B153,'ImportaçãoGoogleAds - Adveronix'!$F:$F,'ImportaçãoGoogleAds - Adveronix'!$B:$B)," ")</f>
        <v>13.01</v>
      </c>
      <c r="Q153" s="154"/>
      <c r="R153" s="154"/>
      <c r="S153" s="155">
        <f t="array" ref="S153">IFERROR(XLOOKUP(B153,'ImportaçãoGoogleAds - Adveronix'!$F:$F,'ImportaçãoGoogleAds - Adveronix'!C:C)," ")</f>
        <v>18</v>
      </c>
      <c r="T153" s="155">
        <f t="array" ref="T153">IFERROR(XLOOKUP(B153,'ImportaçãoGoogleAds - Adveronix'!$F:$F,'ImportaçãoGoogleAds - Adveronix'!D:D)," ")</f>
        <v>5</v>
      </c>
      <c r="U153" s="155">
        <f t="array" ref="U153">IFERROR(XLOOKUP(B153,'ImportaçãoGoogleAds - Adveronix'!$F:$F,'ImportaçãoGoogleAds - Adveronix'!E:E)," ")</f>
        <v>0</v>
      </c>
      <c r="V153" s="156"/>
      <c r="W153" s="157"/>
      <c r="X153" s="157"/>
      <c r="Y153" s="158"/>
      <c r="Z153" s="158">
        <f>IFERROR(COUNTIFS(Leads!$L:$L,$B153,Leads!$F:$F,"*google-ads*"),0)</f>
        <v>0</v>
      </c>
      <c r="AA153" s="158">
        <f>IFERROR(COUNTIFS(Leads!$L:$L,$B153,Leads!$F:$F,"*google-ads*",Leads!$N:$N,"Sim"),0)</f>
        <v>0</v>
      </c>
      <c r="AB153" s="152">
        <f t="array" ref="AB153">IFERROR(XLOOKUP(B153,'ImportaçãoMeta - Adveronix'!F:F,'ImportaçãoMeta - Adveronix'!B:B),"")</f>
        <v>26.93</v>
      </c>
      <c r="AC153" s="154"/>
      <c r="AD153" s="154"/>
      <c r="AE153" s="159">
        <f t="array" ref="AE153">IFERROR(XLOOKUP(B153,'ImportaçãoMeta - Adveronix'!$F:$F,'ImportaçãoMeta - Adveronix'!C:C),"")</f>
        <v>1649</v>
      </c>
      <c r="AF153" s="159">
        <f t="array" ref="AF153">IFERROR(XLOOKUP(B153,'ImportaçãoMeta - Adveronix'!$F:$F,'ImportaçãoMeta - Adveronix'!D:D),"")</f>
        <v>65</v>
      </c>
      <c r="AG153" s="159">
        <f t="array" ref="AG153">IFERROR(XLOOKUP(B153,'ImportaçãoMeta - Adveronix'!$F:$F,'ImportaçãoMeta - Adveronix'!E:E),"")</f>
        <v>2</v>
      </c>
      <c r="AH153" s="157"/>
      <c r="AI153" s="157"/>
      <c r="AJ153" s="156"/>
      <c r="AK153" s="160">
        <f>IFERROR(COUNTIFS(Leads!$L:$L,$B153,Leads!$F:$F,"*MetaAds"),0)</f>
        <v>10</v>
      </c>
      <c r="AL153" s="160">
        <f>IFERROR(COUNTIFS(Leads!$L:$L,$B153,Leads!$F:$F,"*MetaAds*",Leads!$N:$N,"Sim"),0)</f>
        <v>7</v>
      </c>
    </row>
    <row r="154" ht="15.75" customHeight="1">
      <c r="A154" s="149" t="str">
        <f t="array" ref="A154">XLOOKUP(MONTH(B154),BASE!$F$16:$F$27,BASE!$G$16:$G$27)</f>
        <v>Junho</v>
      </c>
      <c r="B154" s="150">
        <v>46175.0</v>
      </c>
      <c r="C154" s="151"/>
      <c r="D154" s="149" t="str">
        <f t="shared" si="4"/>
        <v>terça-feira</v>
      </c>
      <c r="E154" s="152">
        <f t="shared" ref="E154:J154" si="307">IFERROR(SUM(P154,AB154)," ")</f>
        <v>38.22</v>
      </c>
      <c r="F154" s="152">
        <f t="shared" si="307"/>
        <v>0</v>
      </c>
      <c r="G154" s="152">
        <f t="shared" si="307"/>
        <v>0</v>
      </c>
      <c r="H154" s="153">
        <f t="shared" si="307"/>
        <v>1789</v>
      </c>
      <c r="I154" s="153">
        <f t="shared" si="307"/>
        <v>108</v>
      </c>
      <c r="J154" s="153">
        <f t="shared" si="307"/>
        <v>4</v>
      </c>
      <c r="K154" s="153">
        <f t="shared" ref="K154:O154" si="308">IFERROR(SUM(W154,AH154)," ")</f>
        <v>0</v>
      </c>
      <c r="L154" s="153">
        <f t="shared" si="308"/>
        <v>0</v>
      </c>
      <c r="M154" s="153">
        <f t="shared" si="308"/>
        <v>0</v>
      </c>
      <c r="N154" s="153">
        <f t="shared" si="308"/>
        <v>11</v>
      </c>
      <c r="O154" s="153">
        <f t="shared" si="308"/>
        <v>10</v>
      </c>
      <c r="P154" s="152">
        <f t="array" ref="P154">IFERROR(XLOOKUP(B154,'ImportaçãoGoogleAds - Adveronix'!$F:$F,'ImportaçãoGoogleAds - Adveronix'!$B:$B)," ")</f>
        <v>8.15</v>
      </c>
      <c r="Q154" s="154"/>
      <c r="R154" s="154"/>
      <c r="S154" s="155">
        <f t="array" ref="S154">IFERROR(XLOOKUP(B154,'ImportaçãoGoogleAds - Adveronix'!$F:$F,'ImportaçãoGoogleAds - Adveronix'!C:C)," ")</f>
        <v>15</v>
      </c>
      <c r="T154" s="155">
        <f t="array" ref="T154">IFERROR(XLOOKUP(B154,'ImportaçãoGoogleAds - Adveronix'!$F:$F,'ImportaçãoGoogleAds - Adveronix'!D:D)," ")</f>
        <v>3</v>
      </c>
      <c r="U154" s="155">
        <f t="array" ref="U154">IFERROR(XLOOKUP(B154,'ImportaçãoGoogleAds - Adveronix'!$F:$F,'ImportaçãoGoogleAds - Adveronix'!E:E)," ")</f>
        <v>0</v>
      </c>
      <c r="V154" s="156"/>
      <c r="W154" s="157"/>
      <c r="X154" s="157"/>
      <c r="Y154" s="158"/>
      <c r="Z154" s="158">
        <f>IFERROR(COUNTIFS(Leads!$L:$L,$B154,Leads!$F:$F,"*google-ads*"),0)</f>
        <v>0</v>
      </c>
      <c r="AA154" s="158">
        <f>IFERROR(COUNTIFS(Leads!$L:$L,$B154,Leads!$F:$F,"*google-ads*",Leads!$N:$N,"Sim"),0)</f>
        <v>0</v>
      </c>
      <c r="AB154" s="152">
        <f t="array" ref="AB154">IFERROR(XLOOKUP(B154,'ImportaçãoMeta - Adveronix'!F:F,'ImportaçãoMeta - Adveronix'!B:B),"")</f>
        <v>30.07</v>
      </c>
      <c r="AC154" s="154"/>
      <c r="AD154" s="154"/>
      <c r="AE154" s="159">
        <f t="array" ref="AE154">IFERROR(XLOOKUP(B154,'ImportaçãoMeta - Adveronix'!$F:$F,'ImportaçãoMeta - Adveronix'!C:C),"")</f>
        <v>1774</v>
      </c>
      <c r="AF154" s="159">
        <f t="array" ref="AF154">IFERROR(XLOOKUP(B154,'ImportaçãoMeta - Adveronix'!$F:$F,'ImportaçãoMeta - Adveronix'!D:D),"")</f>
        <v>105</v>
      </c>
      <c r="AG154" s="159">
        <f t="array" ref="AG154">IFERROR(XLOOKUP(B154,'ImportaçãoMeta - Adveronix'!$F:$F,'ImportaçãoMeta - Adveronix'!E:E),"")</f>
        <v>4</v>
      </c>
      <c r="AH154" s="157"/>
      <c r="AI154" s="157"/>
      <c r="AJ154" s="156"/>
      <c r="AK154" s="160">
        <f>IFERROR(COUNTIFS(Leads!$L:$L,$B154,Leads!$F:$F,"*MetaAds"),0)</f>
        <v>11</v>
      </c>
      <c r="AL154" s="160">
        <f>IFERROR(COUNTIFS(Leads!$L:$L,$B154,Leads!$F:$F,"*MetaAds*",Leads!$N:$N,"Sim"),0)</f>
        <v>10</v>
      </c>
    </row>
    <row r="155" ht="15.75" customHeight="1">
      <c r="A155" s="149" t="str">
        <f t="array" ref="A155">XLOOKUP(MONTH(B155),BASE!$F$16:$F$27,BASE!$G$16:$G$27)</f>
        <v>Junho</v>
      </c>
      <c r="B155" s="150">
        <v>46176.0</v>
      </c>
      <c r="C155" s="151"/>
      <c r="D155" s="149" t="str">
        <f t="shared" si="4"/>
        <v>quarta-feira</v>
      </c>
      <c r="E155" s="152">
        <f t="shared" ref="E155:J155" si="309">IFERROR(SUM(P155,AB155)," ")</f>
        <v>25.98</v>
      </c>
      <c r="F155" s="152">
        <f t="shared" si="309"/>
        <v>0</v>
      </c>
      <c r="G155" s="152">
        <f t="shared" si="309"/>
        <v>0</v>
      </c>
      <c r="H155" s="153">
        <f t="shared" si="309"/>
        <v>1507</v>
      </c>
      <c r="I155" s="153">
        <f t="shared" si="309"/>
        <v>66</v>
      </c>
      <c r="J155" s="153">
        <f t="shared" si="309"/>
        <v>2</v>
      </c>
      <c r="K155" s="153">
        <f t="shared" ref="K155:O155" si="310">IFERROR(SUM(W155,AH155)," ")</f>
        <v>0</v>
      </c>
      <c r="L155" s="153">
        <f t="shared" si="310"/>
        <v>0</v>
      </c>
      <c r="M155" s="153">
        <f t="shared" si="310"/>
        <v>0</v>
      </c>
      <c r="N155" s="153">
        <f t="shared" si="310"/>
        <v>5</v>
      </c>
      <c r="O155" s="153">
        <f t="shared" si="310"/>
        <v>4</v>
      </c>
      <c r="P155" s="152">
        <f t="array" ref="P155">IFERROR(XLOOKUP(B155,'ImportaçãoGoogleAds - Adveronix'!$F:$F,'ImportaçãoGoogleAds - Adveronix'!$B:$B)," ")</f>
        <v>2.82</v>
      </c>
      <c r="Q155" s="154"/>
      <c r="R155" s="154"/>
      <c r="S155" s="155">
        <f t="array" ref="S155">IFERROR(XLOOKUP(B155,'ImportaçãoGoogleAds - Adveronix'!$F:$F,'ImportaçãoGoogleAds - Adveronix'!C:C)," ")</f>
        <v>6</v>
      </c>
      <c r="T155" s="155">
        <f t="array" ref="T155">IFERROR(XLOOKUP(B155,'ImportaçãoGoogleAds - Adveronix'!$F:$F,'ImportaçãoGoogleAds - Adveronix'!D:D)," ")</f>
        <v>1</v>
      </c>
      <c r="U155" s="155">
        <f t="array" ref="U155">IFERROR(XLOOKUP(B155,'ImportaçãoGoogleAds - Adveronix'!$F:$F,'ImportaçãoGoogleAds - Adveronix'!E:E)," ")</f>
        <v>0</v>
      </c>
      <c r="V155" s="156"/>
      <c r="W155" s="157"/>
      <c r="X155" s="157"/>
      <c r="Y155" s="158"/>
      <c r="Z155" s="158">
        <f>IFERROR(COUNTIFS(Leads!$L:$L,$B155,Leads!$F:$F,"*google-ads*"),0)</f>
        <v>0</v>
      </c>
      <c r="AA155" s="158">
        <f>IFERROR(COUNTIFS(Leads!$L:$L,$B155,Leads!$F:$F,"*google-ads*",Leads!$N:$N,"Sim"),0)</f>
        <v>0</v>
      </c>
      <c r="AB155" s="152">
        <f t="array" ref="AB155">IFERROR(XLOOKUP(B155,'ImportaçãoMeta - Adveronix'!F:F,'ImportaçãoMeta - Adveronix'!B:B),"")</f>
        <v>23.16</v>
      </c>
      <c r="AC155" s="154"/>
      <c r="AD155" s="154"/>
      <c r="AE155" s="159">
        <f t="array" ref="AE155">IFERROR(XLOOKUP(B155,'ImportaçãoMeta - Adveronix'!$F:$F,'ImportaçãoMeta - Adveronix'!C:C),"")</f>
        <v>1501</v>
      </c>
      <c r="AF155" s="159">
        <f t="array" ref="AF155">IFERROR(XLOOKUP(B155,'ImportaçãoMeta - Adveronix'!$F:$F,'ImportaçãoMeta - Adveronix'!D:D),"")</f>
        <v>65</v>
      </c>
      <c r="AG155" s="159">
        <f t="array" ref="AG155">IFERROR(XLOOKUP(B155,'ImportaçãoMeta - Adveronix'!$F:$F,'ImportaçãoMeta - Adveronix'!E:E),"")</f>
        <v>2</v>
      </c>
      <c r="AH155" s="157"/>
      <c r="AI155" s="157"/>
      <c r="AJ155" s="156"/>
      <c r="AK155" s="160">
        <f>IFERROR(COUNTIFS(Leads!$L:$L,$B155,Leads!$F:$F,"*MetaAds"),0)</f>
        <v>5</v>
      </c>
      <c r="AL155" s="160">
        <f>IFERROR(COUNTIFS(Leads!$L:$L,$B155,Leads!$F:$F,"*MetaAds*",Leads!$N:$N,"Sim"),0)</f>
        <v>4</v>
      </c>
    </row>
    <row r="156" ht="15.75" customHeight="1">
      <c r="A156" s="149" t="str">
        <f t="array" ref="A156">XLOOKUP(MONTH(B156),BASE!$F$16:$F$27,BASE!$G$16:$G$27)</f>
        <v>Junho</v>
      </c>
      <c r="B156" s="150">
        <v>46177.0</v>
      </c>
      <c r="C156" s="151"/>
      <c r="D156" s="149" t="str">
        <f t="shared" si="4"/>
        <v>quinta-feira</v>
      </c>
      <c r="E156" s="152">
        <f t="shared" ref="E156:J156" si="311">IFERROR(SUM(P156,AB156)," ")</f>
        <v>19.75</v>
      </c>
      <c r="F156" s="152">
        <f t="shared" si="311"/>
        <v>0</v>
      </c>
      <c r="G156" s="152">
        <f t="shared" si="311"/>
        <v>0</v>
      </c>
      <c r="H156" s="153">
        <f t="shared" si="311"/>
        <v>1360</v>
      </c>
      <c r="I156" s="153">
        <f t="shared" si="311"/>
        <v>60</v>
      </c>
      <c r="J156" s="153">
        <f t="shared" si="311"/>
        <v>1</v>
      </c>
      <c r="K156" s="153">
        <f t="shared" ref="K156:O156" si="312">IFERROR(SUM(W156,AH156)," ")</f>
        <v>0</v>
      </c>
      <c r="L156" s="153">
        <f t="shared" si="312"/>
        <v>0</v>
      </c>
      <c r="M156" s="153">
        <f t="shared" si="312"/>
        <v>0</v>
      </c>
      <c r="N156" s="153">
        <f t="shared" si="312"/>
        <v>0</v>
      </c>
      <c r="O156" s="153">
        <f t="shared" si="312"/>
        <v>0</v>
      </c>
      <c r="P156" s="152">
        <f t="array" ref="P156">IFERROR(XLOOKUP(B156,'ImportaçãoGoogleAds - Adveronix'!$F:$F,'ImportaçãoGoogleAds - Adveronix'!$B:$B)," ")</f>
        <v>1.16</v>
      </c>
      <c r="Q156" s="154"/>
      <c r="R156" s="154"/>
      <c r="S156" s="155">
        <f t="array" ref="S156">IFERROR(XLOOKUP(B156,'ImportaçãoGoogleAds - Adveronix'!$F:$F,'ImportaçãoGoogleAds - Adveronix'!C:C)," ")</f>
        <v>2</v>
      </c>
      <c r="T156" s="155">
        <f t="array" ref="T156">IFERROR(XLOOKUP(B156,'ImportaçãoGoogleAds - Adveronix'!$F:$F,'ImportaçãoGoogleAds - Adveronix'!D:D)," ")</f>
        <v>2</v>
      </c>
      <c r="U156" s="155">
        <f t="array" ref="U156">IFERROR(XLOOKUP(B156,'ImportaçãoGoogleAds - Adveronix'!$F:$F,'ImportaçãoGoogleAds - Adveronix'!E:E)," ")</f>
        <v>0</v>
      </c>
      <c r="V156" s="156"/>
      <c r="W156" s="157"/>
      <c r="X156" s="157"/>
      <c r="Y156" s="158"/>
      <c r="Z156" s="158">
        <f>IFERROR(COUNTIFS(Leads!$L:$L,$B156,Leads!$F:$F,"*google-ads*"),0)</f>
        <v>0</v>
      </c>
      <c r="AA156" s="158">
        <f>IFERROR(COUNTIFS(Leads!$L:$L,$B156,Leads!$F:$F,"*google-ads*",Leads!$N:$N,"Sim"),0)</f>
        <v>0</v>
      </c>
      <c r="AB156" s="152">
        <f t="array" ref="AB156">IFERROR(XLOOKUP(B156,'ImportaçãoMeta - Adveronix'!F:F,'ImportaçãoMeta - Adveronix'!B:B),"")</f>
        <v>18.59</v>
      </c>
      <c r="AC156" s="154"/>
      <c r="AD156" s="154"/>
      <c r="AE156" s="159">
        <f t="array" ref="AE156">IFERROR(XLOOKUP(B156,'ImportaçãoMeta - Adveronix'!$F:$F,'ImportaçãoMeta - Adveronix'!C:C),"")</f>
        <v>1358</v>
      </c>
      <c r="AF156" s="159">
        <f t="array" ref="AF156">IFERROR(XLOOKUP(B156,'ImportaçãoMeta - Adveronix'!$F:$F,'ImportaçãoMeta - Adveronix'!D:D),"")</f>
        <v>58</v>
      </c>
      <c r="AG156" s="159">
        <f t="array" ref="AG156">IFERROR(XLOOKUP(B156,'ImportaçãoMeta - Adveronix'!$F:$F,'ImportaçãoMeta - Adveronix'!E:E),"")</f>
        <v>1</v>
      </c>
      <c r="AH156" s="157"/>
      <c r="AI156" s="157"/>
      <c r="AJ156" s="156"/>
      <c r="AK156" s="160">
        <f>IFERROR(COUNTIFS(Leads!$L:$L,$B156,Leads!$F:$F,"*MetaAds"),0)</f>
        <v>0</v>
      </c>
      <c r="AL156" s="160">
        <f>IFERROR(COUNTIFS(Leads!$L:$L,$B156,Leads!$F:$F,"*MetaAds*",Leads!$N:$N,"Sim"),0)</f>
        <v>0</v>
      </c>
    </row>
    <row r="157" ht="15.75" customHeight="1">
      <c r="A157" s="149" t="str">
        <f t="array" ref="A157">XLOOKUP(MONTH(B157),BASE!$F$16:$F$27,BASE!$G$16:$G$27)</f>
        <v>Junho</v>
      </c>
      <c r="B157" s="150">
        <v>46178.0</v>
      </c>
      <c r="C157" s="151"/>
      <c r="D157" s="149" t="str">
        <f t="shared" si="4"/>
        <v>sexta-feira</v>
      </c>
      <c r="E157" s="152">
        <f t="shared" ref="E157:J157" si="313">IFERROR(SUM(P157,AB157)," ")</f>
        <v>0</v>
      </c>
      <c r="F157" s="152">
        <f t="shared" si="313"/>
        <v>0</v>
      </c>
      <c r="G157" s="152">
        <f t="shared" si="313"/>
        <v>0</v>
      </c>
      <c r="H157" s="153">
        <f t="shared" si="313"/>
        <v>0</v>
      </c>
      <c r="I157" s="153">
        <f t="shared" si="313"/>
        <v>0</v>
      </c>
      <c r="J157" s="153">
        <f t="shared" si="313"/>
        <v>0</v>
      </c>
      <c r="K157" s="153">
        <f t="shared" ref="K157:O157" si="314">IFERROR(SUM(W157,AH157)," ")</f>
        <v>0</v>
      </c>
      <c r="L157" s="153">
        <f t="shared" si="314"/>
        <v>0</v>
      </c>
      <c r="M157" s="153">
        <f t="shared" si="314"/>
        <v>0</v>
      </c>
      <c r="N157" s="153">
        <f t="shared" si="314"/>
        <v>0</v>
      </c>
      <c r="O157" s="153">
        <f t="shared" si="314"/>
        <v>0</v>
      </c>
      <c r="P157" s="152" t="str">
        <f t="array" ref="P157">IFERROR(XLOOKUP(B157,'ImportaçãoGoogleAds - Adveronix'!$F:$F,'ImportaçãoGoogleAds - Adveronix'!$B:$B)," ")</f>
        <v> </v>
      </c>
      <c r="Q157" s="154"/>
      <c r="R157" s="154"/>
      <c r="S157" s="155" t="str">
        <f t="array" ref="S157">IFERROR(XLOOKUP(B157,'ImportaçãoGoogleAds - Adveronix'!$F:$F,'ImportaçãoGoogleAds - Adveronix'!C:C)," ")</f>
        <v> </v>
      </c>
      <c r="T157" s="155" t="str">
        <f t="array" ref="T157">IFERROR(XLOOKUP(B157,'ImportaçãoGoogleAds - Adveronix'!$F:$F,'ImportaçãoGoogleAds - Adveronix'!D:D)," ")</f>
        <v> </v>
      </c>
      <c r="U157" s="155" t="str">
        <f t="array" ref="U157">IFERROR(XLOOKUP(B157,'ImportaçãoGoogleAds - Adveronix'!$F:$F,'ImportaçãoGoogleAds - Adveronix'!E:E)," ")</f>
        <v> </v>
      </c>
      <c r="V157" s="156"/>
      <c r="W157" s="157"/>
      <c r="X157" s="157"/>
      <c r="Y157" s="158"/>
      <c r="Z157" s="158">
        <f>IFERROR(COUNTIFS(Leads!$L:$L,$B157,Leads!$F:$F,"*google-ads*"),0)</f>
        <v>0</v>
      </c>
      <c r="AA157" s="158">
        <f>IFERROR(COUNTIFS(Leads!$L:$L,$B157,Leads!$F:$F,"*google-ads*",Leads!$N:$N,"Sim"),0)</f>
        <v>0</v>
      </c>
      <c r="AB157" s="152" t="str">
        <f t="array" ref="AB157">IFERROR(XLOOKUP(B157,'ImportaçãoMeta - Adveronix'!F:F,'ImportaçãoMeta - Adveronix'!B:B),"")</f>
        <v/>
      </c>
      <c r="AC157" s="154"/>
      <c r="AD157" s="154"/>
      <c r="AE157" s="159" t="str">
        <f t="array" ref="AE157">IFERROR(XLOOKUP(B157,'ImportaçãoMeta - Adveronix'!$F:$F,'ImportaçãoMeta - Adveronix'!C:C),"")</f>
        <v/>
      </c>
      <c r="AF157" s="159" t="str">
        <f t="array" ref="AF157">IFERROR(XLOOKUP(B157,'ImportaçãoMeta - Adveronix'!$F:$F,'ImportaçãoMeta - Adveronix'!D:D),"")</f>
        <v/>
      </c>
      <c r="AG157" s="159" t="str">
        <f t="array" ref="AG157">IFERROR(XLOOKUP(B157,'ImportaçãoMeta - Adveronix'!$F:$F,'ImportaçãoMeta - Adveronix'!E:E),"")</f>
        <v/>
      </c>
      <c r="AH157" s="157"/>
      <c r="AI157" s="157"/>
      <c r="AJ157" s="156"/>
      <c r="AK157" s="160">
        <f>IFERROR(COUNTIFS(Leads!$L:$L,$B157,Leads!$F:$F,"*MetaAds"),0)</f>
        <v>0</v>
      </c>
      <c r="AL157" s="160">
        <f>IFERROR(COUNTIFS(Leads!$L:$L,$B157,Leads!$F:$F,"*MetaAds*",Leads!$N:$N,"Sim"),0)</f>
        <v>0</v>
      </c>
    </row>
    <row r="158" ht="15.75" customHeight="1">
      <c r="A158" s="149" t="str">
        <f t="array" ref="A158">XLOOKUP(MONTH(B158),BASE!$F$16:$F$27,BASE!$G$16:$G$27)</f>
        <v>Junho</v>
      </c>
      <c r="B158" s="150">
        <v>46179.0</v>
      </c>
      <c r="C158" s="151"/>
      <c r="D158" s="149" t="str">
        <f t="shared" si="4"/>
        <v>sábado</v>
      </c>
      <c r="E158" s="152">
        <f t="shared" ref="E158:J158" si="315">IFERROR(SUM(P158,AB158)," ")</f>
        <v>0</v>
      </c>
      <c r="F158" s="152">
        <f t="shared" si="315"/>
        <v>0</v>
      </c>
      <c r="G158" s="152">
        <f t="shared" si="315"/>
        <v>0</v>
      </c>
      <c r="H158" s="153">
        <f t="shared" si="315"/>
        <v>0</v>
      </c>
      <c r="I158" s="153">
        <f t="shared" si="315"/>
        <v>0</v>
      </c>
      <c r="J158" s="153">
        <f t="shared" si="315"/>
        <v>0</v>
      </c>
      <c r="K158" s="153">
        <f t="shared" ref="K158:O158" si="316">IFERROR(SUM(W158,AH158)," ")</f>
        <v>0</v>
      </c>
      <c r="L158" s="153">
        <f t="shared" si="316"/>
        <v>0</v>
      </c>
      <c r="M158" s="153">
        <f t="shared" si="316"/>
        <v>0</v>
      </c>
      <c r="N158" s="153">
        <f t="shared" si="316"/>
        <v>0</v>
      </c>
      <c r="O158" s="153">
        <f t="shared" si="316"/>
        <v>0</v>
      </c>
      <c r="P158" s="152" t="str">
        <f t="array" ref="P158">IFERROR(XLOOKUP(B158,'ImportaçãoGoogleAds - Adveronix'!$F:$F,'ImportaçãoGoogleAds - Adveronix'!$B:$B)," ")</f>
        <v> </v>
      </c>
      <c r="Q158" s="154"/>
      <c r="R158" s="154"/>
      <c r="S158" s="155" t="str">
        <f t="array" ref="S158">IFERROR(XLOOKUP(B158,'ImportaçãoGoogleAds - Adveronix'!$F:$F,'ImportaçãoGoogleAds - Adveronix'!C:C)," ")</f>
        <v> </v>
      </c>
      <c r="T158" s="155" t="str">
        <f t="array" ref="T158">IFERROR(XLOOKUP(B158,'ImportaçãoGoogleAds - Adveronix'!$F:$F,'ImportaçãoGoogleAds - Adveronix'!D:D)," ")</f>
        <v> </v>
      </c>
      <c r="U158" s="155" t="str">
        <f t="array" ref="U158">IFERROR(XLOOKUP(B158,'ImportaçãoGoogleAds - Adveronix'!$F:$F,'ImportaçãoGoogleAds - Adveronix'!E:E)," ")</f>
        <v> </v>
      </c>
      <c r="V158" s="156"/>
      <c r="W158" s="157"/>
      <c r="X158" s="157"/>
      <c r="Y158" s="158"/>
      <c r="Z158" s="158">
        <f>IFERROR(COUNTIFS(Leads!$L:$L,$B158,Leads!$F:$F,"*google-ads*"),0)</f>
        <v>0</v>
      </c>
      <c r="AA158" s="158">
        <f>IFERROR(COUNTIFS(Leads!$L:$L,$B158,Leads!$F:$F,"*google-ads*",Leads!$N:$N,"Sim"),0)</f>
        <v>0</v>
      </c>
      <c r="AB158" s="152" t="str">
        <f t="array" ref="AB158">IFERROR(XLOOKUP(B158,'ImportaçãoMeta - Adveronix'!F:F,'ImportaçãoMeta - Adveronix'!B:B),"")</f>
        <v/>
      </c>
      <c r="AC158" s="154"/>
      <c r="AD158" s="154"/>
      <c r="AE158" s="159" t="str">
        <f t="array" ref="AE158">IFERROR(XLOOKUP(B158,'ImportaçãoMeta - Adveronix'!$F:$F,'ImportaçãoMeta - Adveronix'!C:C),"")</f>
        <v/>
      </c>
      <c r="AF158" s="159" t="str">
        <f t="array" ref="AF158">IFERROR(XLOOKUP(B158,'ImportaçãoMeta - Adveronix'!$F:$F,'ImportaçãoMeta - Adveronix'!D:D),"")</f>
        <v/>
      </c>
      <c r="AG158" s="159" t="str">
        <f t="array" ref="AG158">IFERROR(XLOOKUP(B158,'ImportaçãoMeta - Adveronix'!$F:$F,'ImportaçãoMeta - Adveronix'!E:E),"")</f>
        <v/>
      </c>
      <c r="AH158" s="157"/>
      <c r="AI158" s="157"/>
      <c r="AJ158" s="156"/>
      <c r="AK158" s="160">
        <f>IFERROR(COUNTIFS(Leads!$L:$L,$B158,Leads!$F:$F,"*MetaAds"),0)</f>
        <v>0</v>
      </c>
      <c r="AL158" s="160">
        <f>IFERROR(COUNTIFS(Leads!$L:$L,$B158,Leads!$F:$F,"*MetaAds*",Leads!$N:$N,"Sim"),0)</f>
        <v>0</v>
      </c>
    </row>
    <row r="159" ht="15.75" customHeight="1">
      <c r="A159" s="149" t="str">
        <f t="array" ref="A159">XLOOKUP(MONTH(B159),BASE!$F$16:$F$27,BASE!$G$16:$G$27)</f>
        <v>Junho</v>
      </c>
      <c r="B159" s="150">
        <v>46180.0</v>
      </c>
      <c r="C159" s="151"/>
      <c r="D159" s="149" t="str">
        <f t="shared" si="4"/>
        <v>domingo</v>
      </c>
      <c r="E159" s="152">
        <f t="shared" ref="E159:J159" si="317">IFERROR(SUM(P159,AB159)," ")</f>
        <v>0</v>
      </c>
      <c r="F159" s="152">
        <f t="shared" si="317"/>
        <v>0</v>
      </c>
      <c r="G159" s="152">
        <f t="shared" si="317"/>
        <v>0</v>
      </c>
      <c r="H159" s="153">
        <f t="shared" si="317"/>
        <v>0</v>
      </c>
      <c r="I159" s="153">
        <f t="shared" si="317"/>
        <v>0</v>
      </c>
      <c r="J159" s="153">
        <f t="shared" si="317"/>
        <v>0</v>
      </c>
      <c r="K159" s="153">
        <f t="shared" ref="K159:O159" si="318">IFERROR(SUM(W159,AH159)," ")</f>
        <v>0</v>
      </c>
      <c r="L159" s="153">
        <f t="shared" si="318"/>
        <v>0</v>
      </c>
      <c r="M159" s="153">
        <f t="shared" si="318"/>
        <v>0</v>
      </c>
      <c r="N159" s="153">
        <f t="shared" si="318"/>
        <v>0</v>
      </c>
      <c r="O159" s="153">
        <f t="shared" si="318"/>
        <v>0</v>
      </c>
      <c r="P159" s="152" t="str">
        <f t="array" ref="P159">IFERROR(XLOOKUP(B159,'ImportaçãoGoogleAds - Adveronix'!$F:$F,'ImportaçãoGoogleAds - Adveronix'!$B:$B)," ")</f>
        <v> </v>
      </c>
      <c r="Q159" s="154"/>
      <c r="R159" s="154"/>
      <c r="S159" s="155" t="str">
        <f t="array" ref="S159">IFERROR(XLOOKUP(B159,'ImportaçãoGoogleAds - Adveronix'!$F:$F,'ImportaçãoGoogleAds - Adveronix'!C:C)," ")</f>
        <v> </v>
      </c>
      <c r="T159" s="155" t="str">
        <f t="array" ref="T159">IFERROR(XLOOKUP(B159,'ImportaçãoGoogleAds - Adveronix'!$F:$F,'ImportaçãoGoogleAds - Adveronix'!D:D)," ")</f>
        <v> </v>
      </c>
      <c r="U159" s="155" t="str">
        <f t="array" ref="U159">IFERROR(XLOOKUP(B159,'ImportaçãoGoogleAds - Adveronix'!$F:$F,'ImportaçãoGoogleAds - Adveronix'!E:E)," ")</f>
        <v> </v>
      </c>
      <c r="V159" s="156"/>
      <c r="W159" s="157"/>
      <c r="X159" s="157"/>
      <c r="Y159" s="158"/>
      <c r="Z159" s="158">
        <f>IFERROR(COUNTIFS(Leads!$L:$L,$B159,Leads!$F:$F,"*google-ads*"),0)</f>
        <v>0</v>
      </c>
      <c r="AA159" s="158">
        <f>IFERROR(COUNTIFS(Leads!$L:$L,$B159,Leads!$F:$F,"*google-ads*",Leads!$N:$N,"Sim"),0)</f>
        <v>0</v>
      </c>
      <c r="AB159" s="152" t="str">
        <f t="array" ref="AB159">IFERROR(XLOOKUP(B159,'ImportaçãoMeta - Adveronix'!F:F,'ImportaçãoMeta - Adveronix'!B:B),"")</f>
        <v/>
      </c>
      <c r="AC159" s="154"/>
      <c r="AD159" s="154"/>
      <c r="AE159" s="159" t="str">
        <f t="array" ref="AE159">IFERROR(XLOOKUP(B159,'ImportaçãoMeta - Adveronix'!$F:$F,'ImportaçãoMeta - Adveronix'!C:C),"")</f>
        <v/>
      </c>
      <c r="AF159" s="159" t="str">
        <f t="array" ref="AF159">IFERROR(XLOOKUP(B159,'ImportaçãoMeta - Adveronix'!$F:$F,'ImportaçãoMeta - Adveronix'!D:D),"")</f>
        <v/>
      </c>
      <c r="AG159" s="159" t="str">
        <f t="array" ref="AG159">IFERROR(XLOOKUP(B159,'ImportaçãoMeta - Adveronix'!$F:$F,'ImportaçãoMeta - Adveronix'!E:E),"")</f>
        <v/>
      </c>
      <c r="AH159" s="157"/>
      <c r="AI159" s="157"/>
      <c r="AJ159" s="156"/>
      <c r="AK159" s="160">
        <f>IFERROR(COUNTIFS(Leads!$L:$L,$B159,Leads!$F:$F,"*MetaAds"),0)</f>
        <v>0</v>
      </c>
      <c r="AL159" s="160">
        <f>IFERROR(COUNTIFS(Leads!$L:$L,$B159,Leads!$F:$F,"*MetaAds*",Leads!$N:$N,"Sim"),0)</f>
        <v>0</v>
      </c>
    </row>
    <row r="160" ht="15.75" customHeight="1">
      <c r="A160" s="149" t="str">
        <f t="array" ref="A160">XLOOKUP(MONTH(B160),BASE!$F$16:$F$27,BASE!$G$16:$G$27)</f>
        <v>Junho</v>
      </c>
      <c r="B160" s="150">
        <v>46181.0</v>
      </c>
      <c r="C160" s="151"/>
      <c r="D160" s="149" t="str">
        <f t="shared" si="4"/>
        <v>segunda-feira</v>
      </c>
      <c r="E160" s="152">
        <f t="shared" ref="E160:J160" si="319">IFERROR(SUM(P160,AB160)," ")</f>
        <v>0</v>
      </c>
      <c r="F160" s="152">
        <f t="shared" si="319"/>
        <v>0</v>
      </c>
      <c r="G160" s="152">
        <f t="shared" si="319"/>
        <v>0</v>
      </c>
      <c r="H160" s="153">
        <f t="shared" si="319"/>
        <v>0</v>
      </c>
      <c r="I160" s="153">
        <f t="shared" si="319"/>
        <v>0</v>
      </c>
      <c r="J160" s="153">
        <f t="shared" si="319"/>
        <v>0</v>
      </c>
      <c r="K160" s="153">
        <f t="shared" ref="K160:O160" si="320">IFERROR(SUM(W160,AH160)," ")</f>
        <v>0</v>
      </c>
      <c r="L160" s="153">
        <f t="shared" si="320"/>
        <v>0</v>
      </c>
      <c r="M160" s="153">
        <f t="shared" si="320"/>
        <v>0</v>
      </c>
      <c r="N160" s="153">
        <f t="shared" si="320"/>
        <v>0</v>
      </c>
      <c r="O160" s="153">
        <f t="shared" si="320"/>
        <v>0</v>
      </c>
      <c r="P160" s="152" t="str">
        <f t="array" ref="P160">IFERROR(XLOOKUP(B160,'ImportaçãoGoogleAds - Adveronix'!$F:$F,'ImportaçãoGoogleAds - Adveronix'!$B:$B)," ")</f>
        <v> </v>
      </c>
      <c r="Q160" s="154"/>
      <c r="R160" s="154"/>
      <c r="S160" s="155" t="str">
        <f t="array" ref="S160">IFERROR(XLOOKUP(B160,'ImportaçãoGoogleAds - Adveronix'!$F:$F,'ImportaçãoGoogleAds - Adveronix'!C:C)," ")</f>
        <v> </v>
      </c>
      <c r="T160" s="155" t="str">
        <f t="array" ref="T160">IFERROR(XLOOKUP(B160,'ImportaçãoGoogleAds - Adveronix'!$F:$F,'ImportaçãoGoogleAds - Adveronix'!D:D)," ")</f>
        <v> </v>
      </c>
      <c r="U160" s="155" t="str">
        <f t="array" ref="U160">IFERROR(XLOOKUP(B160,'ImportaçãoGoogleAds - Adveronix'!$F:$F,'ImportaçãoGoogleAds - Adveronix'!E:E)," ")</f>
        <v> </v>
      </c>
      <c r="V160" s="156"/>
      <c r="W160" s="157"/>
      <c r="X160" s="157"/>
      <c r="Y160" s="158"/>
      <c r="Z160" s="158">
        <f>IFERROR(COUNTIFS(Leads!$L:$L,$B160,Leads!$F:$F,"*google-ads*"),0)</f>
        <v>0</v>
      </c>
      <c r="AA160" s="158">
        <f>IFERROR(COUNTIFS(Leads!$L:$L,$B160,Leads!$F:$F,"*google-ads*",Leads!$N:$N,"Sim"),0)</f>
        <v>0</v>
      </c>
      <c r="AB160" s="152" t="str">
        <f t="array" ref="AB160">IFERROR(XLOOKUP(B160,'ImportaçãoMeta - Adveronix'!F:F,'ImportaçãoMeta - Adveronix'!B:B),"")</f>
        <v/>
      </c>
      <c r="AC160" s="154"/>
      <c r="AD160" s="154"/>
      <c r="AE160" s="159" t="str">
        <f t="array" ref="AE160">IFERROR(XLOOKUP(B160,'ImportaçãoMeta - Adveronix'!$F:$F,'ImportaçãoMeta - Adveronix'!C:C),"")</f>
        <v/>
      </c>
      <c r="AF160" s="159" t="str">
        <f t="array" ref="AF160">IFERROR(XLOOKUP(B160,'ImportaçãoMeta - Adveronix'!$F:$F,'ImportaçãoMeta - Adveronix'!D:D),"")</f>
        <v/>
      </c>
      <c r="AG160" s="159" t="str">
        <f t="array" ref="AG160">IFERROR(XLOOKUP(B160,'ImportaçãoMeta - Adveronix'!$F:$F,'ImportaçãoMeta - Adveronix'!E:E),"")</f>
        <v/>
      </c>
      <c r="AH160" s="157"/>
      <c r="AI160" s="157"/>
      <c r="AJ160" s="156"/>
      <c r="AK160" s="160">
        <f>IFERROR(COUNTIFS(Leads!$L:$L,$B160,Leads!$F:$F,"*MetaAds"),0)</f>
        <v>0</v>
      </c>
      <c r="AL160" s="160">
        <f>IFERROR(COUNTIFS(Leads!$L:$L,$B160,Leads!$F:$F,"*MetaAds*",Leads!$N:$N,"Sim"),0)</f>
        <v>0</v>
      </c>
    </row>
    <row r="161" ht="15.75" customHeight="1">
      <c r="A161" s="149" t="str">
        <f t="array" ref="A161">XLOOKUP(MONTH(B161),BASE!$F$16:$F$27,BASE!$G$16:$G$27)</f>
        <v>Junho</v>
      </c>
      <c r="B161" s="150">
        <v>46182.0</v>
      </c>
      <c r="C161" s="151"/>
      <c r="D161" s="149" t="str">
        <f t="shared" si="4"/>
        <v>terça-feira</v>
      </c>
      <c r="E161" s="152">
        <f t="shared" ref="E161:J161" si="321">IFERROR(SUM(P161,AB161)," ")</f>
        <v>0</v>
      </c>
      <c r="F161" s="152">
        <f t="shared" si="321"/>
        <v>0</v>
      </c>
      <c r="G161" s="152">
        <f t="shared" si="321"/>
        <v>0</v>
      </c>
      <c r="H161" s="153">
        <f t="shared" si="321"/>
        <v>0</v>
      </c>
      <c r="I161" s="153">
        <f t="shared" si="321"/>
        <v>0</v>
      </c>
      <c r="J161" s="153">
        <f t="shared" si="321"/>
        <v>0</v>
      </c>
      <c r="K161" s="153">
        <f t="shared" ref="K161:O161" si="322">IFERROR(SUM(W161,AH161)," ")</f>
        <v>0</v>
      </c>
      <c r="L161" s="153">
        <f t="shared" si="322"/>
        <v>0</v>
      </c>
      <c r="M161" s="153">
        <f t="shared" si="322"/>
        <v>0</v>
      </c>
      <c r="N161" s="153">
        <f t="shared" si="322"/>
        <v>0</v>
      </c>
      <c r="O161" s="153">
        <f t="shared" si="322"/>
        <v>0</v>
      </c>
      <c r="P161" s="152" t="str">
        <f t="array" ref="P161">IFERROR(XLOOKUP(B161,'ImportaçãoGoogleAds - Adveronix'!$F:$F,'ImportaçãoGoogleAds - Adveronix'!$B:$B)," ")</f>
        <v> </v>
      </c>
      <c r="Q161" s="154"/>
      <c r="R161" s="154"/>
      <c r="S161" s="155" t="str">
        <f t="array" ref="S161">IFERROR(XLOOKUP(B161,'ImportaçãoGoogleAds - Adveronix'!$F:$F,'ImportaçãoGoogleAds - Adveronix'!C:C)," ")</f>
        <v> </v>
      </c>
      <c r="T161" s="155" t="str">
        <f t="array" ref="T161">IFERROR(XLOOKUP(B161,'ImportaçãoGoogleAds - Adveronix'!$F:$F,'ImportaçãoGoogleAds - Adveronix'!D:D)," ")</f>
        <v> </v>
      </c>
      <c r="U161" s="155" t="str">
        <f t="array" ref="U161">IFERROR(XLOOKUP(B161,'ImportaçãoGoogleAds - Adveronix'!$F:$F,'ImportaçãoGoogleAds - Adveronix'!E:E)," ")</f>
        <v> </v>
      </c>
      <c r="V161" s="156"/>
      <c r="W161" s="157"/>
      <c r="X161" s="157"/>
      <c r="Y161" s="158"/>
      <c r="Z161" s="158">
        <f>IFERROR(COUNTIFS(Leads!$L:$L,$B161,Leads!$F:$F,"*google-ads*"),0)</f>
        <v>0</v>
      </c>
      <c r="AA161" s="158">
        <f>IFERROR(COUNTIFS(Leads!$L:$L,$B161,Leads!$F:$F,"*google-ads*",Leads!$N:$N,"Sim"),0)</f>
        <v>0</v>
      </c>
      <c r="AB161" s="152" t="str">
        <f t="array" ref="AB161">IFERROR(XLOOKUP(B161,'ImportaçãoMeta - Adveronix'!F:F,'ImportaçãoMeta - Adveronix'!B:B),"")</f>
        <v/>
      </c>
      <c r="AC161" s="154"/>
      <c r="AD161" s="154"/>
      <c r="AE161" s="159" t="str">
        <f t="array" ref="AE161">IFERROR(XLOOKUP(B161,'ImportaçãoMeta - Adveronix'!$F:$F,'ImportaçãoMeta - Adveronix'!C:C),"")</f>
        <v/>
      </c>
      <c r="AF161" s="159" t="str">
        <f t="array" ref="AF161">IFERROR(XLOOKUP(B161,'ImportaçãoMeta - Adveronix'!$F:$F,'ImportaçãoMeta - Adveronix'!D:D),"")</f>
        <v/>
      </c>
      <c r="AG161" s="159" t="str">
        <f t="array" ref="AG161">IFERROR(XLOOKUP(B161,'ImportaçãoMeta - Adveronix'!$F:$F,'ImportaçãoMeta - Adveronix'!E:E),"")</f>
        <v/>
      </c>
      <c r="AH161" s="157"/>
      <c r="AI161" s="157"/>
      <c r="AJ161" s="156"/>
      <c r="AK161" s="160">
        <f>IFERROR(COUNTIFS(Leads!$L:$L,$B161,Leads!$F:$F,"*MetaAds"),0)</f>
        <v>0</v>
      </c>
      <c r="AL161" s="160">
        <f>IFERROR(COUNTIFS(Leads!$L:$L,$B161,Leads!$F:$F,"*MetaAds*",Leads!$N:$N,"Sim"),0)</f>
        <v>0</v>
      </c>
    </row>
    <row r="162" ht="15.75" customHeight="1">
      <c r="A162" s="149" t="str">
        <f t="array" ref="A162">XLOOKUP(MONTH(B162),BASE!$F$16:$F$27,BASE!$G$16:$G$27)</f>
        <v>Junho</v>
      </c>
      <c r="B162" s="150">
        <v>46183.0</v>
      </c>
      <c r="C162" s="151"/>
      <c r="D162" s="149" t="str">
        <f t="shared" si="4"/>
        <v>quarta-feira</v>
      </c>
      <c r="E162" s="152">
        <f t="shared" ref="E162:J162" si="323">IFERROR(SUM(P162,AB162)," ")</f>
        <v>0</v>
      </c>
      <c r="F162" s="152">
        <f t="shared" si="323"/>
        <v>0</v>
      </c>
      <c r="G162" s="152">
        <f t="shared" si="323"/>
        <v>0</v>
      </c>
      <c r="H162" s="153">
        <f t="shared" si="323"/>
        <v>0</v>
      </c>
      <c r="I162" s="153">
        <f t="shared" si="323"/>
        <v>0</v>
      </c>
      <c r="J162" s="153">
        <f t="shared" si="323"/>
        <v>0</v>
      </c>
      <c r="K162" s="153">
        <f t="shared" ref="K162:O162" si="324">IFERROR(SUM(W162,AH162)," ")</f>
        <v>0</v>
      </c>
      <c r="L162" s="153">
        <f t="shared" si="324"/>
        <v>0</v>
      </c>
      <c r="M162" s="153">
        <f t="shared" si="324"/>
        <v>0</v>
      </c>
      <c r="N162" s="153">
        <f t="shared" si="324"/>
        <v>0</v>
      </c>
      <c r="O162" s="153">
        <f t="shared" si="324"/>
        <v>0</v>
      </c>
      <c r="P162" s="152" t="str">
        <f t="array" ref="P162">IFERROR(XLOOKUP(B162,'ImportaçãoGoogleAds - Adveronix'!$F:$F,'ImportaçãoGoogleAds - Adveronix'!$B:$B)," ")</f>
        <v> </v>
      </c>
      <c r="Q162" s="154"/>
      <c r="R162" s="154"/>
      <c r="S162" s="155" t="str">
        <f t="array" ref="S162">IFERROR(XLOOKUP(B162,'ImportaçãoGoogleAds - Adveronix'!$F:$F,'ImportaçãoGoogleAds - Adveronix'!C:C)," ")</f>
        <v> </v>
      </c>
      <c r="T162" s="155" t="str">
        <f t="array" ref="T162">IFERROR(XLOOKUP(B162,'ImportaçãoGoogleAds - Adveronix'!$F:$F,'ImportaçãoGoogleAds - Adveronix'!D:D)," ")</f>
        <v> </v>
      </c>
      <c r="U162" s="155" t="str">
        <f t="array" ref="U162">IFERROR(XLOOKUP(B162,'ImportaçãoGoogleAds - Adveronix'!$F:$F,'ImportaçãoGoogleAds - Adveronix'!E:E)," ")</f>
        <v> </v>
      </c>
      <c r="V162" s="156"/>
      <c r="W162" s="157"/>
      <c r="X162" s="157"/>
      <c r="Y162" s="158"/>
      <c r="Z162" s="158">
        <f>IFERROR(COUNTIFS(Leads!$L:$L,$B162,Leads!$F:$F,"*google-ads*"),0)</f>
        <v>0</v>
      </c>
      <c r="AA162" s="158">
        <f>IFERROR(COUNTIFS(Leads!$L:$L,$B162,Leads!$F:$F,"*google-ads*",Leads!$N:$N,"Sim"),0)</f>
        <v>0</v>
      </c>
      <c r="AB162" s="152" t="str">
        <f t="array" ref="AB162">IFERROR(XLOOKUP(B162,'ImportaçãoMeta - Adveronix'!F:F,'ImportaçãoMeta - Adveronix'!B:B),"")</f>
        <v/>
      </c>
      <c r="AC162" s="154"/>
      <c r="AD162" s="154"/>
      <c r="AE162" s="159" t="str">
        <f t="array" ref="AE162">IFERROR(XLOOKUP(B162,'ImportaçãoMeta - Adveronix'!$F:$F,'ImportaçãoMeta - Adveronix'!C:C),"")</f>
        <v/>
      </c>
      <c r="AF162" s="159" t="str">
        <f t="array" ref="AF162">IFERROR(XLOOKUP(B162,'ImportaçãoMeta - Adveronix'!$F:$F,'ImportaçãoMeta - Adveronix'!D:D),"")</f>
        <v/>
      </c>
      <c r="AG162" s="159" t="str">
        <f t="array" ref="AG162">IFERROR(XLOOKUP(B162,'ImportaçãoMeta - Adveronix'!$F:$F,'ImportaçãoMeta - Adveronix'!E:E),"")</f>
        <v/>
      </c>
      <c r="AH162" s="157"/>
      <c r="AI162" s="157"/>
      <c r="AJ162" s="156"/>
      <c r="AK162" s="160">
        <f>IFERROR(COUNTIFS(Leads!$L:$L,$B162,Leads!$F:$F,"*MetaAds"),0)</f>
        <v>0</v>
      </c>
      <c r="AL162" s="160">
        <f>IFERROR(COUNTIFS(Leads!$L:$L,$B162,Leads!$F:$F,"*MetaAds*",Leads!$N:$N,"Sim"),0)</f>
        <v>0</v>
      </c>
    </row>
    <row r="163" ht="15.75" customHeight="1">
      <c r="A163" s="149" t="str">
        <f t="array" ref="A163">XLOOKUP(MONTH(B163),BASE!$F$16:$F$27,BASE!$G$16:$G$27)</f>
        <v>Junho</v>
      </c>
      <c r="B163" s="150">
        <v>46184.0</v>
      </c>
      <c r="C163" s="151"/>
      <c r="D163" s="149" t="str">
        <f t="shared" si="4"/>
        <v>quinta-feira</v>
      </c>
      <c r="E163" s="152">
        <f t="shared" ref="E163:J163" si="325">IFERROR(SUM(P163,AB163)," ")</f>
        <v>0</v>
      </c>
      <c r="F163" s="152">
        <f t="shared" si="325"/>
        <v>0</v>
      </c>
      <c r="G163" s="152">
        <f t="shared" si="325"/>
        <v>0</v>
      </c>
      <c r="H163" s="153">
        <f t="shared" si="325"/>
        <v>0</v>
      </c>
      <c r="I163" s="153">
        <f t="shared" si="325"/>
        <v>0</v>
      </c>
      <c r="J163" s="153">
        <f t="shared" si="325"/>
        <v>0</v>
      </c>
      <c r="K163" s="153">
        <f t="shared" ref="K163:O163" si="326">IFERROR(SUM(W163,AH163)," ")</f>
        <v>0</v>
      </c>
      <c r="L163" s="153">
        <f t="shared" si="326"/>
        <v>0</v>
      </c>
      <c r="M163" s="153">
        <f t="shared" si="326"/>
        <v>0</v>
      </c>
      <c r="N163" s="153">
        <f t="shared" si="326"/>
        <v>0</v>
      </c>
      <c r="O163" s="153">
        <f t="shared" si="326"/>
        <v>0</v>
      </c>
      <c r="P163" s="152" t="str">
        <f t="array" ref="P163">IFERROR(XLOOKUP(B163,'ImportaçãoGoogleAds - Adveronix'!$F:$F,'ImportaçãoGoogleAds - Adveronix'!$B:$B)," ")</f>
        <v> </v>
      </c>
      <c r="Q163" s="154"/>
      <c r="R163" s="154"/>
      <c r="S163" s="155" t="str">
        <f t="array" ref="S163">IFERROR(XLOOKUP(B163,'ImportaçãoGoogleAds - Adveronix'!$F:$F,'ImportaçãoGoogleAds - Adveronix'!C:C)," ")</f>
        <v> </v>
      </c>
      <c r="T163" s="155" t="str">
        <f t="array" ref="T163">IFERROR(XLOOKUP(B163,'ImportaçãoGoogleAds - Adveronix'!$F:$F,'ImportaçãoGoogleAds - Adveronix'!D:D)," ")</f>
        <v> </v>
      </c>
      <c r="U163" s="155" t="str">
        <f t="array" ref="U163">IFERROR(XLOOKUP(B163,'ImportaçãoGoogleAds - Adveronix'!$F:$F,'ImportaçãoGoogleAds - Adveronix'!E:E)," ")</f>
        <v> </v>
      </c>
      <c r="V163" s="156"/>
      <c r="W163" s="157"/>
      <c r="X163" s="157"/>
      <c r="Y163" s="158"/>
      <c r="Z163" s="158">
        <f>IFERROR(COUNTIFS(Leads!$L:$L,$B163,Leads!$F:$F,"*google-ads*"),0)</f>
        <v>0</v>
      </c>
      <c r="AA163" s="158">
        <f>IFERROR(COUNTIFS(Leads!$L:$L,$B163,Leads!$F:$F,"*google-ads*",Leads!$N:$N,"Sim"),0)</f>
        <v>0</v>
      </c>
      <c r="AB163" s="152" t="str">
        <f t="array" ref="AB163">IFERROR(XLOOKUP(B163,'ImportaçãoMeta - Adveronix'!F:F,'ImportaçãoMeta - Adveronix'!B:B),"")</f>
        <v/>
      </c>
      <c r="AC163" s="154"/>
      <c r="AD163" s="154"/>
      <c r="AE163" s="159" t="str">
        <f t="array" ref="AE163">IFERROR(XLOOKUP(B163,'ImportaçãoMeta - Adveronix'!$F:$F,'ImportaçãoMeta - Adveronix'!C:C),"")</f>
        <v/>
      </c>
      <c r="AF163" s="159" t="str">
        <f t="array" ref="AF163">IFERROR(XLOOKUP(B163,'ImportaçãoMeta - Adveronix'!$F:$F,'ImportaçãoMeta - Adveronix'!D:D),"")</f>
        <v/>
      </c>
      <c r="AG163" s="159" t="str">
        <f t="array" ref="AG163">IFERROR(XLOOKUP(B163,'ImportaçãoMeta - Adveronix'!$F:$F,'ImportaçãoMeta - Adveronix'!E:E),"")</f>
        <v/>
      </c>
      <c r="AH163" s="157"/>
      <c r="AI163" s="157"/>
      <c r="AJ163" s="156"/>
      <c r="AK163" s="160">
        <f>IFERROR(COUNTIFS(Leads!$L:$L,$B163,Leads!$F:$F,"*MetaAds"),0)</f>
        <v>0</v>
      </c>
      <c r="AL163" s="160">
        <f>IFERROR(COUNTIFS(Leads!$L:$L,$B163,Leads!$F:$F,"*MetaAds*",Leads!$N:$N,"Sim"),0)</f>
        <v>0</v>
      </c>
    </row>
    <row r="164" ht="15.75" customHeight="1">
      <c r="A164" s="149" t="str">
        <f t="array" ref="A164">XLOOKUP(MONTH(B164),BASE!$F$16:$F$27,BASE!$G$16:$G$27)</f>
        <v>Junho</v>
      </c>
      <c r="B164" s="150">
        <v>46185.0</v>
      </c>
      <c r="C164" s="151"/>
      <c r="D164" s="149" t="str">
        <f t="shared" si="4"/>
        <v>sexta-feira</v>
      </c>
      <c r="E164" s="152">
        <f t="shared" ref="E164:J164" si="327">IFERROR(SUM(P164,AB164)," ")</f>
        <v>0</v>
      </c>
      <c r="F164" s="152">
        <f t="shared" si="327"/>
        <v>0</v>
      </c>
      <c r="G164" s="152">
        <f t="shared" si="327"/>
        <v>0</v>
      </c>
      <c r="H164" s="153">
        <f t="shared" si="327"/>
        <v>0</v>
      </c>
      <c r="I164" s="153">
        <f t="shared" si="327"/>
        <v>0</v>
      </c>
      <c r="J164" s="153">
        <f t="shared" si="327"/>
        <v>0</v>
      </c>
      <c r="K164" s="153">
        <f t="shared" ref="K164:O164" si="328">IFERROR(SUM(W164,AH164)," ")</f>
        <v>0</v>
      </c>
      <c r="L164" s="153">
        <f t="shared" si="328"/>
        <v>0</v>
      </c>
      <c r="M164" s="153">
        <f t="shared" si="328"/>
        <v>0</v>
      </c>
      <c r="N164" s="153">
        <f t="shared" si="328"/>
        <v>0</v>
      </c>
      <c r="O164" s="153">
        <f t="shared" si="328"/>
        <v>0</v>
      </c>
      <c r="P164" s="152" t="str">
        <f t="array" ref="P164">IFERROR(XLOOKUP(B164,'ImportaçãoGoogleAds - Adveronix'!$F:$F,'ImportaçãoGoogleAds - Adveronix'!$B:$B)," ")</f>
        <v> </v>
      </c>
      <c r="Q164" s="154"/>
      <c r="R164" s="154"/>
      <c r="S164" s="155" t="str">
        <f t="array" ref="S164">IFERROR(XLOOKUP(B164,'ImportaçãoGoogleAds - Adveronix'!$F:$F,'ImportaçãoGoogleAds - Adveronix'!C:C)," ")</f>
        <v> </v>
      </c>
      <c r="T164" s="155" t="str">
        <f t="array" ref="T164">IFERROR(XLOOKUP(B164,'ImportaçãoGoogleAds - Adveronix'!$F:$F,'ImportaçãoGoogleAds - Adveronix'!D:D)," ")</f>
        <v> </v>
      </c>
      <c r="U164" s="155" t="str">
        <f t="array" ref="U164">IFERROR(XLOOKUP(B164,'ImportaçãoGoogleAds - Adveronix'!$F:$F,'ImportaçãoGoogleAds - Adveronix'!E:E)," ")</f>
        <v> </v>
      </c>
      <c r="V164" s="156"/>
      <c r="W164" s="157"/>
      <c r="X164" s="157"/>
      <c r="Y164" s="158"/>
      <c r="Z164" s="158">
        <f>IFERROR(COUNTIFS(Leads!$L:$L,$B164,Leads!$F:$F,"*google-ads*"),0)</f>
        <v>0</v>
      </c>
      <c r="AA164" s="158">
        <f>IFERROR(COUNTIFS(Leads!$L:$L,$B164,Leads!$F:$F,"*google-ads*",Leads!$N:$N,"Sim"),0)</f>
        <v>0</v>
      </c>
      <c r="AB164" s="152" t="str">
        <f t="array" ref="AB164">IFERROR(XLOOKUP(B164,'ImportaçãoMeta - Adveronix'!F:F,'ImportaçãoMeta - Adveronix'!B:B),"")</f>
        <v/>
      </c>
      <c r="AC164" s="154"/>
      <c r="AD164" s="154"/>
      <c r="AE164" s="159" t="str">
        <f t="array" ref="AE164">IFERROR(XLOOKUP(B164,'ImportaçãoMeta - Adveronix'!$F:$F,'ImportaçãoMeta - Adveronix'!C:C),"")</f>
        <v/>
      </c>
      <c r="AF164" s="159" t="str">
        <f t="array" ref="AF164">IFERROR(XLOOKUP(B164,'ImportaçãoMeta - Adveronix'!$F:$F,'ImportaçãoMeta - Adveronix'!D:D),"")</f>
        <v/>
      </c>
      <c r="AG164" s="159" t="str">
        <f t="array" ref="AG164">IFERROR(XLOOKUP(B164,'ImportaçãoMeta - Adveronix'!$F:$F,'ImportaçãoMeta - Adveronix'!E:E),"")</f>
        <v/>
      </c>
      <c r="AH164" s="157"/>
      <c r="AI164" s="157"/>
      <c r="AJ164" s="156"/>
      <c r="AK164" s="160">
        <f>IFERROR(COUNTIFS(Leads!$L:$L,$B164,Leads!$F:$F,"*MetaAds"),0)</f>
        <v>0</v>
      </c>
      <c r="AL164" s="160">
        <f>IFERROR(COUNTIFS(Leads!$L:$L,$B164,Leads!$F:$F,"*MetaAds*",Leads!$N:$N,"Sim"),0)</f>
        <v>0</v>
      </c>
    </row>
    <row r="165" ht="15.75" customHeight="1">
      <c r="A165" s="149" t="str">
        <f t="array" ref="A165">XLOOKUP(MONTH(B165),BASE!$F$16:$F$27,BASE!$G$16:$G$27)</f>
        <v>Junho</v>
      </c>
      <c r="B165" s="150">
        <v>46186.0</v>
      </c>
      <c r="C165" s="151"/>
      <c r="D165" s="149" t="str">
        <f t="shared" si="4"/>
        <v>sábado</v>
      </c>
      <c r="E165" s="152">
        <f t="shared" ref="E165:J165" si="329">IFERROR(SUM(P165,AB165)," ")</f>
        <v>0</v>
      </c>
      <c r="F165" s="152">
        <f t="shared" si="329"/>
        <v>0</v>
      </c>
      <c r="G165" s="152">
        <f t="shared" si="329"/>
        <v>0</v>
      </c>
      <c r="H165" s="153">
        <f t="shared" si="329"/>
        <v>0</v>
      </c>
      <c r="I165" s="153">
        <f t="shared" si="329"/>
        <v>0</v>
      </c>
      <c r="J165" s="153">
        <f t="shared" si="329"/>
        <v>0</v>
      </c>
      <c r="K165" s="153">
        <f t="shared" ref="K165:O165" si="330">IFERROR(SUM(W165,AH165)," ")</f>
        <v>0</v>
      </c>
      <c r="L165" s="153">
        <f t="shared" si="330"/>
        <v>0</v>
      </c>
      <c r="M165" s="153">
        <f t="shared" si="330"/>
        <v>0</v>
      </c>
      <c r="N165" s="153">
        <f t="shared" si="330"/>
        <v>0</v>
      </c>
      <c r="O165" s="153">
        <f t="shared" si="330"/>
        <v>0</v>
      </c>
      <c r="P165" s="152" t="str">
        <f t="array" ref="P165">IFERROR(XLOOKUP(B165,'ImportaçãoGoogleAds - Adveronix'!$F:$F,'ImportaçãoGoogleAds - Adveronix'!$B:$B)," ")</f>
        <v> </v>
      </c>
      <c r="Q165" s="154"/>
      <c r="R165" s="154"/>
      <c r="S165" s="155" t="str">
        <f t="array" ref="S165">IFERROR(XLOOKUP(B165,'ImportaçãoGoogleAds - Adveronix'!$F:$F,'ImportaçãoGoogleAds - Adveronix'!C:C)," ")</f>
        <v> </v>
      </c>
      <c r="T165" s="155" t="str">
        <f t="array" ref="T165">IFERROR(XLOOKUP(B165,'ImportaçãoGoogleAds - Adveronix'!$F:$F,'ImportaçãoGoogleAds - Adveronix'!D:D)," ")</f>
        <v> </v>
      </c>
      <c r="U165" s="155" t="str">
        <f t="array" ref="U165">IFERROR(XLOOKUP(B165,'ImportaçãoGoogleAds - Adveronix'!$F:$F,'ImportaçãoGoogleAds - Adveronix'!E:E)," ")</f>
        <v> </v>
      </c>
      <c r="V165" s="156"/>
      <c r="W165" s="157"/>
      <c r="X165" s="157"/>
      <c r="Y165" s="158"/>
      <c r="Z165" s="158">
        <f>IFERROR(COUNTIFS(Leads!$L:$L,$B165,Leads!$F:$F,"*google-ads*"),0)</f>
        <v>0</v>
      </c>
      <c r="AA165" s="158">
        <f>IFERROR(COUNTIFS(Leads!$L:$L,$B165,Leads!$F:$F,"*google-ads*",Leads!$N:$N,"Sim"),0)</f>
        <v>0</v>
      </c>
      <c r="AB165" s="152" t="str">
        <f t="array" ref="AB165">IFERROR(XLOOKUP(B165,'ImportaçãoMeta - Adveronix'!F:F,'ImportaçãoMeta - Adveronix'!B:B),"")</f>
        <v/>
      </c>
      <c r="AC165" s="154"/>
      <c r="AD165" s="154"/>
      <c r="AE165" s="159" t="str">
        <f t="array" ref="AE165">IFERROR(XLOOKUP(B165,'ImportaçãoMeta - Adveronix'!$F:$F,'ImportaçãoMeta - Adveronix'!C:C),"")</f>
        <v/>
      </c>
      <c r="AF165" s="159" t="str">
        <f t="array" ref="AF165">IFERROR(XLOOKUP(B165,'ImportaçãoMeta - Adveronix'!$F:$F,'ImportaçãoMeta - Adveronix'!D:D),"")</f>
        <v/>
      </c>
      <c r="AG165" s="159" t="str">
        <f t="array" ref="AG165">IFERROR(XLOOKUP(B165,'ImportaçãoMeta - Adveronix'!$F:$F,'ImportaçãoMeta - Adveronix'!E:E),"")</f>
        <v/>
      </c>
      <c r="AH165" s="157"/>
      <c r="AI165" s="157"/>
      <c r="AJ165" s="156"/>
      <c r="AK165" s="160">
        <f>IFERROR(COUNTIFS(Leads!$L:$L,$B165,Leads!$F:$F,"*MetaAds"),0)</f>
        <v>0</v>
      </c>
      <c r="AL165" s="160">
        <f>IFERROR(COUNTIFS(Leads!$L:$L,$B165,Leads!$F:$F,"*MetaAds*",Leads!$N:$N,"Sim"),0)</f>
        <v>0</v>
      </c>
    </row>
    <row r="166" ht="15.75" customHeight="1">
      <c r="A166" s="149" t="str">
        <f t="array" ref="A166">XLOOKUP(MONTH(B166),BASE!$F$16:$F$27,BASE!$G$16:$G$27)</f>
        <v>Junho</v>
      </c>
      <c r="B166" s="150">
        <v>46187.0</v>
      </c>
      <c r="C166" s="151"/>
      <c r="D166" s="149" t="str">
        <f t="shared" si="4"/>
        <v>domingo</v>
      </c>
      <c r="E166" s="152">
        <f t="shared" ref="E166:J166" si="331">IFERROR(SUM(P166,AB166)," ")</f>
        <v>0</v>
      </c>
      <c r="F166" s="152">
        <f t="shared" si="331"/>
        <v>0</v>
      </c>
      <c r="G166" s="152">
        <f t="shared" si="331"/>
        <v>0</v>
      </c>
      <c r="H166" s="153">
        <f t="shared" si="331"/>
        <v>0</v>
      </c>
      <c r="I166" s="153">
        <f t="shared" si="331"/>
        <v>0</v>
      </c>
      <c r="J166" s="153">
        <f t="shared" si="331"/>
        <v>0</v>
      </c>
      <c r="K166" s="153">
        <f t="shared" ref="K166:O166" si="332">IFERROR(SUM(W166,AH166)," ")</f>
        <v>0</v>
      </c>
      <c r="L166" s="153">
        <f t="shared" si="332"/>
        <v>0</v>
      </c>
      <c r="M166" s="153">
        <f t="shared" si="332"/>
        <v>0</v>
      </c>
      <c r="N166" s="153">
        <f t="shared" si="332"/>
        <v>0</v>
      </c>
      <c r="O166" s="153">
        <f t="shared" si="332"/>
        <v>0</v>
      </c>
      <c r="P166" s="152" t="str">
        <f t="array" ref="P166">IFERROR(XLOOKUP(B166,'ImportaçãoGoogleAds - Adveronix'!$F:$F,'ImportaçãoGoogleAds - Adveronix'!$B:$B)," ")</f>
        <v> </v>
      </c>
      <c r="Q166" s="154"/>
      <c r="R166" s="154"/>
      <c r="S166" s="155" t="str">
        <f t="array" ref="S166">IFERROR(XLOOKUP(B166,'ImportaçãoGoogleAds - Adveronix'!$F:$F,'ImportaçãoGoogleAds - Adveronix'!C:C)," ")</f>
        <v> </v>
      </c>
      <c r="T166" s="155" t="str">
        <f t="array" ref="T166">IFERROR(XLOOKUP(B166,'ImportaçãoGoogleAds - Adveronix'!$F:$F,'ImportaçãoGoogleAds - Adveronix'!D:D)," ")</f>
        <v> </v>
      </c>
      <c r="U166" s="155" t="str">
        <f t="array" ref="U166">IFERROR(XLOOKUP(B166,'ImportaçãoGoogleAds - Adveronix'!$F:$F,'ImportaçãoGoogleAds - Adveronix'!E:E)," ")</f>
        <v> </v>
      </c>
      <c r="V166" s="156"/>
      <c r="W166" s="157"/>
      <c r="X166" s="157"/>
      <c r="Y166" s="158"/>
      <c r="Z166" s="158">
        <f>IFERROR(COUNTIFS(Leads!$L:$L,$B166,Leads!$F:$F,"*google-ads*"),0)</f>
        <v>0</v>
      </c>
      <c r="AA166" s="158">
        <f>IFERROR(COUNTIFS(Leads!$L:$L,$B166,Leads!$F:$F,"*google-ads*",Leads!$N:$N,"Sim"),0)</f>
        <v>0</v>
      </c>
      <c r="AB166" s="152" t="str">
        <f t="array" ref="AB166">IFERROR(XLOOKUP(B166,'ImportaçãoMeta - Adveronix'!F:F,'ImportaçãoMeta - Adveronix'!B:B),"")</f>
        <v/>
      </c>
      <c r="AC166" s="154"/>
      <c r="AD166" s="154"/>
      <c r="AE166" s="159" t="str">
        <f t="array" ref="AE166">IFERROR(XLOOKUP(B166,'ImportaçãoMeta - Adveronix'!$F:$F,'ImportaçãoMeta - Adveronix'!C:C),"")</f>
        <v/>
      </c>
      <c r="AF166" s="159" t="str">
        <f t="array" ref="AF166">IFERROR(XLOOKUP(B166,'ImportaçãoMeta - Adveronix'!$F:$F,'ImportaçãoMeta - Adveronix'!D:D),"")</f>
        <v/>
      </c>
      <c r="AG166" s="159" t="str">
        <f t="array" ref="AG166">IFERROR(XLOOKUP(B166,'ImportaçãoMeta - Adveronix'!$F:$F,'ImportaçãoMeta - Adveronix'!E:E),"")</f>
        <v/>
      </c>
      <c r="AH166" s="157"/>
      <c r="AI166" s="157"/>
      <c r="AJ166" s="156"/>
      <c r="AK166" s="160">
        <f>IFERROR(COUNTIFS(Leads!$L:$L,$B166,Leads!$F:$F,"*MetaAds"),0)</f>
        <v>0</v>
      </c>
      <c r="AL166" s="160">
        <f>IFERROR(COUNTIFS(Leads!$L:$L,$B166,Leads!$F:$F,"*MetaAds*",Leads!$N:$N,"Sim"),0)</f>
        <v>0</v>
      </c>
    </row>
    <row r="167" ht="15.75" customHeight="1">
      <c r="A167" s="149" t="str">
        <f t="array" ref="A167">XLOOKUP(MONTH(B167),BASE!$F$16:$F$27,BASE!$G$16:$G$27)</f>
        <v>Junho</v>
      </c>
      <c r="B167" s="150">
        <v>46188.0</v>
      </c>
      <c r="C167" s="151"/>
      <c r="D167" s="149" t="str">
        <f t="shared" si="4"/>
        <v>segunda-feira</v>
      </c>
      <c r="E167" s="152">
        <f t="shared" ref="E167:J167" si="333">IFERROR(SUM(P167,AB167)," ")</f>
        <v>0</v>
      </c>
      <c r="F167" s="152">
        <f t="shared" si="333"/>
        <v>0</v>
      </c>
      <c r="G167" s="152">
        <f t="shared" si="333"/>
        <v>0</v>
      </c>
      <c r="H167" s="153">
        <f t="shared" si="333"/>
        <v>0</v>
      </c>
      <c r="I167" s="153">
        <f t="shared" si="333"/>
        <v>0</v>
      </c>
      <c r="J167" s="153">
        <f t="shared" si="333"/>
        <v>0</v>
      </c>
      <c r="K167" s="153">
        <f t="shared" ref="K167:O167" si="334">IFERROR(SUM(W167,AH167)," ")</f>
        <v>0</v>
      </c>
      <c r="L167" s="153">
        <f t="shared" si="334"/>
        <v>0</v>
      </c>
      <c r="M167" s="153">
        <f t="shared" si="334"/>
        <v>0</v>
      </c>
      <c r="N167" s="153">
        <f t="shared" si="334"/>
        <v>0</v>
      </c>
      <c r="O167" s="153">
        <f t="shared" si="334"/>
        <v>0</v>
      </c>
      <c r="P167" s="152" t="str">
        <f t="array" ref="P167">IFERROR(XLOOKUP(B167,'ImportaçãoGoogleAds - Adveronix'!$F:$F,'ImportaçãoGoogleAds - Adveronix'!$B:$B)," ")</f>
        <v> </v>
      </c>
      <c r="Q167" s="154"/>
      <c r="R167" s="154"/>
      <c r="S167" s="155" t="str">
        <f t="array" ref="S167">IFERROR(XLOOKUP(B167,'ImportaçãoGoogleAds - Adveronix'!$F:$F,'ImportaçãoGoogleAds - Adveronix'!C:C)," ")</f>
        <v> </v>
      </c>
      <c r="T167" s="155" t="str">
        <f t="array" ref="T167">IFERROR(XLOOKUP(B167,'ImportaçãoGoogleAds - Adveronix'!$F:$F,'ImportaçãoGoogleAds - Adveronix'!D:D)," ")</f>
        <v> </v>
      </c>
      <c r="U167" s="155" t="str">
        <f t="array" ref="U167">IFERROR(XLOOKUP(B167,'ImportaçãoGoogleAds - Adveronix'!$F:$F,'ImportaçãoGoogleAds - Adveronix'!E:E)," ")</f>
        <v> </v>
      </c>
      <c r="V167" s="156"/>
      <c r="W167" s="157"/>
      <c r="X167" s="157"/>
      <c r="Y167" s="158"/>
      <c r="Z167" s="158">
        <f>IFERROR(COUNTIFS(Leads!$L:$L,$B167,Leads!$F:$F,"*google-ads*"),0)</f>
        <v>0</v>
      </c>
      <c r="AA167" s="158">
        <f>IFERROR(COUNTIFS(Leads!$L:$L,$B167,Leads!$F:$F,"*google-ads*",Leads!$N:$N,"Sim"),0)</f>
        <v>0</v>
      </c>
      <c r="AB167" s="152" t="str">
        <f t="array" ref="AB167">IFERROR(XLOOKUP(B167,'ImportaçãoMeta - Adveronix'!F:F,'ImportaçãoMeta - Adveronix'!B:B),"")</f>
        <v/>
      </c>
      <c r="AC167" s="154"/>
      <c r="AD167" s="154"/>
      <c r="AE167" s="159" t="str">
        <f t="array" ref="AE167">IFERROR(XLOOKUP(B167,'ImportaçãoMeta - Adveronix'!$F:$F,'ImportaçãoMeta - Adveronix'!C:C),"")</f>
        <v/>
      </c>
      <c r="AF167" s="159" t="str">
        <f t="array" ref="AF167">IFERROR(XLOOKUP(B167,'ImportaçãoMeta - Adveronix'!$F:$F,'ImportaçãoMeta - Adveronix'!D:D),"")</f>
        <v/>
      </c>
      <c r="AG167" s="159" t="str">
        <f t="array" ref="AG167">IFERROR(XLOOKUP(B167,'ImportaçãoMeta - Adveronix'!$F:$F,'ImportaçãoMeta - Adveronix'!E:E),"")</f>
        <v/>
      </c>
      <c r="AH167" s="157"/>
      <c r="AI167" s="157"/>
      <c r="AJ167" s="156"/>
      <c r="AK167" s="160">
        <f>IFERROR(COUNTIFS(Leads!$L:$L,$B167,Leads!$F:$F,"*MetaAds"),0)</f>
        <v>0</v>
      </c>
      <c r="AL167" s="160">
        <f>IFERROR(COUNTIFS(Leads!$L:$L,$B167,Leads!$F:$F,"*MetaAds*",Leads!$N:$N,"Sim"),0)</f>
        <v>0</v>
      </c>
    </row>
    <row r="168" ht="15.75" customHeight="1">
      <c r="A168" s="149" t="str">
        <f t="array" ref="A168">XLOOKUP(MONTH(B168),BASE!$F$16:$F$27,BASE!$G$16:$G$27)</f>
        <v>Junho</v>
      </c>
      <c r="B168" s="150">
        <v>46189.0</v>
      </c>
      <c r="C168" s="151"/>
      <c r="D168" s="149" t="str">
        <f t="shared" si="4"/>
        <v>terça-feira</v>
      </c>
      <c r="E168" s="152">
        <f t="shared" ref="E168:J168" si="335">IFERROR(SUM(P168,AB168)," ")</f>
        <v>0</v>
      </c>
      <c r="F168" s="152">
        <f t="shared" si="335"/>
        <v>0</v>
      </c>
      <c r="G168" s="152">
        <f t="shared" si="335"/>
        <v>0</v>
      </c>
      <c r="H168" s="153">
        <f t="shared" si="335"/>
        <v>0</v>
      </c>
      <c r="I168" s="153">
        <f t="shared" si="335"/>
        <v>0</v>
      </c>
      <c r="J168" s="153">
        <f t="shared" si="335"/>
        <v>0</v>
      </c>
      <c r="K168" s="153">
        <f t="shared" ref="K168:O168" si="336">IFERROR(SUM(W168,AH168)," ")</f>
        <v>0</v>
      </c>
      <c r="L168" s="153">
        <f t="shared" si="336"/>
        <v>0</v>
      </c>
      <c r="M168" s="153">
        <f t="shared" si="336"/>
        <v>0</v>
      </c>
      <c r="N168" s="153">
        <f t="shared" si="336"/>
        <v>0</v>
      </c>
      <c r="O168" s="153">
        <f t="shared" si="336"/>
        <v>0</v>
      </c>
      <c r="P168" s="152" t="str">
        <f t="array" ref="P168">IFERROR(XLOOKUP(B168,'ImportaçãoGoogleAds - Adveronix'!$F:$F,'ImportaçãoGoogleAds - Adveronix'!$B:$B)," ")</f>
        <v> </v>
      </c>
      <c r="Q168" s="154"/>
      <c r="R168" s="154"/>
      <c r="S168" s="155" t="str">
        <f t="array" ref="S168">IFERROR(XLOOKUP(B168,'ImportaçãoGoogleAds - Adveronix'!$F:$F,'ImportaçãoGoogleAds - Adveronix'!C:C)," ")</f>
        <v> </v>
      </c>
      <c r="T168" s="155" t="str">
        <f t="array" ref="T168">IFERROR(XLOOKUP(B168,'ImportaçãoGoogleAds - Adveronix'!$F:$F,'ImportaçãoGoogleAds - Adveronix'!D:D)," ")</f>
        <v> </v>
      </c>
      <c r="U168" s="155" t="str">
        <f t="array" ref="U168">IFERROR(XLOOKUP(B168,'ImportaçãoGoogleAds - Adveronix'!$F:$F,'ImportaçãoGoogleAds - Adveronix'!E:E)," ")</f>
        <v> </v>
      </c>
      <c r="V168" s="156"/>
      <c r="W168" s="157"/>
      <c r="X168" s="157"/>
      <c r="Y168" s="158"/>
      <c r="Z168" s="158">
        <f>IFERROR(COUNTIFS(Leads!$L:$L,$B168,Leads!$F:$F,"*google-ads*"),0)</f>
        <v>0</v>
      </c>
      <c r="AA168" s="158">
        <f>IFERROR(COUNTIFS(Leads!$L:$L,$B168,Leads!$F:$F,"*google-ads*",Leads!$N:$N,"Sim"),0)</f>
        <v>0</v>
      </c>
      <c r="AB168" s="152" t="str">
        <f t="array" ref="AB168">IFERROR(XLOOKUP(B168,'ImportaçãoMeta - Adveronix'!F:F,'ImportaçãoMeta - Adveronix'!B:B),"")</f>
        <v/>
      </c>
      <c r="AC168" s="154"/>
      <c r="AD168" s="154"/>
      <c r="AE168" s="159" t="str">
        <f t="array" ref="AE168">IFERROR(XLOOKUP(B168,'ImportaçãoMeta - Adveronix'!$F:$F,'ImportaçãoMeta - Adveronix'!C:C),"")</f>
        <v/>
      </c>
      <c r="AF168" s="159" t="str">
        <f t="array" ref="AF168">IFERROR(XLOOKUP(B168,'ImportaçãoMeta - Adveronix'!$F:$F,'ImportaçãoMeta - Adveronix'!D:D),"")</f>
        <v/>
      </c>
      <c r="AG168" s="159" t="str">
        <f t="array" ref="AG168">IFERROR(XLOOKUP(B168,'ImportaçãoMeta - Adveronix'!$F:$F,'ImportaçãoMeta - Adveronix'!E:E),"")</f>
        <v/>
      </c>
      <c r="AH168" s="157"/>
      <c r="AI168" s="157"/>
      <c r="AJ168" s="156"/>
      <c r="AK168" s="160">
        <f>IFERROR(COUNTIFS(Leads!$L:$L,$B168,Leads!$F:$F,"*MetaAds"),0)</f>
        <v>0</v>
      </c>
      <c r="AL168" s="160">
        <f>IFERROR(COUNTIFS(Leads!$L:$L,$B168,Leads!$F:$F,"*MetaAds*",Leads!$N:$N,"Sim"),0)</f>
        <v>0</v>
      </c>
    </row>
    <row r="169" ht="15.75" customHeight="1">
      <c r="A169" s="149" t="str">
        <f t="array" ref="A169">XLOOKUP(MONTH(B169),BASE!$F$16:$F$27,BASE!$G$16:$G$27)</f>
        <v>Junho</v>
      </c>
      <c r="B169" s="150">
        <v>46190.0</v>
      </c>
      <c r="C169" s="151"/>
      <c r="D169" s="149" t="str">
        <f t="shared" si="4"/>
        <v>quarta-feira</v>
      </c>
      <c r="E169" s="152">
        <f t="shared" ref="E169:J169" si="337">IFERROR(SUM(P169,AB169)," ")</f>
        <v>0</v>
      </c>
      <c r="F169" s="152">
        <f t="shared" si="337"/>
        <v>0</v>
      </c>
      <c r="G169" s="152">
        <f t="shared" si="337"/>
        <v>0</v>
      </c>
      <c r="H169" s="153">
        <f t="shared" si="337"/>
        <v>0</v>
      </c>
      <c r="I169" s="153">
        <f t="shared" si="337"/>
        <v>0</v>
      </c>
      <c r="J169" s="153">
        <f t="shared" si="337"/>
        <v>0</v>
      </c>
      <c r="K169" s="153">
        <f t="shared" ref="K169:O169" si="338">IFERROR(SUM(W169,AH169)," ")</f>
        <v>0</v>
      </c>
      <c r="L169" s="153">
        <f t="shared" si="338"/>
        <v>0</v>
      </c>
      <c r="M169" s="153">
        <f t="shared" si="338"/>
        <v>0</v>
      </c>
      <c r="N169" s="153">
        <f t="shared" si="338"/>
        <v>0</v>
      </c>
      <c r="O169" s="153">
        <f t="shared" si="338"/>
        <v>0</v>
      </c>
      <c r="P169" s="152" t="str">
        <f t="array" ref="P169">IFERROR(XLOOKUP(B169,'ImportaçãoGoogleAds - Adveronix'!$F:$F,'ImportaçãoGoogleAds - Adveronix'!$B:$B)," ")</f>
        <v> </v>
      </c>
      <c r="Q169" s="154"/>
      <c r="R169" s="154"/>
      <c r="S169" s="155" t="str">
        <f t="array" ref="S169">IFERROR(XLOOKUP(B169,'ImportaçãoGoogleAds - Adveronix'!$F:$F,'ImportaçãoGoogleAds - Adveronix'!C:C)," ")</f>
        <v> </v>
      </c>
      <c r="T169" s="155" t="str">
        <f t="array" ref="T169">IFERROR(XLOOKUP(B169,'ImportaçãoGoogleAds - Adveronix'!$F:$F,'ImportaçãoGoogleAds - Adveronix'!D:D)," ")</f>
        <v> </v>
      </c>
      <c r="U169" s="155" t="str">
        <f t="array" ref="U169">IFERROR(XLOOKUP(B169,'ImportaçãoGoogleAds - Adveronix'!$F:$F,'ImportaçãoGoogleAds - Adveronix'!E:E)," ")</f>
        <v> </v>
      </c>
      <c r="V169" s="156"/>
      <c r="W169" s="157"/>
      <c r="X169" s="157"/>
      <c r="Y169" s="158"/>
      <c r="Z169" s="158">
        <f>IFERROR(COUNTIFS(Leads!$L:$L,$B169,Leads!$F:$F,"*google-ads*"),0)</f>
        <v>0</v>
      </c>
      <c r="AA169" s="158">
        <f>IFERROR(COUNTIFS(Leads!$L:$L,$B169,Leads!$F:$F,"*google-ads*",Leads!$N:$N,"Sim"),0)</f>
        <v>0</v>
      </c>
      <c r="AB169" s="152" t="str">
        <f t="array" ref="AB169">IFERROR(XLOOKUP(B169,'ImportaçãoMeta - Adveronix'!F:F,'ImportaçãoMeta - Adveronix'!B:B),"")</f>
        <v/>
      </c>
      <c r="AC169" s="154"/>
      <c r="AD169" s="154"/>
      <c r="AE169" s="159" t="str">
        <f t="array" ref="AE169">IFERROR(XLOOKUP(B169,'ImportaçãoMeta - Adveronix'!$F:$F,'ImportaçãoMeta - Adveronix'!C:C),"")</f>
        <v/>
      </c>
      <c r="AF169" s="159" t="str">
        <f t="array" ref="AF169">IFERROR(XLOOKUP(B169,'ImportaçãoMeta - Adveronix'!$F:$F,'ImportaçãoMeta - Adveronix'!D:D),"")</f>
        <v/>
      </c>
      <c r="AG169" s="159" t="str">
        <f t="array" ref="AG169">IFERROR(XLOOKUP(B169,'ImportaçãoMeta - Adveronix'!$F:$F,'ImportaçãoMeta - Adveronix'!E:E),"")</f>
        <v/>
      </c>
      <c r="AH169" s="157"/>
      <c r="AI169" s="157"/>
      <c r="AJ169" s="156"/>
      <c r="AK169" s="160">
        <f>IFERROR(COUNTIFS(Leads!$L:$L,$B169,Leads!$F:$F,"*MetaAds"),0)</f>
        <v>0</v>
      </c>
      <c r="AL169" s="160">
        <f>IFERROR(COUNTIFS(Leads!$L:$L,$B169,Leads!$F:$F,"*MetaAds*",Leads!$N:$N,"Sim"),0)</f>
        <v>0</v>
      </c>
    </row>
    <row r="170" ht="15.75" customHeight="1">
      <c r="A170" s="149" t="str">
        <f t="array" ref="A170">XLOOKUP(MONTH(B170),BASE!$F$16:$F$27,BASE!$G$16:$G$27)</f>
        <v>Junho</v>
      </c>
      <c r="B170" s="150">
        <v>46191.0</v>
      </c>
      <c r="C170" s="151"/>
      <c r="D170" s="149" t="str">
        <f t="shared" si="4"/>
        <v>quinta-feira</v>
      </c>
      <c r="E170" s="152">
        <f t="shared" ref="E170:J170" si="339">IFERROR(SUM(P170,AB170)," ")</f>
        <v>0</v>
      </c>
      <c r="F170" s="152">
        <f t="shared" si="339"/>
        <v>0</v>
      </c>
      <c r="G170" s="152">
        <f t="shared" si="339"/>
        <v>0</v>
      </c>
      <c r="H170" s="153">
        <f t="shared" si="339"/>
        <v>0</v>
      </c>
      <c r="I170" s="153">
        <f t="shared" si="339"/>
        <v>0</v>
      </c>
      <c r="J170" s="153">
        <f t="shared" si="339"/>
        <v>0</v>
      </c>
      <c r="K170" s="153">
        <f t="shared" ref="K170:O170" si="340">IFERROR(SUM(W170,AH170)," ")</f>
        <v>0</v>
      </c>
      <c r="L170" s="153">
        <f t="shared" si="340"/>
        <v>0</v>
      </c>
      <c r="M170" s="153">
        <f t="shared" si="340"/>
        <v>0</v>
      </c>
      <c r="N170" s="153">
        <f t="shared" si="340"/>
        <v>0</v>
      </c>
      <c r="O170" s="153">
        <f t="shared" si="340"/>
        <v>0</v>
      </c>
      <c r="P170" s="152" t="str">
        <f t="array" ref="P170">IFERROR(XLOOKUP(B170,'ImportaçãoGoogleAds - Adveronix'!$F:$F,'ImportaçãoGoogleAds - Adveronix'!$B:$B)," ")</f>
        <v> </v>
      </c>
      <c r="Q170" s="154"/>
      <c r="R170" s="154"/>
      <c r="S170" s="155" t="str">
        <f t="array" ref="S170">IFERROR(XLOOKUP(B170,'ImportaçãoGoogleAds - Adveronix'!$F:$F,'ImportaçãoGoogleAds - Adveronix'!C:C)," ")</f>
        <v> </v>
      </c>
      <c r="T170" s="155" t="str">
        <f t="array" ref="T170">IFERROR(XLOOKUP(B170,'ImportaçãoGoogleAds - Adveronix'!$F:$F,'ImportaçãoGoogleAds - Adveronix'!D:D)," ")</f>
        <v> </v>
      </c>
      <c r="U170" s="155" t="str">
        <f t="array" ref="U170">IFERROR(XLOOKUP(B170,'ImportaçãoGoogleAds - Adveronix'!$F:$F,'ImportaçãoGoogleAds - Adveronix'!E:E)," ")</f>
        <v> </v>
      </c>
      <c r="V170" s="156"/>
      <c r="W170" s="157"/>
      <c r="X170" s="157"/>
      <c r="Y170" s="158"/>
      <c r="Z170" s="158">
        <f>IFERROR(COUNTIFS(Leads!$L:$L,$B170,Leads!$F:$F,"*google-ads*"),0)</f>
        <v>0</v>
      </c>
      <c r="AA170" s="158">
        <f>IFERROR(COUNTIFS(Leads!$L:$L,$B170,Leads!$F:$F,"*google-ads*",Leads!$N:$N,"Sim"),0)</f>
        <v>0</v>
      </c>
      <c r="AB170" s="152" t="str">
        <f t="array" ref="AB170">IFERROR(XLOOKUP(B170,'ImportaçãoMeta - Adveronix'!F:F,'ImportaçãoMeta - Adveronix'!B:B),"")</f>
        <v/>
      </c>
      <c r="AC170" s="154"/>
      <c r="AD170" s="154"/>
      <c r="AE170" s="159" t="str">
        <f t="array" ref="AE170">IFERROR(XLOOKUP(B170,'ImportaçãoMeta - Adveronix'!$F:$F,'ImportaçãoMeta - Adveronix'!C:C),"")</f>
        <v/>
      </c>
      <c r="AF170" s="159" t="str">
        <f t="array" ref="AF170">IFERROR(XLOOKUP(B170,'ImportaçãoMeta - Adveronix'!$F:$F,'ImportaçãoMeta - Adveronix'!D:D),"")</f>
        <v/>
      </c>
      <c r="AG170" s="159" t="str">
        <f t="array" ref="AG170">IFERROR(XLOOKUP(B170,'ImportaçãoMeta - Adveronix'!$F:$F,'ImportaçãoMeta - Adveronix'!E:E),"")</f>
        <v/>
      </c>
      <c r="AH170" s="157"/>
      <c r="AI170" s="157"/>
      <c r="AJ170" s="156"/>
      <c r="AK170" s="160">
        <f>IFERROR(COUNTIFS(Leads!$L:$L,$B170,Leads!$F:$F,"*MetaAds"),0)</f>
        <v>0</v>
      </c>
      <c r="AL170" s="160">
        <f>IFERROR(COUNTIFS(Leads!$L:$L,$B170,Leads!$F:$F,"*MetaAds*",Leads!$N:$N,"Sim"),0)</f>
        <v>0</v>
      </c>
    </row>
    <row r="171" ht="15.75" customHeight="1">
      <c r="A171" s="149" t="str">
        <f t="array" ref="A171">XLOOKUP(MONTH(B171),BASE!$F$16:$F$27,BASE!$G$16:$G$27)</f>
        <v>Junho</v>
      </c>
      <c r="B171" s="150">
        <v>46192.0</v>
      </c>
      <c r="C171" s="151"/>
      <c r="D171" s="149" t="str">
        <f t="shared" si="4"/>
        <v>sexta-feira</v>
      </c>
      <c r="E171" s="152">
        <f t="shared" ref="E171:J171" si="341">IFERROR(SUM(P171,AB171)," ")</f>
        <v>0</v>
      </c>
      <c r="F171" s="152">
        <f t="shared" si="341"/>
        <v>0</v>
      </c>
      <c r="G171" s="152">
        <f t="shared" si="341"/>
        <v>0</v>
      </c>
      <c r="H171" s="153">
        <f t="shared" si="341"/>
        <v>0</v>
      </c>
      <c r="I171" s="153">
        <f t="shared" si="341"/>
        <v>0</v>
      </c>
      <c r="J171" s="153">
        <f t="shared" si="341"/>
        <v>0</v>
      </c>
      <c r="K171" s="153">
        <f t="shared" ref="K171:O171" si="342">IFERROR(SUM(W171,AH171)," ")</f>
        <v>0</v>
      </c>
      <c r="L171" s="153">
        <f t="shared" si="342"/>
        <v>0</v>
      </c>
      <c r="M171" s="153">
        <f t="shared" si="342"/>
        <v>0</v>
      </c>
      <c r="N171" s="153">
        <f t="shared" si="342"/>
        <v>0</v>
      </c>
      <c r="O171" s="153">
        <f t="shared" si="342"/>
        <v>0</v>
      </c>
      <c r="P171" s="152" t="str">
        <f t="array" ref="P171">IFERROR(XLOOKUP(B171,'ImportaçãoGoogleAds - Adveronix'!$F:$F,'ImportaçãoGoogleAds - Adveronix'!$B:$B)," ")</f>
        <v> </v>
      </c>
      <c r="Q171" s="154"/>
      <c r="R171" s="154"/>
      <c r="S171" s="155" t="str">
        <f t="array" ref="S171">IFERROR(XLOOKUP(B171,'ImportaçãoGoogleAds - Adveronix'!$F:$F,'ImportaçãoGoogleAds - Adveronix'!C:C)," ")</f>
        <v> </v>
      </c>
      <c r="T171" s="155" t="str">
        <f t="array" ref="T171">IFERROR(XLOOKUP(B171,'ImportaçãoGoogleAds - Adveronix'!$F:$F,'ImportaçãoGoogleAds - Adveronix'!D:D)," ")</f>
        <v> </v>
      </c>
      <c r="U171" s="155" t="str">
        <f t="array" ref="U171">IFERROR(XLOOKUP(B171,'ImportaçãoGoogleAds - Adveronix'!$F:$F,'ImportaçãoGoogleAds - Adveronix'!E:E)," ")</f>
        <v> </v>
      </c>
      <c r="V171" s="156"/>
      <c r="W171" s="157"/>
      <c r="X171" s="157"/>
      <c r="Y171" s="158"/>
      <c r="Z171" s="158">
        <f>IFERROR(COUNTIFS(Leads!$L:$L,$B171,Leads!$F:$F,"*google*"),0)</f>
        <v>0</v>
      </c>
      <c r="AA171" s="158">
        <f>IFERROR(COUNTIFS(Leads!$L:$L,$B171,Leads!$F:$F,"*google*",Leads!$N:$N,"Sim"),0)</f>
        <v>0</v>
      </c>
      <c r="AB171" s="152" t="str">
        <f t="array" ref="AB171">IFERROR(XLOOKUP(B171,'ImportaçãoMeta - Adveronix'!F:F,'ImportaçãoMeta - Adveronix'!B:B),"")</f>
        <v/>
      </c>
      <c r="AC171" s="154"/>
      <c r="AD171" s="154"/>
      <c r="AE171" s="159" t="str">
        <f t="array" ref="AE171">IFERROR(XLOOKUP(B171,'ImportaçãoMeta - Adveronix'!$F:$F,'ImportaçãoMeta - Adveronix'!C:C),"")</f>
        <v/>
      </c>
      <c r="AF171" s="159" t="str">
        <f t="array" ref="AF171">IFERROR(XLOOKUP(B171,'ImportaçãoMeta - Adveronix'!$F:$F,'ImportaçãoMeta - Adveronix'!D:D),"")</f>
        <v/>
      </c>
      <c r="AG171" s="159" t="str">
        <f t="array" ref="AG171">IFERROR(XLOOKUP(B171,'ImportaçãoMeta - Adveronix'!$F:$F,'ImportaçãoMeta - Adveronix'!E:E),"")</f>
        <v/>
      </c>
      <c r="AH171" s="157"/>
      <c r="AI171" s="157"/>
      <c r="AJ171" s="156"/>
      <c r="AK171" s="160">
        <f>IFERROR(COUNTIFS(Leads!$L:$L,$B171,Leads!$F:$F,"*MetaAds"),0)</f>
        <v>0</v>
      </c>
      <c r="AL171" s="160">
        <f>IFERROR(COUNTIFS(Leads!$L:$L,$B171,Leads!$F:$F,"*MetaAds*",Leads!$N:$N,"Sim"),0)</f>
        <v>0</v>
      </c>
    </row>
    <row r="172" ht="15.75" customHeight="1">
      <c r="A172" s="149" t="str">
        <f t="array" ref="A172">XLOOKUP(MONTH(B172),BASE!$F$16:$F$27,BASE!$G$16:$G$27)</f>
        <v>Junho</v>
      </c>
      <c r="B172" s="150">
        <v>46193.0</v>
      </c>
      <c r="C172" s="151"/>
      <c r="D172" s="149" t="str">
        <f t="shared" si="4"/>
        <v>sábado</v>
      </c>
      <c r="E172" s="152">
        <f t="shared" ref="E172:J172" si="343">IFERROR(SUM(P172,AB172)," ")</f>
        <v>0</v>
      </c>
      <c r="F172" s="152">
        <f t="shared" si="343"/>
        <v>0</v>
      </c>
      <c r="G172" s="152">
        <f t="shared" si="343"/>
        <v>0</v>
      </c>
      <c r="H172" s="153">
        <f t="shared" si="343"/>
        <v>0</v>
      </c>
      <c r="I172" s="153">
        <f t="shared" si="343"/>
        <v>0</v>
      </c>
      <c r="J172" s="153">
        <f t="shared" si="343"/>
        <v>0</v>
      </c>
      <c r="K172" s="153">
        <f t="shared" ref="K172:O172" si="344">IFERROR(SUM(W172,AH172)," ")</f>
        <v>0</v>
      </c>
      <c r="L172" s="153">
        <f t="shared" si="344"/>
        <v>0</v>
      </c>
      <c r="M172" s="153">
        <f t="shared" si="344"/>
        <v>0</v>
      </c>
      <c r="N172" s="153">
        <f t="shared" si="344"/>
        <v>0</v>
      </c>
      <c r="O172" s="153">
        <f t="shared" si="344"/>
        <v>0</v>
      </c>
      <c r="P172" s="152" t="str">
        <f t="array" ref="P172">IFERROR(XLOOKUP(B172,'ImportaçãoGoogleAds - Adveronix'!$F:$F,'ImportaçãoGoogleAds - Adveronix'!$B:$B)," ")</f>
        <v> </v>
      </c>
      <c r="Q172" s="154"/>
      <c r="R172" s="154"/>
      <c r="S172" s="155" t="str">
        <f t="array" ref="S172">IFERROR(XLOOKUP(B172,'ImportaçãoGoogleAds - Adveronix'!$F:$F,'ImportaçãoGoogleAds - Adveronix'!C:C)," ")</f>
        <v> </v>
      </c>
      <c r="T172" s="155" t="str">
        <f t="array" ref="T172">IFERROR(XLOOKUP(B172,'ImportaçãoGoogleAds - Adveronix'!$F:$F,'ImportaçãoGoogleAds - Adveronix'!D:D)," ")</f>
        <v> </v>
      </c>
      <c r="U172" s="155" t="str">
        <f t="array" ref="U172">IFERROR(XLOOKUP(B172,'ImportaçãoGoogleAds - Adveronix'!$F:$F,'ImportaçãoGoogleAds - Adveronix'!E:E)," ")</f>
        <v> </v>
      </c>
      <c r="V172" s="156"/>
      <c r="W172" s="157"/>
      <c r="X172" s="157"/>
      <c r="Y172" s="158"/>
      <c r="Z172" s="158">
        <f>IFERROR(COUNTIFS(Leads!$L:$L,$B172,Leads!$F:$F,"*google*"),0)</f>
        <v>0</v>
      </c>
      <c r="AA172" s="158">
        <f>IFERROR(COUNTIFS(Leads!$L:$L,$B172,Leads!$F:$F,"*google*",Leads!$N:$N,"Sim"),0)</f>
        <v>0</v>
      </c>
      <c r="AB172" s="152" t="str">
        <f t="array" ref="AB172">IFERROR(XLOOKUP(B172,'ImportaçãoMeta - Adveronix'!F:F,'ImportaçãoMeta - Adveronix'!B:B),"")</f>
        <v/>
      </c>
      <c r="AC172" s="154"/>
      <c r="AD172" s="154"/>
      <c r="AE172" s="159" t="str">
        <f t="array" ref="AE172">IFERROR(XLOOKUP(B172,'ImportaçãoMeta - Adveronix'!$F:$F,'ImportaçãoMeta - Adveronix'!C:C),"")</f>
        <v/>
      </c>
      <c r="AF172" s="159" t="str">
        <f t="array" ref="AF172">IFERROR(XLOOKUP(B172,'ImportaçãoMeta - Adveronix'!$F:$F,'ImportaçãoMeta - Adveronix'!D:D),"")</f>
        <v/>
      </c>
      <c r="AG172" s="159" t="str">
        <f t="array" ref="AG172">IFERROR(XLOOKUP(B172,'ImportaçãoMeta - Adveronix'!$F:$F,'ImportaçãoMeta - Adveronix'!E:E),"")</f>
        <v/>
      </c>
      <c r="AH172" s="157"/>
      <c r="AI172" s="157"/>
      <c r="AJ172" s="156"/>
      <c r="AK172" s="160">
        <f>IFERROR(COUNTIFS(Leads!$L:$L,$B172,Leads!$F:$F,"*MetaAds"),0)</f>
        <v>0</v>
      </c>
      <c r="AL172" s="160">
        <f>IFERROR(COUNTIFS(Leads!$L:$L,$B172,Leads!$F:$F,"*MetaAds*",Leads!$N:$N,"Sim"),0)</f>
        <v>0</v>
      </c>
    </row>
    <row r="173" ht="15.75" customHeight="1">
      <c r="A173" s="149" t="str">
        <f t="array" ref="A173">XLOOKUP(MONTH(B173),BASE!$F$16:$F$27,BASE!$G$16:$G$27)</f>
        <v>Junho</v>
      </c>
      <c r="B173" s="150">
        <v>46194.0</v>
      </c>
      <c r="C173" s="151"/>
      <c r="D173" s="149" t="str">
        <f t="shared" si="4"/>
        <v>domingo</v>
      </c>
      <c r="E173" s="152">
        <f t="shared" ref="E173:J173" si="345">IFERROR(SUM(P173,AB173)," ")</f>
        <v>0</v>
      </c>
      <c r="F173" s="152">
        <f t="shared" si="345"/>
        <v>0</v>
      </c>
      <c r="G173" s="152">
        <f t="shared" si="345"/>
        <v>0</v>
      </c>
      <c r="H173" s="153">
        <f t="shared" si="345"/>
        <v>0</v>
      </c>
      <c r="I173" s="153">
        <f t="shared" si="345"/>
        <v>0</v>
      </c>
      <c r="J173" s="153">
        <f t="shared" si="345"/>
        <v>0</v>
      </c>
      <c r="K173" s="153">
        <f t="shared" ref="K173:O173" si="346">IFERROR(SUM(W173,AH173)," ")</f>
        <v>0</v>
      </c>
      <c r="L173" s="153">
        <f t="shared" si="346"/>
        <v>0</v>
      </c>
      <c r="M173" s="153">
        <f t="shared" si="346"/>
        <v>0</v>
      </c>
      <c r="N173" s="153">
        <f t="shared" si="346"/>
        <v>0</v>
      </c>
      <c r="O173" s="153">
        <f t="shared" si="346"/>
        <v>0</v>
      </c>
      <c r="P173" s="152" t="str">
        <f t="array" ref="P173">IFERROR(XLOOKUP(B173,'ImportaçãoGoogleAds - Adveronix'!$F:$F,'ImportaçãoGoogleAds - Adveronix'!$B:$B)," ")</f>
        <v> </v>
      </c>
      <c r="Q173" s="154"/>
      <c r="R173" s="154"/>
      <c r="S173" s="155" t="str">
        <f t="array" ref="S173">IFERROR(XLOOKUP(B173,'ImportaçãoGoogleAds - Adveronix'!$F:$F,'ImportaçãoGoogleAds - Adveronix'!C:C)," ")</f>
        <v> </v>
      </c>
      <c r="T173" s="155" t="str">
        <f t="array" ref="T173">IFERROR(XLOOKUP(B173,'ImportaçãoGoogleAds - Adveronix'!$F:$F,'ImportaçãoGoogleAds - Adveronix'!D:D)," ")</f>
        <v> </v>
      </c>
      <c r="U173" s="155" t="str">
        <f t="array" ref="U173">IFERROR(XLOOKUP(B173,'ImportaçãoGoogleAds - Adveronix'!$F:$F,'ImportaçãoGoogleAds - Adveronix'!E:E)," ")</f>
        <v> </v>
      </c>
      <c r="V173" s="156"/>
      <c r="W173" s="157"/>
      <c r="X173" s="157"/>
      <c r="Y173" s="158"/>
      <c r="Z173" s="158">
        <f>IFERROR(COUNTIFS(Leads!$L:$L,$B173,Leads!$F:$F,"*google*"),0)</f>
        <v>0</v>
      </c>
      <c r="AA173" s="158">
        <f>IFERROR(COUNTIFS(Leads!$L:$L,$B173,Leads!$F:$F,"*google*",Leads!$N:$N,"Sim"),0)</f>
        <v>0</v>
      </c>
      <c r="AB173" s="152" t="str">
        <f t="array" ref="AB173">IFERROR(XLOOKUP(B173,'ImportaçãoMeta - Adveronix'!F:F,'ImportaçãoMeta - Adveronix'!B:B),"")</f>
        <v/>
      </c>
      <c r="AC173" s="154"/>
      <c r="AD173" s="154"/>
      <c r="AE173" s="159" t="str">
        <f t="array" ref="AE173">IFERROR(XLOOKUP(B173,'ImportaçãoMeta - Adveronix'!$F:$F,'ImportaçãoMeta - Adveronix'!C:C),"")</f>
        <v/>
      </c>
      <c r="AF173" s="159" t="str">
        <f t="array" ref="AF173">IFERROR(XLOOKUP(B173,'ImportaçãoMeta - Adveronix'!$F:$F,'ImportaçãoMeta - Adveronix'!D:D),"")</f>
        <v/>
      </c>
      <c r="AG173" s="159" t="str">
        <f t="array" ref="AG173">IFERROR(XLOOKUP(B173,'ImportaçãoMeta - Adveronix'!$F:$F,'ImportaçãoMeta - Adveronix'!E:E),"")</f>
        <v/>
      </c>
      <c r="AH173" s="157"/>
      <c r="AI173" s="157"/>
      <c r="AJ173" s="156"/>
      <c r="AK173" s="160">
        <f>IFERROR(COUNTIFS(Leads!$L:$L,$B173,Leads!$F:$F,"*MetaAds"),0)</f>
        <v>0</v>
      </c>
      <c r="AL173" s="160">
        <f>IFERROR(COUNTIFS(Leads!$L:$L,$B173,Leads!$F:$F,"*MetaAds*",Leads!$N:$N,"Sim"),0)</f>
        <v>0</v>
      </c>
    </row>
    <row r="174" ht="15.75" customHeight="1">
      <c r="A174" s="149" t="str">
        <f t="array" ref="A174">XLOOKUP(MONTH(B174),BASE!$F$16:$F$27,BASE!$G$16:$G$27)</f>
        <v>Junho</v>
      </c>
      <c r="B174" s="150">
        <v>46195.0</v>
      </c>
      <c r="C174" s="151"/>
      <c r="D174" s="149" t="str">
        <f t="shared" si="4"/>
        <v>segunda-feira</v>
      </c>
      <c r="E174" s="152">
        <f t="shared" ref="E174:J174" si="347">IFERROR(SUM(P174,AB174)," ")</f>
        <v>0</v>
      </c>
      <c r="F174" s="152">
        <f t="shared" si="347"/>
        <v>0</v>
      </c>
      <c r="G174" s="152">
        <f t="shared" si="347"/>
        <v>0</v>
      </c>
      <c r="H174" s="153">
        <f t="shared" si="347"/>
        <v>0</v>
      </c>
      <c r="I174" s="153">
        <f t="shared" si="347"/>
        <v>0</v>
      </c>
      <c r="J174" s="153">
        <f t="shared" si="347"/>
        <v>0</v>
      </c>
      <c r="K174" s="153">
        <f t="shared" ref="K174:O174" si="348">IFERROR(SUM(W174,AH174)," ")</f>
        <v>0</v>
      </c>
      <c r="L174" s="153">
        <f t="shared" si="348"/>
        <v>0</v>
      </c>
      <c r="M174" s="153">
        <f t="shared" si="348"/>
        <v>0</v>
      </c>
      <c r="N174" s="153">
        <f t="shared" si="348"/>
        <v>0</v>
      </c>
      <c r="O174" s="153">
        <f t="shared" si="348"/>
        <v>0</v>
      </c>
      <c r="P174" s="152" t="str">
        <f t="array" ref="P174">IFERROR(XLOOKUP(B174,'ImportaçãoGoogleAds - Adveronix'!$F:$F,'ImportaçãoGoogleAds - Adveronix'!$B:$B)," ")</f>
        <v> </v>
      </c>
      <c r="Q174" s="154"/>
      <c r="R174" s="154"/>
      <c r="S174" s="155" t="str">
        <f t="array" ref="S174">IFERROR(XLOOKUP(B174,'ImportaçãoGoogleAds - Adveronix'!$F:$F,'ImportaçãoGoogleAds - Adveronix'!C:C)," ")</f>
        <v> </v>
      </c>
      <c r="T174" s="155" t="str">
        <f t="array" ref="T174">IFERROR(XLOOKUP(B174,'ImportaçãoGoogleAds - Adveronix'!$F:$F,'ImportaçãoGoogleAds - Adveronix'!D:D)," ")</f>
        <v> </v>
      </c>
      <c r="U174" s="155" t="str">
        <f t="array" ref="U174">IFERROR(XLOOKUP(B174,'ImportaçãoGoogleAds - Adveronix'!$F:$F,'ImportaçãoGoogleAds - Adveronix'!E:E)," ")</f>
        <v> </v>
      </c>
      <c r="V174" s="156"/>
      <c r="W174" s="157"/>
      <c r="X174" s="157"/>
      <c r="Y174" s="158"/>
      <c r="Z174" s="158">
        <f>IFERROR(COUNTIFS(Leads!$L:$L,$B174,Leads!$F:$F,"*google*"),0)</f>
        <v>0</v>
      </c>
      <c r="AA174" s="158">
        <f>IFERROR(COUNTIFS(Leads!$L:$L,$B174,Leads!$F:$F,"*google*",Leads!$N:$N,"Sim"),0)</f>
        <v>0</v>
      </c>
      <c r="AB174" s="152" t="str">
        <f t="array" ref="AB174">IFERROR(XLOOKUP(B174,'ImportaçãoMeta - Adveronix'!F:F,'ImportaçãoMeta - Adveronix'!B:B),"")</f>
        <v/>
      </c>
      <c r="AC174" s="154"/>
      <c r="AD174" s="154"/>
      <c r="AE174" s="159" t="str">
        <f t="array" ref="AE174">IFERROR(XLOOKUP(B174,'ImportaçãoMeta - Adveronix'!$F:$F,'ImportaçãoMeta - Adveronix'!C:C),"")</f>
        <v/>
      </c>
      <c r="AF174" s="159" t="str">
        <f t="array" ref="AF174">IFERROR(XLOOKUP(B174,'ImportaçãoMeta - Adveronix'!$F:$F,'ImportaçãoMeta - Adveronix'!D:D),"")</f>
        <v/>
      </c>
      <c r="AG174" s="159" t="str">
        <f t="array" ref="AG174">IFERROR(XLOOKUP(B174,'ImportaçãoMeta - Adveronix'!$F:$F,'ImportaçãoMeta - Adveronix'!E:E),"")</f>
        <v/>
      </c>
      <c r="AH174" s="157"/>
      <c r="AI174" s="157"/>
      <c r="AJ174" s="156"/>
      <c r="AK174" s="160">
        <f>IFERROR(COUNTIFS(Leads!$L:$L,$B174,Leads!$F:$F,"*MetaAds"),0)</f>
        <v>0</v>
      </c>
      <c r="AL174" s="160">
        <f>IFERROR(COUNTIFS(Leads!$L:$L,$B174,Leads!$F:$F,"*MetaAds*",Leads!$N:$N,"Sim"),0)</f>
        <v>0</v>
      </c>
    </row>
    <row r="175" ht="15.75" customHeight="1">
      <c r="A175" s="149" t="str">
        <f t="array" ref="A175">XLOOKUP(MONTH(B175),BASE!$F$16:$F$27,BASE!$G$16:$G$27)</f>
        <v>Junho</v>
      </c>
      <c r="B175" s="150">
        <v>46196.0</v>
      </c>
      <c r="C175" s="151"/>
      <c r="D175" s="149" t="str">
        <f t="shared" si="4"/>
        <v>terça-feira</v>
      </c>
      <c r="E175" s="152">
        <f t="shared" ref="E175:J175" si="349">IFERROR(SUM(P175,AB175)," ")</f>
        <v>0</v>
      </c>
      <c r="F175" s="152">
        <f t="shared" si="349"/>
        <v>0</v>
      </c>
      <c r="G175" s="152">
        <f t="shared" si="349"/>
        <v>0</v>
      </c>
      <c r="H175" s="153">
        <f t="shared" si="349"/>
        <v>0</v>
      </c>
      <c r="I175" s="153">
        <f t="shared" si="349"/>
        <v>0</v>
      </c>
      <c r="J175" s="153">
        <f t="shared" si="349"/>
        <v>0</v>
      </c>
      <c r="K175" s="153">
        <f t="shared" ref="K175:O175" si="350">IFERROR(SUM(W175,AH175)," ")</f>
        <v>0</v>
      </c>
      <c r="L175" s="153">
        <f t="shared" si="350"/>
        <v>0</v>
      </c>
      <c r="M175" s="153">
        <f t="shared" si="350"/>
        <v>0</v>
      </c>
      <c r="N175" s="153">
        <f t="shared" si="350"/>
        <v>0</v>
      </c>
      <c r="O175" s="153">
        <f t="shared" si="350"/>
        <v>0</v>
      </c>
      <c r="P175" s="152" t="str">
        <f t="array" ref="P175">IFERROR(XLOOKUP(B175,'ImportaçãoGoogleAds - Adveronix'!$F:$F,'ImportaçãoGoogleAds - Adveronix'!$B:$B)," ")</f>
        <v> </v>
      </c>
      <c r="Q175" s="154"/>
      <c r="R175" s="154"/>
      <c r="S175" s="155" t="str">
        <f t="array" ref="S175">IFERROR(XLOOKUP(B175,'ImportaçãoGoogleAds - Adveronix'!$F:$F,'ImportaçãoGoogleAds - Adveronix'!C:C)," ")</f>
        <v> </v>
      </c>
      <c r="T175" s="155" t="str">
        <f t="array" ref="T175">IFERROR(XLOOKUP(B175,'ImportaçãoGoogleAds - Adveronix'!$F:$F,'ImportaçãoGoogleAds - Adveronix'!D:D)," ")</f>
        <v> </v>
      </c>
      <c r="U175" s="155" t="str">
        <f t="array" ref="U175">IFERROR(XLOOKUP(B175,'ImportaçãoGoogleAds - Adveronix'!$F:$F,'ImportaçãoGoogleAds - Adveronix'!E:E)," ")</f>
        <v> </v>
      </c>
      <c r="V175" s="156"/>
      <c r="W175" s="157"/>
      <c r="X175" s="157"/>
      <c r="Y175" s="158"/>
      <c r="Z175" s="158">
        <f>IFERROR(COUNTIFS(Leads!$L:$L,$B175,Leads!$F:$F,"*google*"),0)</f>
        <v>0</v>
      </c>
      <c r="AA175" s="158">
        <f>IFERROR(COUNTIFS(Leads!$L:$L,$B175,Leads!$F:$F,"*google*",Leads!$N:$N,"Sim"),0)</f>
        <v>0</v>
      </c>
      <c r="AB175" s="152" t="str">
        <f t="array" ref="AB175">IFERROR(XLOOKUP(B175,'ImportaçãoMeta - Adveronix'!F:F,'ImportaçãoMeta - Adveronix'!B:B),"")</f>
        <v/>
      </c>
      <c r="AC175" s="154"/>
      <c r="AD175" s="154"/>
      <c r="AE175" s="159" t="str">
        <f t="array" ref="AE175">IFERROR(XLOOKUP(B175,'ImportaçãoMeta - Adveronix'!$F:$F,'ImportaçãoMeta - Adveronix'!C:C),"")</f>
        <v/>
      </c>
      <c r="AF175" s="159" t="str">
        <f t="array" ref="AF175">IFERROR(XLOOKUP(B175,'ImportaçãoMeta - Adveronix'!$F:$F,'ImportaçãoMeta - Adveronix'!D:D),"")</f>
        <v/>
      </c>
      <c r="AG175" s="159" t="str">
        <f t="array" ref="AG175">IFERROR(XLOOKUP(B175,'ImportaçãoMeta - Adveronix'!$F:$F,'ImportaçãoMeta - Adveronix'!E:E),"")</f>
        <v/>
      </c>
      <c r="AH175" s="157"/>
      <c r="AI175" s="157"/>
      <c r="AJ175" s="156"/>
      <c r="AK175" s="160">
        <f>IFERROR(COUNTIFS(Leads!$L:$L,$B175,Leads!$F:$F,"*MetaAds"),0)</f>
        <v>0</v>
      </c>
      <c r="AL175" s="160">
        <f>IFERROR(COUNTIFS(Leads!$L:$L,$B175,Leads!$F:$F,"*MetaAds*",Leads!$N:$N,"Sim"),0)</f>
        <v>0</v>
      </c>
    </row>
    <row r="176" ht="15.75" customHeight="1">
      <c r="A176" s="149" t="str">
        <f t="array" ref="A176">XLOOKUP(MONTH(B176),BASE!$F$16:$F$27,BASE!$G$16:$G$27)</f>
        <v>Junho</v>
      </c>
      <c r="B176" s="150">
        <v>46197.0</v>
      </c>
      <c r="C176" s="151"/>
      <c r="D176" s="149" t="str">
        <f t="shared" si="4"/>
        <v>quarta-feira</v>
      </c>
      <c r="E176" s="152">
        <f t="shared" ref="E176:J176" si="351">IFERROR(SUM(P176,AB176)," ")</f>
        <v>0</v>
      </c>
      <c r="F176" s="152">
        <f t="shared" si="351"/>
        <v>0</v>
      </c>
      <c r="G176" s="152">
        <f t="shared" si="351"/>
        <v>0</v>
      </c>
      <c r="H176" s="153">
        <f t="shared" si="351"/>
        <v>0</v>
      </c>
      <c r="I176" s="153">
        <f t="shared" si="351"/>
        <v>0</v>
      </c>
      <c r="J176" s="153">
        <f t="shared" si="351"/>
        <v>0</v>
      </c>
      <c r="K176" s="153">
        <f t="shared" ref="K176:O176" si="352">IFERROR(SUM(W176,AH176)," ")</f>
        <v>0</v>
      </c>
      <c r="L176" s="153">
        <f t="shared" si="352"/>
        <v>0</v>
      </c>
      <c r="M176" s="153">
        <f t="shared" si="352"/>
        <v>0</v>
      </c>
      <c r="N176" s="153">
        <f t="shared" si="352"/>
        <v>0</v>
      </c>
      <c r="O176" s="153">
        <f t="shared" si="352"/>
        <v>0</v>
      </c>
      <c r="P176" s="152" t="str">
        <f t="array" ref="P176">IFERROR(XLOOKUP(B176,'ImportaçãoGoogleAds - Adveronix'!$F:$F,'ImportaçãoGoogleAds - Adveronix'!$B:$B)," ")</f>
        <v> </v>
      </c>
      <c r="Q176" s="154"/>
      <c r="R176" s="154"/>
      <c r="S176" s="155" t="str">
        <f t="array" ref="S176">IFERROR(XLOOKUP(B176,'ImportaçãoGoogleAds - Adveronix'!$F:$F,'ImportaçãoGoogleAds - Adveronix'!C:C)," ")</f>
        <v> </v>
      </c>
      <c r="T176" s="155" t="str">
        <f t="array" ref="T176">IFERROR(XLOOKUP(B176,'ImportaçãoGoogleAds - Adveronix'!$F:$F,'ImportaçãoGoogleAds - Adveronix'!D:D)," ")</f>
        <v> </v>
      </c>
      <c r="U176" s="155" t="str">
        <f t="array" ref="U176">IFERROR(XLOOKUP(B176,'ImportaçãoGoogleAds - Adveronix'!$F:$F,'ImportaçãoGoogleAds - Adveronix'!E:E)," ")</f>
        <v> </v>
      </c>
      <c r="V176" s="156"/>
      <c r="W176" s="157"/>
      <c r="X176" s="157"/>
      <c r="Y176" s="158"/>
      <c r="Z176" s="158">
        <f>IFERROR(COUNTIFS(Leads!$L:$L,$B176,Leads!$F:$F,"*google*"),0)</f>
        <v>0</v>
      </c>
      <c r="AA176" s="158">
        <f>IFERROR(COUNTIFS(Leads!$L:$L,$B176,Leads!$F:$F,"*google*",Leads!$N:$N,"Sim"),0)</f>
        <v>0</v>
      </c>
      <c r="AB176" s="152" t="str">
        <f t="array" ref="AB176">IFERROR(XLOOKUP(B176,'ImportaçãoMeta - Adveronix'!F:F,'ImportaçãoMeta - Adveronix'!B:B),"")</f>
        <v/>
      </c>
      <c r="AC176" s="154"/>
      <c r="AD176" s="154"/>
      <c r="AE176" s="159" t="str">
        <f t="array" ref="AE176">IFERROR(XLOOKUP(B176,'ImportaçãoMeta - Adveronix'!$F:$F,'ImportaçãoMeta - Adveronix'!C:C),"")</f>
        <v/>
      </c>
      <c r="AF176" s="159" t="str">
        <f t="array" ref="AF176">IFERROR(XLOOKUP(B176,'ImportaçãoMeta - Adveronix'!$F:$F,'ImportaçãoMeta - Adveronix'!D:D),"")</f>
        <v/>
      </c>
      <c r="AG176" s="159" t="str">
        <f t="array" ref="AG176">IFERROR(XLOOKUP(B176,'ImportaçãoMeta - Adveronix'!$F:$F,'ImportaçãoMeta - Adveronix'!E:E),"")</f>
        <v/>
      </c>
      <c r="AH176" s="157"/>
      <c r="AI176" s="157"/>
      <c r="AJ176" s="156"/>
      <c r="AK176" s="160">
        <f>IFERROR(COUNTIFS(Leads!$L:$L,$B176,Leads!$F:$F,"*MetaAds"),0)</f>
        <v>0</v>
      </c>
      <c r="AL176" s="160">
        <f>IFERROR(COUNTIFS(Leads!$L:$L,$B176,Leads!$F:$F,"*MetaAds*",Leads!$N:$N,"Sim"),0)</f>
        <v>0</v>
      </c>
    </row>
    <row r="177" ht="15.75" customHeight="1">
      <c r="A177" s="149" t="str">
        <f t="array" ref="A177">XLOOKUP(MONTH(B177),BASE!$F$16:$F$27,BASE!$G$16:$G$27)</f>
        <v>Junho</v>
      </c>
      <c r="B177" s="150">
        <v>46198.0</v>
      </c>
      <c r="C177" s="151"/>
      <c r="D177" s="149" t="str">
        <f t="shared" si="4"/>
        <v>quinta-feira</v>
      </c>
      <c r="E177" s="152">
        <f t="shared" ref="E177:J177" si="353">IFERROR(SUM(P177,AB177)," ")</f>
        <v>0</v>
      </c>
      <c r="F177" s="152">
        <f t="shared" si="353"/>
        <v>0</v>
      </c>
      <c r="G177" s="152">
        <f t="shared" si="353"/>
        <v>0</v>
      </c>
      <c r="H177" s="153">
        <f t="shared" si="353"/>
        <v>0</v>
      </c>
      <c r="I177" s="153">
        <f t="shared" si="353"/>
        <v>0</v>
      </c>
      <c r="J177" s="153">
        <f t="shared" si="353"/>
        <v>0</v>
      </c>
      <c r="K177" s="153">
        <f t="shared" ref="K177:O177" si="354">IFERROR(SUM(W177,AH177)," ")</f>
        <v>0</v>
      </c>
      <c r="L177" s="153">
        <f t="shared" si="354"/>
        <v>0</v>
      </c>
      <c r="M177" s="153">
        <f t="shared" si="354"/>
        <v>0</v>
      </c>
      <c r="N177" s="153">
        <f t="shared" si="354"/>
        <v>0</v>
      </c>
      <c r="O177" s="153">
        <f t="shared" si="354"/>
        <v>0</v>
      </c>
      <c r="P177" s="152" t="str">
        <f t="array" ref="P177">IFERROR(XLOOKUP(B177,'ImportaçãoGoogleAds - Adveronix'!$F:$F,'ImportaçãoGoogleAds - Adveronix'!$B:$B)," ")</f>
        <v> </v>
      </c>
      <c r="Q177" s="154"/>
      <c r="R177" s="154"/>
      <c r="S177" s="155" t="str">
        <f t="array" ref="S177">IFERROR(XLOOKUP(B177,'ImportaçãoGoogleAds - Adveronix'!$F:$F,'ImportaçãoGoogleAds - Adveronix'!C:C)," ")</f>
        <v> </v>
      </c>
      <c r="T177" s="155" t="str">
        <f t="array" ref="T177">IFERROR(XLOOKUP(B177,'ImportaçãoGoogleAds - Adveronix'!$F:$F,'ImportaçãoGoogleAds - Adveronix'!D:D)," ")</f>
        <v> </v>
      </c>
      <c r="U177" s="155" t="str">
        <f t="array" ref="U177">IFERROR(XLOOKUP(B177,'ImportaçãoGoogleAds - Adveronix'!$F:$F,'ImportaçãoGoogleAds - Adveronix'!E:E)," ")</f>
        <v> </v>
      </c>
      <c r="V177" s="156"/>
      <c r="W177" s="157"/>
      <c r="X177" s="157"/>
      <c r="Y177" s="158"/>
      <c r="Z177" s="158">
        <f>IFERROR(COUNTIFS(Leads!$L:$L,$B177,Leads!$F:$F,"*google*"),0)</f>
        <v>0</v>
      </c>
      <c r="AA177" s="158">
        <f>IFERROR(COUNTIFS(Leads!$L:$L,$B177,Leads!$F:$F,"*google*",Leads!$N:$N,"Sim"),0)</f>
        <v>0</v>
      </c>
      <c r="AB177" s="152" t="str">
        <f t="array" ref="AB177">IFERROR(XLOOKUP(B177,'ImportaçãoMeta - Adveronix'!F:F,'ImportaçãoMeta - Adveronix'!B:B),"")</f>
        <v/>
      </c>
      <c r="AC177" s="154"/>
      <c r="AD177" s="154"/>
      <c r="AE177" s="159" t="str">
        <f t="array" ref="AE177">IFERROR(XLOOKUP(B177,'ImportaçãoMeta - Adveronix'!$F:$F,'ImportaçãoMeta - Adveronix'!C:C),"")</f>
        <v/>
      </c>
      <c r="AF177" s="159" t="str">
        <f t="array" ref="AF177">IFERROR(XLOOKUP(B177,'ImportaçãoMeta - Adveronix'!$F:$F,'ImportaçãoMeta - Adveronix'!D:D),"")</f>
        <v/>
      </c>
      <c r="AG177" s="159" t="str">
        <f t="array" ref="AG177">IFERROR(XLOOKUP(B177,'ImportaçãoMeta - Adveronix'!$F:$F,'ImportaçãoMeta - Adveronix'!E:E),"")</f>
        <v/>
      </c>
      <c r="AH177" s="157"/>
      <c r="AI177" s="157"/>
      <c r="AJ177" s="156"/>
      <c r="AK177" s="160">
        <f>IFERROR(COUNTIFS(Leads!$L:$L,$B177,Leads!$F:$F,"*MetaAds"),0)</f>
        <v>0</v>
      </c>
      <c r="AL177" s="160">
        <f>IFERROR(COUNTIFS(Leads!$L:$L,$B177,Leads!$F:$F,"*MetaAds*",Leads!$N:$N,"Sim"),0)</f>
        <v>0</v>
      </c>
    </row>
    <row r="178" ht="15.75" customHeight="1">
      <c r="A178" s="149" t="str">
        <f t="array" ref="A178">XLOOKUP(MONTH(B178),BASE!$F$16:$F$27,BASE!$G$16:$G$27)</f>
        <v>Junho</v>
      </c>
      <c r="B178" s="150">
        <v>46199.0</v>
      </c>
      <c r="C178" s="151"/>
      <c r="D178" s="149" t="str">
        <f t="shared" si="4"/>
        <v>sexta-feira</v>
      </c>
      <c r="E178" s="152">
        <f t="shared" ref="E178:J178" si="355">IFERROR(SUM(P178,AB178)," ")</f>
        <v>0</v>
      </c>
      <c r="F178" s="152">
        <f t="shared" si="355"/>
        <v>0</v>
      </c>
      <c r="G178" s="152">
        <f t="shared" si="355"/>
        <v>0</v>
      </c>
      <c r="H178" s="153">
        <f t="shared" si="355"/>
        <v>0</v>
      </c>
      <c r="I178" s="153">
        <f t="shared" si="355"/>
        <v>0</v>
      </c>
      <c r="J178" s="153">
        <f t="shared" si="355"/>
        <v>0</v>
      </c>
      <c r="K178" s="153">
        <f t="shared" ref="K178:O178" si="356">IFERROR(SUM(W178,AH178)," ")</f>
        <v>0</v>
      </c>
      <c r="L178" s="153">
        <f t="shared" si="356"/>
        <v>0</v>
      </c>
      <c r="M178" s="153">
        <f t="shared" si="356"/>
        <v>0</v>
      </c>
      <c r="N178" s="153">
        <f t="shared" si="356"/>
        <v>0</v>
      </c>
      <c r="O178" s="153">
        <f t="shared" si="356"/>
        <v>0</v>
      </c>
      <c r="P178" s="152" t="str">
        <f t="array" ref="P178">IFERROR(XLOOKUP(B178,'ImportaçãoGoogleAds - Adveronix'!$F:$F,'ImportaçãoGoogleAds - Adveronix'!$B:$B)," ")</f>
        <v> </v>
      </c>
      <c r="Q178" s="154"/>
      <c r="R178" s="154"/>
      <c r="S178" s="155" t="str">
        <f t="array" ref="S178">IFERROR(XLOOKUP(B178,'ImportaçãoGoogleAds - Adveronix'!$F:$F,'ImportaçãoGoogleAds - Adveronix'!C:C)," ")</f>
        <v> </v>
      </c>
      <c r="T178" s="155" t="str">
        <f t="array" ref="T178">IFERROR(XLOOKUP(B178,'ImportaçãoGoogleAds - Adveronix'!$F:$F,'ImportaçãoGoogleAds - Adveronix'!D:D)," ")</f>
        <v> </v>
      </c>
      <c r="U178" s="155" t="str">
        <f t="array" ref="U178">IFERROR(XLOOKUP(B178,'ImportaçãoGoogleAds - Adveronix'!$F:$F,'ImportaçãoGoogleAds - Adveronix'!E:E)," ")</f>
        <v> </v>
      </c>
      <c r="V178" s="156"/>
      <c r="W178" s="157"/>
      <c r="X178" s="157"/>
      <c r="Y178" s="158"/>
      <c r="Z178" s="158">
        <f>IFERROR(COUNTIFS(Leads!$L:$L,$B178,Leads!$F:$F,"*google*"),0)</f>
        <v>0</v>
      </c>
      <c r="AA178" s="158">
        <f>IFERROR(COUNTIFS(Leads!$L:$L,$B178,Leads!$F:$F,"*google*",Leads!$N:$N,"Sim"),0)</f>
        <v>0</v>
      </c>
      <c r="AB178" s="152" t="str">
        <f t="array" ref="AB178">IFERROR(XLOOKUP(B178,'ImportaçãoMeta - Adveronix'!F:F,'ImportaçãoMeta - Adveronix'!B:B),"")</f>
        <v/>
      </c>
      <c r="AC178" s="154"/>
      <c r="AD178" s="154"/>
      <c r="AE178" s="159" t="str">
        <f t="array" ref="AE178">IFERROR(XLOOKUP(B178,'ImportaçãoMeta - Adveronix'!$F:$F,'ImportaçãoMeta - Adveronix'!C:C),"")</f>
        <v/>
      </c>
      <c r="AF178" s="159" t="str">
        <f t="array" ref="AF178">IFERROR(XLOOKUP(B178,'ImportaçãoMeta - Adveronix'!$F:$F,'ImportaçãoMeta - Adveronix'!D:D),"")</f>
        <v/>
      </c>
      <c r="AG178" s="159" t="str">
        <f t="array" ref="AG178">IFERROR(XLOOKUP(B178,'ImportaçãoMeta - Adveronix'!$F:$F,'ImportaçãoMeta - Adveronix'!E:E),"")</f>
        <v/>
      </c>
      <c r="AH178" s="157"/>
      <c r="AI178" s="157"/>
      <c r="AJ178" s="156"/>
      <c r="AK178" s="160">
        <f>IFERROR(COUNTIFS(Leads!$L:$L,$B178,Leads!$F:$F,"*MetaAds"),0)</f>
        <v>0</v>
      </c>
      <c r="AL178" s="160">
        <f>IFERROR(COUNTIFS(Leads!$L:$L,$B178,Leads!$F:$F,"*MetaAds*",Leads!$N:$N,"Sim"),0)</f>
        <v>0</v>
      </c>
    </row>
    <row r="179" ht="15.75" customHeight="1">
      <c r="A179" s="149" t="str">
        <f t="array" ref="A179">XLOOKUP(MONTH(B179),BASE!$F$16:$F$27,BASE!$G$16:$G$27)</f>
        <v>Junho</v>
      </c>
      <c r="B179" s="150">
        <v>46200.0</v>
      </c>
      <c r="C179" s="151"/>
      <c r="D179" s="149" t="str">
        <f t="shared" si="4"/>
        <v>sábado</v>
      </c>
      <c r="E179" s="152">
        <f t="shared" ref="E179:J179" si="357">IFERROR(SUM(P179,AB179)," ")</f>
        <v>0</v>
      </c>
      <c r="F179" s="152">
        <f t="shared" si="357"/>
        <v>0</v>
      </c>
      <c r="G179" s="152">
        <f t="shared" si="357"/>
        <v>0</v>
      </c>
      <c r="H179" s="153">
        <f t="shared" si="357"/>
        <v>0</v>
      </c>
      <c r="I179" s="153">
        <f t="shared" si="357"/>
        <v>0</v>
      </c>
      <c r="J179" s="153">
        <f t="shared" si="357"/>
        <v>0</v>
      </c>
      <c r="K179" s="153">
        <f t="shared" ref="K179:O179" si="358">IFERROR(SUM(W179,AH179)," ")</f>
        <v>0</v>
      </c>
      <c r="L179" s="153">
        <f t="shared" si="358"/>
        <v>0</v>
      </c>
      <c r="M179" s="153">
        <f t="shared" si="358"/>
        <v>0</v>
      </c>
      <c r="N179" s="153">
        <f t="shared" si="358"/>
        <v>0</v>
      </c>
      <c r="O179" s="153">
        <f t="shared" si="358"/>
        <v>0</v>
      </c>
      <c r="P179" s="152" t="str">
        <f t="array" ref="P179">IFERROR(XLOOKUP(B179,'ImportaçãoGoogleAds - Adveronix'!$F:$F,'ImportaçãoGoogleAds - Adveronix'!$B:$B)," ")</f>
        <v> </v>
      </c>
      <c r="Q179" s="154"/>
      <c r="R179" s="154"/>
      <c r="S179" s="155" t="str">
        <f t="array" ref="S179">IFERROR(XLOOKUP(B179,'ImportaçãoGoogleAds - Adveronix'!$F:$F,'ImportaçãoGoogleAds - Adveronix'!C:C)," ")</f>
        <v> </v>
      </c>
      <c r="T179" s="155" t="str">
        <f t="array" ref="T179">IFERROR(XLOOKUP(B179,'ImportaçãoGoogleAds - Adveronix'!$F:$F,'ImportaçãoGoogleAds - Adveronix'!D:D)," ")</f>
        <v> </v>
      </c>
      <c r="U179" s="155" t="str">
        <f t="array" ref="U179">IFERROR(XLOOKUP(B179,'ImportaçãoGoogleAds - Adveronix'!$F:$F,'ImportaçãoGoogleAds - Adveronix'!E:E)," ")</f>
        <v> </v>
      </c>
      <c r="V179" s="156"/>
      <c r="W179" s="157"/>
      <c r="X179" s="157"/>
      <c r="Y179" s="158"/>
      <c r="Z179" s="158">
        <f>IFERROR(COUNTIFS(Leads!$L:$L,$B179,Leads!$F:$F,"*google*"),0)</f>
        <v>0</v>
      </c>
      <c r="AA179" s="158">
        <f>IFERROR(COUNTIFS(Leads!$L:$L,$B179,Leads!$F:$F,"*google*",Leads!$N:$N,"Sim"),0)</f>
        <v>0</v>
      </c>
      <c r="AB179" s="152" t="str">
        <f t="array" ref="AB179">IFERROR(XLOOKUP(B179,'ImportaçãoMeta - Adveronix'!F:F,'ImportaçãoMeta - Adveronix'!B:B),"")</f>
        <v/>
      </c>
      <c r="AC179" s="154"/>
      <c r="AD179" s="154"/>
      <c r="AE179" s="159" t="str">
        <f t="array" ref="AE179">IFERROR(XLOOKUP(B179,'ImportaçãoMeta - Adveronix'!$F:$F,'ImportaçãoMeta - Adveronix'!C:C),"")</f>
        <v/>
      </c>
      <c r="AF179" s="159" t="str">
        <f t="array" ref="AF179">IFERROR(XLOOKUP(B179,'ImportaçãoMeta - Adveronix'!$F:$F,'ImportaçãoMeta - Adveronix'!D:D),"")</f>
        <v/>
      </c>
      <c r="AG179" s="159" t="str">
        <f t="array" ref="AG179">IFERROR(XLOOKUP(B179,'ImportaçãoMeta - Adveronix'!$F:$F,'ImportaçãoMeta - Adveronix'!E:E),"")</f>
        <v/>
      </c>
      <c r="AH179" s="157"/>
      <c r="AI179" s="157"/>
      <c r="AJ179" s="156"/>
      <c r="AK179" s="160">
        <f>IFERROR(COUNTIFS(Leads!$L:$L,$B179,Leads!$F:$F,"*MetaAds"),0)</f>
        <v>0</v>
      </c>
      <c r="AL179" s="160">
        <f>IFERROR(COUNTIFS(Leads!$L:$L,$B179,Leads!$F:$F,"*MetaAds*",Leads!$N:$N,"Sim"),0)</f>
        <v>0</v>
      </c>
    </row>
    <row r="180" ht="15.75" customHeight="1">
      <c r="A180" s="149" t="str">
        <f t="array" ref="A180">XLOOKUP(MONTH(B180),BASE!$F$16:$F$27,BASE!$G$16:$G$27)</f>
        <v>Junho</v>
      </c>
      <c r="B180" s="150">
        <v>46201.0</v>
      </c>
      <c r="C180" s="151"/>
      <c r="D180" s="149" t="str">
        <f t="shared" si="4"/>
        <v>domingo</v>
      </c>
      <c r="E180" s="152">
        <f t="shared" ref="E180:J180" si="359">IFERROR(SUM(P180,AB180)," ")</f>
        <v>0</v>
      </c>
      <c r="F180" s="152">
        <f t="shared" si="359"/>
        <v>0</v>
      </c>
      <c r="G180" s="152">
        <f t="shared" si="359"/>
        <v>0</v>
      </c>
      <c r="H180" s="153">
        <f t="shared" si="359"/>
        <v>0</v>
      </c>
      <c r="I180" s="153">
        <f t="shared" si="359"/>
        <v>0</v>
      </c>
      <c r="J180" s="153">
        <f t="shared" si="359"/>
        <v>0</v>
      </c>
      <c r="K180" s="153">
        <f t="shared" ref="K180:O180" si="360">IFERROR(SUM(W180,AH180)," ")</f>
        <v>0</v>
      </c>
      <c r="L180" s="153">
        <f t="shared" si="360"/>
        <v>0</v>
      </c>
      <c r="M180" s="153">
        <f t="shared" si="360"/>
        <v>0</v>
      </c>
      <c r="N180" s="153">
        <f t="shared" si="360"/>
        <v>0</v>
      </c>
      <c r="O180" s="153">
        <f t="shared" si="360"/>
        <v>0</v>
      </c>
      <c r="P180" s="152" t="str">
        <f t="array" ref="P180">IFERROR(XLOOKUP(B180,'ImportaçãoGoogleAds - Adveronix'!$F:$F,'ImportaçãoGoogleAds - Adveronix'!$B:$B)," ")</f>
        <v> </v>
      </c>
      <c r="Q180" s="154"/>
      <c r="R180" s="154"/>
      <c r="S180" s="155" t="str">
        <f t="array" ref="S180">IFERROR(XLOOKUP(B180,'ImportaçãoGoogleAds - Adveronix'!$F:$F,'ImportaçãoGoogleAds - Adveronix'!C:C)," ")</f>
        <v> </v>
      </c>
      <c r="T180" s="155" t="str">
        <f t="array" ref="T180">IFERROR(XLOOKUP(B180,'ImportaçãoGoogleAds - Adveronix'!$F:$F,'ImportaçãoGoogleAds - Adveronix'!D:D)," ")</f>
        <v> </v>
      </c>
      <c r="U180" s="155" t="str">
        <f t="array" ref="U180">IFERROR(XLOOKUP(B180,'ImportaçãoGoogleAds - Adveronix'!$F:$F,'ImportaçãoGoogleAds - Adveronix'!E:E)," ")</f>
        <v> </v>
      </c>
      <c r="V180" s="156"/>
      <c r="W180" s="157"/>
      <c r="X180" s="157"/>
      <c r="Y180" s="158"/>
      <c r="Z180" s="158">
        <f>IFERROR(COUNTIFS(Leads!$L:$L,$B180,Leads!$F:$F,"*google*"),0)</f>
        <v>0</v>
      </c>
      <c r="AA180" s="158">
        <f>IFERROR(COUNTIFS(Leads!$L:$L,$B180,Leads!$F:$F,"*google*",Leads!$N:$N,"Sim"),0)</f>
        <v>0</v>
      </c>
      <c r="AB180" s="152" t="str">
        <f t="array" ref="AB180">IFERROR(XLOOKUP(B180,'ImportaçãoMeta - Adveronix'!F:F,'ImportaçãoMeta - Adveronix'!B:B),"")</f>
        <v/>
      </c>
      <c r="AC180" s="154"/>
      <c r="AD180" s="154"/>
      <c r="AE180" s="159" t="str">
        <f t="array" ref="AE180">IFERROR(XLOOKUP(B180,'ImportaçãoMeta - Adveronix'!$F:$F,'ImportaçãoMeta - Adveronix'!C:C),"")</f>
        <v/>
      </c>
      <c r="AF180" s="159" t="str">
        <f t="array" ref="AF180">IFERROR(XLOOKUP(B180,'ImportaçãoMeta - Adveronix'!$F:$F,'ImportaçãoMeta - Adveronix'!D:D),"")</f>
        <v/>
      </c>
      <c r="AG180" s="159" t="str">
        <f t="array" ref="AG180">IFERROR(XLOOKUP(B180,'ImportaçãoMeta - Adveronix'!$F:$F,'ImportaçãoMeta - Adveronix'!E:E),"")</f>
        <v/>
      </c>
      <c r="AH180" s="157"/>
      <c r="AI180" s="157"/>
      <c r="AJ180" s="156"/>
      <c r="AK180" s="160">
        <f>IFERROR(COUNTIFS(Leads!$L:$L,$B180,Leads!$F:$F,"*MetaAds"),0)</f>
        <v>0</v>
      </c>
      <c r="AL180" s="160">
        <f>IFERROR(COUNTIFS(Leads!$L:$L,$B180,Leads!$F:$F,"*MetaAds*",Leads!$N:$N,"Sim"),0)</f>
        <v>0</v>
      </c>
    </row>
    <row r="181" ht="15.75" customHeight="1">
      <c r="A181" s="149" t="str">
        <f t="array" ref="A181">XLOOKUP(MONTH(B181),BASE!$F$16:$F$27,BASE!$G$16:$G$27)</f>
        <v>Junho</v>
      </c>
      <c r="B181" s="150">
        <v>46202.0</v>
      </c>
      <c r="C181" s="151"/>
      <c r="D181" s="149" t="str">
        <f t="shared" si="4"/>
        <v>segunda-feira</v>
      </c>
      <c r="E181" s="152">
        <f t="shared" ref="E181:J181" si="361">IFERROR(SUM(P181,AB181)," ")</f>
        <v>0</v>
      </c>
      <c r="F181" s="152">
        <f t="shared" si="361"/>
        <v>0</v>
      </c>
      <c r="G181" s="152">
        <f t="shared" si="361"/>
        <v>0</v>
      </c>
      <c r="H181" s="153">
        <f t="shared" si="361"/>
        <v>0</v>
      </c>
      <c r="I181" s="153">
        <f t="shared" si="361"/>
        <v>0</v>
      </c>
      <c r="J181" s="153">
        <f t="shared" si="361"/>
        <v>0</v>
      </c>
      <c r="K181" s="153">
        <f t="shared" ref="K181:O181" si="362">IFERROR(SUM(W181,AH181)," ")</f>
        <v>0</v>
      </c>
      <c r="L181" s="153">
        <f t="shared" si="362"/>
        <v>0</v>
      </c>
      <c r="M181" s="153">
        <f t="shared" si="362"/>
        <v>0</v>
      </c>
      <c r="N181" s="153">
        <f t="shared" si="362"/>
        <v>0</v>
      </c>
      <c r="O181" s="153">
        <f t="shared" si="362"/>
        <v>0</v>
      </c>
      <c r="P181" s="152" t="str">
        <f t="array" ref="P181">IFERROR(XLOOKUP(B181,'ImportaçãoGoogleAds - Adveronix'!$F:$F,'ImportaçãoGoogleAds - Adveronix'!$B:$B)," ")</f>
        <v> </v>
      </c>
      <c r="Q181" s="154"/>
      <c r="R181" s="154"/>
      <c r="S181" s="155" t="str">
        <f t="array" ref="S181">IFERROR(XLOOKUP(B181,'ImportaçãoGoogleAds - Adveronix'!$F:$F,'ImportaçãoGoogleAds - Adveronix'!C:C)," ")</f>
        <v> </v>
      </c>
      <c r="T181" s="155" t="str">
        <f t="array" ref="T181">IFERROR(XLOOKUP(B181,'ImportaçãoGoogleAds - Adveronix'!$F:$F,'ImportaçãoGoogleAds - Adveronix'!D:D)," ")</f>
        <v> </v>
      </c>
      <c r="U181" s="155" t="str">
        <f t="array" ref="U181">IFERROR(XLOOKUP(B181,'ImportaçãoGoogleAds - Adveronix'!$F:$F,'ImportaçãoGoogleAds - Adveronix'!E:E)," ")</f>
        <v> </v>
      </c>
      <c r="V181" s="156"/>
      <c r="W181" s="157"/>
      <c r="X181" s="157"/>
      <c r="Y181" s="158"/>
      <c r="Z181" s="158">
        <f>IFERROR(COUNTIFS(Leads!$L:$L,$B181,Leads!$F:$F,"*google*"),0)</f>
        <v>0</v>
      </c>
      <c r="AA181" s="158">
        <f>IFERROR(COUNTIFS(Leads!$L:$L,$B181,Leads!$F:$F,"*google*",Leads!$N:$N,"Sim"),0)</f>
        <v>0</v>
      </c>
      <c r="AB181" s="152" t="str">
        <f t="array" ref="AB181">IFERROR(XLOOKUP(B181,'ImportaçãoMeta - Adveronix'!F:F,'ImportaçãoMeta - Adveronix'!B:B),"")</f>
        <v/>
      </c>
      <c r="AC181" s="154"/>
      <c r="AD181" s="154"/>
      <c r="AE181" s="159" t="str">
        <f t="array" ref="AE181">IFERROR(XLOOKUP(B181,'ImportaçãoMeta - Adveronix'!$F:$F,'ImportaçãoMeta - Adveronix'!C:C),"")</f>
        <v/>
      </c>
      <c r="AF181" s="159" t="str">
        <f t="array" ref="AF181">IFERROR(XLOOKUP(B181,'ImportaçãoMeta - Adveronix'!$F:$F,'ImportaçãoMeta - Adveronix'!D:D),"")</f>
        <v/>
      </c>
      <c r="AG181" s="159" t="str">
        <f t="array" ref="AG181">IFERROR(XLOOKUP(B181,'ImportaçãoMeta - Adveronix'!$F:$F,'ImportaçãoMeta - Adveronix'!E:E),"")</f>
        <v/>
      </c>
      <c r="AH181" s="157"/>
      <c r="AI181" s="157"/>
      <c r="AJ181" s="156"/>
      <c r="AK181" s="160">
        <f>IFERROR(COUNTIFS(Leads!$L:$L,$B181,Leads!$F:$F,"*MetaAds"),0)</f>
        <v>0</v>
      </c>
      <c r="AL181" s="160">
        <f>IFERROR(COUNTIFS(Leads!$L:$L,$B181,Leads!$F:$F,"*MetaAds*",Leads!$N:$N,"Sim"),0)</f>
        <v>0</v>
      </c>
    </row>
    <row r="182" ht="15.75" customHeight="1">
      <c r="A182" s="149" t="str">
        <f t="array" ref="A182">XLOOKUP(MONTH(B182),BASE!$F$16:$F$27,BASE!$G$16:$G$27)</f>
        <v>Junho</v>
      </c>
      <c r="B182" s="150">
        <v>46203.0</v>
      </c>
      <c r="C182" s="151"/>
      <c r="D182" s="149" t="str">
        <f t="shared" si="4"/>
        <v>terça-feira</v>
      </c>
      <c r="E182" s="152">
        <f t="shared" ref="E182:J182" si="363">IFERROR(SUM(P182,AB182)," ")</f>
        <v>0</v>
      </c>
      <c r="F182" s="152">
        <f t="shared" si="363"/>
        <v>0</v>
      </c>
      <c r="G182" s="152">
        <f t="shared" si="363"/>
        <v>0</v>
      </c>
      <c r="H182" s="153">
        <f t="shared" si="363"/>
        <v>0</v>
      </c>
      <c r="I182" s="153">
        <f t="shared" si="363"/>
        <v>0</v>
      </c>
      <c r="J182" s="153">
        <f t="shared" si="363"/>
        <v>0</v>
      </c>
      <c r="K182" s="153">
        <f t="shared" ref="K182:O182" si="364">IFERROR(SUM(W182,AH182)," ")</f>
        <v>0</v>
      </c>
      <c r="L182" s="153">
        <f t="shared" si="364"/>
        <v>0</v>
      </c>
      <c r="M182" s="153">
        <f t="shared" si="364"/>
        <v>0</v>
      </c>
      <c r="N182" s="153">
        <f t="shared" si="364"/>
        <v>0</v>
      </c>
      <c r="O182" s="153">
        <f t="shared" si="364"/>
        <v>0</v>
      </c>
      <c r="P182" s="152" t="str">
        <f t="array" ref="P182">IFERROR(XLOOKUP(B182,'ImportaçãoGoogleAds - Adveronix'!$F:$F,'ImportaçãoGoogleAds - Adveronix'!$B:$B)," ")</f>
        <v> </v>
      </c>
      <c r="Q182" s="154"/>
      <c r="R182" s="154"/>
      <c r="S182" s="155" t="str">
        <f t="array" ref="S182">IFERROR(XLOOKUP(B182,'ImportaçãoGoogleAds - Adveronix'!$F:$F,'ImportaçãoGoogleAds - Adveronix'!C:C)," ")</f>
        <v> </v>
      </c>
      <c r="T182" s="155" t="str">
        <f t="array" ref="T182">IFERROR(XLOOKUP(B182,'ImportaçãoGoogleAds - Adveronix'!$F:$F,'ImportaçãoGoogleAds - Adveronix'!D:D)," ")</f>
        <v> </v>
      </c>
      <c r="U182" s="155" t="str">
        <f t="array" ref="U182">IFERROR(XLOOKUP(B182,'ImportaçãoGoogleAds - Adveronix'!$F:$F,'ImportaçãoGoogleAds - Adveronix'!E:E)," ")</f>
        <v> </v>
      </c>
      <c r="V182" s="156"/>
      <c r="W182" s="157"/>
      <c r="X182" s="157"/>
      <c r="Y182" s="158"/>
      <c r="Z182" s="158">
        <f>IFERROR(COUNTIFS(Leads!$L:$L,$B182,Leads!$F:$F,"*google*"),0)</f>
        <v>0</v>
      </c>
      <c r="AA182" s="158">
        <f>IFERROR(COUNTIFS(Leads!$L:$L,$B182,Leads!$F:$F,"*google*",Leads!$N:$N,"Sim"),0)</f>
        <v>0</v>
      </c>
      <c r="AB182" s="152" t="str">
        <f t="array" ref="AB182">IFERROR(XLOOKUP(B182,'ImportaçãoMeta - Adveronix'!F:F,'ImportaçãoMeta - Adveronix'!B:B),"")</f>
        <v/>
      </c>
      <c r="AC182" s="154"/>
      <c r="AD182" s="154"/>
      <c r="AE182" s="159" t="str">
        <f t="array" ref="AE182">IFERROR(XLOOKUP(B182,'ImportaçãoMeta - Adveronix'!$F:$F,'ImportaçãoMeta - Adveronix'!C:C),"")</f>
        <v/>
      </c>
      <c r="AF182" s="159" t="str">
        <f t="array" ref="AF182">IFERROR(XLOOKUP(B182,'ImportaçãoMeta - Adveronix'!$F:$F,'ImportaçãoMeta - Adveronix'!D:D),"")</f>
        <v/>
      </c>
      <c r="AG182" s="159" t="str">
        <f t="array" ref="AG182">IFERROR(XLOOKUP(B182,'ImportaçãoMeta - Adveronix'!$F:$F,'ImportaçãoMeta - Adveronix'!E:E),"")</f>
        <v/>
      </c>
      <c r="AH182" s="157"/>
      <c r="AI182" s="157"/>
      <c r="AJ182" s="156"/>
      <c r="AK182" s="160">
        <f>IFERROR(COUNTIFS(Leads!$L:$L,$B182,Leads!$F:$F,"*MetaAds"),0)</f>
        <v>0</v>
      </c>
      <c r="AL182" s="160">
        <f>IFERROR(COUNTIFS(Leads!$L:$L,$B182,Leads!$F:$F,"*MetaAds*",Leads!$N:$N,"Sim"),0)</f>
        <v>0</v>
      </c>
    </row>
    <row r="183" ht="15.75" customHeight="1">
      <c r="A183" s="149" t="str">
        <f t="array" ref="A183">XLOOKUP(MONTH(B183),BASE!$F$16:$F$27,BASE!$G$16:$G$27)</f>
        <v>Julho</v>
      </c>
      <c r="B183" s="150">
        <v>46204.0</v>
      </c>
      <c r="C183" s="151"/>
      <c r="D183" s="149" t="str">
        <f t="shared" si="4"/>
        <v>quarta-feira</v>
      </c>
      <c r="E183" s="152">
        <f t="shared" ref="E183:J183" si="365">IFERROR(SUM(P183,AB183)," ")</f>
        <v>0</v>
      </c>
      <c r="F183" s="152">
        <f t="shared" si="365"/>
        <v>0</v>
      </c>
      <c r="G183" s="152">
        <f t="shared" si="365"/>
        <v>0</v>
      </c>
      <c r="H183" s="153">
        <f t="shared" si="365"/>
        <v>0</v>
      </c>
      <c r="I183" s="153">
        <f t="shared" si="365"/>
        <v>0</v>
      </c>
      <c r="J183" s="153">
        <f t="shared" si="365"/>
        <v>0</v>
      </c>
      <c r="K183" s="153">
        <f t="shared" ref="K183:O183" si="366">IFERROR(SUM(W183,AH183)," ")</f>
        <v>0</v>
      </c>
      <c r="L183" s="153">
        <f t="shared" si="366"/>
        <v>0</v>
      </c>
      <c r="M183" s="153">
        <f t="shared" si="366"/>
        <v>0</v>
      </c>
      <c r="N183" s="153">
        <f t="shared" si="366"/>
        <v>0</v>
      </c>
      <c r="O183" s="153">
        <f t="shared" si="366"/>
        <v>0</v>
      </c>
      <c r="P183" s="152" t="str">
        <f t="array" ref="P183">IFERROR(XLOOKUP(B183,'ImportaçãoGoogleAds - Adveronix'!$F:$F,'ImportaçãoGoogleAds - Adveronix'!$B:$B)," ")</f>
        <v> </v>
      </c>
      <c r="Q183" s="154"/>
      <c r="R183" s="154"/>
      <c r="S183" s="155" t="str">
        <f t="array" ref="S183">IFERROR(XLOOKUP(B183,'ImportaçãoGoogleAds - Adveronix'!$F:$F,'ImportaçãoGoogleAds - Adveronix'!C:C)," ")</f>
        <v> </v>
      </c>
      <c r="T183" s="155" t="str">
        <f t="array" ref="T183">IFERROR(XLOOKUP(B183,'ImportaçãoGoogleAds - Adveronix'!$F:$F,'ImportaçãoGoogleAds - Adveronix'!D:D)," ")</f>
        <v> </v>
      </c>
      <c r="U183" s="155" t="str">
        <f t="array" ref="U183">IFERROR(XLOOKUP(B183,'ImportaçãoGoogleAds - Adveronix'!$F:$F,'ImportaçãoGoogleAds - Adveronix'!E:E)," ")</f>
        <v> </v>
      </c>
      <c r="V183" s="156"/>
      <c r="W183" s="157"/>
      <c r="X183" s="157"/>
      <c r="Y183" s="158"/>
      <c r="Z183" s="158">
        <f>IFERROR(COUNTIFS(Leads!$L:$L,$B183,Leads!$F:$F,"*google*"),0)</f>
        <v>0</v>
      </c>
      <c r="AA183" s="158">
        <f>IFERROR(COUNTIFS(Leads!$L:$L,$B183,Leads!$F:$F,"*google*",Leads!$N:$N,"Sim"),0)</f>
        <v>0</v>
      </c>
      <c r="AB183" s="152" t="str">
        <f t="array" ref="AB183">IFERROR(XLOOKUP(B183,'ImportaçãoMeta - Adveronix'!F:F,'ImportaçãoMeta - Adveronix'!B:B),"")</f>
        <v/>
      </c>
      <c r="AC183" s="154"/>
      <c r="AD183" s="154"/>
      <c r="AE183" s="159" t="str">
        <f t="array" ref="AE183">IFERROR(XLOOKUP(B183,'ImportaçãoMeta - Adveronix'!$F:$F,'ImportaçãoMeta - Adveronix'!C:C),"")</f>
        <v/>
      </c>
      <c r="AF183" s="159" t="str">
        <f t="array" ref="AF183">IFERROR(XLOOKUP(B183,'ImportaçãoMeta - Adveronix'!$F:$F,'ImportaçãoMeta - Adveronix'!D:D),"")</f>
        <v/>
      </c>
      <c r="AG183" s="159" t="str">
        <f t="array" ref="AG183">IFERROR(XLOOKUP(B183,'ImportaçãoMeta - Adveronix'!$F:$F,'ImportaçãoMeta - Adveronix'!E:E),"")</f>
        <v/>
      </c>
      <c r="AH183" s="157"/>
      <c r="AI183" s="157"/>
      <c r="AJ183" s="156"/>
      <c r="AK183" s="160">
        <f>IFERROR(COUNTIFS(Leads!$L:$L,$B183,Leads!$F:$F,"*MetaAds"),0)</f>
        <v>0</v>
      </c>
      <c r="AL183" s="160">
        <f>IFERROR(COUNTIFS(Leads!$L:$L,$B183,Leads!$F:$F,"*MetaAds*",Leads!$N:$N,"Sim"),0)</f>
        <v>0</v>
      </c>
    </row>
    <row r="184" ht="15.75" customHeight="1">
      <c r="A184" s="149" t="str">
        <f t="array" ref="A184">XLOOKUP(MONTH(B184),BASE!$F$16:$F$27,BASE!$G$16:$G$27)</f>
        <v>Julho</v>
      </c>
      <c r="B184" s="150">
        <v>46205.0</v>
      </c>
      <c r="C184" s="151"/>
      <c r="D184" s="149" t="str">
        <f t="shared" si="4"/>
        <v>quinta-feira</v>
      </c>
      <c r="E184" s="152">
        <f t="shared" ref="E184:J184" si="367">IFERROR(SUM(P184,AB184)," ")</f>
        <v>0</v>
      </c>
      <c r="F184" s="152">
        <f t="shared" si="367"/>
        <v>0</v>
      </c>
      <c r="G184" s="152">
        <f t="shared" si="367"/>
        <v>0</v>
      </c>
      <c r="H184" s="153">
        <f t="shared" si="367"/>
        <v>0</v>
      </c>
      <c r="I184" s="153">
        <f t="shared" si="367"/>
        <v>0</v>
      </c>
      <c r="J184" s="153">
        <f t="shared" si="367"/>
        <v>0</v>
      </c>
      <c r="K184" s="153">
        <f t="shared" ref="K184:O184" si="368">IFERROR(SUM(W184,AH184)," ")</f>
        <v>0</v>
      </c>
      <c r="L184" s="153">
        <f t="shared" si="368"/>
        <v>0</v>
      </c>
      <c r="M184" s="153">
        <f t="shared" si="368"/>
        <v>0</v>
      </c>
      <c r="N184" s="153">
        <f t="shared" si="368"/>
        <v>0</v>
      </c>
      <c r="O184" s="153">
        <f t="shared" si="368"/>
        <v>0</v>
      </c>
      <c r="P184" s="152" t="str">
        <f t="array" ref="P184">IFERROR(XLOOKUP(B184,'ImportaçãoGoogleAds - Adveronix'!$F:$F,'ImportaçãoGoogleAds - Adveronix'!$B:$B)," ")</f>
        <v> </v>
      </c>
      <c r="Q184" s="154"/>
      <c r="R184" s="154"/>
      <c r="S184" s="155" t="str">
        <f t="array" ref="S184">IFERROR(XLOOKUP(B184,'ImportaçãoGoogleAds - Adveronix'!$F:$F,'ImportaçãoGoogleAds - Adveronix'!C:C)," ")</f>
        <v> </v>
      </c>
      <c r="T184" s="155" t="str">
        <f t="array" ref="T184">IFERROR(XLOOKUP(B184,'ImportaçãoGoogleAds - Adveronix'!$F:$F,'ImportaçãoGoogleAds - Adveronix'!D:D)," ")</f>
        <v> </v>
      </c>
      <c r="U184" s="155" t="str">
        <f t="array" ref="U184">IFERROR(XLOOKUP(B184,'ImportaçãoGoogleAds - Adveronix'!$F:$F,'ImportaçãoGoogleAds - Adveronix'!E:E)," ")</f>
        <v> </v>
      </c>
      <c r="V184" s="156"/>
      <c r="W184" s="157"/>
      <c r="X184" s="157"/>
      <c r="Y184" s="158"/>
      <c r="Z184" s="158">
        <f>IFERROR(COUNTIFS(Leads!$L:$L,$B184,Leads!$F:$F,"*google*"),0)</f>
        <v>0</v>
      </c>
      <c r="AA184" s="158">
        <f>IFERROR(COUNTIFS(Leads!$L:$L,$B184,Leads!$F:$F,"*google*",Leads!$N:$N,"Sim"),0)</f>
        <v>0</v>
      </c>
      <c r="AB184" s="152" t="str">
        <f t="array" ref="AB184">IFERROR(XLOOKUP(B184,'ImportaçãoMeta - Adveronix'!F:F,'ImportaçãoMeta - Adveronix'!B:B),"")</f>
        <v/>
      </c>
      <c r="AC184" s="154"/>
      <c r="AD184" s="154"/>
      <c r="AE184" s="159" t="str">
        <f t="array" ref="AE184">IFERROR(XLOOKUP(B184,'ImportaçãoMeta - Adveronix'!$F:$F,'ImportaçãoMeta - Adveronix'!C:C),"")</f>
        <v/>
      </c>
      <c r="AF184" s="159" t="str">
        <f t="array" ref="AF184">IFERROR(XLOOKUP(B184,'ImportaçãoMeta - Adveronix'!$F:$F,'ImportaçãoMeta - Adveronix'!D:D),"")</f>
        <v/>
      </c>
      <c r="AG184" s="159" t="str">
        <f t="array" ref="AG184">IFERROR(XLOOKUP(B184,'ImportaçãoMeta - Adveronix'!$F:$F,'ImportaçãoMeta - Adveronix'!E:E),"")</f>
        <v/>
      </c>
      <c r="AH184" s="157"/>
      <c r="AI184" s="157"/>
      <c r="AJ184" s="156"/>
      <c r="AK184" s="160">
        <f>IFERROR(COUNTIFS(Leads!$L:$L,$B184,Leads!$F:$F,"*MetaAds"),0)</f>
        <v>0</v>
      </c>
      <c r="AL184" s="160">
        <f>IFERROR(COUNTIFS(Leads!$L:$L,$B184,Leads!$F:$F,"*MetaAds*",Leads!$N:$N,"Sim"),0)</f>
        <v>0</v>
      </c>
    </row>
    <row r="185" ht="15.75" customHeight="1">
      <c r="A185" s="149" t="str">
        <f t="array" ref="A185">XLOOKUP(MONTH(B185),BASE!$F$16:$F$27,BASE!$G$16:$G$27)</f>
        <v>Julho</v>
      </c>
      <c r="B185" s="150">
        <v>46206.0</v>
      </c>
      <c r="C185" s="151"/>
      <c r="D185" s="149" t="str">
        <f t="shared" si="4"/>
        <v>sexta-feira</v>
      </c>
      <c r="E185" s="152">
        <f t="shared" ref="E185:J185" si="369">IFERROR(SUM(P185,AB185)," ")</f>
        <v>0</v>
      </c>
      <c r="F185" s="152">
        <f t="shared" si="369"/>
        <v>0</v>
      </c>
      <c r="G185" s="152">
        <f t="shared" si="369"/>
        <v>0</v>
      </c>
      <c r="H185" s="153">
        <f t="shared" si="369"/>
        <v>0</v>
      </c>
      <c r="I185" s="153">
        <f t="shared" si="369"/>
        <v>0</v>
      </c>
      <c r="J185" s="153">
        <f t="shared" si="369"/>
        <v>0</v>
      </c>
      <c r="K185" s="153">
        <f t="shared" ref="K185:O185" si="370">IFERROR(SUM(W185,AH185)," ")</f>
        <v>0</v>
      </c>
      <c r="L185" s="153">
        <f t="shared" si="370"/>
        <v>0</v>
      </c>
      <c r="M185" s="153">
        <f t="shared" si="370"/>
        <v>0</v>
      </c>
      <c r="N185" s="153">
        <f t="shared" si="370"/>
        <v>0</v>
      </c>
      <c r="O185" s="153">
        <f t="shared" si="370"/>
        <v>0</v>
      </c>
      <c r="P185" s="152" t="str">
        <f t="array" ref="P185">IFERROR(XLOOKUP(B185,'ImportaçãoGoogleAds - Adveronix'!$F:$F,'ImportaçãoGoogleAds - Adveronix'!$B:$B)," ")</f>
        <v> </v>
      </c>
      <c r="Q185" s="154"/>
      <c r="R185" s="154"/>
      <c r="S185" s="155" t="str">
        <f t="array" ref="S185">IFERROR(XLOOKUP(B185,'ImportaçãoGoogleAds - Adveronix'!$F:$F,'ImportaçãoGoogleAds - Adveronix'!C:C)," ")</f>
        <v> </v>
      </c>
      <c r="T185" s="155" t="str">
        <f t="array" ref="T185">IFERROR(XLOOKUP(B185,'ImportaçãoGoogleAds - Adveronix'!$F:$F,'ImportaçãoGoogleAds - Adveronix'!D:D)," ")</f>
        <v> </v>
      </c>
      <c r="U185" s="155" t="str">
        <f t="array" ref="U185">IFERROR(XLOOKUP(B185,'ImportaçãoGoogleAds - Adveronix'!$F:$F,'ImportaçãoGoogleAds - Adveronix'!E:E)," ")</f>
        <v> </v>
      </c>
      <c r="V185" s="156"/>
      <c r="W185" s="157"/>
      <c r="X185" s="157"/>
      <c r="Y185" s="158"/>
      <c r="Z185" s="158">
        <f>IFERROR(COUNTIFS(Leads!$L:$L,$B185,Leads!$F:$F,"*google*"),0)</f>
        <v>0</v>
      </c>
      <c r="AA185" s="158">
        <f>IFERROR(COUNTIFS(Leads!$L:$L,$B185,Leads!$F:$F,"*google*",Leads!$N:$N,"Sim"),0)</f>
        <v>0</v>
      </c>
      <c r="AB185" s="152" t="str">
        <f t="array" ref="AB185">IFERROR(XLOOKUP(B185,'ImportaçãoMeta - Adveronix'!F:F,'ImportaçãoMeta - Adveronix'!B:B),"")</f>
        <v/>
      </c>
      <c r="AC185" s="154"/>
      <c r="AD185" s="154"/>
      <c r="AE185" s="159" t="str">
        <f t="array" ref="AE185">IFERROR(XLOOKUP(B185,'ImportaçãoMeta - Adveronix'!$F:$F,'ImportaçãoMeta - Adveronix'!C:C),"")</f>
        <v/>
      </c>
      <c r="AF185" s="159" t="str">
        <f t="array" ref="AF185">IFERROR(XLOOKUP(B185,'ImportaçãoMeta - Adveronix'!$F:$F,'ImportaçãoMeta - Adveronix'!D:D),"")</f>
        <v/>
      </c>
      <c r="AG185" s="159" t="str">
        <f t="array" ref="AG185">IFERROR(XLOOKUP(B185,'ImportaçãoMeta - Adveronix'!$F:$F,'ImportaçãoMeta - Adveronix'!E:E),"")</f>
        <v/>
      </c>
      <c r="AH185" s="157"/>
      <c r="AI185" s="157"/>
      <c r="AJ185" s="156"/>
      <c r="AK185" s="160">
        <f>IFERROR(COUNTIFS(Leads!$L:$L,$B185,Leads!$F:$F,"*MetaAds"),0)</f>
        <v>0</v>
      </c>
      <c r="AL185" s="160">
        <f>IFERROR(COUNTIFS(Leads!$L:$L,$B185,Leads!$F:$F,"*MetaAds*",Leads!$N:$N,"Sim"),0)</f>
        <v>0</v>
      </c>
    </row>
    <row r="186" ht="15.75" customHeight="1">
      <c r="A186" s="149" t="str">
        <f t="array" ref="A186">XLOOKUP(MONTH(B186),BASE!$F$16:$F$27,BASE!$G$16:$G$27)</f>
        <v>Julho</v>
      </c>
      <c r="B186" s="150">
        <v>46207.0</v>
      </c>
      <c r="C186" s="151"/>
      <c r="D186" s="149" t="str">
        <f t="shared" si="4"/>
        <v>sábado</v>
      </c>
      <c r="E186" s="152">
        <f t="shared" ref="E186:J186" si="371">IFERROR(SUM(P186,AB186)," ")</f>
        <v>0</v>
      </c>
      <c r="F186" s="152">
        <f t="shared" si="371"/>
        <v>0</v>
      </c>
      <c r="G186" s="152">
        <f t="shared" si="371"/>
        <v>0</v>
      </c>
      <c r="H186" s="153">
        <f t="shared" si="371"/>
        <v>0</v>
      </c>
      <c r="I186" s="153">
        <f t="shared" si="371"/>
        <v>0</v>
      </c>
      <c r="J186" s="153">
        <f t="shared" si="371"/>
        <v>0</v>
      </c>
      <c r="K186" s="153">
        <f t="shared" ref="K186:O186" si="372">IFERROR(SUM(W186,AH186)," ")</f>
        <v>0</v>
      </c>
      <c r="L186" s="153">
        <f t="shared" si="372"/>
        <v>0</v>
      </c>
      <c r="M186" s="153">
        <f t="shared" si="372"/>
        <v>0</v>
      </c>
      <c r="N186" s="153">
        <f t="shared" si="372"/>
        <v>0</v>
      </c>
      <c r="O186" s="153">
        <f t="shared" si="372"/>
        <v>0</v>
      </c>
      <c r="P186" s="152" t="str">
        <f t="array" ref="P186">IFERROR(XLOOKUP(B186,'ImportaçãoGoogleAds - Adveronix'!$F:$F,'ImportaçãoGoogleAds - Adveronix'!$B:$B)," ")</f>
        <v> </v>
      </c>
      <c r="Q186" s="154"/>
      <c r="R186" s="154"/>
      <c r="S186" s="155" t="str">
        <f t="array" ref="S186">IFERROR(XLOOKUP(B186,'ImportaçãoGoogleAds - Adveronix'!$F:$F,'ImportaçãoGoogleAds - Adveronix'!C:C)," ")</f>
        <v> </v>
      </c>
      <c r="T186" s="155" t="str">
        <f t="array" ref="T186">IFERROR(XLOOKUP(B186,'ImportaçãoGoogleAds - Adveronix'!$F:$F,'ImportaçãoGoogleAds - Adveronix'!D:D)," ")</f>
        <v> </v>
      </c>
      <c r="U186" s="155" t="str">
        <f t="array" ref="U186">IFERROR(XLOOKUP(B186,'ImportaçãoGoogleAds - Adveronix'!$F:$F,'ImportaçãoGoogleAds - Adveronix'!E:E)," ")</f>
        <v> </v>
      </c>
      <c r="V186" s="156"/>
      <c r="W186" s="157"/>
      <c r="X186" s="157"/>
      <c r="Y186" s="158"/>
      <c r="Z186" s="158">
        <f>IFERROR(COUNTIFS(Leads!$L:$L,$B186,Leads!$F:$F,"*google*"),0)</f>
        <v>0</v>
      </c>
      <c r="AA186" s="158">
        <f>IFERROR(COUNTIFS(Leads!$L:$L,$B186,Leads!$F:$F,"*google*",Leads!$N:$N,"Sim"),0)</f>
        <v>0</v>
      </c>
      <c r="AB186" s="152" t="str">
        <f t="array" ref="AB186">IFERROR(XLOOKUP(B186,'ImportaçãoMeta - Adveronix'!F:F,'ImportaçãoMeta - Adveronix'!B:B),"")</f>
        <v/>
      </c>
      <c r="AC186" s="154"/>
      <c r="AD186" s="154"/>
      <c r="AE186" s="159" t="str">
        <f t="array" ref="AE186">IFERROR(XLOOKUP(B186,'ImportaçãoMeta - Adveronix'!$F:$F,'ImportaçãoMeta - Adveronix'!C:C),"")</f>
        <v/>
      </c>
      <c r="AF186" s="159" t="str">
        <f t="array" ref="AF186">IFERROR(XLOOKUP(B186,'ImportaçãoMeta - Adveronix'!$F:$F,'ImportaçãoMeta - Adveronix'!D:D),"")</f>
        <v/>
      </c>
      <c r="AG186" s="159" t="str">
        <f t="array" ref="AG186">IFERROR(XLOOKUP(B186,'ImportaçãoMeta - Adveronix'!$F:$F,'ImportaçãoMeta - Adveronix'!E:E),"")</f>
        <v/>
      </c>
      <c r="AH186" s="157"/>
      <c r="AI186" s="157"/>
      <c r="AJ186" s="156"/>
      <c r="AK186" s="160">
        <f>IFERROR(COUNTIFS(Leads!$L:$L,$B186,Leads!$F:$F,"*MetaAds"),0)</f>
        <v>0</v>
      </c>
      <c r="AL186" s="160">
        <f>IFERROR(COUNTIFS(Leads!$L:$L,$B186,Leads!$F:$F,"*MetaAds*",Leads!$N:$N,"Sim"),0)</f>
        <v>0</v>
      </c>
    </row>
    <row r="187" ht="15.75" customHeight="1">
      <c r="A187" s="149" t="str">
        <f t="array" ref="A187">XLOOKUP(MONTH(B187),BASE!$F$16:$F$27,BASE!$G$16:$G$27)</f>
        <v>Julho</v>
      </c>
      <c r="B187" s="150">
        <v>46208.0</v>
      </c>
      <c r="C187" s="151"/>
      <c r="D187" s="149" t="str">
        <f t="shared" si="4"/>
        <v>domingo</v>
      </c>
      <c r="E187" s="152">
        <f t="shared" ref="E187:J187" si="373">IFERROR(SUM(P187,AB187)," ")</f>
        <v>0</v>
      </c>
      <c r="F187" s="152">
        <f t="shared" si="373"/>
        <v>0</v>
      </c>
      <c r="G187" s="152">
        <f t="shared" si="373"/>
        <v>0</v>
      </c>
      <c r="H187" s="153">
        <f t="shared" si="373"/>
        <v>0</v>
      </c>
      <c r="I187" s="153">
        <f t="shared" si="373"/>
        <v>0</v>
      </c>
      <c r="J187" s="153">
        <f t="shared" si="373"/>
        <v>0</v>
      </c>
      <c r="K187" s="153">
        <f t="shared" ref="K187:O187" si="374">IFERROR(SUM(W187,AH187)," ")</f>
        <v>0</v>
      </c>
      <c r="L187" s="153">
        <f t="shared" si="374"/>
        <v>0</v>
      </c>
      <c r="M187" s="153">
        <f t="shared" si="374"/>
        <v>0</v>
      </c>
      <c r="N187" s="153">
        <f t="shared" si="374"/>
        <v>0</v>
      </c>
      <c r="O187" s="153">
        <f t="shared" si="374"/>
        <v>0</v>
      </c>
      <c r="P187" s="152" t="str">
        <f t="array" ref="P187">IFERROR(XLOOKUP(B187,'ImportaçãoGoogleAds - Adveronix'!$F:$F,'ImportaçãoGoogleAds - Adveronix'!$B:$B)," ")</f>
        <v> </v>
      </c>
      <c r="Q187" s="154"/>
      <c r="R187" s="154"/>
      <c r="S187" s="155" t="str">
        <f t="array" ref="S187">IFERROR(XLOOKUP(B187,'ImportaçãoGoogleAds - Adveronix'!$F:$F,'ImportaçãoGoogleAds - Adveronix'!C:C)," ")</f>
        <v> </v>
      </c>
      <c r="T187" s="155" t="str">
        <f t="array" ref="T187">IFERROR(XLOOKUP(B187,'ImportaçãoGoogleAds - Adveronix'!$F:$F,'ImportaçãoGoogleAds - Adveronix'!D:D)," ")</f>
        <v> </v>
      </c>
      <c r="U187" s="155" t="str">
        <f t="array" ref="U187">IFERROR(XLOOKUP(B187,'ImportaçãoGoogleAds - Adveronix'!$F:$F,'ImportaçãoGoogleAds - Adveronix'!E:E)," ")</f>
        <v> </v>
      </c>
      <c r="V187" s="156"/>
      <c r="W187" s="157"/>
      <c r="X187" s="157"/>
      <c r="Y187" s="158"/>
      <c r="Z187" s="158">
        <f>IFERROR(COUNTIFS(Leads!$L:$L,$B187,Leads!$F:$F,"*google*"),0)</f>
        <v>0</v>
      </c>
      <c r="AA187" s="158">
        <f>IFERROR(COUNTIFS(Leads!$L:$L,$B187,Leads!$F:$F,"*google*",Leads!$N:$N,"Sim"),0)</f>
        <v>0</v>
      </c>
      <c r="AB187" s="152" t="str">
        <f t="array" ref="AB187">IFERROR(XLOOKUP(B187,'ImportaçãoMeta - Adveronix'!F:F,'ImportaçãoMeta - Adveronix'!B:B),"")</f>
        <v/>
      </c>
      <c r="AC187" s="154"/>
      <c r="AD187" s="154"/>
      <c r="AE187" s="159" t="str">
        <f t="array" ref="AE187">IFERROR(XLOOKUP(B187,'ImportaçãoMeta - Adveronix'!$F:$F,'ImportaçãoMeta - Adveronix'!C:C),"")</f>
        <v/>
      </c>
      <c r="AF187" s="159" t="str">
        <f t="array" ref="AF187">IFERROR(XLOOKUP(B187,'ImportaçãoMeta - Adveronix'!$F:$F,'ImportaçãoMeta - Adveronix'!D:D),"")</f>
        <v/>
      </c>
      <c r="AG187" s="159" t="str">
        <f t="array" ref="AG187">IFERROR(XLOOKUP(B187,'ImportaçãoMeta - Adveronix'!$F:$F,'ImportaçãoMeta - Adveronix'!E:E),"")</f>
        <v/>
      </c>
      <c r="AH187" s="157"/>
      <c r="AI187" s="157"/>
      <c r="AJ187" s="156"/>
      <c r="AK187" s="160">
        <f>IFERROR(COUNTIFS(Leads!$L:$L,$B187,Leads!$F:$F,"*MetaAds"),0)</f>
        <v>0</v>
      </c>
      <c r="AL187" s="160">
        <f>IFERROR(COUNTIFS(Leads!$L:$L,$B187,Leads!$F:$F,"*MetaAds*",Leads!$N:$N,"Sim"),0)</f>
        <v>0</v>
      </c>
    </row>
    <row r="188" ht="15.75" customHeight="1">
      <c r="A188" s="149" t="str">
        <f t="array" ref="A188">XLOOKUP(MONTH(B188),BASE!$F$16:$F$27,BASE!$G$16:$G$27)</f>
        <v>Julho</v>
      </c>
      <c r="B188" s="150">
        <v>46209.0</v>
      </c>
      <c r="C188" s="151"/>
      <c r="D188" s="149" t="str">
        <f t="shared" si="4"/>
        <v>segunda-feira</v>
      </c>
      <c r="E188" s="152">
        <f t="shared" ref="E188:J188" si="375">IFERROR(SUM(P188,AB188)," ")</f>
        <v>0</v>
      </c>
      <c r="F188" s="152">
        <f t="shared" si="375"/>
        <v>0</v>
      </c>
      <c r="G188" s="152">
        <f t="shared" si="375"/>
        <v>0</v>
      </c>
      <c r="H188" s="153">
        <f t="shared" si="375"/>
        <v>0</v>
      </c>
      <c r="I188" s="153">
        <f t="shared" si="375"/>
        <v>0</v>
      </c>
      <c r="J188" s="153">
        <f t="shared" si="375"/>
        <v>0</v>
      </c>
      <c r="K188" s="153">
        <f t="shared" ref="K188:O188" si="376">IFERROR(SUM(W188,AH188)," ")</f>
        <v>0</v>
      </c>
      <c r="L188" s="153">
        <f t="shared" si="376"/>
        <v>0</v>
      </c>
      <c r="M188" s="153">
        <f t="shared" si="376"/>
        <v>0</v>
      </c>
      <c r="N188" s="153">
        <f t="shared" si="376"/>
        <v>0</v>
      </c>
      <c r="O188" s="153">
        <f t="shared" si="376"/>
        <v>0</v>
      </c>
      <c r="P188" s="152" t="str">
        <f t="array" ref="P188">IFERROR(XLOOKUP(B188,'ImportaçãoGoogleAds - Adveronix'!$F:$F,'ImportaçãoGoogleAds - Adveronix'!$B:$B)," ")</f>
        <v> </v>
      </c>
      <c r="Q188" s="154"/>
      <c r="R188" s="154"/>
      <c r="S188" s="155" t="str">
        <f t="array" ref="S188">IFERROR(XLOOKUP(B188,'ImportaçãoGoogleAds - Adveronix'!$F:$F,'ImportaçãoGoogleAds - Adveronix'!C:C)," ")</f>
        <v> </v>
      </c>
      <c r="T188" s="155" t="str">
        <f t="array" ref="T188">IFERROR(XLOOKUP(B188,'ImportaçãoGoogleAds - Adveronix'!$F:$F,'ImportaçãoGoogleAds - Adveronix'!D:D)," ")</f>
        <v> </v>
      </c>
      <c r="U188" s="155" t="str">
        <f t="array" ref="U188">IFERROR(XLOOKUP(B188,'ImportaçãoGoogleAds - Adveronix'!$F:$F,'ImportaçãoGoogleAds - Adveronix'!E:E)," ")</f>
        <v> </v>
      </c>
      <c r="V188" s="156"/>
      <c r="W188" s="157"/>
      <c r="X188" s="157"/>
      <c r="Y188" s="158"/>
      <c r="Z188" s="158">
        <f>IFERROR(COUNTIFS(Leads!$L:$L,$B188,Leads!$F:$F,"*google*"),0)</f>
        <v>0</v>
      </c>
      <c r="AA188" s="158">
        <f>IFERROR(COUNTIFS(Leads!$L:$L,$B188,Leads!$F:$F,"*google*",Leads!$N:$N,"Sim"),0)</f>
        <v>0</v>
      </c>
      <c r="AB188" s="152" t="str">
        <f t="array" ref="AB188">IFERROR(XLOOKUP(B188,'ImportaçãoMeta - Adveronix'!F:F,'ImportaçãoMeta - Adveronix'!B:B),"")</f>
        <v/>
      </c>
      <c r="AC188" s="154"/>
      <c r="AD188" s="154"/>
      <c r="AE188" s="159" t="str">
        <f t="array" ref="AE188">IFERROR(XLOOKUP(B188,'ImportaçãoMeta - Adveronix'!$F:$F,'ImportaçãoMeta - Adveronix'!C:C),"")</f>
        <v/>
      </c>
      <c r="AF188" s="159" t="str">
        <f t="array" ref="AF188">IFERROR(XLOOKUP(B188,'ImportaçãoMeta - Adveronix'!$F:$F,'ImportaçãoMeta - Adveronix'!D:D),"")</f>
        <v/>
      </c>
      <c r="AG188" s="159" t="str">
        <f t="array" ref="AG188">IFERROR(XLOOKUP(B188,'ImportaçãoMeta - Adveronix'!$F:$F,'ImportaçãoMeta - Adveronix'!E:E),"")</f>
        <v/>
      </c>
      <c r="AH188" s="157"/>
      <c r="AI188" s="157"/>
      <c r="AJ188" s="156"/>
      <c r="AK188" s="160">
        <f>IFERROR(COUNTIFS(Leads!$L:$L,$B188,Leads!$F:$F,"*MetaAds"),0)</f>
        <v>0</v>
      </c>
      <c r="AL188" s="160">
        <f>IFERROR(COUNTIFS(Leads!$L:$L,$B188,Leads!$F:$F,"*MetaAds*",Leads!$N:$N,"Sim"),0)</f>
        <v>0</v>
      </c>
    </row>
    <row r="189" ht="15.75" customHeight="1">
      <c r="A189" s="149" t="str">
        <f t="array" ref="A189">XLOOKUP(MONTH(B189),BASE!$F$16:$F$27,BASE!$G$16:$G$27)</f>
        <v>Julho</v>
      </c>
      <c r="B189" s="150">
        <v>46210.0</v>
      </c>
      <c r="C189" s="151"/>
      <c r="D189" s="149" t="str">
        <f t="shared" si="4"/>
        <v>terça-feira</v>
      </c>
      <c r="E189" s="152">
        <f t="shared" ref="E189:J189" si="377">IFERROR(SUM(P189,AB189)," ")</f>
        <v>0</v>
      </c>
      <c r="F189" s="152">
        <f t="shared" si="377"/>
        <v>0</v>
      </c>
      <c r="G189" s="152">
        <f t="shared" si="377"/>
        <v>0</v>
      </c>
      <c r="H189" s="153">
        <f t="shared" si="377"/>
        <v>0</v>
      </c>
      <c r="I189" s="153">
        <f t="shared" si="377"/>
        <v>0</v>
      </c>
      <c r="J189" s="153">
        <f t="shared" si="377"/>
        <v>0</v>
      </c>
      <c r="K189" s="153">
        <f t="shared" ref="K189:O189" si="378">IFERROR(SUM(W189,AH189)," ")</f>
        <v>0</v>
      </c>
      <c r="L189" s="153">
        <f t="shared" si="378"/>
        <v>0</v>
      </c>
      <c r="M189" s="153">
        <f t="shared" si="378"/>
        <v>0</v>
      </c>
      <c r="N189" s="153">
        <f t="shared" si="378"/>
        <v>0</v>
      </c>
      <c r="O189" s="153">
        <f t="shared" si="378"/>
        <v>0</v>
      </c>
      <c r="P189" s="152" t="str">
        <f t="array" ref="P189">IFERROR(XLOOKUP(B189,'ImportaçãoGoogleAds - Adveronix'!$F:$F,'ImportaçãoGoogleAds - Adveronix'!$B:$B)," ")</f>
        <v> </v>
      </c>
      <c r="Q189" s="154"/>
      <c r="R189" s="154"/>
      <c r="S189" s="155" t="str">
        <f t="array" ref="S189">IFERROR(XLOOKUP(B189,'ImportaçãoGoogleAds - Adveronix'!$F:$F,'ImportaçãoGoogleAds - Adveronix'!C:C)," ")</f>
        <v> </v>
      </c>
      <c r="T189" s="155" t="str">
        <f t="array" ref="T189">IFERROR(XLOOKUP(B189,'ImportaçãoGoogleAds - Adveronix'!$F:$F,'ImportaçãoGoogleAds - Adveronix'!D:D)," ")</f>
        <v> </v>
      </c>
      <c r="U189" s="155" t="str">
        <f t="array" ref="U189">IFERROR(XLOOKUP(B189,'ImportaçãoGoogleAds - Adveronix'!$F:$F,'ImportaçãoGoogleAds - Adveronix'!E:E)," ")</f>
        <v> </v>
      </c>
      <c r="V189" s="156"/>
      <c r="W189" s="157"/>
      <c r="X189" s="157"/>
      <c r="Y189" s="158"/>
      <c r="Z189" s="158">
        <f>IFERROR(COUNTIFS(Leads!$L:$L,$B189,Leads!$F:$F,"*google*"),0)</f>
        <v>0</v>
      </c>
      <c r="AA189" s="158">
        <f>IFERROR(COUNTIFS(Leads!$L:$L,$B189,Leads!$F:$F,"*google*",Leads!$N:$N,"Sim"),0)</f>
        <v>0</v>
      </c>
      <c r="AB189" s="152" t="str">
        <f t="array" ref="AB189">IFERROR(XLOOKUP(B189,'ImportaçãoMeta - Adveronix'!F:F,'ImportaçãoMeta - Adveronix'!B:B),"")</f>
        <v/>
      </c>
      <c r="AC189" s="154"/>
      <c r="AD189" s="154"/>
      <c r="AE189" s="159" t="str">
        <f t="array" ref="AE189">IFERROR(XLOOKUP(B189,'ImportaçãoMeta - Adveronix'!$F:$F,'ImportaçãoMeta - Adveronix'!C:C),"")</f>
        <v/>
      </c>
      <c r="AF189" s="159" t="str">
        <f t="array" ref="AF189">IFERROR(XLOOKUP(B189,'ImportaçãoMeta - Adveronix'!$F:$F,'ImportaçãoMeta - Adveronix'!D:D),"")</f>
        <v/>
      </c>
      <c r="AG189" s="159" t="str">
        <f t="array" ref="AG189">IFERROR(XLOOKUP(B189,'ImportaçãoMeta - Adveronix'!$F:$F,'ImportaçãoMeta - Adveronix'!E:E),"")</f>
        <v/>
      </c>
      <c r="AH189" s="157"/>
      <c r="AI189" s="157"/>
      <c r="AJ189" s="156"/>
      <c r="AK189" s="160">
        <f>IFERROR(COUNTIFS(Leads!$L:$L,$B189,Leads!$F:$F,"*MetaAds"),0)</f>
        <v>0</v>
      </c>
      <c r="AL189" s="160">
        <f>IFERROR(COUNTIFS(Leads!$L:$L,$B189,Leads!$F:$F,"*MetaAds*",Leads!$N:$N,"Sim"),0)</f>
        <v>0</v>
      </c>
    </row>
    <row r="190" ht="15.75" customHeight="1">
      <c r="A190" s="149" t="str">
        <f t="array" ref="A190">XLOOKUP(MONTH(B190),BASE!$F$16:$F$27,BASE!$G$16:$G$27)</f>
        <v>Julho</v>
      </c>
      <c r="B190" s="150">
        <v>46211.0</v>
      </c>
      <c r="C190" s="151"/>
      <c r="D190" s="149" t="str">
        <f t="shared" si="4"/>
        <v>quarta-feira</v>
      </c>
      <c r="E190" s="152">
        <f t="shared" ref="E190:J190" si="379">IFERROR(SUM(P190,AB190)," ")</f>
        <v>0</v>
      </c>
      <c r="F190" s="152">
        <f t="shared" si="379"/>
        <v>0</v>
      </c>
      <c r="G190" s="152">
        <f t="shared" si="379"/>
        <v>0</v>
      </c>
      <c r="H190" s="153">
        <f t="shared" si="379"/>
        <v>0</v>
      </c>
      <c r="I190" s="153">
        <f t="shared" si="379"/>
        <v>0</v>
      </c>
      <c r="J190" s="153">
        <f t="shared" si="379"/>
        <v>0</v>
      </c>
      <c r="K190" s="153">
        <f t="shared" ref="K190:O190" si="380">IFERROR(SUM(W190,AH190)," ")</f>
        <v>0</v>
      </c>
      <c r="L190" s="153">
        <f t="shared" si="380"/>
        <v>0</v>
      </c>
      <c r="M190" s="153">
        <f t="shared" si="380"/>
        <v>0</v>
      </c>
      <c r="N190" s="153">
        <f t="shared" si="380"/>
        <v>0</v>
      </c>
      <c r="O190" s="153">
        <f t="shared" si="380"/>
        <v>0</v>
      </c>
      <c r="P190" s="152" t="str">
        <f t="array" ref="P190">IFERROR(XLOOKUP(B190,'ImportaçãoGoogleAds - Adveronix'!$F:$F,'ImportaçãoGoogleAds - Adveronix'!$B:$B)," ")</f>
        <v> </v>
      </c>
      <c r="Q190" s="154"/>
      <c r="R190" s="154"/>
      <c r="S190" s="155" t="str">
        <f t="array" ref="S190">IFERROR(XLOOKUP(B190,'ImportaçãoGoogleAds - Adveronix'!$F:$F,'ImportaçãoGoogleAds - Adveronix'!C:C)," ")</f>
        <v> </v>
      </c>
      <c r="T190" s="155" t="str">
        <f t="array" ref="T190">IFERROR(XLOOKUP(B190,'ImportaçãoGoogleAds - Adveronix'!$F:$F,'ImportaçãoGoogleAds - Adveronix'!D:D)," ")</f>
        <v> </v>
      </c>
      <c r="U190" s="155" t="str">
        <f t="array" ref="U190">IFERROR(XLOOKUP(B190,'ImportaçãoGoogleAds - Adveronix'!$F:$F,'ImportaçãoGoogleAds - Adveronix'!E:E)," ")</f>
        <v> </v>
      </c>
      <c r="V190" s="156"/>
      <c r="W190" s="157"/>
      <c r="X190" s="157"/>
      <c r="Y190" s="158"/>
      <c r="Z190" s="158">
        <f>IFERROR(COUNTIFS(Leads!$L:$L,$B190,Leads!$F:$F,"*google*"),0)</f>
        <v>0</v>
      </c>
      <c r="AA190" s="158">
        <f>IFERROR(COUNTIFS(Leads!$L:$L,$B190,Leads!$F:$F,"*google*",Leads!$N:$N,"Sim"),0)</f>
        <v>0</v>
      </c>
      <c r="AB190" s="152" t="str">
        <f t="array" ref="AB190">IFERROR(XLOOKUP(B190,'ImportaçãoMeta - Adveronix'!F:F,'ImportaçãoMeta - Adveronix'!B:B),"")</f>
        <v/>
      </c>
      <c r="AC190" s="154"/>
      <c r="AD190" s="154"/>
      <c r="AE190" s="159" t="str">
        <f t="array" ref="AE190">IFERROR(XLOOKUP(B190,'ImportaçãoMeta - Adveronix'!$F:$F,'ImportaçãoMeta - Adveronix'!C:C),"")</f>
        <v/>
      </c>
      <c r="AF190" s="159" t="str">
        <f t="array" ref="AF190">IFERROR(XLOOKUP(B190,'ImportaçãoMeta - Adveronix'!$F:$F,'ImportaçãoMeta - Adveronix'!D:D),"")</f>
        <v/>
      </c>
      <c r="AG190" s="159" t="str">
        <f t="array" ref="AG190">IFERROR(XLOOKUP(B190,'ImportaçãoMeta - Adveronix'!$F:$F,'ImportaçãoMeta - Adveronix'!E:E),"")</f>
        <v/>
      </c>
      <c r="AH190" s="157"/>
      <c r="AI190" s="157"/>
      <c r="AJ190" s="156"/>
      <c r="AK190" s="160">
        <f>IFERROR(COUNTIFS(Leads!$L:$L,$B190,Leads!$F:$F,"*MetaAds"),0)</f>
        <v>0</v>
      </c>
      <c r="AL190" s="160">
        <f>IFERROR(COUNTIFS(Leads!$L:$L,$B190,Leads!$F:$F,"*MetaAds*",Leads!$N:$N,"Sim"),0)</f>
        <v>0</v>
      </c>
    </row>
    <row r="191" ht="15.75" customHeight="1">
      <c r="A191" s="149" t="str">
        <f t="array" ref="A191">XLOOKUP(MONTH(B191),BASE!$F$16:$F$27,BASE!$G$16:$G$27)</f>
        <v>Julho</v>
      </c>
      <c r="B191" s="150">
        <v>46212.0</v>
      </c>
      <c r="C191" s="151"/>
      <c r="D191" s="149" t="str">
        <f t="shared" si="4"/>
        <v>quinta-feira</v>
      </c>
      <c r="E191" s="152">
        <f t="shared" ref="E191:J191" si="381">IFERROR(SUM(P191,AB191)," ")</f>
        <v>0</v>
      </c>
      <c r="F191" s="152">
        <f t="shared" si="381"/>
        <v>0</v>
      </c>
      <c r="G191" s="152">
        <f t="shared" si="381"/>
        <v>0</v>
      </c>
      <c r="H191" s="153">
        <f t="shared" si="381"/>
        <v>0</v>
      </c>
      <c r="I191" s="153">
        <f t="shared" si="381"/>
        <v>0</v>
      </c>
      <c r="J191" s="153">
        <f t="shared" si="381"/>
        <v>0</v>
      </c>
      <c r="K191" s="153">
        <f t="shared" ref="K191:O191" si="382">IFERROR(SUM(W191,AH191)," ")</f>
        <v>0</v>
      </c>
      <c r="L191" s="153">
        <f t="shared" si="382"/>
        <v>0</v>
      </c>
      <c r="M191" s="153">
        <f t="shared" si="382"/>
        <v>0</v>
      </c>
      <c r="N191" s="153">
        <f t="shared" si="382"/>
        <v>0</v>
      </c>
      <c r="O191" s="153">
        <f t="shared" si="382"/>
        <v>0</v>
      </c>
      <c r="P191" s="152" t="str">
        <f t="array" ref="P191">IFERROR(XLOOKUP(B191,'ImportaçãoGoogleAds - Adveronix'!$F:$F,'ImportaçãoGoogleAds - Adveronix'!$B:$B)," ")</f>
        <v> </v>
      </c>
      <c r="Q191" s="154"/>
      <c r="R191" s="154"/>
      <c r="S191" s="155" t="str">
        <f t="array" ref="S191">IFERROR(XLOOKUP(B191,'ImportaçãoGoogleAds - Adveronix'!$F:$F,'ImportaçãoGoogleAds - Adveronix'!C:C)," ")</f>
        <v> </v>
      </c>
      <c r="T191" s="155" t="str">
        <f t="array" ref="T191">IFERROR(XLOOKUP(B191,'ImportaçãoGoogleAds - Adveronix'!$F:$F,'ImportaçãoGoogleAds - Adveronix'!D:D)," ")</f>
        <v> </v>
      </c>
      <c r="U191" s="155" t="str">
        <f t="array" ref="U191">IFERROR(XLOOKUP(B191,'ImportaçãoGoogleAds - Adveronix'!$F:$F,'ImportaçãoGoogleAds - Adveronix'!E:E)," ")</f>
        <v> </v>
      </c>
      <c r="V191" s="156"/>
      <c r="W191" s="157"/>
      <c r="X191" s="157"/>
      <c r="Y191" s="158"/>
      <c r="Z191" s="158">
        <f>IFERROR(COUNTIFS(Leads!$L:$L,$B191,Leads!$F:$F,"*google*"),0)</f>
        <v>0</v>
      </c>
      <c r="AA191" s="158">
        <f>IFERROR(COUNTIFS(Leads!$L:$L,$B191,Leads!$F:$F,"*google*",Leads!$N:$N,"Sim"),0)</f>
        <v>0</v>
      </c>
      <c r="AB191" s="152" t="str">
        <f t="array" ref="AB191">IFERROR(XLOOKUP(B191,'ImportaçãoMeta - Adveronix'!F:F,'ImportaçãoMeta - Adveronix'!B:B),"")</f>
        <v/>
      </c>
      <c r="AC191" s="154"/>
      <c r="AD191" s="154"/>
      <c r="AE191" s="159" t="str">
        <f t="array" ref="AE191">IFERROR(XLOOKUP(B191,'ImportaçãoMeta - Adveronix'!$F:$F,'ImportaçãoMeta - Adveronix'!C:C),"")</f>
        <v/>
      </c>
      <c r="AF191" s="159" t="str">
        <f t="array" ref="AF191">IFERROR(XLOOKUP(B191,'ImportaçãoMeta - Adveronix'!$F:$F,'ImportaçãoMeta - Adveronix'!D:D),"")</f>
        <v/>
      </c>
      <c r="AG191" s="159" t="str">
        <f t="array" ref="AG191">IFERROR(XLOOKUP(B191,'ImportaçãoMeta - Adveronix'!$F:$F,'ImportaçãoMeta - Adveronix'!E:E),"")</f>
        <v/>
      </c>
      <c r="AH191" s="157"/>
      <c r="AI191" s="157"/>
      <c r="AJ191" s="156"/>
      <c r="AK191" s="160">
        <f>IFERROR(COUNTIFS(Leads!$L:$L,$B191,Leads!$F:$F,"*MetaAds"),0)</f>
        <v>0</v>
      </c>
      <c r="AL191" s="160">
        <f>IFERROR(COUNTIFS(Leads!$L:$L,$B191,Leads!$F:$F,"*MetaAds*",Leads!$N:$N,"Sim"),0)</f>
        <v>0</v>
      </c>
    </row>
    <row r="192" ht="15.75" customHeight="1">
      <c r="A192" s="149" t="str">
        <f t="array" ref="A192">XLOOKUP(MONTH(B192),BASE!$F$16:$F$27,BASE!$G$16:$G$27)</f>
        <v>Julho</v>
      </c>
      <c r="B192" s="150">
        <v>46213.0</v>
      </c>
      <c r="C192" s="151"/>
      <c r="D192" s="149" t="str">
        <f t="shared" si="4"/>
        <v>sexta-feira</v>
      </c>
      <c r="E192" s="152">
        <f t="shared" ref="E192:J192" si="383">IFERROR(SUM(P192,AB192)," ")</f>
        <v>0</v>
      </c>
      <c r="F192" s="152">
        <f t="shared" si="383"/>
        <v>0</v>
      </c>
      <c r="G192" s="152">
        <f t="shared" si="383"/>
        <v>0</v>
      </c>
      <c r="H192" s="153">
        <f t="shared" si="383"/>
        <v>0</v>
      </c>
      <c r="I192" s="153">
        <f t="shared" si="383"/>
        <v>0</v>
      </c>
      <c r="J192" s="153">
        <f t="shared" si="383"/>
        <v>0</v>
      </c>
      <c r="K192" s="153">
        <f t="shared" ref="K192:O192" si="384">IFERROR(SUM(W192,AH192)," ")</f>
        <v>0</v>
      </c>
      <c r="L192" s="153">
        <f t="shared" si="384"/>
        <v>0</v>
      </c>
      <c r="M192" s="153">
        <f t="shared" si="384"/>
        <v>0</v>
      </c>
      <c r="N192" s="153">
        <f t="shared" si="384"/>
        <v>0</v>
      </c>
      <c r="O192" s="153">
        <f t="shared" si="384"/>
        <v>0</v>
      </c>
      <c r="P192" s="152" t="str">
        <f t="array" ref="P192">IFERROR(XLOOKUP(B192,'ImportaçãoGoogleAds - Adveronix'!$F:$F,'ImportaçãoGoogleAds - Adveronix'!$B:$B)," ")</f>
        <v> </v>
      </c>
      <c r="Q192" s="154"/>
      <c r="R192" s="154"/>
      <c r="S192" s="155" t="str">
        <f t="array" ref="S192">IFERROR(XLOOKUP(B192,'ImportaçãoGoogleAds - Adveronix'!$F:$F,'ImportaçãoGoogleAds - Adveronix'!C:C)," ")</f>
        <v> </v>
      </c>
      <c r="T192" s="155" t="str">
        <f t="array" ref="T192">IFERROR(XLOOKUP(B192,'ImportaçãoGoogleAds - Adveronix'!$F:$F,'ImportaçãoGoogleAds - Adveronix'!D:D)," ")</f>
        <v> </v>
      </c>
      <c r="U192" s="155" t="str">
        <f t="array" ref="U192">IFERROR(XLOOKUP(B192,'ImportaçãoGoogleAds - Adveronix'!$F:$F,'ImportaçãoGoogleAds - Adveronix'!E:E)," ")</f>
        <v> </v>
      </c>
      <c r="V192" s="156"/>
      <c r="W192" s="157"/>
      <c r="X192" s="157"/>
      <c r="Y192" s="158"/>
      <c r="Z192" s="158">
        <f>IFERROR(COUNTIFS(Leads!$L:$L,$B192,Leads!$F:$F,"*google*"),0)</f>
        <v>0</v>
      </c>
      <c r="AA192" s="158">
        <f>IFERROR(COUNTIFS(Leads!$L:$L,$B192,Leads!$F:$F,"*google*",Leads!$N:$N,"Sim"),0)</f>
        <v>0</v>
      </c>
      <c r="AB192" s="152" t="str">
        <f t="array" ref="AB192">IFERROR(XLOOKUP(B192,'ImportaçãoMeta - Adveronix'!F:F,'ImportaçãoMeta - Adveronix'!B:B),"")</f>
        <v/>
      </c>
      <c r="AC192" s="154"/>
      <c r="AD192" s="154"/>
      <c r="AE192" s="159" t="str">
        <f t="array" ref="AE192">IFERROR(XLOOKUP(B192,'ImportaçãoMeta - Adveronix'!$F:$F,'ImportaçãoMeta - Adveronix'!C:C),"")</f>
        <v/>
      </c>
      <c r="AF192" s="159" t="str">
        <f t="array" ref="AF192">IFERROR(XLOOKUP(B192,'ImportaçãoMeta - Adveronix'!$F:$F,'ImportaçãoMeta - Adveronix'!D:D),"")</f>
        <v/>
      </c>
      <c r="AG192" s="159" t="str">
        <f t="array" ref="AG192">IFERROR(XLOOKUP(B192,'ImportaçãoMeta - Adveronix'!$F:$F,'ImportaçãoMeta - Adveronix'!E:E),"")</f>
        <v/>
      </c>
      <c r="AH192" s="157"/>
      <c r="AI192" s="157"/>
      <c r="AJ192" s="156"/>
      <c r="AK192" s="160">
        <f>IFERROR(COUNTIFS(Leads!$L:$L,$B192,Leads!$F:$F,"*MetaAds"),0)</f>
        <v>0</v>
      </c>
      <c r="AL192" s="160">
        <f>IFERROR(COUNTIFS(Leads!$L:$L,$B192,Leads!$F:$F,"*MetaAds*",Leads!$N:$N,"Sim"),0)</f>
        <v>0</v>
      </c>
    </row>
    <row r="193" ht="15.75" customHeight="1">
      <c r="A193" s="149" t="str">
        <f t="array" ref="A193">XLOOKUP(MONTH(B193),BASE!$F$16:$F$27,BASE!$G$16:$G$27)</f>
        <v>Julho</v>
      </c>
      <c r="B193" s="150">
        <v>46214.0</v>
      </c>
      <c r="C193" s="151"/>
      <c r="D193" s="149" t="str">
        <f t="shared" si="4"/>
        <v>sábado</v>
      </c>
      <c r="E193" s="152">
        <f t="shared" ref="E193:J193" si="385">IFERROR(SUM(P193,AB193)," ")</f>
        <v>0</v>
      </c>
      <c r="F193" s="152">
        <f t="shared" si="385"/>
        <v>0</v>
      </c>
      <c r="G193" s="152">
        <f t="shared" si="385"/>
        <v>0</v>
      </c>
      <c r="H193" s="153">
        <f t="shared" si="385"/>
        <v>0</v>
      </c>
      <c r="I193" s="153">
        <f t="shared" si="385"/>
        <v>0</v>
      </c>
      <c r="J193" s="153">
        <f t="shared" si="385"/>
        <v>0</v>
      </c>
      <c r="K193" s="153">
        <f t="shared" ref="K193:O193" si="386">IFERROR(SUM(W193,AH193)," ")</f>
        <v>0</v>
      </c>
      <c r="L193" s="153">
        <f t="shared" si="386"/>
        <v>0</v>
      </c>
      <c r="M193" s="153">
        <f t="shared" si="386"/>
        <v>0</v>
      </c>
      <c r="N193" s="153">
        <f t="shared" si="386"/>
        <v>0</v>
      </c>
      <c r="O193" s="153">
        <f t="shared" si="386"/>
        <v>0</v>
      </c>
      <c r="P193" s="152" t="str">
        <f t="array" ref="P193">IFERROR(XLOOKUP(B193,'ImportaçãoGoogleAds - Adveronix'!$F:$F,'ImportaçãoGoogleAds - Adveronix'!$B:$B)," ")</f>
        <v> </v>
      </c>
      <c r="Q193" s="154"/>
      <c r="R193" s="154"/>
      <c r="S193" s="155" t="str">
        <f t="array" ref="S193">IFERROR(XLOOKUP(B193,'ImportaçãoGoogleAds - Adveronix'!$F:$F,'ImportaçãoGoogleAds - Adveronix'!C:C)," ")</f>
        <v> </v>
      </c>
      <c r="T193" s="155" t="str">
        <f t="array" ref="T193">IFERROR(XLOOKUP(B193,'ImportaçãoGoogleAds - Adveronix'!$F:$F,'ImportaçãoGoogleAds - Adveronix'!D:D)," ")</f>
        <v> </v>
      </c>
      <c r="U193" s="155" t="str">
        <f t="array" ref="U193">IFERROR(XLOOKUP(B193,'ImportaçãoGoogleAds - Adveronix'!$F:$F,'ImportaçãoGoogleAds - Adveronix'!E:E)," ")</f>
        <v> </v>
      </c>
      <c r="V193" s="156"/>
      <c r="W193" s="157"/>
      <c r="X193" s="157"/>
      <c r="Y193" s="158"/>
      <c r="Z193" s="158">
        <f>IFERROR(COUNTIFS(Leads!$L:$L,$B193,Leads!$F:$F,"*google*"),0)</f>
        <v>0</v>
      </c>
      <c r="AA193" s="158">
        <f>IFERROR(COUNTIFS(Leads!$L:$L,$B193,Leads!$F:$F,"*google*",Leads!$N:$N,"Sim"),0)</f>
        <v>0</v>
      </c>
      <c r="AB193" s="152" t="str">
        <f t="array" ref="AB193">IFERROR(XLOOKUP(B193,'ImportaçãoMeta - Adveronix'!F:F,'ImportaçãoMeta - Adveronix'!B:B),"")</f>
        <v/>
      </c>
      <c r="AC193" s="154"/>
      <c r="AD193" s="154"/>
      <c r="AE193" s="159" t="str">
        <f t="array" ref="AE193">IFERROR(XLOOKUP(B193,'ImportaçãoMeta - Adveronix'!$F:$F,'ImportaçãoMeta - Adveronix'!C:C),"")</f>
        <v/>
      </c>
      <c r="AF193" s="159" t="str">
        <f t="array" ref="AF193">IFERROR(XLOOKUP(B193,'ImportaçãoMeta - Adveronix'!$F:$F,'ImportaçãoMeta - Adveronix'!D:D),"")</f>
        <v/>
      </c>
      <c r="AG193" s="159" t="str">
        <f t="array" ref="AG193">IFERROR(XLOOKUP(B193,'ImportaçãoMeta - Adveronix'!$F:$F,'ImportaçãoMeta - Adveronix'!E:E),"")</f>
        <v/>
      </c>
      <c r="AH193" s="157"/>
      <c r="AI193" s="157"/>
      <c r="AJ193" s="156"/>
      <c r="AK193" s="160">
        <f>IFERROR(COUNTIFS(Leads!$L:$L,$B193,Leads!$F:$F,"*MetaAds"),0)</f>
        <v>0</v>
      </c>
      <c r="AL193" s="160">
        <f>IFERROR(COUNTIFS(Leads!$L:$L,$B193,Leads!$F:$F,"*MetaAds*",Leads!$N:$N,"Sim"),0)</f>
        <v>0</v>
      </c>
    </row>
    <row r="194" ht="15.75" customHeight="1">
      <c r="A194" s="149" t="str">
        <f t="array" ref="A194">XLOOKUP(MONTH(B194),BASE!$F$16:$F$27,BASE!$G$16:$G$27)</f>
        <v>Julho</v>
      </c>
      <c r="B194" s="150">
        <v>46215.0</v>
      </c>
      <c r="C194" s="151"/>
      <c r="D194" s="149" t="str">
        <f t="shared" si="4"/>
        <v>domingo</v>
      </c>
      <c r="E194" s="152">
        <f t="shared" ref="E194:J194" si="387">IFERROR(SUM(P194,AB194)," ")</f>
        <v>0</v>
      </c>
      <c r="F194" s="152">
        <f t="shared" si="387"/>
        <v>0</v>
      </c>
      <c r="G194" s="152">
        <f t="shared" si="387"/>
        <v>0</v>
      </c>
      <c r="H194" s="153">
        <f t="shared" si="387"/>
        <v>0</v>
      </c>
      <c r="I194" s="153">
        <f t="shared" si="387"/>
        <v>0</v>
      </c>
      <c r="J194" s="153">
        <f t="shared" si="387"/>
        <v>0</v>
      </c>
      <c r="K194" s="153">
        <f t="shared" ref="K194:O194" si="388">IFERROR(SUM(W194,AH194)," ")</f>
        <v>0</v>
      </c>
      <c r="L194" s="153">
        <f t="shared" si="388"/>
        <v>0</v>
      </c>
      <c r="M194" s="153">
        <f t="shared" si="388"/>
        <v>0</v>
      </c>
      <c r="N194" s="153">
        <f t="shared" si="388"/>
        <v>0</v>
      </c>
      <c r="O194" s="153">
        <f t="shared" si="388"/>
        <v>0</v>
      </c>
      <c r="P194" s="152" t="str">
        <f t="array" ref="P194">IFERROR(XLOOKUP(B194,'ImportaçãoGoogleAds - Adveronix'!$F:$F,'ImportaçãoGoogleAds - Adveronix'!$B:$B)," ")</f>
        <v> </v>
      </c>
      <c r="Q194" s="154"/>
      <c r="R194" s="154"/>
      <c r="S194" s="155" t="str">
        <f t="array" ref="S194">IFERROR(XLOOKUP(B194,'ImportaçãoGoogleAds - Adveronix'!$F:$F,'ImportaçãoGoogleAds - Adveronix'!C:C)," ")</f>
        <v> </v>
      </c>
      <c r="T194" s="155" t="str">
        <f t="array" ref="T194">IFERROR(XLOOKUP(B194,'ImportaçãoGoogleAds - Adveronix'!$F:$F,'ImportaçãoGoogleAds - Adveronix'!D:D)," ")</f>
        <v> </v>
      </c>
      <c r="U194" s="155" t="str">
        <f t="array" ref="U194">IFERROR(XLOOKUP(B194,'ImportaçãoGoogleAds - Adveronix'!$F:$F,'ImportaçãoGoogleAds - Adveronix'!E:E)," ")</f>
        <v> </v>
      </c>
      <c r="V194" s="156"/>
      <c r="W194" s="157"/>
      <c r="X194" s="157"/>
      <c r="Y194" s="158"/>
      <c r="Z194" s="158">
        <f>IFERROR(COUNTIFS(Leads!$L:$L,$B194,Leads!$F:$F,"*google*"),0)</f>
        <v>0</v>
      </c>
      <c r="AA194" s="158">
        <f>IFERROR(COUNTIFS(Leads!$L:$L,$B194,Leads!$F:$F,"*google*",Leads!$N:$N,"Sim"),0)</f>
        <v>0</v>
      </c>
      <c r="AB194" s="152" t="str">
        <f t="array" ref="AB194">IFERROR(XLOOKUP(B194,'ImportaçãoMeta - Adveronix'!F:F,'ImportaçãoMeta - Adveronix'!B:B),"")</f>
        <v/>
      </c>
      <c r="AC194" s="154"/>
      <c r="AD194" s="154"/>
      <c r="AE194" s="159" t="str">
        <f t="array" ref="AE194">IFERROR(XLOOKUP(B194,'ImportaçãoMeta - Adveronix'!$F:$F,'ImportaçãoMeta - Adveronix'!C:C),"")</f>
        <v/>
      </c>
      <c r="AF194" s="159" t="str">
        <f t="array" ref="AF194">IFERROR(XLOOKUP(B194,'ImportaçãoMeta - Adveronix'!$F:$F,'ImportaçãoMeta - Adveronix'!D:D),"")</f>
        <v/>
      </c>
      <c r="AG194" s="159" t="str">
        <f t="array" ref="AG194">IFERROR(XLOOKUP(B194,'ImportaçãoMeta - Adveronix'!$F:$F,'ImportaçãoMeta - Adveronix'!E:E),"")</f>
        <v/>
      </c>
      <c r="AH194" s="157"/>
      <c r="AI194" s="157"/>
      <c r="AJ194" s="156"/>
      <c r="AK194" s="160">
        <f>IFERROR(COUNTIFS(Leads!$L:$L,$B194,Leads!$F:$F,"*MetaAds"),0)</f>
        <v>0</v>
      </c>
      <c r="AL194" s="160">
        <f>IFERROR(COUNTIFS(Leads!$L:$L,$B194,Leads!$F:$F,"*MetaAds*",Leads!$N:$N,"Sim"),0)</f>
        <v>0</v>
      </c>
    </row>
    <row r="195" ht="15.75" customHeight="1">
      <c r="A195" s="149" t="str">
        <f t="array" ref="A195">XLOOKUP(MONTH(B195),BASE!$F$16:$F$27,BASE!$G$16:$G$27)</f>
        <v>Julho</v>
      </c>
      <c r="B195" s="150">
        <v>46216.0</v>
      </c>
      <c r="C195" s="151"/>
      <c r="D195" s="149" t="str">
        <f t="shared" si="4"/>
        <v>segunda-feira</v>
      </c>
      <c r="E195" s="152">
        <f t="shared" ref="E195:J195" si="389">IFERROR(SUM(P195,AB195)," ")</f>
        <v>0</v>
      </c>
      <c r="F195" s="152">
        <f t="shared" si="389"/>
        <v>0</v>
      </c>
      <c r="G195" s="152">
        <f t="shared" si="389"/>
        <v>0</v>
      </c>
      <c r="H195" s="153">
        <f t="shared" si="389"/>
        <v>0</v>
      </c>
      <c r="I195" s="153">
        <f t="shared" si="389"/>
        <v>0</v>
      </c>
      <c r="J195" s="153">
        <f t="shared" si="389"/>
        <v>0</v>
      </c>
      <c r="K195" s="153">
        <f t="shared" ref="K195:O195" si="390">IFERROR(SUM(W195,AH195)," ")</f>
        <v>0</v>
      </c>
      <c r="L195" s="153">
        <f t="shared" si="390"/>
        <v>0</v>
      </c>
      <c r="M195" s="153">
        <f t="shared" si="390"/>
        <v>0</v>
      </c>
      <c r="N195" s="153">
        <f t="shared" si="390"/>
        <v>0</v>
      </c>
      <c r="O195" s="153">
        <f t="shared" si="390"/>
        <v>0</v>
      </c>
      <c r="P195" s="152" t="str">
        <f t="array" ref="P195">IFERROR(XLOOKUP(B195,'ImportaçãoGoogleAds - Adveronix'!$F:$F,'ImportaçãoGoogleAds - Adveronix'!$B:$B)," ")</f>
        <v> </v>
      </c>
      <c r="Q195" s="154"/>
      <c r="R195" s="154"/>
      <c r="S195" s="155" t="str">
        <f t="array" ref="S195">IFERROR(XLOOKUP(B195,'ImportaçãoGoogleAds - Adveronix'!$F:$F,'ImportaçãoGoogleAds - Adveronix'!C:C)," ")</f>
        <v> </v>
      </c>
      <c r="T195" s="155" t="str">
        <f t="array" ref="T195">IFERROR(XLOOKUP(B195,'ImportaçãoGoogleAds - Adveronix'!$F:$F,'ImportaçãoGoogleAds - Adveronix'!D:D)," ")</f>
        <v> </v>
      </c>
      <c r="U195" s="155" t="str">
        <f t="array" ref="U195">IFERROR(XLOOKUP(B195,'ImportaçãoGoogleAds - Adveronix'!$F:$F,'ImportaçãoGoogleAds - Adveronix'!E:E)," ")</f>
        <v> </v>
      </c>
      <c r="V195" s="156"/>
      <c r="W195" s="157"/>
      <c r="X195" s="157"/>
      <c r="Y195" s="158"/>
      <c r="Z195" s="158">
        <f>IFERROR(COUNTIFS(Leads!$L:$L,$B195,Leads!$F:$F,"*google*"),0)</f>
        <v>0</v>
      </c>
      <c r="AA195" s="158">
        <f>IFERROR(COUNTIFS(Leads!$L:$L,$B195,Leads!$F:$F,"*google*",Leads!$N:$N,"Sim"),0)</f>
        <v>0</v>
      </c>
      <c r="AB195" s="152" t="str">
        <f t="array" ref="AB195">IFERROR(XLOOKUP(B195,'ImportaçãoMeta - Adveronix'!F:F,'ImportaçãoMeta - Adveronix'!B:B),"")</f>
        <v/>
      </c>
      <c r="AC195" s="154"/>
      <c r="AD195" s="154"/>
      <c r="AE195" s="159" t="str">
        <f t="array" ref="AE195">IFERROR(XLOOKUP(B195,'ImportaçãoMeta - Adveronix'!$F:$F,'ImportaçãoMeta - Adveronix'!C:C),"")</f>
        <v/>
      </c>
      <c r="AF195" s="159" t="str">
        <f t="array" ref="AF195">IFERROR(XLOOKUP(B195,'ImportaçãoMeta - Adveronix'!$F:$F,'ImportaçãoMeta - Adveronix'!D:D),"")</f>
        <v/>
      </c>
      <c r="AG195" s="159" t="str">
        <f t="array" ref="AG195">IFERROR(XLOOKUP(B195,'ImportaçãoMeta - Adveronix'!$F:$F,'ImportaçãoMeta - Adveronix'!E:E),"")</f>
        <v/>
      </c>
      <c r="AH195" s="157"/>
      <c r="AI195" s="157"/>
      <c r="AJ195" s="156"/>
      <c r="AK195" s="160">
        <f>IFERROR(COUNTIFS(Leads!$L:$L,$B195,Leads!$F:$F,"*MetaAds"),0)</f>
        <v>0</v>
      </c>
      <c r="AL195" s="160">
        <f>IFERROR(COUNTIFS(Leads!$L:$L,$B195,Leads!$F:$F,"*MetaAds*",Leads!$N:$N,"Sim"),0)</f>
        <v>0</v>
      </c>
    </row>
    <row r="196" ht="15.75" customHeight="1">
      <c r="A196" s="149" t="str">
        <f t="array" ref="A196">XLOOKUP(MONTH(B196),BASE!$F$16:$F$27,BASE!$G$16:$G$27)</f>
        <v>Julho</v>
      </c>
      <c r="B196" s="150">
        <v>46217.0</v>
      </c>
      <c r="C196" s="151"/>
      <c r="D196" s="149" t="str">
        <f t="shared" si="4"/>
        <v>terça-feira</v>
      </c>
      <c r="E196" s="152">
        <f t="shared" ref="E196:J196" si="391">IFERROR(SUM(P196,AB196)," ")</f>
        <v>0</v>
      </c>
      <c r="F196" s="152">
        <f t="shared" si="391"/>
        <v>0</v>
      </c>
      <c r="G196" s="152">
        <f t="shared" si="391"/>
        <v>0</v>
      </c>
      <c r="H196" s="153">
        <f t="shared" si="391"/>
        <v>0</v>
      </c>
      <c r="I196" s="153">
        <f t="shared" si="391"/>
        <v>0</v>
      </c>
      <c r="J196" s="153">
        <f t="shared" si="391"/>
        <v>0</v>
      </c>
      <c r="K196" s="153">
        <f t="shared" ref="K196:O196" si="392">IFERROR(SUM(W196,AH196)," ")</f>
        <v>0</v>
      </c>
      <c r="L196" s="153">
        <f t="shared" si="392"/>
        <v>0</v>
      </c>
      <c r="M196" s="153">
        <f t="shared" si="392"/>
        <v>0</v>
      </c>
      <c r="N196" s="153">
        <f t="shared" si="392"/>
        <v>0</v>
      </c>
      <c r="O196" s="153">
        <f t="shared" si="392"/>
        <v>0</v>
      </c>
      <c r="P196" s="152" t="str">
        <f t="array" ref="P196">IFERROR(XLOOKUP(B196,'ImportaçãoGoogleAds - Adveronix'!$F:$F,'ImportaçãoGoogleAds - Adveronix'!$B:$B)," ")</f>
        <v> </v>
      </c>
      <c r="Q196" s="154"/>
      <c r="R196" s="154"/>
      <c r="S196" s="155" t="str">
        <f t="array" ref="S196">IFERROR(XLOOKUP(B196,'ImportaçãoGoogleAds - Adveronix'!$F:$F,'ImportaçãoGoogleAds - Adveronix'!C:C)," ")</f>
        <v> </v>
      </c>
      <c r="T196" s="155" t="str">
        <f t="array" ref="T196">IFERROR(XLOOKUP(B196,'ImportaçãoGoogleAds - Adveronix'!$F:$F,'ImportaçãoGoogleAds - Adveronix'!D:D)," ")</f>
        <v> </v>
      </c>
      <c r="U196" s="155" t="str">
        <f t="array" ref="U196">IFERROR(XLOOKUP(B196,'ImportaçãoGoogleAds - Adveronix'!$F:$F,'ImportaçãoGoogleAds - Adveronix'!E:E)," ")</f>
        <v> </v>
      </c>
      <c r="V196" s="156"/>
      <c r="W196" s="157"/>
      <c r="X196" s="157"/>
      <c r="Y196" s="158"/>
      <c r="Z196" s="158">
        <f>IFERROR(COUNTIFS(Leads!$L:$L,$B196,Leads!$F:$F,"*google*"),0)</f>
        <v>0</v>
      </c>
      <c r="AA196" s="158">
        <f>IFERROR(COUNTIFS(Leads!$L:$L,$B196,Leads!$F:$F,"*google*",Leads!$N:$N,"Sim"),0)</f>
        <v>0</v>
      </c>
      <c r="AB196" s="152" t="str">
        <f t="array" ref="AB196">IFERROR(XLOOKUP(B196,'ImportaçãoMeta - Adveronix'!F:F,'ImportaçãoMeta - Adveronix'!B:B),"")</f>
        <v/>
      </c>
      <c r="AC196" s="154"/>
      <c r="AD196" s="154"/>
      <c r="AE196" s="159" t="str">
        <f t="array" ref="AE196">IFERROR(XLOOKUP(B196,'ImportaçãoMeta - Adveronix'!$F:$F,'ImportaçãoMeta - Adveronix'!C:C),"")</f>
        <v/>
      </c>
      <c r="AF196" s="159" t="str">
        <f t="array" ref="AF196">IFERROR(XLOOKUP(B196,'ImportaçãoMeta - Adveronix'!$F:$F,'ImportaçãoMeta - Adveronix'!D:D),"")</f>
        <v/>
      </c>
      <c r="AG196" s="159" t="str">
        <f t="array" ref="AG196">IFERROR(XLOOKUP(B196,'ImportaçãoMeta - Adveronix'!$F:$F,'ImportaçãoMeta - Adveronix'!E:E),"")</f>
        <v/>
      </c>
      <c r="AH196" s="157"/>
      <c r="AI196" s="157"/>
      <c r="AJ196" s="156"/>
      <c r="AK196" s="160">
        <f>IFERROR(COUNTIFS(Leads!$L:$L,$B196,Leads!$F:$F,"*MetaAds"),0)</f>
        <v>0</v>
      </c>
      <c r="AL196" s="160">
        <f>IFERROR(COUNTIFS(Leads!$L:$L,$B196,Leads!$F:$F,"*MetaAds*",Leads!$N:$N,"Sim"),0)</f>
        <v>0</v>
      </c>
    </row>
    <row r="197" ht="15.75" customHeight="1">
      <c r="A197" s="149" t="str">
        <f t="array" ref="A197">XLOOKUP(MONTH(B197),BASE!$F$16:$F$27,BASE!$G$16:$G$27)</f>
        <v>Julho</v>
      </c>
      <c r="B197" s="150">
        <v>46218.0</v>
      </c>
      <c r="C197" s="151"/>
      <c r="D197" s="149" t="str">
        <f t="shared" si="4"/>
        <v>quarta-feira</v>
      </c>
      <c r="E197" s="152">
        <f t="shared" ref="E197:J197" si="393">IFERROR(SUM(P197,AB197)," ")</f>
        <v>0</v>
      </c>
      <c r="F197" s="152">
        <f t="shared" si="393"/>
        <v>0</v>
      </c>
      <c r="G197" s="152">
        <f t="shared" si="393"/>
        <v>0</v>
      </c>
      <c r="H197" s="153">
        <f t="shared" si="393"/>
        <v>0</v>
      </c>
      <c r="I197" s="153">
        <f t="shared" si="393"/>
        <v>0</v>
      </c>
      <c r="J197" s="153">
        <f t="shared" si="393"/>
        <v>0</v>
      </c>
      <c r="K197" s="153">
        <f t="shared" ref="K197:O197" si="394">IFERROR(SUM(W197,AH197)," ")</f>
        <v>0</v>
      </c>
      <c r="L197" s="153">
        <f t="shared" si="394"/>
        <v>0</v>
      </c>
      <c r="M197" s="153">
        <f t="shared" si="394"/>
        <v>0</v>
      </c>
      <c r="N197" s="153">
        <f t="shared" si="394"/>
        <v>0</v>
      </c>
      <c r="O197" s="153">
        <f t="shared" si="394"/>
        <v>0</v>
      </c>
      <c r="P197" s="152" t="str">
        <f t="array" ref="P197">IFERROR(XLOOKUP(B197,'ImportaçãoGoogleAds - Adveronix'!$F:$F,'ImportaçãoGoogleAds - Adveronix'!$B:$B)," ")</f>
        <v> </v>
      </c>
      <c r="Q197" s="154"/>
      <c r="R197" s="154"/>
      <c r="S197" s="155" t="str">
        <f t="array" ref="S197">IFERROR(XLOOKUP(B197,'ImportaçãoGoogleAds - Adveronix'!$F:$F,'ImportaçãoGoogleAds - Adveronix'!C:C)," ")</f>
        <v> </v>
      </c>
      <c r="T197" s="155" t="str">
        <f t="array" ref="T197">IFERROR(XLOOKUP(B197,'ImportaçãoGoogleAds - Adveronix'!$F:$F,'ImportaçãoGoogleAds - Adveronix'!D:D)," ")</f>
        <v> </v>
      </c>
      <c r="U197" s="155" t="str">
        <f t="array" ref="U197">IFERROR(XLOOKUP(B197,'ImportaçãoGoogleAds - Adveronix'!$F:$F,'ImportaçãoGoogleAds - Adveronix'!E:E)," ")</f>
        <v> </v>
      </c>
      <c r="V197" s="156"/>
      <c r="W197" s="157"/>
      <c r="X197" s="157"/>
      <c r="Y197" s="158"/>
      <c r="Z197" s="158">
        <f>IFERROR(COUNTIFS(Leads!$L:$L,$B197,Leads!$F:$F,"*google*"),0)</f>
        <v>0</v>
      </c>
      <c r="AA197" s="158">
        <f>IFERROR(COUNTIFS(Leads!$L:$L,$B197,Leads!$F:$F,"*google*",Leads!$N:$N,"Sim"),0)</f>
        <v>0</v>
      </c>
      <c r="AB197" s="152" t="str">
        <f t="array" ref="AB197">IFERROR(XLOOKUP(B197,'ImportaçãoMeta - Adveronix'!F:F,'ImportaçãoMeta - Adveronix'!B:B),"")</f>
        <v/>
      </c>
      <c r="AC197" s="154"/>
      <c r="AD197" s="154"/>
      <c r="AE197" s="159" t="str">
        <f t="array" ref="AE197">IFERROR(XLOOKUP(B197,'ImportaçãoMeta - Adveronix'!$F:$F,'ImportaçãoMeta - Adveronix'!C:C),"")</f>
        <v/>
      </c>
      <c r="AF197" s="159" t="str">
        <f t="array" ref="AF197">IFERROR(XLOOKUP(B197,'ImportaçãoMeta - Adveronix'!$F:$F,'ImportaçãoMeta - Adveronix'!D:D),"")</f>
        <v/>
      </c>
      <c r="AG197" s="159" t="str">
        <f t="array" ref="AG197">IFERROR(XLOOKUP(B197,'ImportaçãoMeta - Adveronix'!$F:$F,'ImportaçãoMeta - Adveronix'!E:E),"")</f>
        <v/>
      </c>
      <c r="AH197" s="157"/>
      <c r="AI197" s="157"/>
      <c r="AJ197" s="156"/>
      <c r="AK197" s="160">
        <f>IFERROR(COUNTIFS(Leads!$L:$L,$B197,Leads!$F:$F,"*MetaAds"),0)</f>
        <v>0</v>
      </c>
      <c r="AL197" s="160">
        <f>IFERROR(COUNTIFS(Leads!$L:$L,$B197,Leads!$F:$F,"*MetaAds*",Leads!$N:$N,"Sim"),0)</f>
        <v>0</v>
      </c>
    </row>
    <row r="198" ht="15.75" customHeight="1">
      <c r="A198" s="149" t="str">
        <f t="array" ref="A198">XLOOKUP(MONTH(B198),BASE!$F$16:$F$27,BASE!$G$16:$G$27)</f>
        <v>Julho</v>
      </c>
      <c r="B198" s="150">
        <v>46219.0</v>
      </c>
      <c r="C198" s="151"/>
      <c r="D198" s="149" t="str">
        <f t="shared" si="4"/>
        <v>quinta-feira</v>
      </c>
      <c r="E198" s="152">
        <f t="shared" ref="E198:J198" si="395">IFERROR(SUM(P198,AB198)," ")</f>
        <v>0</v>
      </c>
      <c r="F198" s="152">
        <f t="shared" si="395"/>
        <v>0</v>
      </c>
      <c r="G198" s="152">
        <f t="shared" si="395"/>
        <v>0</v>
      </c>
      <c r="H198" s="153">
        <f t="shared" si="395"/>
        <v>0</v>
      </c>
      <c r="I198" s="153">
        <f t="shared" si="395"/>
        <v>0</v>
      </c>
      <c r="J198" s="153">
        <f t="shared" si="395"/>
        <v>0</v>
      </c>
      <c r="K198" s="153">
        <f t="shared" ref="K198:O198" si="396">IFERROR(SUM(W198,AH198)," ")</f>
        <v>0</v>
      </c>
      <c r="L198" s="153">
        <f t="shared" si="396"/>
        <v>0</v>
      </c>
      <c r="M198" s="153">
        <f t="shared" si="396"/>
        <v>0</v>
      </c>
      <c r="N198" s="153">
        <f t="shared" si="396"/>
        <v>0</v>
      </c>
      <c r="O198" s="153">
        <f t="shared" si="396"/>
        <v>0</v>
      </c>
      <c r="P198" s="152" t="str">
        <f t="array" ref="P198">IFERROR(XLOOKUP(B198,'ImportaçãoGoogleAds - Adveronix'!$F:$F,'ImportaçãoGoogleAds - Adveronix'!$B:$B)," ")</f>
        <v> </v>
      </c>
      <c r="Q198" s="154"/>
      <c r="R198" s="154"/>
      <c r="S198" s="155" t="str">
        <f t="array" ref="S198">IFERROR(XLOOKUP(B198,'ImportaçãoGoogleAds - Adveronix'!$F:$F,'ImportaçãoGoogleAds - Adveronix'!C:C)," ")</f>
        <v> </v>
      </c>
      <c r="T198" s="155" t="str">
        <f t="array" ref="T198">IFERROR(XLOOKUP(B198,'ImportaçãoGoogleAds - Adveronix'!$F:$F,'ImportaçãoGoogleAds - Adveronix'!D:D)," ")</f>
        <v> </v>
      </c>
      <c r="U198" s="155" t="str">
        <f t="array" ref="U198">IFERROR(XLOOKUP(B198,'ImportaçãoGoogleAds - Adveronix'!$F:$F,'ImportaçãoGoogleAds - Adveronix'!E:E)," ")</f>
        <v> </v>
      </c>
      <c r="V198" s="156"/>
      <c r="W198" s="157"/>
      <c r="X198" s="157"/>
      <c r="Y198" s="158"/>
      <c r="Z198" s="158">
        <f>IFERROR(COUNTIFS(Leads!$L:$L,$B198,Leads!$F:$F,"*google*"),0)</f>
        <v>0</v>
      </c>
      <c r="AA198" s="158">
        <f>IFERROR(COUNTIFS(Leads!$L:$L,$B198,Leads!$F:$F,"*google*",Leads!$N:$N,"Sim"),0)</f>
        <v>0</v>
      </c>
      <c r="AB198" s="152" t="str">
        <f t="array" ref="AB198">IFERROR(XLOOKUP(B198,'ImportaçãoMeta - Adveronix'!F:F,'ImportaçãoMeta - Adveronix'!B:B),"")</f>
        <v/>
      </c>
      <c r="AC198" s="154"/>
      <c r="AD198" s="154"/>
      <c r="AE198" s="159" t="str">
        <f t="array" ref="AE198">IFERROR(XLOOKUP(B198,'ImportaçãoMeta - Adveronix'!$F:$F,'ImportaçãoMeta - Adveronix'!C:C),"")</f>
        <v/>
      </c>
      <c r="AF198" s="159" t="str">
        <f t="array" ref="AF198">IFERROR(XLOOKUP(B198,'ImportaçãoMeta - Adveronix'!$F:$F,'ImportaçãoMeta - Adveronix'!D:D),"")</f>
        <v/>
      </c>
      <c r="AG198" s="159" t="str">
        <f t="array" ref="AG198">IFERROR(XLOOKUP(B198,'ImportaçãoMeta - Adveronix'!$F:$F,'ImportaçãoMeta - Adveronix'!E:E),"")</f>
        <v/>
      </c>
      <c r="AH198" s="157"/>
      <c r="AI198" s="157"/>
      <c r="AJ198" s="156"/>
      <c r="AK198" s="160">
        <f>IFERROR(COUNTIFS(Leads!$L:$L,$B198,Leads!$F:$F,"*MetaAds"),0)</f>
        <v>0</v>
      </c>
      <c r="AL198" s="160">
        <f>IFERROR(COUNTIFS(Leads!$L:$L,$B198,Leads!$F:$F,"*MetaAds*",Leads!$N:$N,"Sim"),0)</f>
        <v>0</v>
      </c>
    </row>
    <row r="199" ht="15.75" customHeight="1">
      <c r="A199" s="149" t="str">
        <f t="array" ref="A199">XLOOKUP(MONTH(B199),BASE!$F$16:$F$27,BASE!$G$16:$G$27)</f>
        <v>Julho</v>
      </c>
      <c r="B199" s="150">
        <v>46220.0</v>
      </c>
      <c r="C199" s="151"/>
      <c r="D199" s="149" t="str">
        <f t="shared" si="4"/>
        <v>sexta-feira</v>
      </c>
      <c r="E199" s="152">
        <f t="shared" ref="E199:J199" si="397">IFERROR(SUM(P199,AB199)," ")</f>
        <v>0</v>
      </c>
      <c r="F199" s="152">
        <f t="shared" si="397"/>
        <v>0</v>
      </c>
      <c r="G199" s="152">
        <f t="shared" si="397"/>
        <v>0</v>
      </c>
      <c r="H199" s="153">
        <f t="shared" si="397"/>
        <v>0</v>
      </c>
      <c r="I199" s="153">
        <f t="shared" si="397"/>
        <v>0</v>
      </c>
      <c r="J199" s="153">
        <f t="shared" si="397"/>
        <v>0</v>
      </c>
      <c r="K199" s="153">
        <f t="shared" ref="K199:O199" si="398">IFERROR(SUM(W199,AH199)," ")</f>
        <v>0</v>
      </c>
      <c r="L199" s="153">
        <f t="shared" si="398"/>
        <v>0</v>
      </c>
      <c r="M199" s="153">
        <f t="shared" si="398"/>
        <v>0</v>
      </c>
      <c r="N199" s="153">
        <f t="shared" si="398"/>
        <v>0</v>
      </c>
      <c r="O199" s="153">
        <f t="shared" si="398"/>
        <v>0</v>
      </c>
      <c r="P199" s="152" t="str">
        <f t="array" ref="P199">IFERROR(XLOOKUP(B199,'ImportaçãoGoogleAds - Adveronix'!$F:$F,'ImportaçãoGoogleAds - Adveronix'!$B:$B)," ")</f>
        <v> </v>
      </c>
      <c r="Q199" s="154"/>
      <c r="R199" s="154"/>
      <c r="S199" s="155" t="str">
        <f t="array" ref="S199">IFERROR(XLOOKUP(B199,'ImportaçãoGoogleAds - Adveronix'!$F:$F,'ImportaçãoGoogleAds - Adveronix'!C:C)," ")</f>
        <v> </v>
      </c>
      <c r="T199" s="155" t="str">
        <f t="array" ref="T199">IFERROR(XLOOKUP(B199,'ImportaçãoGoogleAds - Adveronix'!$F:$F,'ImportaçãoGoogleAds - Adveronix'!D:D)," ")</f>
        <v> </v>
      </c>
      <c r="U199" s="155" t="str">
        <f t="array" ref="U199">IFERROR(XLOOKUP(B199,'ImportaçãoGoogleAds - Adveronix'!$F:$F,'ImportaçãoGoogleAds - Adveronix'!E:E)," ")</f>
        <v> </v>
      </c>
      <c r="V199" s="156"/>
      <c r="W199" s="157"/>
      <c r="X199" s="157"/>
      <c r="Y199" s="158"/>
      <c r="Z199" s="158">
        <f>IFERROR(COUNTIFS(Leads!$L:$L,$B199,Leads!$F:$F,"*google*"),0)</f>
        <v>0</v>
      </c>
      <c r="AA199" s="158">
        <f>IFERROR(COUNTIFS(Leads!$L:$L,$B199,Leads!$F:$F,"*google*",Leads!$N:$N,"Sim"),0)</f>
        <v>0</v>
      </c>
      <c r="AB199" s="152" t="str">
        <f t="array" ref="AB199">IFERROR(XLOOKUP(B199,'ImportaçãoMeta - Adveronix'!F:F,'ImportaçãoMeta - Adveronix'!B:B),"")</f>
        <v/>
      </c>
      <c r="AC199" s="154"/>
      <c r="AD199" s="154"/>
      <c r="AE199" s="159" t="str">
        <f t="array" ref="AE199">IFERROR(XLOOKUP(B199,'ImportaçãoMeta - Adveronix'!$F:$F,'ImportaçãoMeta - Adveronix'!C:C),"")</f>
        <v/>
      </c>
      <c r="AF199" s="159" t="str">
        <f t="array" ref="AF199">IFERROR(XLOOKUP(B199,'ImportaçãoMeta - Adveronix'!$F:$F,'ImportaçãoMeta - Adveronix'!D:D),"")</f>
        <v/>
      </c>
      <c r="AG199" s="159" t="str">
        <f t="array" ref="AG199">IFERROR(XLOOKUP(B199,'ImportaçãoMeta - Adveronix'!$F:$F,'ImportaçãoMeta - Adveronix'!E:E),"")</f>
        <v/>
      </c>
      <c r="AH199" s="157"/>
      <c r="AI199" s="157"/>
      <c r="AJ199" s="156"/>
      <c r="AK199" s="160">
        <f>IFERROR(COUNTIFS(Leads!$L:$L,$B199,Leads!$F:$F,"*MetaAds"),0)</f>
        <v>0</v>
      </c>
      <c r="AL199" s="160">
        <f>IFERROR(COUNTIFS(Leads!$L:$L,$B199,Leads!$F:$F,"*MetaAds*",Leads!$N:$N,"Sim"),0)</f>
        <v>0</v>
      </c>
    </row>
    <row r="200" ht="15.75" customHeight="1">
      <c r="A200" s="149" t="str">
        <f t="array" ref="A200">XLOOKUP(MONTH(B200),BASE!$F$16:$F$27,BASE!$G$16:$G$27)</f>
        <v>Julho</v>
      </c>
      <c r="B200" s="150">
        <v>46221.0</v>
      </c>
      <c r="C200" s="151"/>
      <c r="D200" s="149" t="str">
        <f t="shared" si="4"/>
        <v>sábado</v>
      </c>
      <c r="E200" s="152">
        <f t="shared" ref="E200:J200" si="399">IFERROR(SUM(P200,AB200)," ")</f>
        <v>0</v>
      </c>
      <c r="F200" s="152">
        <f t="shared" si="399"/>
        <v>0</v>
      </c>
      <c r="G200" s="152">
        <f t="shared" si="399"/>
        <v>0</v>
      </c>
      <c r="H200" s="153">
        <f t="shared" si="399"/>
        <v>0</v>
      </c>
      <c r="I200" s="153">
        <f t="shared" si="399"/>
        <v>0</v>
      </c>
      <c r="J200" s="153">
        <f t="shared" si="399"/>
        <v>0</v>
      </c>
      <c r="K200" s="153">
        <f t="shared" ref="K200:O200" si="400">IFERROR(SUM(W200,AH200)," ")</f>
        <v>0</v>
      </c>
      <c r="L200" s="153">
        <f t="shared" si="400"/>
        <v>0</v>
      </c>
      <c r="M200" s="153">
        <f t="shared" si="400"/>
        <v>0</v>
      </c>
      <c r="N200" s="153">
        <f t="shared" si="400"/>
        <v>0</v>
      </c>
      <c r="O200" s="153">
        <f t="shared" si="400"/>
        <v>0</v>
      </c>
      <c r="P200" s="152" t="str">
        <f t="array" ref="P200">IFERROR(XLOOKUP(B200,'ImportaçãoGoogleAds - Adveronix'!$F:$F,'ImportaçãoGoogleAds - Adveronix'!$B:$B)," ")</f>
        <v> </v>
      </c>
      <c r="Q200" s="154"/>
      <c r="R200" s="154"/>
      <c r="S200" s="155" t="str">
        <f t="array" ref="S200">IFERROR(XLOOKUP(B200,'ImportaçãoGoogleAds - Adveronix'!$F:$F,'ImportaçãoGoogleAds - Adveronix'!C:C)," ")</f>
        <v> </v>
      </c>
      <c r="T200" s="155" t="str">
        <f t="array" ref="T200">IFERROR(XLOOKUP(B200,'ImportaçãoGoogleAds - Adveronix'!$F:$F,'ImportaçãoGoogleAds - Adveronix'!D:D)," ")</f>
        <v> </v>
      </c>
      <c r="U200" s="155" t="str">
        <f t="array" ref="U200">IFERROR(XLOOKUP(B200,'ImportaçãoGoogleAds - Adveronix'!$F:$F,'ImportaçãoGoogleAds - Adveronix'!E:E)," ")</f>
        <v> </v>
      </c>
      <c r="V200" s="156"/>
      <c r="W200" s="157"/>
      <c r="X200" s="157"/>
      <c r="Y200" s="158"/>
      <c r="Z200" s="158">
        <f>IFERROR(COUNTIFS(Leads!$L:$L,$B200,Leads!$F:$F,"*google*"),0)</f>
        <v>0</v>
      </c>
      <c r="AA200" s="158">
        <f>IFERROR(COUNTIFS(Leads!$L:$L,$B200,Leads!$F:$F,"*google*",Leads!$N:$N,"Sim"),0)</f>
        <v>0</v>
      </c>
      <c r="AB200" s="152" t="str">
        <f t="array" ref="AB200">IFERROR(XLOOKUP(B200,'ImportaçãoMeta - Adveronix'!F:F,'ImportaçãoMeta - Adveronix'!B:B),"")</f>
        <v/>
      </c>
      <c r="AC200" s="154"/>
      <c r="AD200" s="154"/>
      <c r="AE200" s="159" t="str">
        <f t="array" ref="AE200">IFERROR(XLOOKUP(B200,'ImportaçãoMeta - Adveronix'!$F:$F,'ImportaçãoMeta - Adveronix'!C:C),"")</f>
        <v/>
      </c>
      <c r="AF200" s="159" t="str">
        <f t="array" ref="AF200">IFERROR(XLOOKUP(B200,'ImportaçãoMeta - Adveronix'!$F:$F,'ImportaçãoMeta - Adveronix'!D:D),"")</f>
        <v/>
      </c>
      <c r="AG200" s="159" t="str">
        <f t="array" ref="AG200">IFERROR(XLOOKUP(B200,'ImportaçãoMeta - Adveronix'!$F:$F,'ImportaçãoMeta - Adveronix'!E:E),"")</f>
        <v/>
      </c>
      <c r="AH200" s="157"/>
      <c r="AI200" s="157"/>
      <c r="AJ200" s="156"/>
      <c r="AK200" s="160">
        <f>IFERROR(COUNTIFS(Leads!$L:$L,$B200,Leads!$F:$F,"*MetaAds"),0)</f>
        <v>0</v>
      </c>
      <c r="AL200" s="160">
        <f>IFERROR(COUNTIFS(Leads!$L:$L,$B200,Leads!$F:$F,"*MetaAds*",Leads!$N:$N,"Sim"),0)</f>
        <v>0</v>
      </c>
    </row>
    <row r="201" ht="15.75" customHeight="1">
      <c r="A201" s="149" t="str">
        <f t="array" ref="A201">XLOOKUP(MONTH(B201),BASE!$F$16:$F$27,BASE!$G$16:$G$27)</f>
        <v>Julho</v>
      </c>
      <c r="B201" s="150">
        <v>46222.0</v>
      </c>
      <c r="C201" s="151"/>
      <c r="D201" s="149" t="str">
        <f t="shared" si="4"/>
        <v>domingo</v>
      </c>
      <c r="E201" s="152">
        <f t="shared" ref="E201:J201" si="401">IFERROR(SUM(P201,AB201)," ")</f>
        <v>0</v>
      </c>
      <c r="F201" s="152">
        <f t="shared" si="401"/>
        <v>0</v>
      </c>
      <c r="G201" s="152">
        <f t="shared" si="401"/>
        <v>0</v>
      </c>
      <c r="H201" s="153">
        <f t="shared" si="401"/>
        <v>0</v>
      </c>
      <c r="I201" s="153">
        <f t="shared" si="401"/>
        <v>0</v>
      </c>
      <c r="J201" s="153">
        <f t="shared" si="401"/>
        <v>0</v>
      </c>
      <c r="K201" s="153">
        <f t="shared" ref="K201:O201" si="402">IFERROR(SUM(W201,AH201)," ")</f>
        <v>0</v>
      </c>
      <c r="L201" s="153">
        <f t="shared" si="402"/>
        <v>0</v>
      </c>
      <c r="M201" s="153">
        <f t="shared" si="402"/>
        <v>0</v>
      </c>
      <c r="N201" s="153">
        <f t="shared" si="402"/>
        <v>0</v>
      </c>
      <c r="O201" s="153">
        <f t="shared" si="402"/>
        <v>0</v>
      </c>
      <c r="P201" s="152" t="str">
        <f t="array" ref="P201">IFERROR(XLOOKUP(B201,'ImportaçãoGoogleAds - Adveronix'!$F:$F,'ImportaçãoGoogleAds - Adveronix'!$B:$B)," ")</f>
        <v> </v>
      </c>
      <c r="Q201" s="154"/>
      <c r="R201" s="154"/>
      <c r="S201" s="155" t="str">
        <f t="array" ref="S201">IFERROR(XLOOKUP(B201,'ImportaçãoGoogleAds - Adveronix'!$F:$F,'ImportaçãoGoogleAds - Adveronix'!C:C)," ")</f>
        <v> </v>
      </c>
      <c r="T201" s="155" t="str">
        <f t="array" ref="T201">IFERROR(XLOOKUP(B201,'ImportaçãoGoogleAds - Adveronix'!$F:$F,'ImportaçãoGoogleAds - Adveronix'!D:D)," ")</f>
        <v> </v>
      </c>
      <c r="U201" s="155" t="str">
        <f t="array" ref="U201">IFERROR(XLOOKUP(B201,'ImportaçãoGoogleAds - Adveronix'!$F:$F,'ImportaçãoGoogleAds - Adveronix'!E:E)," ")</f>
        <v> </v>
      </c>
      <c r="V201" s="156"/>
      <c r="W201" s="157"/>
      <c r="X201" s="157"/>
      <c r="Y201" s="158"/>
      <c r="Z201" s="158">
        <f>IFERROR(COUNTIFS(Leads!$L:$L,$B201,Leads!$F:$F,"*google*"),0)</f>
        <v>0</v>
      </c>
      <c r="AA201" s="158">
        <f>IFERROR(COUNTIFS(Leads!$L:$L,$B201,Leads!$F:$F,"*google*",Leads!$N:$N,"Sim"),0)</f>
        <v>0</v>
      </c>
      <c r="AB201" s="152" t="str">
        <f t="array" ref="AB201">IFERROR(XLOOKUP(B201,'ImportaçãoMeta - Adveronix'!F:F,'ImportaçãoMeta - Adveronix'!B:B),"")</f>
        <v/>
      </c>
      <c r="AC201" s="154"/>
      <c r="AD201" s="154"/>
      <c r="AE201" s="159" t="str">
        <f t="array" ref="AE201">IFERROR(XLOOKUP(B201,'ImportaçãoMeta - Adveronix'!$F:$F,'ImportaçãoMeta - Adveronix'!C:C),"")</f>
        <v/>
      </c>
      <c r="AF201" s="159" t="str">
        <f t="array" ref="AF201">IFERROR(XLOOKUP(B201,'ImportaçãoMeta - Adveronix'!$F:$F,'ImportaçãoMeta - Adveronix'!D:D),"")</f>
        <v/>
      </c>
      <c r="AG201" s="159" t="str">
        <f t="array" ref="AG201">IFERROR(XLOOKUP(B201,'ImportaçãoMeta - Adveronix'!$F:$F,'ImportaçãoMeta - Adveronix'!E:E),"")</f>
        <v/>
      </c>
      <c r="AH201" s="157"/>
      <c r="AI201" s="157"/>
      <c r="AJ201" s="156"/>
      <c r="AK201" s="160">
        <f>IFERROR(COUNTIFS(Leads!$L:$L,$B201,Leads!$F:$F,"*MetaAds"),0)</f>
        <v>0</v>
      </c>
      <c r="AL201" s="160">
        <f>IFERROR(COUNTIFS(Leads!$L:$L,$B201,Leads!$F:$F,"*MetaAds*",Leads!$N:$N,"Sim"),0)</f>
        <v>0</v>
      </c>
    </row>
    <row r="202" ht="15.75" customHeight="1">
      <c r="A202" s="149" t="str">
        <f t="array" ref="A202">XLOOKUP(MONTH(B202),BASE!$F$16:$F$27,BASE!$G$16:$G$27)</f>
        <v>Julho</v>
      </c>
      <c r="B202" s="150">
        <v>46223.0</v>
      </c>
      <c r="C202" s="151"/>
      <c r="D202" s="149" t="str">
        <f t="shared" si="4"/>
        <v>segunda-feira</v>
      </c>
      <c r="E202" s="152">
        <f t="shared" ref="E202:J202" si="403">IFERROR(SUM(P202,AB202)," ")</f>
        <v>0</v>
      </c>
      <c r="F202" s="152">
        <f t="shared" si="403"/>
        <v>0</v>
      </c>
      <c r="G202" s="152">
        <f t="shared" si="403"/>
        <v>0</v>
      </c>
      <c r="H202" s="153">
        <f t="shared" si="403"/>
        <v>0</v>
      </c>
      <c r="I202" s="153">
        <f t="shared" si="403"/>
        <v>0</v>
      </c>
      <c r="J202" s="153">
        <f t="shared" si="403"/>
        <v>0</v>
      </c>
      <c r="K202" s="153">
        <f t="shared" ref="K202:O202" si="404">IFERROR(SUM(W202,AH202)," ")</f>
        <v>0</v>
      </c>
      <c r="L202" s="153">
        <f t="shared" si="404"/>
        <v>0</v>
      </c>
      <c r="M202" s="153">
        <f t="shared" si="404"/>
        <v>0</v>
      </c>
      <c r="N202" s="153">
        <f t="shared" si="404"/>
        <v>0</v>
      </c>
      <c r="O202" s="153">
        <f t="shared" si="404"/>
        <v>0</v>
      </c>
      <c r="P202" s="152" t="str">
        <f t="array" ref="P202">IFERROR(XLOOKUP(B202,'ImportaçãoGoogleAds - Adveronix'!$F:$F,'ImportaçãoGoogleAds - Adveronix'!$B:$B)," ")</f>
        <v> </v>
      </c>
      <c r="Q202" s="154"/>
      <c r="R202" s="154"/>
      <c r="S202" s="155" t="str">
        <f t="array" ref="S202">IFERROR(XLOOKUP(B202,'ImportaçãoGoogleAds - Adveronix'!$F:$F,'ImportaçãoGoogleAds - Adveronix'!C:C)," ")</f>
        <v> </v>
      </c>
      <c r="T202" s="155" t="str">
        <f t="array" ref="T202">IFERROR(XLOOKUP(B202,'ImportaçãoGoogleAds - Adveronix'!$F:$F,'ImportaçãoGoogleAds - Adveronix'!D:D)," ")</f>
        <v> </v>
      </c>
      <c r="U202" s="155" t="str">
        <f t="array" ref="U202">IFERROR(XLOOKUP(B202,'ImportaçãoGoogleAds - Adveronix'!$F:$F,'ImportaçãoGoogleAds - Adveronix'!E:E)," ")</f>
        <v> </v>
      </c>
      <c r="V202" s="156"/>
      <c r="W202" s="157"/>
      <c r="X202" s="157"/>
      <c r="Y202" s="158"/>
      <c r="Z202" s="158">
        <f>IFERROR(COUNTIFS(Leads!$L:$L,$B202,Leads!$F:$F,"*google*"),0)</f>
        <v>0</v>
      </c>
      <c r="AA202" s="158">
        <f>IFERROR(COUNTIFS(Leads!$L:$L,$B202,Leads!$F:$F,"*google*",Leads!$N:$N,"Sim"),0)</f>
        <v>0</v>
      </c>
      <c r="AB202" s="152" t="str">
        <f t="array" ref="AB202">IFERROR(XLOOKUP(B202,'ImportaçãoMeta - Adveronix'!F:F,'ImportaçãoMeta - Adveronix'!B:B),"")</f>
        <v/>
      </c>
      <c r="AC202" s="154"/>
      <c r="AD202" s="154"/>
      <c r="AE202" s="159" t="str">
        <f t="array" ref="AE202">IFERROR(XLOOKUP(B202,'ImportaçãoMeta - Adveronix'!$F:$F,'ImportaçãoMeta - Adveronix'!C:C),"")</f>
        <v/>
      </c>
      <c r="AF202" s="159" t="str">
        <f t="array" ref="AF202">IFERROR(XLOOKUP(B202,'ImportaçãoMeta - Adveronix'!$F:$F,'ImportaçãoMeta - Adveronix'!D:D),"")</f>
        <v/>
      </c>
      <c r="AG202" s="159" t="str">
        <f t="array" ref="AG202">IFERROR(XLOOKUP(B202,'ImportaçãoMeta - Adveronix'!$F:$F,'ImportaçãoMeta - Adveronix'!E:E),"")</f>
        <v/>
      </c>
      <c r="AH202" s="157"/>
      <c r="AI202" s="157"/>
      <c r="AJ202" s="156"/>
      <c r="AK202" s="160">
        <f>IFERROR(COUNTIFS(Leads!$L:$L,$B202,Leads!$F:$F,"*MetaAds"),0)</f>
        <v>0</v>
      </c>
      <c r="AL202" s="160">
        <f>IFERROR(COUNTIFS(Leads!$L:$L,$B202,Leads!$F:$F,"*MetaAds*",Leads!$N:$N,"Sim"),0)</f>
        <v>0</v>
      </c>
    </row>
    <row r="203" ht="15.75" customHeight="1">
      <c r="A203" s="149" t="str">
        <f t="array" ref="A203">XLOOKUP(MONTH(B203),BASE!$F$16:$F$27,BASE!$G$16:$G$27)</f>
        <v>Julho</v>
      </c>
      <c r="B203" s="150">
        <v>46224.0</v>
      </c>
      <c r="C203" s="151"/>
      <c r="D203" s="149" t="str">
        <f t="shared" si="4"/>
        <v>terça-feira</v>
      </c>
      <c r="E203" s="152">
        <f t="shared" ref="E203:J203" si="405">IFERROR(SUM(P203,AB203)," ")</f>
        <v>0</v>
      </c>
      <c r="F203" s="152">
        <f t="shared" si="405"/>
        <v>0</v>
      </c>
      <c r="G203" s="152">
        <f t="shared" si="405"/>
        <v>0</v>
      </c>
      <c r="H203" s="153">
        <f t="shared" si="405"/>
        <v>0</v>
      </c>
      <c r="I203" s="153">
        <f t="shared" si="405"/>
        <v>0</v>
      </c>
      <c r="J203" s="153">
        <f t="shared" si="405"/>
        <v>0</v>
      </c>
      <c r="K203" s="153">
        <f t="shared" ref="K203:O203" si="406">IFERROR(SUM(W203,AH203)," ")</f>
        <v>0</v>
      </c>
      <c r="L203" s="153">
        <f t="shared" si="406"/>
        <v>0</v>
      </c>
      <c r="M203" s="153">
        <f t="shared" si="406"/>
        <v>0</v>
      </c>
      <c r="N203" s="153">
        <f t="shared" si="406"/>
        <v>0</v>
      </c>
      <c r="O203" s="153">
        <f t="shared" si="406"/>
        <v>0</v>
      </c>
      <c r="P203" s="152" t="str">
        <f t="array" ref="P203">IFERROR(XLOOKUP(B203,'ImportaçãoGoogleAds - Adveronix'!$F:$F,'ImportaçãoGoogleAds - Adveronix'!$B:$B)," ")</f>
        <v> </v>
      </c>
      <c r="Q203" s="154"/>
      <c r="R203" s="154"/>
      <c r="S203" s="155" t="str">
        <f t="array" ref="S203">IFERROR(XLOOKUP(B203,'ImportaçãoGoogleAds - Adveronix'!$F:$F,'ImportaçãoGoogleAds - Adveronix'!C:C)," ")</f>
        <v> </v>
      </c>
      <c r="T203" s="155" t="str">
        <f t="array" ref="T203">IFERROR(XLOOKUP(B203,'ImportaçãoGoogleAds - Adveronix'!$F:$F,'ImportaçãoGoogleAds - Adveronix'!D:D)," ")</f>
        <v> </v>
      </c>
      <c r="U203" s="155" t="str">
        <f t="array" ref="U203">IFERROR(XLOOKUP(B203,'ImportaçãoGoogleAds - Adveronix'!$F:$F,'ImportaçãoGoogleAds - Adveronix'!E:E)," ")</f>
        <v> </v>
      </c>
      <c r="V203" s="156"/>
      <c r="W203" s="157"/>
      <c r="X203" s="157"/>
      <c r="Y203" s="158"/>
      <c r="Z203" s="158">
        <f>IFERROR(COUNTIFS(Leads!$L:$L,$B203,Leads!$F:$F,"*google*"),0)</f>
        <v>0</v>
      </c>
      <c r="AA203" s="158">
        <f>IFERROR(COUNTIFS(Leads!$L:$L,$B203,Leads!$F:$F,"*google*",Leads!$N:$N,"Sim"),0)</f>
        <v>0</v>
      </c>
      <c r="AB203" s="152" t="str">
        <f t="array" ref="AB203">IFERROR(XLOOKUP(B203,'ImportaçãoMeta - Adveronix'!F:F,'ImportaçãoMeta - Adveronix'!B:B),"")</f>
        <v/>
      </c>
      <c r="AC203" s="154"/>
      <c r="AD203" s="154"/>
      <c r="AE203" s="159" t="str">
        <f t="array" ref="AE203">IFERROR(XLOOKUP(B203,'ImportaçãoMeta - Adveronix'!$F:$F,'ImportaçãoMeta - Adveronix'!C:C),"")</f>
        <v/>
      </c>
      <c r="AF203" s="159" t="str">
        <f t="array" ref="AF203">IFERROR(XLOOKUP(B203,'ImportaçãoMeta - Adveronix'!$F:$F,'ImportaçãoMeta - Adveronix'!D:D),"")</f>
        <v/>
      </c>
      <c r="AG203" s="159" t="str">
        <f t="array" ref="AG203">IFERROR(XLOOKUP(B203,'ImportaçãoMeta - Adveronix'!$F:$F,'ImportaçãoMeta - Adveronix'!E:E),"")</f>
        <v/>
      </c>
      <c r="AH203" s="157"/>
      <c r="AI203" s="157"/>
      <c r="AJ203" s="156"/>
      <c r="AK203" s="160">
        <f>IFERROR(COUNTIFS(Leads!$L:$L,$B203,Leads!$F:$F,"*MetaAds"),0)</f>
        <v>0</v>
      </c>
      <c r="AL203" s="160">
        <f>IFERROR(COUNTIFS(Leads!$L:$L,$B203,Leads!$F:$F,"*MetaAds*",Leads!$N:$N,"Sim"),0)</f>
        <v>0</v>
      </c>
    </row>
    <row r="204" ht="15.75" customHeight="1">
      <c r="A204" s="149" t="str">
        <f t="array" ref="A204">XLOOKUP(MONTH(B204),BASE!$F$16:$F$27,BASE!$G$16:$G$27)</f>
        <v>Julho</v>
      </c>
      <c r="B204" s="150">
        <v>46225.0</v>
      </c>
      <c r="C204" s="151"/>
      <c r="D204" s="149" t="str">
        <f t="shared" si="4"/>
        <v>quarta-feira</v>
      </c>
      <c r="E204" s="152">
        <f t="shared" ref="E204:J204" si="407">IFERROR(SUM(P204,AB204)," ")</f>
        <v>0</v>
      </c>
      <c r="F204" s="152">
        <f t="shared" si="407"/>
        <v>0</v>
      </c>
      <c r="G204" s="152">
        <f t="shared" si="407"/>
        <v>0</v>
      </c>
      <c r="H204" s="153">
        <f t="shared" si="407"/>
        <v>0</v>
      </c>
      <c r="I204" s="153">
        <f t="shared" si="407"/>
        <v>0</v>
      </c>
      <c r="J204" s="153">
        <f t="shared" si="407"/>
        <v>0</v>
      </c>
      <c r="K204" s="153">
        <f t="shared" ref="K204:O204" si="408">IFERROR(SUM(W204,AH204)," ")</f>
        <v>0</v>
      </c>
      <c r="L204" s="153">
        <f t="shared" si="408"/>
        <v>0</v>
      </c>
      <c r="M204" s="153">
        <f t="shared" si="408"/>
        <v>0</v>
      </c>
      <c r="N204" s="153">
        <f t="shared" si="408"/>
        <v>0</v>
      </c>
      <c r="O204" s="153">
        <f t="shared" si="408"/>
        <v>0</v>
      </c>
      <c r="P204" s="152" t="str">
        <f t="array" ref="P204">IFERROR(XLOOKUP(B204,'ImportaçãoGoogleAds - Adveronix'!$F:$F,'ImportaçãoGoogleAds - Adveronix'!$B:$B)," ")</f>
        <v> </v>
      </c>
      <c r="Q204" s="154"/>
      <c r="R204" s="154"/>
      <c r="S204" s="155" t="str">
        <f t="array" ref="S204">IFERROR(XLOOKUP(B204,'ImportaçãoGoogleAds - Adveronix'!$F:$F,'ImportaçãoGoogleAds - Adveronix'!C:C)," ")</f>
        <v> </v>
      </c>
      <c r="T204" s="155" t="str">
        <f t="array" ref="T204">IFERROR(XLOOKUP(B204,'ImportaçãoGoogleAds - Adveronix'!$F:$F,'ImportaçãoGoogleAds - Adveronix'!D:D)," ")</f>
        <v> </v>
      </c>
      <c r="U204" s="155" t="str">
        <f t="array" ref="U204">IFERROR(XLOOKUP(B204,'ImportaçãoGoogleAds - Adveronix'!$F:$F,'ImportaçãoGoogleAds - Adveronix'!E:E)," ")</f>
        <v> </v>
      </c>
      <c r="V204" s="156"/>
      <c r="W204" s="157"/>
      <c r="X204" s="157"/>
      <c r="Y204" s="158"/>
      <c r="Z204" s="158">
        <f>IFERROR(COUNTIFS(Leads!$L:$L,$B204,Leads!$F:$F,"*google*"),0)</f>
        <v>0</v>
      </c>
      <c r="AA204" s="158">
        <f>IFERROR(COUNTIFS(Leads!$L:$L,$B204,Leads!$F:$F,"*google*",Leads!$N:$N,"Sim"),0)</f>
        <v>0</v>
      </c>
      <c r="AB204" s="152" t="str">
        <f t="array" ref="AB204">IFERROR(XLOOKUP(B204,'ImportaçãoMeta - Adveronix'!F:F,'ImportaçãoMeta - Adveronix'!B:B),"")</f>
        <v/>
      </c>
      <c r="AC204" s="154"/>
      <c r="AD204" s="154"/>
      <c r="AE204" s="159" t="str">
        <f t="array" ref="AE204">IFERROR(XLOOKUP(B204,'ImportaçãoMeta - Adveronix'!$F:$F,'ImportaçãoMeta - Adveronix'!C:C),"")</f>
        <v/>
      </c>
      <c r="AF204" s="159" t="str">
        <f t="array" ref="AF204">IFERROR(XLOOKUP(B204,'ImportaçãoMeta - Adveronix'!$F:$F,'ImportaçãoMeta - Adveronix'!D:D),"")</f>
        <v/>
      </c>
      <c r="AG204" s="159" t="str">
        <f t="array" ref="AG204">IFERROR(XLOOKUP(B204,'ImportaçãoMeta - Adveronix'!$F:$F,'ImportaçãoMeta - Adveronix'!E:E),"")</f>
        <v/>
      </c>
      <c r="AH204" s="157"/>
      <c r="AI204" s="157"/>
      <c r="AJ204" s="156"/>
      <c r="AK204" s="160">
        <f>IFERROR(COUNTIFS(Leads!$L:$L,$B204,Leads!$F:$F,"*MetaAds"),0)</f>
        <v>0</v>
      </c>
      <c r="AL204" s="160">
        <f>IFERROR(COUNTIFS(Leads!$L:$L,$B204,Leads!$F:$F,"*MetaAds*",Leads!$N:$N,"Sim"),0)</f>
        <v>0</v>
      </c>
    </row>
    <row r="205" ht="15.75" customHeight="1">
      <c r="A205" s="149" t="str">
        <f t="array" ref="A205">XLOOKUP(MONTH(B205),BASE!$F$16:$F$27,BASE!$G$16:$G$27)</f>
        <v>Julho</v>
      </c>
      <c r="B205" s="150">
        <v>46226.0</v>
      </c>
      <c r="C205" s="151"/>
      <c r="D205" s="149" t="str">
        <f t="shared" si="4"/>
        <v>quinta-feira</v>
      </c>
      <c r="E205" s="152">
        <f t="shared" ref="E205:J205" si="409">IFERROR(SUM(P205,AB205)," ")</f>
        <v>0</v>
      </c>
      <c r="F205" s="152">
        <f t="shared" si="409"/>
        <v>0</v>
      </c>
      <c r="G205" s="152">
        <f t="shared" si="409"/>
        <v>0</v>
      </c>
      <c r="H205" s="153">
        <f t="shared" si="409"/>
        <v>0</v>
      </c>
      <c r="I205" s="153">
        <f t="shared" si="409"/>
        <v>0</v>
      </c>
      <c r="J205" s="153">
        <f t="shared" si="409"/>
        <v>0</v>
      </c>
      <c r="K205" s="153">
        <f t="shared" ref="K205:O205" si="410">IFERROR(SUM(W205,AH205)," ")</f>
        <v>0</v>
      </c>
      <c r="L205" s="153">
        <f t="shared" si="410"/>
        <v>0</v>
      </c>
      <c r="M205" s="153">
        <f t="shared" si="410"/>
        <v>0</v>
      </c>
      <c r="N205" s="153">
        <f t="shared" si="410"/>
        <v>0</v>
      </c>
      <c r="O205" s="153">
        <f t="shared" si="410"/>
        <v>0</v>
      </c>
      <c r="P205" s="152" t="str">
        <f t="array" ref="P205">IFERROR(XLOOKUP(B205,'ImportaçãoGoogleAds - Adveronix'!$F:$F,'ImportaçãoGoogleAds - Adveronix'!$B:$B)," ")</f>
        <v> </v>
      </c>
      <c r="Q205" s="154"/>
      <c r="R205" s="154"/>
      <c r="S205" s="155" t="str">
        <f t="array" ref="S205">IFERROR(XLOOKUP(B205,'ImportaçãoGoogleAds - Adveronix'!$F:$F,'ImportaçãoGoogleAds - Adveronix'!C:C)," ")</f>
        <v> </v>
      </c>
      <c r="T205" s="155" t="str">
        <f t="array" ref="T205">IFERROR(XLOOKUP(B205,'ImportaçãoGoogleAds - Adveronix'!$F:$F,'ImportaçãoGoogleAds - Adveronix'!D:D)," ")</f>
        <v> </v>
      </c>
      <c r="U205" s="155" t="str">
        <f t="array" ref="U205">IFERROR(XLOOKUP(B205,'ImportaçãoGoogleAds - Adveronix'!$F:$F,'ImportaçãoGoogleAds - Adveronix'!E:E)," ")</f>
        <v> </v>
      </c>
      <c r="V205" s="156"/>
      <c r="W205" s="157"/>
      <c r="X205" s="157"/>
      <c r="Y205" s="158"/>
      <c r="Z205" s="158">
        <f>IFERROR(COUNTIFS(Leads!$L:$L,$B205,Leads!$F:$F,"*google*"),0)</f>
        <v>0</v>
      </c>
      <c r="AA205" s="158">
        <f>IFERROR(COUNTIFS(Leads!$L:$L,$B205,Leads!$F:$F,"*google*",Leads!$N:$N,"Sim"),0)</f>
        <v>0</v>
      </c>
      <c r="AB205" s="152" t="str">
        <f t="array" ref="AB205">IFERROR(XLOOKUP(B205,'ImportaçãoMeta - Adveronix'!F:F,'ImportaçãoMeta - Adveronix'!B:B),"")</f>
        <v/>
      </c>
      <c r="AC205" s="154"/>
      <c r="AD205" s="154"/>
      <c r="AE205" s="159" t="str">
        <f t="array" ref="AE205">IFERROR(XLOOKUP(B205,'ImportaçãoMeta - Adveronix'!$F:$F,'ImportaçãoMeta - Adveronix'!C:C),"")</f>
        <v/>
      </c>
      <c r="AF205" s="159" t="str">
        <f t="array" ref="AF205">IFERROR(XLOOKUP(B205,'ImportaçãoMeta - Adveronix'!$F:$F,'ImportaçãoMeta - Adveronix'!D:D),"")</f>
        <v/>
      </c>
      <c r="AG205" s="159" t="str">
        <f t="array" ref="AG205">IFERROR(XLOOKUP(B205,'ImportaçãoMeta - Adveronix'!$F:$F,'ImportaçãoMeta - Adveronix'!E:E),"")</f>
        <v/>
      </c>
      <c r="AH205" s="157"/>
      <c r="AI205" s="157"/>
      <c r="AJ205" s="156"/>
      <c r="AK205" s="160">
        <f>IFERROR(COUNTIFS(Leads!$L:$L,$B205,Leads!$F:$F,"*MetaAds"),0)</f>
        <v>0</v>
      </c>
      <c r="AL205" s="160">
        <f>IFERROR(COUNTIFS(Leads!$L:$L,$B205,Leads!$F:$F,"*MetaAds*",Leads!$N:$N,"Sim"),0)</f>
        <v>0</v>
      </c>
    </row>
    <row r="206" ht="15.75" customHeight="1">
      <c r="A206" s="149" t="str">
        <f t="array" ref="A206">XLOOKUP(MONTH(B206),BASE!$F$16:$F$27,BASE!$G$16:$G$27)</f>
        <v>Julho</v>
      </c>
      <c r="B206" s="150">
        <v>46227.0</v>
      </c>
      <c r="C206" s="151"/>
      <c r="D206" s="149" t="str">
        <f t="shared" si="4"/>
        <v>sexta-feira</v>
      </c>
      <c r="E206" s="152">
        <f t="shared" ref="E206:J206" si="411">IFERROR(SUM(P206,AB206)," ")</f>
        <v>0</v>
      </c>
      <c r="F206" s="152">
        <f t="shared" si="411"/>
        <v>0</v>
      </c>
      <c r="G206" s="152">
        <f t="shared" si="411"/>
        <v>0</v>
      </c>
      <c r="H206" s="153">
        <f t="shared" si="411"/>
        <v>0</v>
      </c>
      <c r="I206" s="153">
        <f t="shared" si="411"/>
        <v>0</v>
      </c>
      <c r="J206" s="153">
        <f t="shared" si="411"/>
        <v>0</v>
      </c>
      <c r="K206" s="153">
        <f t="shared" ref="K206:O206" si="412">IFERROR(SUM(W206,AH206)," ")</f>
        <v>0</v>
      </c>
      <c r="L206" s="153">
        <f t="shared" si="412"/>
        <v>0</v>
      </c>
      <c r="M206" s="153">
        <f t="shared" si="412"/>
        <v>0</v>
      </c>
      <c r="N206" s="153">
        <f t="shared" si="412"/>
        <v>0</v>
      </c>
      <c r="O206" s="153">
        <f t="shared" si="412"/>
        <v>0</v>
      </c>
      <c r="P206" s="152" t="str">
        <f t="array" ref="P206">IFERROR(XLOOKUP(B206,'ImportaçãoGoogleAds - Adveronix'!$F:$F,'ImportaçãoGoogleAds - Adveronix'!$B:$B)," ")</f>
        <v> </v>
      </c>
      <c r="Q206" s="154"/>
      <c r="R206" s="154"/>
      <c r="S206" s="155" t="str">
        <f t="array" ref="S206">IFERROR(XLOOKUP(B206,'ImportaçãoGoogleAds - Adveronix'!$F:$F,'ImportaçãoGoogleAds - Adveronix'!C:C)," ")</f>
        <v> </v>
      </c>
      <c r="T206" s="155" t="str">
        <f t="array" ref="T206">IFERROR(XLOOKUP(B206,'ImportaçãoGoogleAds - Adveronix'!$F:$F,'ImportaçãoGoogleAds - Adveronix'!D:D)," ")</f>
        <v> </v>
      </c>
      <c r="U206" s="155" t="str">
        <f t="array" ref="U206">IFERROR(XLOOKUP(B206,'ImportaçãoGoogleAds - Adveronix'!$F:$F,'ImportaçãoGoogleAds - Adveronix'!E:E)," ")</f>
        <v> </v>
      </c>
      <c r="V206" s="156"/>
      <c r="W206" s="157"/>
      <c r="X206" s="157"/>
      <c r="Y206" s="158"/>
      <c r="Z206" s="158">
        <f>IFERROR(COUNTIFS(Leads!$L:$L,$B206,Leads!$F:$F,"*google*"),0)</f>
        <v>0</v>
      </c>
      <c r="AA206" s="158">
        <f>IFERROR(COUNTIFS(Leads!$L:$L,$B206,Leads!$F:$F,"*google*",Leads!$N:$N,"Sim"),0)</f>
        <v>0</v>
      </c>
      <c r="AB206" s="152" t="str">
        <f t="array" ref="AB206">IFERROR(XLOOKUP(B206,'ImportaçãoMeta - Adveronix'!F:F,'ImportaçãoMeta - Adveronix'!B:B),"")</f>
        <v/>
      </c>
      <c r="AC206" s="154"/>
      <c r="AD206" s="154"/>
      <c r="AE206" s="159" t="str">
        <f t="array" ref="AE206">IFERROR(XLOOKUP(B206,'ImportaçãoMeta - Adveronix'!$F:$F,'ImportaçãoMeta - Adveronix'!C:C),"")</f>
        <v/>
      </c>
      <c r="AF206" s="159" t="str">
        <f t="array" ref="AF206">IFERROR(XLOOKUP(B206,'ImportaçãoMeta - Adveronix'!$F:$F,'ImportaçãoMeta - Adveronix'!D:D),"")</f>
        <v/>
      </c>
      <c r="AG206" s="159" t="str">
        <f t="array" ref="AG206">IFERROR(XLOOKUP(B206,'ImportaçãoMeta - Adveronix'!$F:$F,'ImportaçãoMeta - Adveronix'!E:E),"")</f>
        <v/>
      </c>
      <c r="AH206" s="157"/>
      <c r="AI206" s="157"/>
      <c r="AJ206" s="156"/>
      <c r="AK206" s="160">
        <f>IFERROR(COUNTIFS(Leads!$L:$L,$B206,Leads!$F:$F,"*MetaAds"),0)</f>
        <v>0</v>
      </c>
      <c r="AL206" s="160">
        <f>IFERROR(COUNTIFS(Leads!$L:$L,$B206,Leads!$F:$F,"*MetaAds*",Leads!$N:$N,"Sim"),0)</f>
        <v>0</v>
      </c>
    </row>
    <row r="207" ht="15.75" customHeight="1">
      <c r="A207" s="149" t="str">
        <f t="array" ref="A207">XLOOKUP(MONTH(B207),BASE!$F$16:$F$27,BASE!$G$16:$G$27)</f>
        <v>Julho</v>
      </c>
      <c r="B207" s="150">
        <v>46228.0</v>
      </c>
      <c r="C207" s="151"/>
      <c r="D207" s="149" t="str">
        <f t="shared" si="4"/>
        <v>sábado</v>
      </c>
      <c r="E207" s="152">
        <f t="shared" ref="E207:J207" si="413">IFERROR(SUM(P207,AB207)," ")</f>
        <v>0</v>
      </c>
      <c r="F207" s="152">
        <f t="shared" si="413"/>
        <v>0</v>
      </c>
      <c r="G207" s="152">
        <f t="shared" si="413"/>
        <v>0</v>
      </c>
      <c r="H207" s="153">
        <f t="shared" si="413"/>
        <v>0</v>
      </c>
      <c r="I207" s="153">
        <f t="shared" si="413"/>
        <v>0</v>
      </c>
      <c r="J207" s="153">
        <f t="shared" si="413"/>
        <v>0</v>
      </c>
      <c r="K207" s="153">
        <f t="shared" ref="K207:O207" si="414">IFERROR(SUM(W207,AH207)," ")</f>
        <v>0</v>
      </c>
      <c r="L207" s="153">
        <f t="shared" si="414"/>
        <v>0</v>
      </c>
      <c r="M207" s="153">
        <f t="shared" si="414"/>
        <v>0</v>
      </c>
      <c r="N207" s="153">
        <f t="shared" si="414"/>
        <v>0</v>
      </c>
      <c r="O207" s="153">
        <f t="shared" si="414"/>
        <v>0</v>
      </c>
      <c r="P207" s="152" t="str">
        <f t="array" ref="P207">IFERROR(XLOOKUP(B207,'ImportaçãoGoogleAds - Adveronix'!$F:$F,'ImportaçãoGoogleAds - Adveronix'!$B:$B)," ")</f>
        <v> </v>
      </c>
      <c r="Q207" s="154"/>
      <c r="R207" s="154"/>
      <c r="S207" s="155" t="str">
        <f t="array" ref="S207">IFERROR(XLOOKUP(B207,'ImportaçãoGoogleAds - Adveronix'!$F:$F,'ImportaçãoGoogleAds - Adveronix'!C:C)," ")</f>
        <v> </v>
      </c>
      <c r="T207" s="155" t="str">
        <f t="array" ref="T207">IFERROR(XLOOKUP(B207,'ImportaçãoGoogleAds - Adveronix'!$F:$F,'ImportaçãoGoogleAds - Adveronix'!D:D)," ")</f>
        <v> </v>
      </c>
      <c r="U207" s="155" t="str">
        <f t="array" ref="U207">IFERROR(XLOOKUP(B207,'ImportaçãoGoogleAds - Adveronix'!$F:$F,'ImportaçãoGoogleAds - Adveronix'!E:E)," ")</f>
        <v> </v>
      </c>
      <c r="V207" s="156"/>
      <c r="W207" s="157"/>
      <c r="X207" s="157"/>
      <c r="Y207" s="158"/>
      <c r="Z207" s="158">
        <f>IFERROR(COUNTIFS(Leads!$L:$L,$B207,Leads!$F:$F,"*google*"),0)</f>
        <v>0</v>
      </c>
      <c r="AA207" s="158">
        <f>IFERROR(COUNTIFS(Leads!$L:$L,$B207,Leads!$F:$F,"*google*",Leads!$N:$N,"Sim"),0)</f>
        <v>0</v>
      </c>
      <c r="AB207" s="152" t="str">
        <f t="array" ref="AB207">IFERROR(XLOOKUP(B207,'ImportaçãoMeta - Adveronix'!F:F,'ImportaçãoMeta - Adveronix'!B:B),"")</f>
        <v/>
      </c>
      <c r="AC207" s="154"/>
      <c r="AD207" s="154"/>
      <c r="AE207" s="159" t="str">
        <f t="array" ref="AE207">IFERROR(XLOOKUP(B207,'ImportaçãoMeta - Adveronix'!$F:$F,'ImportaçãoMeta - Adveronix'!C:C),"")</f>
        <v/>
      </c>
      <c r="AF207" s="159" t="str">
        <f t="array" ref="AF207">IFERROR(XLOOKUP(B207,'ImportaçãoMeta - Adveronix'!$F:$F,'ImportaçãoMeta - Adveronix'!D:D),"")</f>
        <v/>
      </c>
      <c r="AG207" s="159" t="str">
        <f t="array" ref="AG207">IFERROR(XLOOKUP(B207,'ImportaçãoMeta - Adveronix'!$F:$F,'ImportaçãoMeta - Adveronix'!E:E),"")</f>
        <v/>
      </c>
      <c r="AH207" s="157"/>
      <c r="AI207" s="157"/>
      <c r="AJ207" s="156"/>
      <c r="AK207" s="160">
        <f>IFERROR(COUNTIFS(Leads!$L:$L,$B207,Leads!$F:$F,"*MetaAds"),0)</f>
        <v>0</v>
      </c>
      <c r="AL207" s="160">
        <f>IFERROR(COUNTIFS(Leads!$L:$L,$B207,Leads!$F:$F,"*MetaAds*",Leads!$N:$N,"Sim"),0)</f>
        <v>0</v>
      </c>
    </row>
    <row r="208" ht="15.75" customHeight="1">
      <c r="A208" s="149" t="str">
        <f t="array" ref="A208">XLOOKUP(MONTH(B208),BASE!$F$16:$F$27,BASE!$G$16:$G$27)</f>
        <v>Julho</v>
      </c>
      <c r="B208" s="150">
        <v>46229.0</v>
      </c>
      <c r="C208" s="151"/>
      <c r="D208" s="149" t="str">
        <f t="shared" si="4"/>
        <v>domingo</v>
      </c>
      <c r="E208" s="152">
        <f t="shared" ref="E208:J208" si="415">IFERROR(SUM(P208,AB208)," ")</f>
        <v>0</v>
      </c>
      <c r="F208" s="152">
        <f t="shared" si="415"/>
        <v>0</v>
      </c>
      <c r="G208" s="152">
        <f t="shared" si="415"/>
        <v>0</v>
      </c>
      <c r="H208" s="153">
        <f t="shared" si="415"/>
        <v>0</v>
      </c>
      <c r="I208" s="153">
        <f t="shared" si="415"/>
        <v>0</v>
      </c>
      <c r="J208" s="153">
        <f t="shared" si="415"/>
        <v>0</v>
      </c>
      <c r="K208" s="153">
        <f t="shared" ref="K208:O208" si="416">IFERROR(SUM(W208,AH208)," ")</f>
        <v>0</v>
      </c>
      <c r="L208" s="153">
        <f t="shared" si="416"/>
        <v>0</v>
      </c>
      <c r="M208" s="153">
        <f t="shared" si="416"/>
        <v>0</v>
      </c>
      <c r="N208" s="153">
        <f t="shared" si="416"/>
        <v>0</v>
      </c>
      <c r="O208" s="153">
        <f t="shared" si="416"/>
        <v>0</v>
      </c>
      <c r="P208" s="152" t="str">
        <f t="array" ref="P208">IFERROR(XLOOKUP(B208,'ImportaçãoGoogleAds - Adveronix'!$F:$F,'ImportaçãoGoogleAds - Adveronix'!$B:$B)," ")</f>
        <v> </v>
      </c>
      <c r="Q208" s="154"/>
      <c r="R208" s="154"/>
      <c r="S208" s="155" t="str">
        <f t="array" ref="S208">IFERROR(XLOOKUP(B208,'ImportaçãoGoogleAds - Adveronix'!$F:$F,'ImportaçãoGoogleAds - Adveronix'!C:C)," ")</f>
        <v> </v>
      </c>
      <c r="T208" s="155" t="str">
        <f t="array" ref="T208">IFERROR(XLOOKUP(B208,'ImportaçãoGoogleAds - Adveronix'!$F:$F,'ImportaçãoGoogleAds - Adveronix'!D:D)," ")</f>
        <v> </v>
      </c>
      <c r="U208" s="155" t="str">
        <f t="array" ref="U208">IFERROR(XLOOKUP(B208,'ImportaçãoGoogleAds - Adveronix'!$F:$F,'ImportaçãoGoogleAds - Adveronix'!E:E)," ")</f>
        <v> </v>
      </c>
      <c r="V208" s="156"/>
      <c r="W208" s="157"/>
      <c r="X208" s="157"/>
      <c r="Y208" s="158"/>
      <c r="Z208" s="158">
        <f>IFERROR(COUNTIFS(Leads!$L:$L,$B208,Leads!$F:$F,"*google*"),0)</f>
        <v>0</v>
      </c>
      <c r="AA208" s="158">
        <f>IFERROR(COUNTIFS(Leads!$L:$L,$B208,Leads!$F:$F,"*google*",Leads!$N:$N,"Sim"),0)</f>
        <v>0</v>
      </c>
      <c r="AB208" s="152" t="str">
        <f t="array" ref="AB208">IFERROR(XLOOKUP(B208,'ImportaçãoMeta - Adveronix'!F:F,'ImportaçãoMeta - Adveronix'!B:B),"")</f>
        <v/>
      </c>
      <c r="AC208" s="154"/>
      <c r="AD208" s="154"/>
      <c r="AE208" s="159" t="str">
        <f t="array" ref="AE208">IFERROR(XLOOKUP(B208,'ImportaçãoMeta - Adveronix'!$F:$F,'ImportaçãoMeta - Adveronix'!C:C),"")</f>
        <v/>
      </c>
      <c r="AF208" s="159" t="str">
        <f t="array" ref="AF208">IFERROR(XLOOKUP(B208,'ImportaçãoMeta - Adveronix'!$F:$F,'ImportaçãoMeta - Adveronix'!D:D),"")</f>
        <v/>
      </c>
      <c r="AG208" s="159" t="str">
        <f t="array" ref="AG208">IFERROR(XLOOKUP(B208,'ImportaçãoMeta - Adveronix'!$F:$F,'ImportaçãoMeta - Adveronix'!E:E),"")</f>
        <v/>
      </c>
      <c r="AH208" s="157"/>
      <c r="AI208" s="157"/>
      <c r="AJ208" s="156"/>
      <c r="AK208" s="160">
        <f>IFERROR(COUNTIFS(Leads!$L:$L,$B208,Leads!$F:$F,"*MetaAds"),0)</f>
        <v>0</v>
      </c>
      <c r="AL208" s="160">
        <f>IFERROR(COUNTIFS(Leads!$L:$L,$B208,Leads!$F:$F,"*MetaAds*",Leads!$N:$N,"Sim"),0)</f>
        <v>0</v>
      </c>
    </row>
    <row r="209" ht="15.75" customHeight="1">
      <c r="A209" s="149" t="str">
        <f t="array" ref="A209">XLOOKUP(MONTH(B209),BASE!$F$16:$F$27,BASE!$G$16:$G$27)</f>
        <v>Julho</v>
      </c>
      <c r="B209" s="150">
        <v>46230.0</v>
      </c>
      <c r="C209" s="151"/>
      <c r="D209" s="149" t="str">
        <f t="shared" si="4"/>
        <v>segunda-feira</v>
      </c>
      <c r="E209" s="152">
        <f t="shared" ref="E209:J209" si="417">IFERROR(SUM(P209,AB209)," ")</f>
        <v>0</v>
      </c>
      <c r="F209" s="152">
        <f t="shared" si="417"/>
        <v>0</v>
      </c>
      <c r="G209" s="152">
        <f t="shared" si="417"/>
        <v>0</v>
      </c>
      <c r="H209" s="153">
        <f t="shared" si="417"/>
        <v>0</v>
      </c>
      <c r="I209" s="153">
        <f t="shared" si="417"/>
        <v>0</v>
      </c>
      <c r="J209" s="153">
        <f t="shared" si="417"/>
        <v>0</v>
      </c>
      <c r="K209" s="153">
        <f t="shared" ref="K209:O209" si="418">IFERROR(SUM(W209,AH209)," ")</f>
        <v>0</v>
      </c>
      <c r="L209" s="153">
        <f t="shared" si="418"/>
        <v>0</v>
      </c>
      <c r="M209" s="153">
        <f t="shared" si="418"/>
        <v>0</v>
      </c>
      <c r="N209" s="153">
        <f t="shared" si="418"/>
        <v>0</v>
      </c>
      <c r="O209" s="153">
        <f t="shared" si="418"/>
        <v>0</v>
      </c>
      <c r="P209" s="152" t="str">
        <f t="array" ref="P209">IFERROR(XLOOKUP(B209,'ImportaçãoGoogleAds - Adveronix'!$F:$F,'ImportaçãoGoogleAds - Adveronix'!$B:$B)," ")</f>
        <v> </v>
      </c>
      <c r="Q209" s="154"/>
      <c r="R209" s="154"/>
      <c r="S209" s="155" t="str">
        <f t="array" ref="S209">IFERROR(XLOOKUP(B209,'ImportaçãoGoogleAds - Adveronix'!$F:$F,'ImportaçãoGoogleAds - Adveronix'!C:C)," ")</f>
        <v> </v>
      </c>
      <c r="T209" s="155" t="str">
        <f t="array" ref="T209">IFERROR(XLOOKUP(B209,'ImportaçãoGoogleAds - Adveronix'!$F:$F,'ImportaçãoGoogleAds - Adveronix'!D:D)," ")</f>
        <v> </v>
      </c>
      <c r="U209" s="155" t="str">
        <f t="array" ref="U209">IFERROR(XLOOKUP(B209,'ImportaçãoGoogleAds - Adveronix'!$F:$F,'ImportaçãoGoogleAds - Adveronix'!E:E)," ")</f>
        <v> </v>
      </c>
      <c r="V209" s="156"/>
      <c r="W209" s="157"/>
      <c r="X209" s="157"/>
      <c r="Y209" s="158"/>
      <c r="Z209" s="158">
        <f>IFERROR(COUNTIFS(Leads!$L:$L,$B209,Leads!$F:$F,"*google*"),0)</f>
        <v>0</v>
      </c>
      <c r="AA209" s="158">
        <f>IFERROR(COUNTIFS(Leads!$L:$L,$B209,Leads!$F:$F,"*google*",Leads!$N:$N,"Sim"),0)</f>
        <v>0</v>
      </c>
      <c r="AB209" s="152" t="str">
        <f t="array" ref="AB209">IFERROR(XLOOKUP(B209,'ImportaçãoMeta - Adveronix'!F:F,'ImportaçãoMeta - Adveronix'!B:B),"")</f>
        <v/>
      </c>
      <c r="AC209" s="154"/>
      <c r="AD209" s="154"/>
      <c r="AE209" s="159" t="str">
        <f t="array" ref="AE209">IFERROR(XLOOKUP(B209,'ImportaçãoMeta - Adveronix'!$F:$F,'ImportaçãoMeta - Adveronix'!C:C),"")</f>
        <v/>
      </c>
      <c r="AF209" s="159" t="str">
        <f t="array" ref="AF209">IFERROR(XLOOKUP(B209,'ImportaçãoMeta - Adveronix'!$F:$F,'ImportaçãoMeta - Adveronix'!D:D),"")</f>
        <v/>
      </c>
      <c r="AG209" s="159" t="str">
        <f t="array" ref="AG209">IFERROR(XLOOKUP(B209,'ImportaçãoMeta - Adveronix'!$F:$F,'ImportaçãoMeta - Adveronix'!E:E),"")</f>
        <v/>
      </c>
      <c r="AH209" s="157"/>
      <c r="AI209" s="157"/>
      <c r="AJ209" s="156"/>
      <c r="AK209" s="160">
        <f>IFERROR(COUNTIFS(Leads!$L:$L,$B209,Leads!$F:$F,"*MetaAds"),0)</f>
        <v>0</v>
      </c>
      <c r="AL209" s="160">
        <f>IFERROR(COUNTIFS(Leads!$L:$L,$B209,Leads!$F:$F,"*MetaAds*",Leads!$N:$N,"Sim"),0)</f>
        <v>0</v>
      </c>
    </row>
    <row r="210" ht="15.75" customHeight="1">
      <c r="A210" s="149" t="str">
        <f t="array" ref="A210">XLOOKUP(MONTH(B210),BASE!$F$16:$F$27,BASE!$G$16:$G$27)</f>
        <v>Julho</v>
      </c>
      <c r="B210" s="150">
        <v>46231.0</v>
      </c>
      <c r="C210" s="151"/>
      <c r="D210" s="149" t="str">
        <f t="shared" si="4"/>
        <v>terça-feira</v>
      </c>
      <c r="E210" s="152">
        <f t="shared" ref="E210:J210" si="419">IFERROR(SUM(P210,AB210)," ")</f>
        <v>0</v>
      </c>
      <c r="F210" s="152">
        <f t="shared" si="419"/>
        <v>0</v>
      </c>
      <c r="G210" s="152">
        <f t="shared" si="419"/>
        <v>0</v>
      </c>
      <c r="H210" s="153">
        <f t="shared" si="419"/>
        <v>0</v>
      </c>
      <c r="I210" s="153">
        <f t="shared" si="419"/>
        <v>0</v>
      </c>
      <c r="J210" s="153">
        <f t="shared" si="419"/>
        <v>0</v>
      </c>
      <c r="K210" s="153">
        <f t="shared" ref="K210:O210" si="420">IFERROR(SUM(W210,AH210)," ")</f>
        <v>0</v>
      </c>
      <c r="L210" s="153">
        <f t="shared" si="420"/>
        <v>0</v>
      </c>
      <c r="M210" s="153">
        <f t="shared" si="420"/>
        <v>0</v>
      </c>
      <c r="N210" s="153">
        <f t="shared" si="420"/>
        <v>0</v>
      </c>
      <c r="O210" s="153">
        <f t="shared" si="420"/>
        <v>0</v>
      </c>
      <c r="P210" s="152" t="str">
        <f t="array" ref="P210">IFERROR(XLOOKUP(B210,'ImportaçãoGoogleAds - Adveronix'!$F:$F,'ImportaçãoGoogleAds - Adveronix'!$B:$B)," ")</f>
        <v> </v>
      </c>
      <c r="Q210" s="154"/>
      <c r="R210" s="154"/>
      <c r="S210" s="155" t="str">
        <f t="array" ref="S210">IFERROR(XLOOKUP(B210,'ImportaçãoGoogleAds - Adveronix'!$F:$F,'ImportaçãoGoogleAds - Adveronix'!C:C)," ")</f>
        <v> </v>
      </c>
      <c r="T210" s="155" t="str">
        <f t="array" ref="T210">IFERROR(XLOOKUP(B210,'ImportaçãoGoogleAds - Adveronix'!$F:$F,'ImportaçãoGoogleAds - Adveronix'!D:D)," ")</f>
        <v> </v>
      </c>
      <c r="U210" s="155" t="str">
        <f t="array" ref="U210">IFERROR(XLOOKUP(B210,'ImportaçãoGoogleAds - Adveronix'!$F:$F,'ImportaçãoGoogleAds - Adveronix'!E:E)," ")</f>
        <v> </v>
      </c>
      <c r="V210" s="156"/>
      <c r="W210" s="157"/>
      <c r="X210" s="157"/>
      <c r="Y210" s="158"/>
      <c r="Z210" s="158">
        <f>IFERROR(COUNTIFS(Leads!$L:$L,$B210,Leads!$F:$F,"*google*"),0)</f>
        <v>0</v>
      </c>
      <c r="AA210" s="158">
        <f>IFERROR(COUNTIFS(Leads!$L:$L,$B210,Leads!$F:$F,"*google*",Leads!$N:$N,"Sim"),0)</f>
        <v>0</v>
      </c>
      <c r="AB210" s="152" t="str">
        <f t="array" ref="AB210">IFERROR(XLOOKUP(B210,'ImportaçãoMeta - Adveronix'!F:F,'ImportaçãoMeta - Adveronix'!B:B),"")</f>
        <v/>
      </c>
      <c r="AC210" s="154"/>
      <c r="AD210" s="154"/>
      <c r="AE210" s="159" t="str">
        <f t="array" ref="AE210">IFERROR(XLOOKUP(B210,'ImportaçãoMeta - Adveronix'!$F:$F,'ImportaçãoMeta - Adveronix'!C:C),"")</f>
        <v/>
      </c>
      <c r="AF210" s="159" t="str">
        <f t="array" ref="AF210">IFERROR(XLOOKUP(B210,'ImportaçãoMeta - Adveronix'!$F:$F,'ImportaçãoMeta - Adveronix'!D:D),"")</f>
        <v/>
      </c>
      <c r="AG210" s="159" t="str">
        <f t="array" ref="AG210">IFERROR(XLOOKUP(B210,'ImportaçãoMeta - Adveronix'!$F:$F,'ImportaçãoMeta - Adveronix'!E:E),"")</f>
        <v/>
      </c>
      <c r="AH210" s="157"/>
      <c r="AI210" s="157"/>
      <c r="AJ210" s="156"/>
      <c r="AK210" s="160">
        <f>IFERROR(COUNTIFS(Leads!$L:$L,$B210,Leads!$F:$F,"*MetaAds"),0)</f>
        <v>0</v>
      </c>
      <c r="AL210" s="160">
        <f>IFERROR(COUNTIFS(Leads!$L:$L,$B210,Leads!$F:$F,"*MetaAds*",Leads!$N:$N,"Sim"),0)</f>
        <v>0</v>
      </c>
    </row>
    <row r="211" ht="15.75" customHeight="1">
      <c r="A211" s="149" t="str">
        <f t="array" ref="A211">XLOOKUP(MONTH(B211),BASE!$F$16:$F$27,BASE!$G$16:$G$27)</f>
        <v>Julho</v>
      </c>
      <c r="B211" s="150">
        <v>46232.0</v>
      </c>
      <c r="C211" s="151"/>
      <c r="D211" s="149" t="str">
        <f t="shared" si="4"/>
        <v>quarta-feira</v>
      </c>
      <c r="E211" s="152">
        <f t="shared" ref="E211:J211" si="421">IFERROR(SUM(P211,AB211)," ")</f>
        <v>0</v>
      </c>
      <c r="F211" s="152">
        <f t="shared" si="421"/>
        <v>0</v>
      </c>
      <c r="G211" s="152">
        <f t="shared" si="421"/>
        <v>0</v>
      </c>
      <c r="H211" s="153">
        <f t="shared" si="421"/>
        <v>0</v>
      </c>
      <c r="I211" s="153">
        <f t="shared" si="421"/>
        <v>0</v>
      </c>
      <c r="J211" s="153">
        <f t="shared" si="421"/>
        <v>0</v>
      </c>
      <c r="K211" s="153">
        <f t="shared" ref="K211:O211" si="422">IFERROR(SUM(W211,AH211)," ")</f>
        <v>0</v>
      </c>
      <c r="L211" s="153">
        <f t="shared" si="422"/>
        <v>0</v>
      </c>
      <c r="M211" s="153">
        <f t="shared" si="422"/>
        <v>0</v>
      </c>
      <c r="N211" s="153">
        <f t="shared" si="422"/>
        <v>0</v>
      </c>
      <c r="O211" s="153">
        <f t="shared" si="422"/>
        <v>0</v>
      </c>
      <c r="P211" s="152" t="str">
        <f t="array" ref="P211">IFERROR(XLOOKUP(B211,'ImportaçãoGoogleAds - Adveronix'!$F:$F,'ImportaçãoGoogleAds - Adveronix'!$B:$B)," ")</f>
        <v> </v>
      </c>
      <c r="Q211" s="154"/>
      <c r="R211" s="154"/>
      <c r="S211" s="155" t="str">
        <f t="array" ref="S211">IFERROR(XLOOKUP(B211,'ImportaçãoGoogleAds - Adveronix'!$F:$F,'ImportaçãoGoogleAds - Adveronix'!C:C)," ")</f>
        <v> </v>
      </c>
      <c r="T211" s="155" t="str">
        <f t="array" ref="T211">IFERROR(XLOOKUP(B211,'ImportaçãoGoogleAds - Adveronix'!$F:$F,'ImportaçãoGoogleAds - Adveronix'!D:D)," ")</f>
        <v> </v>
      </c>
      <c r="U211" s="155" t="str">
        <f t="array" ref="U211">IFERROR(XLOOKUP(B211,'ImportaçãoGoogleAds - Adveronix'!$F:$F,'ImportaçãoGoogleAds - Adveronix'!E:E)," ")</f>
        <v> </v>
      </c>
      <c r="V211" s="156"/>
      <c r="W211" s="157"/>
      <c r="X211" s="157"/>
      <c r="Y211" s="158"/>
      <c r="Z211" s="158">
        <f>IFERROR(COUNTIFS(Leads!$L:$L,$B211,Leads!$F:$F,"*google*"),0)</f>
        <v>0</v>
      </c>
      <c r="AA211" s="158">
        <f>IFERROR(COUNTIFS(Leads!$L:$L,$B211,Leads!$F:$F,"*google*",Leads!$N:$N,"Sim"),0)</f>
        <v>0</v>
      </c>
      <c r="AB211" s="152" t="str">
        <f t="array" ref="AB211">IFERROR(XLOOKUP(B211,'ImportaçãoMeta - Adveronix'!F:F,'ImportaçãoMeta - Adveronix'!B:B),"")</f>
        <v/>
      </c>
      <c r="AC211" s="154"/>
      <c r="AD211" s="154"/>
      <c r="AE211" s="159" t="str">
        <f t="array" ref="AE211">IFERROR(XLOOKUP(B211,'ImportaçãoMeta - Adveronix'!$F:$F,'ImportaçãoMeta - Adveronix'!C:C),"")</f>
        <v/>
      </c>
      <c r="AF211" s="159" t="str">
        <f t="array" ref="AF211">IFERROR(XLOOKUP(B211,'ImportaçãoMeta - Adveronix'!$F:$F,'ImportaçãoMeta - Adveronix'!D:D),"")</f>
        <v/>
      </c>
      <c r="AG211" s="159" t="str">
        <f t="array" ref="AG211">IFERROR(XLOOKUP(B211,'ImportaçãoMeta - Adveronix'!$F:$F,'ImportaçãoMeta - Adveronix'!E:E),"")</f>
        <v/>
      </c>
      <c r="AH211" s="157"/>
      <c r="AI211" s="157"/>
      <c r="AJ211" s="156"/>
      <c r="AK211" s="160">
        <f>IFERROR(COUNTIFS(Leads!$L:$L,$B211,Leads!$F:$F,"*MetaAds"),0)</f>
        <v>0</v>
      </c>
      <c r="AL211" s="160">
        <f>IFERROR(COUNTIFS(Leads!$L:$L,$B211,Leads!$F:$F,"*MetaAds*",Leads!$N:$N,"Sim"),0)</f>
        <v>0</v>
      </c>
    </row>
    <row r="212" ht="15.75" customHeight="1">
      <c r="A212" s="149" t="str">
        <f t="array" ref="A212">XLOOKUP(MONTH(B212),BASE!$F$16:$F$27,BASE!$G$16:$G$27)</f>
        <v>Julho</v>
      </c>
      <c r="B212" s="150">
        <v>46233.0</v>
      </c>
      <c r="C212" s="151"/>
      <c r="D212" s="149" t="str">
        <f t="shared" si="4"/>
        <v>quinta-feira</v>
      </c>
      <c r="E212" s="152">
        <f t="shared" ref="E212:J212" si="423">IFERROR(SUM(P212,AB212)," ")</f>
        <v>0</v>
      </c>
      <c r="F212" s="152">
        <f t="shared" si="423"/>
        <v>0</v>
      </c>
      <c r="G212" s="152">
        <f t="shared" si="423"/>
        <v>0</v>
      </c>
      <c r="H212" s="153">
        <f t="shared" si="423"/>
        <v>0</v>
      </c>
      <c r="I212" s="153">
        <f t="shared" si="423"/>
        <v>0</v>
      </c>
      <c r="J212" s="153">
        <f t="shared" si="423"/>
        <v>0</v>
      </c>
      <c r="K212" s="153">
        <f t="shared" ref="K212:O212" si="424">IFERROR(SUM(W212,AH212)," ")</f>
        <v>0</v>
      </c>
      <c r="L212" s="153">
        <f t="shared" si="424"/>
        <v>0</v>
      </c>
      <c r="M212" s="153">
        <f t="shared" si="424"/>
        <v>0</v>
      </c>
      <c r="N212" s="153">
        <f t="shared" si="424"/>
        <v>0</v>
      </c>
      <c r="O212" s="153">
        <f t="shared" si="424"/>
        <v>0</v>
      </c>
      <c r="P212" s="152" t="str">
        <f t="array" ref="P212">IFERROR(XLOOKUP(B212,'ImportaçãoGoogleAds - Adveronix'!$F:$F,'ImportaçãoGoogleAds - Adveronix'!$B:$B)," ")</f>
        <v> </v>
      </c>
      <c r="Q212" s="154"/>
      <c r="R212" s="154"/>
      <c r="S212" s="155" t="str">
        <f t="array" ref="S212">IFERROR(XLOOKUP(B212,'ImportaçãoGoogleAds - Adveronix'!$F:$F,'ImportaçãoGoogleAds - Adveronix'!C:C)," ")</f>
        <v> </v>
      </c>
      <c r="T212" s="155" t="str">
        <f t="array" ref="T212">IFERROR(XLOOKUP(B212,'ImportaçãoGoogleAds - Adveronix'!$F:$F,'ImportaçãoGoogleAds - Adveronix'!D:D)," ")</f>
        <v> </v>
      </c>
      <c r="U212" s="155" t="str">
        <f t="array" ref="U212">IFERROR(XLOOKUP(B212,'ImportaçãoGoogleAds - Adveronix'!$F:$F,'ImportaçãoGoogleAds - Adveronix'!E:E)," ")</f>
        <v> </v>
      </c>
      <c r="V212" s="156"/>
      <c r="W212" s="157"/>
      <c r="X212" s="157"/>
      <c r="Y212" s="158"/>
      <c r="Z212" s="158">
        <f>IFERROR(COUNTIFS(Leads!$L:$L,$B212,Leads!$F:$F,"*google*"),0)</f>
        <v>0</v>
      </c>
      <c r="AA212" s="158">
        <f>IFERROR(COUNTIFS(Leads!$L:$L,$B212,Leads!$F:$F,"*google*",Leads!$N:$N,"Sim"),0)</f>
        <v>0</v>
      </c>
      <c r="AB212" s="152" t="str">
        <f t="array" ref="AB212">IFERROR(XLOOKUP(B212,'ImportaçãoMeta - Adveronix'!F:F,'ImportaçãoMeta - Adveronix'!B:B),"")</f>
        <v/>
      </c>
      <c r="AC212" s="154"/>
      <c r="AD212" s="154"/>
      <c r="AE212" s="159" t="str">
        <f t="array" ref="AE212">IFERROR(XLOOKUP(B212,'ImportaçãoMeta - Adveronix'!$F:$F,'ImportaçãoMeta - Adveronix'!C:C),"")</f>
        <v/>
      </c>
      <c r="AF212" s="159" t="str">
        <f t="array" ref="AF212">IFERROR(XLOOKUP(B212,'ImportaçãoMeta - Adveronix'!$F:$F,'ImportaçãoMeta - Adveronix'!D:D),"")</f>
        <v/>
      </c>
      <c r="AG212" s="159" t="str">
        <f t="array" ref="AG212">IFERROR(XLOOKUP(B212,'ImportaçãoMeta - Adveronix'!$F:$F,'ImportaçãoMeta - Adveronix'!E:E),"")</f>
        <v/>
      </c>
      <c r="AH212" s="157"/>
      <c r="AI212" s="157"/>
      <c r="AJ212" s="156"/>
      <c r="AK212" s="160">
        <f>IFERROR(COUNTIFS(Leads!$L:$L,$B212,Leads!$F:$F,"*MetaAds"),0)</f>
        <v>0</v>
      </c>
      <c r="AL212" s="160">
        <f>IFERROR(COUNTIFS(Leads!$L:$L,$B212,Leads!$F:$F,"*MetaAds*",Leads!$N:$N,"Sim"),0)</f>
        <v>0</v>
      </c>
    </row>
    <row r="213" ht="15.75" customHeight="1">
      <c r="A213" s="149" t="str">
        <f t="array" ref="A213">XLOOKUP(MONTH(B213),BASE!$F$16:$F$27,BASE!$G$16:$G$27)</f>
        <v>Julho</v>
      </c>
      <c r="B213" s="150">
        <v>46234.0</v>
      </c>
      <c r="C213" s="151"/>
      <c r="D213" s="149" t="str">
        <f t="shared" si="4"/>
        <v>sexta-feira</v>
      </c>
      <c r="E213" s="152">
        <f t="shared" ref="E213:J213" si="425">IFERROR(SUM(P213,AB213)," ")</f>
        <v>0</v>
      </c>
      <c r="F213" s="152">
        <f t="shared" si="425"/>
        <v>0</v>
      </c>
      <c r="G213" s="152">
        <f t="shared" si="425"/>
        <v>0</v>
      </c>
      <c r="H213" s="153">
        <f t="shared" si="425"/>
        <v>0</v>
      </c>
      <c r="I213" s="153">
        <f t="shared" si="425"/>
        <v>0</v>
      </c>
      <c r="J213" s="153">
        <f t="shared" si="425"/>
        <v>0</v>
      </c>
      <c r="K213" s="153">
        <f t="shared" ref="K213:O213" si="426">IFERROR(SUM(W213,AH213)," ")</f>
        <v>0</v>
      </c>
      <c r="L213" s="153">
        <f t="shared" si="426"/>
        <v>0</v>
      </c>
      <c r="M213" s="153">
        <f t="shared" si="426"/>
        <v>0</v>
      </c>
      <c r="N213" s="153">
        <f t="shared" si="426"/>
        <v>0</v>
      </c>
      <c r="O213" s="153">
        <f t="shared" si="426"/>
        <v>0</v>
      </c>
      <c r="P213" s="152" t="str">
        <f t="array" ref="P213">IFERROR(XLOOKUP(B213,'ImportaçãoGoogleAds - Adveronix'!$F:$F,'ImportaçãoGoogleAds - Adveronix'!$B:$B)," ")</f>
        <v> </v>
      </c>
      <c r="Q213" s="154"/>
      <c r="R213" s="154"/>
      <c r="S213" s="155" t="str">
        <f t="array" ref="S213">IFERROR(XLOOKUP(B213,'ImportaçãoGoogleAds - Adveronix'!$F:$F,'ImportaçãoGoogleAds - Adveronix'!C:C)," ")</f>
        <v> </v>
      </c>
      <c r="T213" s="155" t="str">
        <f t="array" ref="T213">IFERROR(XLOOKUP(B213,'ImportaçãoGoogleAds - Adveronix'!$F:$F,'ImportaçãoGoogleAds - Adveronix'!D:D)," ")</f>
        <v> </v>
      </c>
      <c r="U213" s="155" t="str">
        <f t="array" ref="U213">IFERROR(XLOOKUP(B213,'ImportaçãoGoogleAds - Adveronix'!$F:$F,'ImportaçãoGoogleAds - Adveronix'!E:E)," ")</f>
        <v> </v>
      </c>
      <c r="V213" s="156"/>
      <c r="W213" s="157"/>
      <c r="X213" s="157"/>
      <c r="Y213" s="158"/>
      <c r="Z213" s="158">
        <f>IFERROR(COUNTIFS(Leads!$L:$L,$B213,Leads!$F:$F,"*google*"),0)</f>
        <v>0</v>
      </c>
      <c r="AA213" s="158">
        <f>IFERROR(COUNTIFS(Leads!$L:$L,$B213,Leads!$F:$F,"*google*",Leads!$N:$N,"Sim"),0)</f>
        <v>0</v>
      </c>
      <c r="AB213" s="152" t="str">
        <f t="array" ref="AB213">IFERROR(XLOOKUP(B213,'ImportaçãoMeta - Adveronix'!F:F,'ImportaçãoMeta - Adveronix'!B:B),"")</f>
        <v/>
      </c>
      <c r="AC213" s="154"/>
      <c r="AD213" s="154"/>
      <c r="AE213" s="159" t="str">
        <f t="array" ref="AE213">IFERROR(XLOOKUP(B213,'ImportaçãoMeta - Adveronix'!$F:$F,'ImportaçãoMeta - Adveronix'!C:C),"")</f>
        <v/>
      </c>
      <c r="AF213" s="159" t="str">
        <f t="array" ref="AF213">IFERROR(XLOOKUP(B213,'ImportaçãoMeta - Adveronix'!$F:$F,'ImportaçãoMeta - Adveronix'!D:D),"")</f>
        <v/>
      </c>
      <c r="AG213" s="159" t="str">
        <f t="array" ref="AG213">IFERROR(XLOOKUP(B213,'ImportaçãoMeta - Adveronix'!$F:$F,'ImportaçãoMeta - Adveronix'!E:E),"")</f>
        <v/>
      </c>
      <c r="AH213" s="157"/>
      <c r="AI213" s="157"/>
      <c r="AJ213" s="156"/>
      <c r="AK213" s="160">
        <f>IFERROR(COUNTIFS(Leads!$L:$L,$B213,Leads!$F:$F,"*MetaAds"),0)</f>
        <v>0</v>
      </c>
      <c r="AL213" s="160">
        <f>IFERROR(COUNTIFS(Leads!$L:$L,$B213,Leads!$F:$F,"*MetaAds*",Leads!$N:$N,"Sim"),0)</f>
        <v>0</v>
      </c>
    </row>
    <row r="214" ht="15.75" customHeight="1">
      <c r="A214" s="149" t="str">
        <f t="array" ref="A214">XLOOKUP(MONTH(B214),BASE!$F$16:$F$27,BASE!$G$16:$G$27)</f>
        <v>Agosto</v>
      </c>
      <c r="B214" s="150">
        <v>46235.0</v>
      </c>
      <c r="C214" s="151"/>
      <c r="D214" s="149" t="str">
        <f t="shared" si="4"/>
        <v>sábado</v>
      </c>
      <c r="E214" s="152">
        <f t="shared" ref="E214:J214" si="427">IFERROR(SUM(P214,AB214)," ")</f>
        <v>0</v>
      </c>
      <c r="F214" s="152">
        <f t="shared" si="427"/>
        <v>0</v>
      </c>
      <c r="G214" s="152">
        <f t="shared" si="427"/>
        <v>0</v>
      </c>
      <c r="H214" s="153">
        <f t="shared" si="427"/>
        <v>0</v>
      </c>
      <c r="I214" s="153">
        <f t="shared" si="427"/>
        <v>0</v>
      </c>
      <c r="J214" s="153">
        <f t="shared" si="427"/>
        <v>0</v>
      </c>
      <c r="K214" s="153">
        <f t="shared" ref="K214:O214" si="428">IFERROR(SUM(W214,AH214)," ")</f>
        <v>0</v>
      </c>
      <c r="L214" s="153">
        <f t="shared" si="428"/>
        <v>0</v>
      </c>
      <c r="M214" s="153">
        <f t="shared" si="428"/>
        <v>0</v>
      </c>
      <c r="N214" s="153">
        <f t="shared" si="428"/>
        <v>0</v>
      </c>
      <c r="O214" s="153">
        <f t="shared" si="428"/>
        <v>0</v>
      </c>
      <c r="P214" s="152" t="str">
        <f t="array" ref="P214">IFERROR(XLOOKUP(B214,'ImportaçãoGoogleAds - Adveronix'!$F:$F,'ImportaçãoGoogleAds - Adveronix'!$B:$B)," ")</f>
        <v> </v>
      </c>
      <c r="Q214" s="154"/>
      <c r="R214" s="154"/>
      <c r="S214" s="155" t="str">
        <f t="array" ref="S214">IFERROR(XLOOKUP(B214,'ImportaçãoGoogleAds - Adveronix'!$F:$F,'ImportaçãoGoogleAds - Adveronix'!C:C)," ")</f>
        <v> </v>
      </c>
      <c r="T214" s="155" t="str">
        <f t="array" ref="T214">IFERROR(XLOOKUP(B214,'ImportaçãoGoogleAds - Adveronix'!$F:$F,'ImportaçãoGoogleAds - Adveronix'!D:D)," ")</f>
        <v> </v>
      </c>
      <c r="U214" s="155" t="str">
        <f t="array" ref="U214">IFERROR(XLOOKUP(B214,'ImportaçãoGoogleAds - Adveronix'!$F:$F,'ImportaçãoGoogleAds - Adveronix'!E:E)," ")</f>
        <v> </v>
      </c>
      <c r="V214" s="156"/>
      <c r="W214" s="157"/>
      <c r="X214" s="157"/>
      <c r="Y214" s="158"/>
      <c r="Z214" s="158">
        <f>IFERROR(COUNTIFS(Leads!$L:$L,$B214,Leads!$F:$F,"*google*"),0)</f>
        <v>0</v>
      </c>
      <c r="AA214" s="158">
        <f>IFERROR(COUNTIFS(Leads!$L:$L,$B214,Leads!$F:$F,"*google*",Leads!$N:$N,"Sim"),0)</f>
        <v>0</v>
      </c>
      <c r="AB214" s="152" t="str">
        <f t="array" ref="AB214">IFERROR(XLOOKUP(B214,'ImportaçãoMeta - Adveronix'!F:F,'ImportaçãoMeta - Adveronix'!B:B),"")</f>
        <v/>
      </c>
      <c r="AC214" s="154"/>
      <c r="AD214" s="154"/>
      <c r="AE214" s="159" t="str">
        <f t="array" ref="AE214">IFERROR(XLOOKUP(B214,'ImportaçãoMeta - Adveronix'!$F:$F,'ImportaçãoMeta - Adveronix'!C:C),"")</f>
        <v/>
      </c>
      <c r="AF214" s="159" t="str">
        <f t="array" ref="AF214">IFERROR(XLOOKUP(B214,'ImportaçãoMeta - Adveronix'!$F:$F,'ImportaçãoMeta - Adveronix'!D:D),"")</f>
        <v/>
      </c>
      <c r="AG214" s="159" t="str">
        <f t="array" ref="AG214">IFERROR(XLOOKUP(B214,'ImportaçãoMeta - Adveronix'!$F:$F,'ImportaçãoMeta - Adveronix'!E:E),"")</f>
        <v/>
      </c>
      <c r="AH214" s="157"/>
      <c r="AI214" s="157"/>
      <c r="AJ214" s="156"/>
      <c r="AK214" s="160">
        <f>IFERROR(COUNTIFS(Leads!$L:$L,$B214,Leads!$F:$F,"*MetaAds"),0)</f>
        <v>0</v>
      </c>
      <c r="AL214" s="160">
        <f>IFERROR(COUNTIFS(Leads!$L:$L,$B214,Leads!$F:$F,"*MetaAds*",Leads!$N:$N,"Sim"),0)</f>
        <v>0</v>
      </c>
    </row>
    <row r="215" ht="15.75" customHeight="1">
      <c r="A215" s="149" t="str">
        <f t="array" ref="A215">XLOOKUP(MONTH(B215),BASE!$F$16:$F$27,BASE!$G$16:$G$27)</f>
        <v>Agosto</v>
      </c>
      <c r="B215" s="150">
        <v>46236.0</v>
      </c>
      <c r="C215" s="151"/>
      <c r="D215" s="149" t="str">
        <f t="shared" si="4"/>
        <v>domingo</v>
      </c>
      <c r="E215" s="152">
        <f t="shared" ref="E215:J215" si="429">IFERROR(SUM(P215,AB215)," ")</f>
        <v>0</v>
      </c>
      <c r="F215" s="152">
        <f t="shared" si="429"/>
        <v>0</v>
      </c>
      <c r="G215" s="152">
        <f t="shared" si="429"/>
        <v>0</v>
      </c>
      <c r="H215" s="153">
        <f t="shared" si="429"/>
        <v>0</v>
      </c>
      <c r="I215" s="153">
        <f t="shared" si="429"/>
        <v>0</v>
      </c>
      <c r="J215" s="153">
        <f t="shared" si="429"/>
        <v>0</v>
      </c>
      <c r="K215" s="153">
        <f t="shared" ref="K215:O215" si="430">IFERROR(SUM(W215,AH215)," ")</f>
        <v>0</v>
      </c>
      <c r="L215" s="153">
        <f t="shared" si="430"/>
        <v>0</v>
      </c>
      <c r="M215" s="153">
        <f t="shared" si="430"/>
        <v>0</v>
      </c>
      <c r="N215" s="153">
        <f t="shared" si="430"/>
        <v>0</v>
      </c>
      <c r="O215" s="153">
        <f t="shared" si="430"/>
        <v>0</v>
      </c>
      <c r="P215" s="152" t="str">
        <f t="array" ref="P215">IFERROR(XLOOKUP(B215,'ImportaçãoGoogleAds - Adveronix'!$F:$F,'ImportaçãoGoogleAds - Adveronix'!$B:$B)," ")</f>
        <v> </v>
      </c>
      <c r="Q215" s="154"/>
      <c r="R215" s="154"/>
      <c r="S215" s="155" t="str">
        <f t="array" ref="S215">IFERROR(XLOOKUP(B215,'ImportaçãoGoogleAds - Adveronix'!$F:$F,'ImportaçãoGoogleAds - Adveronix'!C:C)," ")</f>
        <v> </v>
      </c>
      <c r="T215" s="155" t="str">
        <f t="array" ref="T215">IFERROR(XLOOKUP(B215,'ImportaçãoGoogleAds - Adveronix'!$F:$F,'ImportaçãoGoogleAds - Adveronix'!D:D)," ")</f>
        <v> </v>
      </c>
      <c r="U215" s="155" t="str">
        <f t="array" ref="U215">IFERROR(XLOOKUP(B215,'ImportaçãoGoogleAds - Adveronix'!$F:$F,'ImportaçãoGoogleAds - Adveronix'!E:E)," ")</f>
        <v> </v>
      </c>
      <c r="V215" s="156"/>
      <c r="W215" s="157"/>
      <c r="X215" s="157"/>
      <c r="Y215" s="158"/>
      <c r="Z215" s="158">
        <f>IFERROR(COUNTIFS(Leads!$L:$L,$B215,Leads!$F:$F,"*google*"),0)</f>
        <v>0</v>
      </c>
      <c r="AA215" s="158">
        <f>IFERROR(COUNTIFS(Leads!$L:$L,$B215,Leads!$F:$F,"*google*",Leads!$N:$N,"Sim"),0)</f>
        <v>0</v>
      </c>
      <c r="AB215" s="152" t="str">
        <f t="array" ref="AB215">IFERROR(XLOOKUP(B215,'ImportaçãoMeta - Adveronix'!F:F,'ImportaçãoMeta - Adveronix'!B:B),"")</f>
        <v/>
      </c>
      <c r="AC215" s="154"/>
      <c r="AD215" s="154"/>
      <c r="AE215" s="159" t="str">
        <f t="array" ref="AE215">IFERROR(XLOOKUP(B215,'ImportaçãoMeta - Adveronix'!$F:$F,'ImportaçãoMeta - Adveronix'!C:C),"")</f>
        <v/>
      </c>
      <c r="AF215" s="159" t="str">
        <f t="array" ref="AF215">IFERROR(XLOOKUP(B215,'ImportaçãoMeta - Adveronix'!$F:$F,'ImportaçãoMeta - Adveronix'!D:D),"")</f>
        <v/>
      </c>
      <c r="AG215" s="159" t="str">
        <f t="array" ref="AG215">IFERROR(XLOOKUP(B215,'ImportaçãoMeta - Adveronix'!$F:$F,'ImportaçãoMeta - Adveronix'!E:E),"")</f>
        <v/>
      </c>
      <c r="AH215" s="157"/>
      <c r="AI215" s="157"/>
      <c r="AJ215" s="156"/>
      <c r="AK215" s="160">
        <f>IFERROR(COUNTIFS(Leads!$L:$L,$B215,Leads!$F:$F,"*MetaAds"),0)</f>
        <v>0</v>
      </c>
      <c r="AL215" s="160">
        <f>IFERROR(COUNTIFS(Leads!$L:$L,$B215,Leads!$F:$F,"*MetaAds*",Leads!$N:$N,"Sim"),0)</f>
        <v>0</v>
      </c>
    </row>
    <row r="216" ht="15.75" customHeight="1">
      <c r="A216" s="149" t="str">
        <f t="array" ref="A216">XLOOKUP(MONTH(B216),BASE!$F$16:$F$27,BASE!$G$16:$G$27)</f>
        <v>Agosto</v>
      </c>
      <c r="B216" s="150">
        <v>46237.0</v>
      </c>
      <c r="C216" s="151"/>
      <c r="D216" s="149" t="str">
        <f t="shared" si="4"/>
        <v>segunda-feira</v>
      </c>
      <c r="E216" s="152">
        <f t="shared" ref="E216:J216" si="431">IFERROR(SUM(P216,AB216)," ")</f>
        <v>0</v>
      </c>
      <c r="F216" s="152">
        <f t="shared" si="431"/>
        <v>0</v>
      </c>
      <c r="G216" s="152">
        <f t="shared" si="431"/>
        <v>0</v>
      </c>
      <c r="H216" s="153">
        <f t="shared" si="431"/>
        <v>0</v>
      </c>
      <c r="I216" s="153">
        <f t="shared" si="431"/>
        <v>0</v>
      </c>
      <c r="J216" s="153">
        <f t="shared" si="431"/>
        <v>0</v>
      </c>
      <c r="K216" s="153">
        <f t="shared" ref="K216:O216" si="432">IFERROR(SUM(W216,AH216)," ")</f>
        <v>0</v>
      </c>
      <c r="L216" s="153">
        <f t="shared" si="432"/>
        <v>0</v>
      </c>
      <c r="M216" s="153">
        <f t="shared" si="432"/>
        <v>0</v>
      </c>
      <c r="N216" s="153">
        <f t="shared" si="432"/>
        <v>0</v>
      </c>
      <c r="O216" s="153">
        <f t="shared" si="432"/>
        <v>0</v>
      </c>
      <c r="P216" s="152" t="str">
        <f t="array" ref="P216">IFERROR(XLOOKUP(B216,'ImportaçãoGoogleAds - Adveronix'!$F:$F,'ImportaçãoGoogleAds - Adveronix'!$B:$B)," ")</f>
        <v> </v>
      </c>
      <c r="Q216" s="154"/>
      <c r="R216" s="154"/>
      <c r="S216" s="155" t="str">
        <f t="array" ref="S216">IFERROR(XLOOKUP(B216,'ImportaçãoGoogleAds - Adveronix'!$F:$F,'ImportaçãoGoogleAds - Adveronix'!C:C)," ")</f>
        <v> </v>
      </c>
      <c r="T216" s="155" t="str">
        <f t="array" ref="T216">IFERROR(XLOOKUP(B216,'ImportaçãoGoogleAds - Adveronix'!$F:$F,'ImportaçãoGoogleAds - Adveronix'!D:D)," ")</f>
        <v> </v>
      </c>
      <c r="U216" s="155" t="str">
        <f t="array" ref="U216">IFERROR(XLOOKUP(B216,'ImportaçãoGoogleAds - Adveronix'!$F:$F,'ImportaçãoGoogleAds - Adveronix'!E:E)," ")</f>
        <v> </v>
      </c>
      <c r="V216" s="156"/>
      <c r="W216" s="157"/>
      <c r="X216" s="157"/>
      <c r="Y216" s="158"/>
      <c r="Z216" s="158">
        <f>IFERROR(COUNTIFS(Leads!$L:$L,$B216,Leads!$F:$F,"*google*"),0)</f>
        <v>0</v>
      </c>
      <c r="AA216" s="158">
        <f>IFERROR(COUNTIFS(Leads!$L:$L,$B216,Leads!$F:$F,"*google*",Leads!$N:$N,"Sim"),0)</f>
        <v>0</v>
      </c>
      <c r="AB216" s="152" t="str">
        <f t="array" ref="AB216">IFERROR(XLOOKUP(B216,'ImportaçãoMeta - Adveronix'!F:F,'ImportaçãoMeta - Adveronix'!B:B),"")</f>
        <v/>
      </c>
      <c r="AC216" s="154"/>
      <c r="AD216" s="154"/>
      <c r="AE216" s="159" t="str">
        <f t="array" ref="AE216">IFERROR(XLOOKUP(B216,'ImportaçãoMeta - Adveronix'!$F:$F,'ImportaçãoMeta - Adveronix'!C:C),"")</f>
        <v/>
      </c>
      <c r="AF216" s="159" t="str">
        <f t="array" ref="AF216">IFERROR(XLOOKUP(B216,'ImportaçãoMeta - Adveronix'!$F:$F,'ImportaçãoMeta - Adveronix'!D:D),"")</f>
        <v/>
      </c>
      <c r="AG216" s="159" t="str">
        <f t="array" ref="AG216">IFERROR(XLOOKUP(B216,'ImportaçãoMeta - Adveronix'!$F:$F,'ImportaçãoMeta - Adveronix'!E:E),"")</f>
        <v/>
      </c>
      <c r="AH216" s="157"/>
      <c r="AI216" s="157"/>
      <c r="AJ216" s="156"/>
      <c r="AK216" s="160">
        <f>IFERROR(COUNTIFS(Leads!$L:$L,$B216,Leads!$F:$F,"*MetaAds"),0)</f>
        <v>0</v>
      </c>
      <c r="AL216" s="160">
        <f>IFERROR(COUNTIFS(Leads!$L:$L,$B216,Leads!$F:$F,"*MetaAds*",Leads!$N:$N,"Sim"),0)</f>
        <v>0</v>
      </c>
    </row>
    <row r="217" ht="15.75" customHeight="1">
      <c r="A217" s="149" t="str">
        <f t="array" ref="A217">XLOOKUP(MONTH(B217),BASE!$F$16:$F$27,BASE!$G$16:$G$27)</f>
        <v>Agosto</v>
      </c>
      <c r="B217" s="150">
        <v>46238.0</v>
      </c>
      <c r="C217" s="151"/>
      <c r="D217" s="149" t="str">
        <f t="shared" si="4"/>
        <v>terça-feira</v>
      </c>
      <c r="E217" s="152">
        <f t="shared" ref="E217:J217" si="433">IFERROR(SUM(P217,AB217)," ")</f>
        <v>0</v>
      </c>
      <c r="F217" s="152">
        <f t="shared" si="433"/>
        <v>0</v>
      </c>
      <c r="G217" s="152">
        <f t="shared" si="433"/>
        <v>0</v>
      </c>
      <c r="H217" s="153">
        <f t="shared" si="433"/>
        <v>0</v>
      </c>
      <c r="I217" s="153">
        <f t="shared" si="433"/>
        <v>0</v>
      </c>
      <c r="J217" s="153">
        <f t="shared" si="433"/>
        <v>0</v>
      </c>
      <c r="K217" s="153">
        <f t="shared" ref="K217:O217" si="434">IFERROR(SUM(W217,AH217)," ")</f>
        <v>0</v>
      </c>
      <c r="L217" s="153">
        <f t="shared" si="434"/>
        <v>0</v>
      </c>
      <c r="M217" s="153">
        <f t="shared" si="434"/>
        <v>0</v>
      </c>
      <c r="N217" s="153">
        <f t="shared" si="434"/>
        <v>0</v>
      </c>
      <c r="O217" s="153">
        <f t="shared" si="434"/>
        <v>0</v>
      </c>
      <c r="P217" s="152" t="str">
        <f t="array" ref="P217">IFERROR(XLOOKUP(B217,'ImportaçãoGoogleAds - Adveronix'!$F:$F,'ImportaçãoGoogleAds - Adveronix'!$B:$B)," ")</f>
        <v> </v>
      </c>
      <c r="Q217" s="154"/>
      <c r="R217" s="154"/>
      <c r="S217" s="155" t="str">
        <f t="array" ref="S217">IFERROR(XLOOKUP(B217,'ImportaçãoGoogleAds - Adveronix'!$F:$F,'ImportaçãoGoogleAds - Adveronix'!C:C)," ")</f>
        <v> </v>
      </c>
      <c r="T217" s="155" t="str">
        <f t="array" ref="T217">IFERROR(XLOOKUP(B217,'ImportaçãoGoogleAds - Adveronix'!$F:$F,'ImportaçãoGoogleAds - Adveronix'!D:D)," ")</f>
        <v> </v>
      </c>
      <c r="U217" s="155" t="str">
        <f t="array" ref="U217">IFERROR(XLOOKUP(B217,'ImportaçãoGoogleAds - Adveronix'!$F:$F,'ImportaçãoGoogleAds - Adveronix'!E:E)," ")</f>
        <v> </v>
      </c>
      <c r="V217" s="156"/>
      <c r="W217" s="157"/>
      <c r="X217" s="157"/>
      <c r="Y217" s="158"/>
      <c r="Z217" s="158">
        <f>IFERROR(COUNTIFS(Leads!$L:$L,$B217,Leads!$F:$F,"*google*"),0)</f>
        <v>0</v>
      </c>
      <c r="AA217" s="158">
        <f>IFERROR(COUNTIFS(Leads!$L:$L,$B217,Leads!$F:$F,"*google*",Leads!$N:$N,"Sim"),0)</f>
        <v>0</v>
      </c>
      <c r="AB217" s="152" t="str">
        <f t="array" ref="AB217">IFERROR(XLOOKUP(B217,'ImportaçãoMeta - Adveronix'!F:F,'ImportaçãoMeta - Adveronix'!B:B),"")</f>
        <v/>
      </c>
      <c r="AC217" s="154"/>
      <c r="AD217" s="154"/>
      <c r="AE217" s="159" t="str">
        <f t="array" ref="AE217">IFERROR(XLOOKUP(B217,'ImportaçãoMeta - Adveronix'!$F:$F,'ImportaçãoMeta - Adveronix'!C:C),"")</f>
        <v/>
      </c>
      <c r="AF217" s="159" t="str">
        <f t="array" ref="AF217">IFERROR(XLOOKUP(B217,'ImportaçãoMeta - Adveronix'!$F:$F,'ImportaçãoMeta - Adveronix'!D:D),"")</f>
        <v/>
      </c>
      <c r="AG217" s="159" t="str">
        <f t="array" ref="AG217">IFERROR(XLOOKUP(B217,'ImportaçãoMeta - Adveronix'!$F:$F,'ImportaçãoMeta - Adveronix'!E:E),"")</f>
        <v/>
      </c>
      <c r="AH217" s="157"/>
      <c r="AI217" s="157"/>
      <c r="AJ217" s="156"/>
      <c r="AK217" s="160">
        <f>IFERROR(COUNTIFS(Leads!$L:$L,$B217,Leads!$F:$F,"*MetaAds"),0)</f>
        <v>0</v>
      </c>
      <c r="AL217" s="160">
        <f>IFERROR(COUNTIFS(Leads!$L:$L,$B217,Leads!$F:$F,"*MetaAds*",Leads!$N:$N,"Sim"),0)</f>
        <v>0</v>
      </c>
    </row>
    <row r="218" ht="15.75" customHeight="1">
      <c r="A218" s="149" t="str">
        <f t="array" ref="A218">XLOOKUP(MONTH(B218),BASE!$F$16:$F$27,BASE!$G$16:$G$27)</f>
        <v>Agosto</v>
      </c>
      <c r="B218" s="150">
        <v>46239.0</v>
      </c>
      <c r="C218" s="151"/>
      <c r="D218" s="149" t="str">
        <f t="shared" si="4"/>
        <v>quarta-feira</v>
      </c>
      <c r="E218" s="152">
        <f t="shared" ref="E218:J218" si="435">IFERROR(SUM(P218,AB218)," ")</f>
        <v>0</v>
      </c>
      <c r="F218" s="152">
        <f t="shared" si="435"/>
        <v>0</v>
      </c>
      <c r="G218" s="152">
        <f t="shared" si="435"/>
        <v>0</v>
      </c>
      <c r="H218" s="153">
        <f t="shared" si="435"/>
        <v>0</v>
      </c>
      <c r="I218" s="153">
        <f t="shared" si="435"/>
        <v>0</v>
      </c>
      <c r="J218" s="153">
        <f t="shared" si="435"/>
        <v>0</v>
      </c>
      <c r="K218" s="153">
        <f t="shared" ref="K218:O218" si="436">IFERROR(SUM(W218,AH218)," ")</f>
        <v>0</v>
      </c>
      <c r="L218" s="153">
        <f t="shared" si="436"/>
        <v>0</v>
      </c>
      <c r="M218" s="153">
        <f t="shared" si="436"/>
        <v>0</v>
      </c>
      <c r="N218" s="153">
        <f t="shared" si="436"/>
        <v>0</v>
      </c>
      <c r="O218" s="153">
        <f t="shared" si="436"/>
        <v>0</v>
      </c>
      <c r="P218" s="152" t="str">
        <f t="array" ref="P218">IFERROR(XLOOKUP(B218,'ImportaçãoGoogleAds - Adveronix'!$F:$F,'ImportaçãoGoogleAds - Adveronix'!$B:$B)," ")</f>
        <v> </v>
      </c>
      <c r="Q218" s="154"/>
      <c r="R218" s="154"/>
      <c r="S218" s="155" t="str">
        <f t="array" ref="S218">IFERROR(XLOOKUP(B218,'ImportaçãoGoogleAds - Adveronix'!$F:$F,'ImportaçãoGoogleAds - Adveronix'!C:C)," ")</f>
        <v> </v>
      </c>
      <c r="T218" s="155" t="str">
        <f t="array" ref="T218">IFERROR(XLOOKUP(B218,'ImportaçãoGoogleAds - Adveronix'!$F:$F,'ImportaçãoGoogleAds - Adveronix'!D:D)," ")</f>
        <v> </v>
      </c>
      <c r="U218" s="155" t="str">
        <f t="array" ref="U218">IFERROR(XLOOKUP(B218,'ImportaçãoGoogleAds - Adveronix'!$F:$F,'ImportaçãoGoogleAds - Adveronix'!E:E)," ")</f>
        <v> </v>
      </c>
      <c r="V218" s="156"/>
      <c r="W218" s="157"/>
      <c r="X218" s="157"/>
      <c r="Y218" s="158"/>
      <c r="Z218" s="158">
        <f>IFERROR(COUNTIFS(Leads!$L:$L,$B218,Leads!$F:$F,"*google*"),0)</f>
        <v>0</v>
      </c>
      <c r="AA218" s="158">
        <f>IFERROR(COUNTIFS(Leads!$L:$L,$B218,Leads!$F:$F,"*google*",Leads!$N:$N,"Sim"),0)</f>
        <v>0</v>
      </c>
      <c r="AB218" s="152" t="str">
        <f t="array" ref="AB218">IFERROR(XLOOKUP(B218,'ImportaçãoMeta - Adveronix'!F:F,'ImportaçãoMeta - Adveronix'!B:B),"")</f>
        <v/>
      </c>
      <c r="AC218" s="154"/>
      <c r="AD218" s="154"/>
      <c r="AE218" s="159" t="str">
        <f t="array" ref="AE218">IFERROR(XLOOKUP(B218,'ImportaçãoMeta - Adveronix'!$F:$F,'ImportaçãoMeta - Adveronix'!C:C),"")</f>
        <v/>
      </c>
      <c r="AF218" s="159" t="str">
        <f t="array" ref="AF218">IFERROR(XLOOKUP(B218,'ImportaçãoMeta - Adveronix'!$F:$F,'ImportaçãoMeta - Adveronix'!D:D),"")</f>
        <v/>
      </c>
      <c r="AG218" s="159" t="str">
        <f t="array" ref="AG218">IFERROR(XLOOKUP(B218,'ImportaçãoMeta - Adveronix'!$F:$F,'ImportaçãoMeta - Adveronix'!E:E),"")</f>
        <v/>
      </c>
      <c r="AH218" s="157"/>
      <c r="AI218" s="157"/>
      <c r="AJ218" s="156"/>
      <c r="AK218" s="160">
        <f>IFERROR(COUNTIFS(Leads!$L:$L,$B218,Leads!$F:$F,"*MetaAds"),0)</f>
        <v>0</v>
      </c>
      <c r="AL218" s="160">
        <f>IFERROR(COUNTIFS(Leads!$L:$L,$B218,Leads!$F:$F,"*MetaAds*",Leads!$N:$N,"Sim"),0)</f>
        <v>0</v>
      </c>
    </row>
    <row r="219" ht="15.75" customHeight="1">
      <c r="A219" s="149" t="str">
        <f t="array" ref="A219">XLOOKUP(MONTH(B219),BASE!$F$16:$F$27,BASE!$G$16:$G$27)</f>
        <v>Agosto</v>
      </c>
      <c r="B219" s="150">
        <v>46240.0</v>
      </c>
      <c r="C219" s="151"/>
      <c r="D219" s="149" t="str">
        <f t="shared" si="4"/>
        <v>quinta-feira</v>
      </c>
      <c r="E219" s="152">
        <f t="shared" ref="E219:J219" si="437">IFERROR(SUM(P219,AB219)," ")</f>
        <v>0</v>
      </c>
      <c r="F219" s="152">
        <f t="shared" si="437"/>
        <v>0</v>
      </c>
      <c r="G219" s="152">
        <f t="shared" si="437"/>
        <v>0</v>
      </c>
      <c r="H219" s="153">
        <f t="shared" si="437"/>
        <v>0</v>
      </c>
      <c r="I219" s="153">
        <f t="shared" si="437"/>
        <v>0</v>
      </c>
      <c r="J219" s="153">
        <f t="shared" si="437"/>
        <v>0</v>
      </c>
      <c r="K219" s="153">
        <f t="shared" ref="K219:O219" si="438">IFERROR(SUM(W219,AH219)," ")</f>
        <v>0</v>
      </c>
      <c r="L219" s="153">
        <f t="shared" si="438"/>
        <v>0</v>
      </c>
      <c r="M219" s="153">
        <f t="shared" si="438"/>
        <v>0</v>
      </c>
      <c r="N219" s="153">
        <f t="shared" si="438"/>
        <v>0</v>
      </c>
      <c r="O219" s="153">
        <f t="shared" si="438"/>
        <v>0</v>
      </c>
      <c r="P219" s="152" t="str">
        <f t="array" ref="P219">IFERROR(XLOOKUP(B219,'ImportaçãoGoogleAds - Adveronix'!$F:$F,'ImportaçãoGoogleAds - Adveronix'!$B:$B)," ")</f>
        <v> </v>
      </c>
      <c r="Q219" s="154"/>
      <c r="R219" s="154"/>
      <c r="S219" s="155" t="str">
        <f t="array" ref="S219">IFERROR(XLOOKUP(B219,'ImportaçãoGoogleAds - Adveronix'!$F:$F,'ImportaçãoGoogleAds - Adveronix'!C:C)," ")</f>
        <v> </v>
      </c>
      <c r="T219" s="155" t="str">
        <f t="array" ref="T219">IFERROR(XLOOKUP(B219,'ImportaçãoGoogleAds - Adveronix'!$F:$F,'ImportaçãoGoogleAds - Adveronix'!D:D)," ")</f>
        <v> </v>
      </c>
      <c r="U219" s="155" t="str">
        <f t="array" ref="U219">IFERROR(XLOOKUP(B219,'ImportaçãoGoogleAds - Adveronix'!$F:$F,'ImportaçãoGoogleAds - Adveronix'!E:E)," ")</f>
        <v> </v>
      </c>
      <c r="V219" s="156"/>
      <c r="W219" s="157"/>
      <c r="X219" s="157"/>
      <c r="Y219" s="158"/>
      <c r="Z219" s="158">
        <f>IFERROR(COUNTIFS(Leads!$L:$L,$B219,Leads!$F:$F,"*google*"),0)</f>
        <v>0</v>
      </c>
      <c r="AA219" s="158">
        <f>IFERROR(COUNTIFS(Leads!$L:$L,$B219,Leads!$F:$F,"*google*",Leads!$N:$N,"Sim"),0)</f>
        <v>0</v>
      </c>
      <c r="AB219" s="152" t="str">
        <f t="array" ref="AB219">IFERROR(XLOOKUP(B219,'ImportaçãoMeta - Adveronix'!F:F,'ImportaçãoMeta - Adveronix'!B:B),"")</f>
        <v/>
      </c>
      <c r="AC219" s="154"/>
      <c r="AD219" s="154"/>
      <c r="AE219" s="159" t="str">
        <f t="array" ref="AE219">IFERROR(XLOOKUP(B219,'ImportaçãoMeta - Adveronix'!$F:$F,'ImportaçãoMeta - Adveronix'!C:C),"")</f>
        <v/>
      </c>
      <c r="AF219" s="159" t="str">
        <f t="array" ref="AF219">IFERROR(XLOOKUP(B219,'ImportaçãoMeta - Adveronix'!$F:$F,'ImportaçãoMeta - Adveronix'!D:D),"")</f>
        <v/>
      </c>
      <c r="AG219" s="159" t="str">
        <f t="array" ref="AG219">IFERROR(XLOOKUP(B219,'ImportaçãoMeta - Adveronix'!$F:$F,'ImportaçãoMeta - Adveronix'!E:E),"")</f>
        <v/>
      </c>
      <c r="AH219" s="157"/>
      <c r="AI219" s="157"/>
      <c r="AJ219" s="156"/>
      <c r="AK219" s="160">
        <f>IFERROR(COUNTIFS(Leads!$L:$L,$B219,Leads!$F:$F,"*MetaAds"),0)</f>
        <v>0</v>
      </c>
      <c r="AL219" s="160">
        <f>IFERROR(COUNTIFS(Leads!$L:$L,$B219,Leads!$F:$F,"*MetaAds*",Leads!$N:$N,"Sim"),0)</f>
        <v>0</v>
      </c>
    </row>
    <row r="220" ht="15.75" customHeight="1">
      <c r="A220" s="149" t="str">
        <f t="array" ref="A220">XLOOKUP(MONTH(B220),BASE!$F$16:$F$27,BASE!$G$16:$G$27)</f>
        <v>Agosto</v>
      </c>
      <c r="B220" s="150">
        <v>46241.0</v>
      </c>
      <c r="C220" s="151"/>
      <c r="D220" s="149" t="str">
        <f t="shared" si="4"/>
        <v>sexta-feira</v>
      </c>
      <c r="E220" s="152">
        <f t="shared" ref="E220:J220" si="439">IFERROR(SUM(P220,AB220)," ")</f>
        <v>0</v>
      </c>
      <c r="F220" s="152">
        <f t="shared" si="439"/>
        <v>0</v>
      </c>
      <c r="G220" s="152">
        <f t="shared" si="439"/>
        <v>0</v>
      </c>
      <c r="H220" s="153">
        <f t="shared" si="439"/>
        <v>0</v>
      </c>
      <c r="I220" s="153">
        <f t="shared" si="439"/>
        <v>0</v>
      </c>
      <c r="J220" s="153">
        <f t="shared" si="439"/>
        <v>0</v>
      </c>
      <c r="K220" s="153">
        <f t="shared" ref="K220:O220" si="440">IFERROR(SUM(W220,AH220)," ")</f>
        <v>0</v>
      </c>
      <c r="L220" s="153">
        <f t="shared" si="440"/>
        <v>0</v>
      </c>
      <c r="M220" s="153">
        <f t="shared" si="440"/>
        <v>0</v>
      </c>
      <c r="N220" s="153">
        <f t="shared" si="440"/>
        <v>0</v>
      </c>
      <c r="O220" s="153">
        <f t="shared" si="440"/>
        <v>0</v>
      </c>
      <c r="P220" s="152" t="str">
        <f t="array" ref="P220">IFERROR(XLOOKUP(B220,'ImportaçãoGoogleAds - Adveronix'!$F:$F,'ImportaçãoGoogleAds - Adveronix'!$B:$B)," ")</f>
        <v> </v>
      </c>
      <c r="Q220" s="154"/>
      <c r="R220" s="154"/>
      <c r="S220" s="155" t="str">
        <f t="array" ref="S220">IFERROR(XLOOKUP(B220,'ImportaçãoGoogleAds - Adveronix'!$F:$F,'ImportaçãoGoogleAds - Adveronix'!C:C)," ")</f>
        <v> </v>
      </c>
      <c r="T220" s="155" t="str">
        <f t="array" ref="T220">IFERROR(XLOOKUP(B220,'ImportaçãoGoogleAds - Adveronix'!$F:$F,'ImportaçãoGoogleAds - Adveronix'!D:D)," ")</f>
        <v> </v>
      </c>
      <c r="U220" s="155" t="str">
        <f t="array" ref="U220">IFERROR(XLOOKUP(B220,'ImportaçãoGoogleAds - Adveronix'!$F:$F,'ImportaçãoGoogleAds - Adveronix'!E:E)," ")</f>
        <v> </v>
      </c>
      <c r="V220" s="156"/>
      <c r="W220" s="157"/>
      <c r="X220" s="157"/>
      <c r="Y220" s="158"/>
      <c r="Z220" s="158">
        <f>IFERROR(COUNTIFS(Leads!$L:$L,$B220,Leads!$F:$F,"*google*"),0)</f>
        <v>0</v>
      </c>
      <c r="AA220" s="158">
        <f>IFERROR(COUNTIFS(Leads!$L:$L,$B220,Leads!$F:$F,"*google*",Leads!$N:$N,"Sim"),0)</f>
        <v>0</v>
      </c>
      <c r="AB220" s="152" t="str">
        <f t="array" ref="AB220">IFERROR(XLOOKUP(B220,'ImportaçãoMeta - Adveronix'!F:F,'ImportaçãoMeta - Adveronix'!B:B),"")</f>
        <v/>
      </c>
      <c r="AC220" s="154"/>
      <c r="AD220" s="154"/>
      <c r="AE220" s="159" t="str">
        <f t="array" ref="AE220">IFERROR(XLOOKUP(B220,'ImportaçãoMeta - Adveronix'!$F:$F,'ImportaçãoMeta - Adveronix'!C:C),"")</f>
        <v/>
      </c>
      <c r="AF220" s="159" t="str">
        <f t="array" ref="AF220">IFERROR(XLOOKUP(B220,'ImportaçãoMeta - Adveronix'!$F:$F,'ImportaçãoMeta - Adveronix'!D:D),"")</f>
        <v/>
      </c>
      <c r="AG220" s="159" t="str">
        <f t="array" ref="AG220">IFERROR(XLOOKUP(B220,'ImportaçãoMeta - Adveronix'!$F:$F,'ImportaçãoMeta - Adveronix'!E:E),"")</f>
        <v/>
      </c>
      <c r="AH220" s="157"/>
      <c r="AI220" s="157"/>
      <c r="AJ220" s="156"/>
      <c r="AK220" s="160">
        <f>IFERROR(COUNTIFS(Leads!$L:$L,$B220,Leads!$F:$F,"*MetaAds"),0)</f>
        <v>0</v>
      </c>
      <c r="AL220" s="160">
        <f>IFERROR(COUNTIFS(Leads!$L:$L,$B220,Leads!$F:$F,"*MetaAds*",Leads!$N:$N,"Sim"),0)</f>
        <v>0</v>
      </c>
    </row>
    <row r="221" ht="15.75" customHeight="1">
      <c r="A221" s="149" t="str">
        <f t="array" ref="A221">XLOOKUP(MONTH(B221),BASE!$F$16:$F$27,BASE!$G$16:$G$27)</f>
        <v>Agosto</v>
      </c>
      <c r="B221" s="150">
        <v>46242.0</v>
      </c>
      <c r="C221" s="151"/>
      <c r="D221" s="149" t="str">
        <f t="shared" si="4"/>
        <v>sábado</v>
      </c>
      <c r="E221" s="152">
        <f t="shared" ref="E221:J221" si="441">IFERROR(SUM(P221,AB221)," ")</f>
        <v>0</v>
      </c>
      <c r="F221" s="152">
        <f t="shared" si="441"/>
        <v>0</v>
      </c>
      <c r="G221" s="152">
        <f t="shared" si="441"/>
        <v>0</v>
      </c>
      <c r="H221" s="153">
        <f t="shared" si="441"/>
        <v>0</v>
      </c>
      <c r="I221" s="153">
        <f t="shared" si="441"/>
        <v>0</v>
      </c>
      <c r="J221" s="153">
        <f t="shared" si="441"/>
        <v>0</v>
      </c>
      <c r="K221" s="153">
        <f t="shared" ref="K221:O221" si="442">IFERROR(SUM(W221,AH221)," ")</f>
        <v>0</v>
      </c>
      <c r="L221" s="153">
        <f t="shared" si="442"/>
        <v>0</v>
      </c>
      <c r="M221" s="153">
        <f t="shared" si="442"/>
        <v>0</v>
      </c>
      <c r="N221" s="153">
        <f t="shared" si="442"/>
        <v>0</v>
      </c>
      <c r="O221" s="153">
        <f t="shared" si="442"/>
        <v>0</v>
      </c>
      <c r="P221" s="152" t="str">
        <f t="array" ref="P221">IFERROR(XLOOKUP(B221,'ImportaçãoGoogleAds - Adveronix'!$F:$F,'ImportaçãoGoogleAds - Adveronix'!$B:$B)," ")</f>
        <v> </v>
      </c>
      <c r="Q221" s="154"/>
      <c r="R221" s="154"/>
      <c r="S221" s="155" t="str">
        <f t="array" ref="S221">IFERROR(XLOOKUP(B221,'ImportaçãoGoogleAds - Adveronix'!$F:$F,'ImportaçãoGoogleAds - Adveronix'!C:C)," ")</f>
        <v> </v>
      </c>
      <c r="T221" s="155" t="str">
        <f t="array" ref="T221">IFERROR(XLOOKUP(B221,'ImportaçãoGoogleAds - Adveronix'!$F:$F,'ImportaçãoGoogleAds - Adveronix'!D:D)," ")</f>
        <v> </v>
      </c>
      <c r="U221" s="155" t="str">
        <f t="array" ref="U221">IFERROR(XLOOKUP(B221,'ImportaçãoGoogleAds - Adveronix'!$F:$F,'ImportaçãoGoogleAds - Adveronix'!E:E)," ")</f>
        <v> </v>
      </c>
      <c r="V221" s="156"/>
      <c r="W221" s="157"/>
      <c r="X221" s="157"/>
      <c r="Y221" s="158"/>
      <c r="Z221" s="158">
        <f>IFERROR(COUNTIFS(Leads!$L:$L,$B221,Leads!$F:$F,"*google*"),0)</f>
        <v>0</v>
      </c>
      <c r="AA221" s="158">
        <f>IFERROR(COUNTIFS(Leads!$L:$L,$B221,Leads!$F:$F,"*google*",Leads!$N:$N,"Sim"),0)</f>
        <v>0</v>
      </c>
      <c r="AB221" s="152" t="str">
        <f t="array" ref="AB221">IFERROR(XLOOKUP(B221,'ImportaçãoMeta - Adveronix'!F:F,'ImportaçãoMeta - Adveronix'!B:B),"")</f>
        <v/>
      </c>
      <c r="AC221" s="154"/>
      <c r="AD221" s="154"/>
      <c r="AE221" s="159" t="str">
        <f t="array" ref="AE221">IFERROR(XLOOKUP(B221,'ImportaçãoMeta - Adveronix'!$F:$F,'ImportaçãoMeta - Adveronix'!C:C),"")</f>
        <v/>
      </c>
      <c r="AF221" s="159" t="str">
        <f t="array" ref="AF221">IFERROR(XLOOKUP(B221,'ImportaçãoMeta - Adveronix'!$F:$F,'ImportaçãoMeta - Adveronix'!D:D),"")</f>
        <v/>
      </c>
      <c r="AG221" s="159" t="str">
        <f t="array" ref="AG221">IFERROR(XLOOKUP(B221,'ImportaçãoMeta - Adveronix'!$F:$F,'ImportaçãoMeta - Adveronix'!E:E),"")</f>
        <v/>
      </c>
      <c r="AH221" s="157"/>
      <c r="AI221" s="157"/>
      <c r="AJ221" s="156"/>
      <c r="AK221" s="160">
        <f>IFERROR(COUNTIFS(Leads!$L:$L,$B221,Leads!$F:$F,"*MetaAds"),0)</f>
        <v>0</v>
      </c>
      <c r="AL221" s="160">
        <f>IFERROR(COUNTIFS(Leads!$L:$L,$B221,Leads!$F:$F,"*MetaAds*",Leads!$N:$N,"Sim"),0)</f>
        <v>0</v>
      </c>
    </row>
    <row r="222" ht="15.75" customHeight="1">
      <c r="A222" s="149" t="str">
        <f t="array" ref="A222">XLOOKUP(MONTH(B222),BASE!$F$16:$F$27,BASE!$G$16:$G$27)</f>
        <v>Agosto</v>
      </c>
      <c r="B222" s="150">
        <v>46243.0</v>
      </c>
      <c r="C222" s="151"/>
      <c r="D222" s="149" t="str">
        <f t="shared" si="4"/>
        <v>domingo</v>
      </c>
      <c r="E222" s="152">
        <f t="shared" ref="E222:J222" si="443">IFERROR(SUM(P222,AB222)," ")</f>
        <v>0</v>
      </c>
      <c r="F222" s="152">
        <f t="shared" si="443"/>
        <v>0</v>
      </c>
      <c r="G222" s="152">
        <f t="shared" si="443"/>
        <v>0</v>
      </c>
      <c r="H222" s="153">
        <f t="shared" si="443"/>
        <v>0</v>
      </c>
      <c r="I222" s="153">
        <f t="shared" si="443"/>
        <v>0</v>
      </c>
      <c r="J222" s="153">
        <f t="shared" si="443"/>
        <v>0</v>
      </c>
      <c r="K222" s="153">
        <f t="shared" ref="K222:O222" si="444">IFERROR(SUM(W222,AH222)," ")</f>
        <v>0</v>
      </c>
      <c r="L222" s="153">
        <f t="shared" si="444"/>
        <v>0</v>
      </c>
      <c r="M222" s="153">
        <f t="shared" si="444"/>
        <v>0</v>
      </c>
      <c r="N222" s="153">
        <f t="shared" si="444"/>
        <v>0</v>
      </c>
      <c r="O222" s="153">
        <f t="shared" si="444"/>
        <v>0</v>
      </c>
      <c r="P222" s="152" t="str">
        <f t="array" ref="P222">IFERROR(XLOOKUP(B222,'ImportaçãoGoogleAds - Adveronix'!$F:$F,'ImportaçãoGoogleAds - Adveronix'!$B:$B)," ")</f>
        <v> </v>
      </c>
      <c r="Q222" s="154"/>
      <c r="R222" s="154"/>
      <c r="S222" s="155" t="str">
        <f t="array" ref="S222">IFERROR(XLOOKUP(B222,'ImportaçãoGoogleAds - Adveronix'!$F:$F,'ImportaçãoGoogleAds - Adveronix'!C:C)," ")</f>
        <v> </v>
      </c>
      <c r="T222" s="155" t="str">
        <f t="array" ref="T222">IFERROR(XLOOKUP(B222,'ImportaçãoGoogleAds - Adveronix'!$F:$F,'ImportaçãoGoogleAds - Adveronix'!D:D)," ")</f>
        <v> </v>
      </c>
      <c r="U222" s="155" t="str">
        <f t="array" ref="U222">IFERROR(XLOOKUP(B222,'ImportaçãoGoogleAds - Adveronix'!$F:$F,'ImportaçãoGoogleAds - Adveronix'!E:E)," ")</f>
        <v> </v>
      </c>
      <c r="V222" s="156"/>
      <c r="W222" s="157"/>
      <c r="X222" s="157"/>
      <c r="Y222" s="158"/>
      <c r="Z222" s="158">
        <f>IFERROR(COUNTIFS(Leads!$L:$L,$B222,Leads!$F:$F,"*google*"),0)</f>
        <v>0</v>
      </c>
      <c r="AA222" s="158">
        <f>IFERROR(COUNTIFS(Leads!$L:$L,$B222,Leads!$F:$F,"*google*",Leads!$N:$N,"Sim"),0)</f>
        <v>0</v>
      </c>
      <c r="AB222" s="152" t="str">
        <f t="array" ref="AB222">IFERROR(XLOOKUP(B222,'ImportaçãoMeta - Adveronix'!F:F,'ImportaçãoMeta - Adveronix'!B:B),"")</f>
        <v/>
      </c>
      <c r="AC222" s="154"/>
      <c r="AD222" s="154"/>
      <c r="AE222" s="159" t="str">
        <f t="array" ref="AE222">IFERROR(XLOOKUP(B222,'ImportaçãoMeta - Adveronix'!$F:$F,'ImportaçãoMeta - Adveronix'!C:C),"")</f>
        <v/>
      </c>
      <c r="AF222" s="159" t="str">
        <f t="array" ref="AF222">IFERROR(XLOOKUP(B222,'ImportaçãoMeta - Adveronix'!$F:$F,'ImportaçãoMeta - Adveronix'!D:D),"")</f>
        <v/>
      </c>
      <c r="AG222" s="159" t="str">
        <f t="array" ref="AG222">IFERROR(XLOOKUP(B222,'ImportaçãoMeta - Adveronix'!$F:$F,'ImportaçãoMeta - Adveronix'!E:E),"")</f>
        <v/>
      </c>
      <c r="AH222" s="157"/>
      <c r="AI222" s="157"/>
      <c r="AJ222" s="156"/>
      <c r="AK222" s="160">
        <f>IFERROR(COUNTIFS(Leads!$L:$L,$B222,Leads!$F:$F,"*MetaAds"),0)</f>
        <v>0</v>
      </c>
      <c r="AL222" s="160">
        <f>IFERROR(COUNTIFS(Leads!$L:$L,$B222,Leads!$F:$F,"*MetaAds*",Leads!$N:$N,"Sim"),0)</f>
        <v>0</v>
      </c>
    </row>
    <row r="223" ht="15.75" customHeight="1">
      <c r="A223" s="149" t="str">
        <f t="array" ref="A223">XLOOKUP(MONTH(B223),BASE!$F$16:$F$27,BASE!$G$16:$G$27)</f>
        <v>Agosto</v>
      </c>
      <c r="B223" s="150">
        <v>46244.0</v>
      </c>
      <c r="C223" s="151"/>
      <c r="D223" s="149" t="str">
        <f t="shared" si="4"/>
        <v>segunda-feira</v>
      </c>
      <c r="E223" s="152">
        <f t="shared" ref="E223:J223" si="445">IFERROR(SUM(P223,AB223)," ")</f>
        <v>0</v>
      </c>
      <c r="F223" s="152">
        <f t="shared" si="445"/>
        <v>0</v>
      </c>
      <c r="G223" s="152">
        <f t="shared" si="445"/>
        <v>0</v>
      </c>
      <c r="H223" s="153">
        <f t="shared" si="445"/>
        <v>0</v>
      </c>
      <c r="I223" s="153">
        <f t="shared" si="445"/>
        <v>0</v>
      </c>
      <c r="J223" s="153">
        <f t="shared" si="445"/>
        <v>0</v>
      </c>
      <c r="K223" s="153">
        <f t="shared" ref="K223:O223" si="446">IFERROR(SUM(W223,AH223)," ")</f>
        <v>0</v>
      </c>
      <c r="L223" s="153">
        <f t="shared" si="446"/>
        <v>0</v>
      </c>
      <c r="M223" s="153">
        <f t="shared" si="446"/>
        <v>0</v>
      </c>
      <c r="N223" s="153">
        <f t="shared" si="446"/>
        <v>0</v>
      </c>
      <c r="O223" s="153">
        <f t="shared" si="446"/>
        <v>0</v>
      </c>
      <c r="P223" s="152" t="str">
        <f t="array" ref="P223">IFERROR(XLOOKUP(B223,'ImportaçãoGoogleAds - Adveronix'!$F:$F,'ImportaçãoGoogleAds - Adveronix'!$B:$B)," ")</f>
        <v> </v>
      </c>
      <c r="Q223" s="154"/>
      <c r="R223" s="154"/>
      <c r="S223" s="155" t="str">
        <f t="array" ref="S223">IFERROR(XLOOKUP(B223,'ImportaçãoGoogleAds - Adveronix'!$F:$F,'ImportaçãoGoogleAds - Adveronix'!C:C)," ")</f>
        <v> </v>
      </c>
      <c r="T223" s="155" t="str">
        <f t="array" ref="T223">IFERROR(XLOOKUP(B223,'ImportaçãoGoogleAds - Adveronix'!$F:$F,'ImportaçãoGoogleAds - Adveronix'!D:D)," ")</f>
        <v> </v>
      </c>
      <c r="U223" s="155" t="str">
        <f t="array" ref="U223">IFERROR(XLOOKUP(B223,'ImportaçãoGoogleAds - Adveronix'!$F:$F,'ImportaçãoGoogleAds - Adveronix'!E:E)," ")</f>
        <v> </v>
      </c>
      <c r="V223" s="156"/>
      <c r="W223" s="157"/>
      <c r="X223" s="157"/>
      <c r="Y223" s="158"/>
      <c r="Z223" s="158">
        <f>IFERROR(COUNTIFS(Leads!$L:$L,$B223,Leads!$F:$F,"*google*"),0)</f>
        <v>0</v>
      </c>
      <c r="AA223" s="158">
        <f>IFERROR(COUNTIFS(Leads!$L:$L,$B223,Leads!$F:$F,"*google*",Leads!$N:$N,"Sim"),0)</f>
        <v>0</v>
      </c>
      <c r="AB223" s="152" t="str">
        <f t="array" ref="AB223">IFERROR(XLOOKUP(B223,'ImportaçãoMeta - Adveronix'!F:F,'ImportaçãoMeta - Adveronix'!B:B),"")</f>
        <v/>
      </c>
      <c r="AC223" s="154"/>
      <c r="AD223" s="154"/>
      <c r="AE223" s="159" t="str">
        <f t="array" ref="AE223">IFERROR(XLOOKUP(B223,'ImportaçãoMeta - Adveronix'!$F:$F,'ImportaçãoMeta - Adveronix'!C:C),"")</f>
        <v/>
      </c>
      <c r="AF223" s="159" t="str">
        <f t="array" ref="AF223">IFERROR(XLOOKUP(B223,'ImportaçãoMeta - Adveronix'!$F:$F,'ImportaçãoMeta - Adveronix'!D:D),"")</f>
        <v/>
      </c>
      <c r="AG223" s="159" t="str">
        <f t="array" ref="AG223">IFERROR(XLOOKUP(B223,'ImportaçãoMeta - Adveronix'!$F:$F,'ImportaçãoMeta - Adveronix'!E:E),"")</f>
        <v/>
      </c>
      <c r="AH223" s="157"/>
      <c r="AI223" s="157"/>
      <c r="AJ223" s="156"/>
      <c r="AK223" s="160">
        <f>IFERROR(COUNTIFS(Leads!$L:$L,$B223,Leads!$F:$F,"*MetaAds"),0)</f>
        <v>0</v>
      </c>
      <c r="AL223" s="160">
        <f>IFERROR(COUNTIFS(Leads!$L:$L,$B223,Leads!$F:$F,"*MetaAds*",Leads!$N:$N,"Sim"),0)</f>
        <v>0</v>
      </c>
    </row>
    <row r="224" ht="15.75" customHeight="1">
      <c r="A224" s="149" t="str">
        <f t="array" ref="A224">XLOOKUP(MONTH(B224),BASE!$F$16:$F$27,BASE!$G$16:$G$27)</f>
        <v>Agosto</v>
      </c>
      <c r="B224" s="150">
        <v>46245.0</v>
      </c>
      <c r="C224" s="151"/>
      <c r="D224" s="149" t="str">
        <f t="shared" si="4"/>
        <v>terça-feira</v>
      </c>
      <c r="E224" s="152">
        <f t="shared" ref="E224:J224" si="447">IFERROR(SUM(P224,AB224)," ")</f>
        <v>0</v>
      </c>
      <c r="F224" s="152">
        <f t="shared" si="447"/>
        <v>0</v>
      </c>
      <c r="G224" s="152">
        <f t="shared" si="447"/>
        <v>0</v>
      </c>
      <c r="H224" s="153">
        <f t="shared" si="447"/>
        <v>0</v>
      </c>
      <c r="I224" s="153">
        <f t="shared" si="447"/>
        <v>0</v>
      </c>
      <c r="J224" s="153">
        <f t="shared" si="447"/>
        <v>0</v>
      </c>
      <c r="K224" s="153">
        <f t="shared" ref="K224:O224" si="448">IFERROR(SUM(W224,AH224)," ")</f>
        <v>0</v>
      </c>
      <c r="L224" s="153">
        <f t="shared" si="448"/>
        <v>0</v>
      </c>
      <c r="M224" s="153">
        <f t="shared" si="448"/>
        <v>0</v>
      </c>
      <c r="N224" s="153">
        <f t="shared" si="448"/>
        <v>0</v>
      </c>
      <c r="O224" s="153">
        <f t="shared" si="448"/>
        <v>0</v>
      </c>
      <c r="P224" s="152" t="str">
        <f t="array" ref="P224">IFERROR(XLOOKUP(B224,'ImportaçãoGoogleAds - Adveronix'!$F:$F,'ImportaçãoGoogleAds - Adveronix'!$B:$B)," ")</f>
        <v> </v>
      </c>
      <c r="Q224" s="154"/>
      <c r="R224" s="154"/>
      <c r="S224" s="155" t="str">
        <f t="array" ref="S224">IFERROR(XLOOKUP(B224,'ImportaçãoGoogleAds - Adveronix'!$F:$F,'ImportaçãoGoogleAds - Adveronix'!C:C)," ")</f>
        <v> </v>
      </c>
      <c r="T224" s="155" t="str">
        <f t="array" ref="T224">IFERROR(XLOOKUP(B224,'ImportaçãoGoogleAds - Adveronix'!$F:$F,'ImportaçãoGoogleAds - Adveronix'!D:D)," ")</f>
        <v> </v>
      </c>
      <c r="U224" s="155" t="str">
        <f t="array" ref="U224">IFERROR(XLOOKUP(B224,'ImportaçãoGoogleAds - Adveronix'!$F:$F,'ImportaçãoGoogleAds - Adveronix'!E:E)," ")</f>
        <v> </v>
      </c>
      <c r="V224" s="156"/>
      <c r="W224" s="157"/>
      <c r="X224" s="157"/>
      <c r="Y224" s="158"/>
      <c r="Z224" s="158">
        <f>IFERROR(COUNTIFS(Leads!$L:$L,$B224,Leads!$F:$F,"*google*"),0)</f>
        <v>0</v>
      </c>
      <c r="AA224" s="158">
        <f>IFERROR(COUNTIFS(Leads!$L:$L,$B224,Leads!$F:$F,"*google*",Leads!$N:$N,"Sim"),0)</f>
        <v>0</v>
      </c>
      <c r="AB224" s="152" t="str">
        <f t="array" ref="AB224">IFERROR(XLOOKUP(B224,'ImportaçãoMeta - Adveronix'!F:F,'ImportaçãoMeta - Adveronix'!B:B),"")</f>
        <v/>
      </c>
      <c r="AC224" s="154"/>
      <c r="AD224" s="154"/>
      <c r="AE224" s="159" t="str">
        <f t="array" ref="AE224">IFERROR(XLOOKUP(B224,'ImportaçãoMeta - Adveronix'!$F:$F,'ImportaçãoMeta - Adveronix'!C:C),"")</f>
        <v/>
      </c>
      <c r="AF224" s="159" t="str">
        <f t="array" ref="AF224">IFERROR(XLOOKUP(B224,'ImportaçãoMeta - Adveronix'!$F:$F,'ImportaçãoMeta - Adveronix'!D:D),"")</f>
        <v/>
      </c>
      <c r="AG224" s="159" t="str">
        <f t="array" ref="AG224">IFERROR(XLOOKUP(B224,'ImportaçãoMeta - Adveronix'!$F:$F,'ImportaçãoMeta - Adveronix'!E:E),"")</f>
        <v/>
      </c>
      <c r="AH224" s="157"/>
      <c r="AI224" s="157"/>
      <c r="AJ224" s="156"/>
      <c r="AK224" s="160">
        <f>IFERROR(COUNTIFS(Leads!$L:$L,$B224,Leads!$F:$F,"*MetaAds"),0)</f>
        <v>0</v>
      </c>
      <c r="AL224" s="160">
        <f>IFERROR(COUNTIFS(Leads!$L:$L,$B224,Leads!$F:$F,"*MetaAds*",Leads!$N:$N,"Sim"),0)</f>
        <v>0</v>
      </c>
    </row>
    <row r="225" ht="15.75" customHeight="1">
      <c r="A225" s="149" t="str">
        <f t="array" ref="A225">XLOOKUP(MONTH(B225),BASE!$F$16:$F$27,BASE!$G$16:$G$27)</f>
        <v>Agosto</v>
      </c>
      <c r="B225" s="150">
        <v>46246.0</v>
      </c>
      <c r="C225" s="151"/>
      <c r="D225" s="149" t="str">
        <f t="shared" si="4"/>
        <v>quarta-feira</v>
      </c>
      <c r="E225" s="152">
        <f t="shared" ref="E225:J225" si="449">IFERROR(SUM(P225,AB225)," ")</f>
        <v>0</v>
      </c>
      <c r="F225" s="152">
        <f t="shared" si="449"/>
        <v>0</v>
      </c>
      <c r="G225" s="152">
        <f t="shared" si="449"/>
        <v>0</v>
      </c>
      <c r="H225" s="153">
        <f t="shared" si="449"/>
        <v>0</v>
      </c>
      <c r="I225" s="153">
        <f t="shared" si="449"/>
        <v>0</v>
      </c>
      <c r="J225" s="153">
        <f t="shared" si="449"/>
        <v>0</v>
      </c>
      <c r="K225" s="153">
        <f t="shared" ref="K225:O225" si="450">IFERROR(SUM(W225,AH225)," ")</f>
        <v>0</v>
      </c>
      <c r="L225" s="153">
        <f t="shared" si="450"/>
        <v>0</v>
      </c>
      <c r="M225" s="153">
        <f t="shared" si="450"/>
        <v>0</v>
      </c>
      <c r="N225" s="153">
        <f t="shared" si="450"/>
        <v>0</v>
      </c>
      <c r="O225" s="153">
        <f t="shared" si="450"/>
        <v>0</v>
      </c>
      <c r="P225" s="152" t="str">
        <f t="array" ref="P225">IFERROR(XLOOKUP(B225,'ImportaçãoGoogleAds - Adveronix'!$F:$F,'ImportaçãoGoogleAds - Adveronix'!$B:$B)," ")</f>
        <v> </v>
      </c>
      <c r="Q225" s="154"/>
      <c r="R225" s="154"/>
      <c r="S225" s="155" t="str">
        <f t="array" ref="S225">IFERROR(XLOOKUP(B225,'ImportaçãoGoogleAds - Adveronix'!$F:$F,'ImportaçãoGoogleAds - Adveronix'!C:C)," ")</f>
        <v> </v>
      </c>
      <c r="T225" s="155" t="str">
        <f t="array" ref="T225">IFERROR(XLOOKUP(B225,'ImportaçãoGoogleAds - Adveronix'!$F:$F,'ImportaçãoGoogleAds - Adveronix'!D:D)," ")</f>
        <v> </v>
      </c>
      <c r="U225" s="155" t="str">
        <f t="array" ref="U225">IFERROR(XLOOKUP(B225,'ImportaçãoGoogleAds - Adveronix'!$F:$F,'ImportaçãoGoogleAds - Adveronix'!E:E)," ")</f>
        <v> </v>
      </c>
      <c r="V225" s="156"/>
      <c r="W225" s="157"/>
      <c r="X225" s="157"/>
      <c r="Y225" s="158"/>
      <c r="Z225" s="158">
        <f>IFERROR(COUNTIFS(Leads!$L:$L,$B225,Leads!$F:$F,"*google*"),0)</f>
        <v>0</v>
      </c>
      <c r="AA225" s="158">
        <f>IFERROR(COUNTIFS(Leads!$L:$L,$B225,Leads!$F:$F,"*google*",Leads!$N:$N,"Sim"),0)</f>
        <v>0</v>
      </c>
      <c r="AB225" s="152" t="str">
        <f t="array" ref="AB225">IFERROR(XLOOKUP(B225,'ImportaçãoMeta - Adveronix'!F:F,'ImportaçãoMeta - Adveronix'!B:B),"")</f>
        <v/>
      </c>
      <c r="AC225" s="154"/>
      <c r="AD225" s="154"/>
      <c r="AE225" s="159" t="str">
        <f t="array" ref="AE225">IFERROR(XLOOKUP(B225,'ImportaçãoMeta - Adveronix'!$F:$F,'ImportaçãoMeta - Adveronix'!C:C),"")</f>
        <v/>
      </c>
      <c r="AF225" s="159" t="str">
        <f t="array" ref="AF225">IFERROR(XLOOKUP(B225,'ImportaçãoMeta - Adveronix'!$F:$F,'ImportaçãoMeta - Adveronix'!D:D),"")</f>
        <v/>
      </c>
      <c r="AG225" s="159" t="str">
        <f t="array" ref="AG225">IFERROR(XLOOKUP(B225,'ImportaçãoMeta - Adveronix'!$F:$F,'ImportaçãoMeta - Adveronix'!E:E),"")</f>
        <v/>
      </c>
      <c r="AH225" s="157"/>
      <c r="AI225" s="157"/>
      <c r="AJ225" s="156"/>
      <c r="AK225" s="160">
        <f>IFERROR(COUNTIFS(Leads!$L:$L,$B225,Leads!$F:$F,"*MetaAds"),0)</f>
        <v>0</v>
      </c>
      <c r="AL225" s="160">
        <f>IFERROR(COUNTIFS(Leads!$L:$L,$B225,Leads!$F:$F,"*MetaAds*",Leads!$N:$N,"Sim"),0)</f>
        <v>0</v>
      </c>
    </row>
    <row r="226" ht="15.75" customHeight="1">
      <c r="A226" s="149" t="str">
        <f t="array" ref="A226">XLOOKUP(MONTH(B226),BASE!$F$16:$F$27,BASE!$G$16:$G$27)</f>
        <v>Agosto</v>
      </c>
      <c r="B226" s="150">
        <v>46247.0</v>
      </c>
      <c r="C226" s="151"/>
      <c r="D226" s="149" t="str">
        <f t="shared" si="4"/>
        <v>quinta-feira</v>
      </c>
      <c r="E226" s="152">
        <f t="shared" ref="E226:J226" si="451">IFERROR(SUM(P226,AB226)," ")</f>
        <v>0</v>
      </c>
      <c r="F226" s="152">
        <f t="shared" si="451"/>
        <v>0</v>
      </c>
      <c r="G226" s="152">
        <f t="shared" si="451"/>
        <v>0</v>
      </c>
      <c r="H226" s="153">
        <f t="shared" si="451"/>
        <v>0</v>
      </c>
      <c r="I226" s="153">
        <f t="shared" si="451"/>
        <v>0</v>
      </c>
      <c r="J226" s="153">
        <f t="shared" si="451"/>
        <v>0</v>
      </c>
      <c r="K226" s="153">
        <f t="shared" ref="K226:O226" si="452">IFERROR(SUM(W226,AH226)," ")</f>
        <v>0</v>
      </c>
      <c r="L226" s="153">
        <f t="shared" si="452"/>
        <v>0</v>
      </c>
      <c r="M226" s="153">
        <f t="shared" si="452"/>
        <v>0</v>
      </c>
      <c r="N226" s="153">
        <f t="shared" si="452"/>
        <v>0</v>
      </c>
      <c r="O226" s="153">
        <f t="shared" si="452"/>
        <v>0</v>
      </c>
      <c r="P226" s="152" t="str">
        <f t="array" ref="P226">IFERROR(XLOOKUP(B226,'ImportaçãoGoogleAds - Adveronix'!$F:$F,'ImportaçãoGoogleAds - Adveronix'!$B:$B)," ")</f>
        <v> </v>
      </c>
      <c r="Q226" s="154"/>
      <c r="R226" s="154"/>
      <c r="S226" s="155" t="str">
        <f t="array" ref="S226">IFERROR(XLOOKUP(B226,'ImportaçãoGoogleAds - Adveronix'!$F:$F,'ImportaçãoGoogleAds - Adveronix'!C:C)," ")</f>
        <v> </v>
      </c>
      <c r="T226" s="155" t="str">
        <f t="array" ref="T226">IFERROR(XLOOKUP(B226,'ImportaçãoGoogleAds - Adveronix'!$F:$F,'ImportaçãoGoogleAds - Adveronix'!D:D)," ")</f>
        <v> </v>
      </c>
      <c r="U226" s="155" t="str">
        <f t="array" ref="U226">IFERROR(XLOOKUP(B226,'ImportaçãoGoogleAds - Adveronix'!$F:$F,'ImportaçãoGoogleAds - Adveronix'!E:E)," ")</f>
        <v> </v>
      </c>
      <c r="V226" s="156"/>
      <c r="W226" s="157"/>
      <c r="X226" s="157"/>
      <c r="Y226" s="158"/>
      <c r="Z226" s="158">
        <f>IFERROR(COUNTIFS(Leads!$L:$L,$B226,Leads!$F:$F,"*google*"),0)</f>
        <v>0</v>
      </c>
      <c r="AA226" s="158">
        <f>IFERROR(COUNTIFS(Leads!$L:$L,$B226,Leads!$F:$F,"*google*",Leads!$N:$N,"Sim"),0)</f>
        <v>0</v>
      </c>
      <c r="AB226" s="152" t="str">
        <f t="array" ref="AB226">IFERROR(XLOOKUP(B226,'ImportaçãoMeta - Adveronix'!F:F,'ImportaçãoMeta - Adveronix'!B:B),"")</f>
        <v/>
      </c>
      <c r="AC226" s="154"/>
      <c r="AD226" s="154"/>
      <c r="AE226" s="159" t="str">
        <f t="array" ref="AE226">IFERROR(XLOOKUP(B226,'ImportaçãoMeta - Adveronix'!$F:$F,'ImportaçãoMeta - Adveronix'!C:C),"")</f>
        <v/>
      </c>
      <c r="AF226" s="159" t="str">
        <f t="array" ref="AF226">IFERROR(XLOOKUP(B226,'ImportaçãoMeta - Adveronix'!$F:$F,'ImportaçãoMeta - Adveronix'!D:D),"")</f>
        <v/>
      </c>
      <c r="AG226" s="159" t="str">
        <f t="array" ref="AG226">IFERROR(XLOOKUP(B226,'ImportaçãoMeta - Adveronix'!$F:$F,'ImportaçãoMeta - Adveronix'!E:E),"")</f>
        <v/>
      </c>
      <c r="AH226" s="157"/>
      <c r="AI226" s="157"/>
      <c r="AJ226" s="156"/>
      <c r="AK226" s="160">
        <f>IFERROR(COUNTIFS(Leads!$L:$L,$B226,Leads!$F:$F,"*MetaAds"),0)</f>
        <v>0</v>
      </c>
      <c r="AL226" s="160">
        <f>IFERROR(COUNTIFS(Leads!$L:$L,$B226,Leads!$F:$F,"*MetaAds*",Leads!$N:$N,"Sim"),0)</f>
        <v>0</v>
      </c>
    </row>
    <row r="227" ht="15.75" customHeight="1">
      <c r="A227" s="149" t="str">
        <f t="array" ref="A227">XLOOKUP(MONTH(B227),BASE!$F$16:$F$27,BASE!$G$16:$G$27)</f>
        <v>Agosto</v>
      </c>
      <c r="B227" s="150">
        <v>46248.0</v>
      </c>
      <c r="C227" s="151"/>
      <c r="D227" s="149" t="str">
        <f t="shared" si="4"/>
        <v>sexta-feira</v>
      </c>
      <c r="E227" s="152">
        <f t="shared" ref="E227:J227" si="453">IFERROR(SUM(P227,AB227)," ")</f>
        <v>0</v>
      </c>
      <c r="F227" s="152">
        <f t="shared" si="453"/>
        <v>0</v>
      </c>
      <c r="G227" s="152">
        <f t="shared" si="453"/>
        <v>0</v>
      </c>
      <c r="H227" s="153">
        <f t="shared" si="453"/>
        <v>0</v>
      </c>
      <c r="I227" s="153">
        <f t="shared" si="453"/>
        <v>0</v>
      </c>
      <c r="J227" s="153">
        <f t="shared" si="453"/>
        <v>0</v>
      </c>
      <c r="K227" s="153">
        <f t="shared" ref="K227:O227" si="454">IFERROR(SUM(W227,AH227)," ")</f>
        <v>0</v>
      </c>
      <c r="L227" s="153">
        <f t="shared" si="454"/>
        <v>0</v>
      </c>
      <c r="M227" s="153">
        <f t="shared" si="454"/>
        <v>0</v>
      </c>
      <c r="N227" s="153">
        <f t="shared" si="454"/>
        <v>0</v>
      </c>
      <c r="O227" s="153">
        <f t="shared" si="454"/>
        <v>0</v>
      </c>
      <c r="P227" s="152" t="str">
        <f t="array" ref="P227">IFERROR(XLOOKUP(B227,'ImportaçãoGoogleAds - Adveronix'!$F:$F,'ImportaçãoGoogleAds - Adveronix'!$B:$B)," ")</f>
        <v> </v>
      </c>
      <c r="Q227" s="154"/>
      <c r="R227" s="154"/>
      <c r="S227" s="155" t="str">
        <f t="array" ref="S227">IFERROR(XLOOKUP(B227,'ImportaçãoGoogleAds - Adveronix'!$F:$F,'ImportaçãoGoogleAds - Adveronix'!C:C)," ")</f>
        <v> </v>
      </c>
      <c r="T227" s="155" t="str">
        <f t="array" ref="T227">IFERROR(XLOOKUP(B227,'ImportaçãoGoogleAds - Adveronix'!$F:$F,'ImportaçãoGoogleAds - Adveronix'!D:D)," ")</f>
        <v> </v>
      </c>
      <c r="U227" s="155" t="str">
        <f t="array" ref="U227">IFERROR(XLOOKUP(B227,'ImportaçãoGoogleAds - Adveronix'!$F:$F,'ImportaçãoGoogleAds - Adveronix'!E:E)," ")</f>
        <v> </v>
      </c>
      <c r="V227" s="156"/>
      <c r="W227" s="157"/>
      <c r="X227" s="157"/>
      <c r="Y227" s="158"/>
      <c r="Z227" s="158">
        <f>IFERROR(COUNTIFS(Leads!$L:$L,$B227,Leads!$F:$F,"*google*"),0)</f>
        <v>0</v>
      </c>
      <c r="AA227" s="158">
        <f>IFERROR(COUNTIFS(Leads!$L:$L,$B227,Leads!$F:$F,"*google*",Leads!$N:$N,"Sim"),0)</f>
        <v>0</v>
      </c>
      <c r="AB227" s="152" t="str">
        <f t="array" ref="AB227">IFERROR(XLOOKUP(B227,'ImportaçãoMeta - Adveronix'!F:F,'ImportaçãoMeta - Adveronix'!B:B),"")</f>
        <v/>
      </c>
      <c r="AC227" s="154"/>
      <c r="AD227" s="154"/>
      <c r="AE227" s="159" t="str">
        <f t="array" ref="AE227">IFERROR(XLOOKUP(B227,'ImportaçãoMeta - Adveronix'!$F:$F,'ImportaçãoMeta - Adveronix'!C:C),"")</f>
        <v/>
      </c>
      <c r="AF227" s="159" t="str">
        <f t="array" ref="AF227">IFERROR(XLOOKUP(B227,'ImportaçãoMeta - Adveronix'!$F:$F,'ImportaçãoMeta - Adveronix'!D:D),"")</f>
        <v/>
      </c>
      <c r="AG227" s="159" t="str">
        <f t="array" ref="AG227">IFERROR(XLOOKUP(B227,'ImportaçãoMeta - Adveronix'!$F:$F,'ImportaçãoMeta - Adveronix'!E:E),"")</f>
        <v/>
      </c>
      <c r="AH227" s="157"/>
      <c r="AI227" s="157"/>
      <c r="AJ227" s="156"/>
      <c r="AK227" s="160">
        <f>IFERROR(COUNTIFS(Leads!$L:$L,$B227,Leads!$F:$F,"*MetaAds"),0)</f>
        <v>0</v>
      </c>
      <c r="AL227" s="160">
        <f>IFERROR(COUNTIFS(Leads!$L:$L,$B227,Leads!$F:$F,"*MetaAds*",Leads!$N:$N,"Sim"),0)</f>
        <v>0</v>
      </c>
    </row>
    <row r="228" ht="15.75" customHeight="1">
      <c r="A228" s="149" t="str">
        <f t="array" ref="A228">XLOOKUP(MONTH(B228),BASE!$F$16:$F$27,BASE!$G$16:$G$27)</f>
        <v>Agosto</v>
      </c>
      <c r="B228" s="150">
        <v>46249.0</v>
      </c>
      <c r="C228" s="151"/>
      <c r="D228" s="149" t="str">
        <f t="shared" si="4"/>
        <v>sábado</v>
      </c>
      <c r="E228" s="152">
        <f t="shared" ref="E228:J228" si="455">IFERROR(SUM(P228,AB228)," ")</f>
        <v>0</v>
      </c>
      <c r="F228" s="152">
        <f t="shared" si="455"/>
        <v>0</v>
      </c>
      <c r="G228" s="152">
        <f t="shared" si="455"/>
        <v>0</v>
      </c>
      <c r="H228" s="153">
        <f t="shared" si="455"/>
        <v>0</v>
      </c>
      <c r="I228" s="153">
        <f t="shared" si="455"/>
        <v>0</v>
      </c>
      <c r="J228" s="153">
        <f t="shared" si="455"/>
        <v>0</v>
      </c>
      <c r="K228" s="153">
        <f t="shared" ref="K228:O228" si="456">IFERROR(SUM(W228,AH228)," ")</f>
        <v>0</v>
      </c>
      <c r="L228" s="153">
        <f t="shared" si="456"/>
        <v>0</v>
      </c>
      <c r="M228" s="153">
        <f t="shared" si="456"/>
        <v>0</v>
      </c>
      <c r="N228" s="153">
        <f t="shared" si="456"/>
        <v>0</v>
      </c>
      <c r="O228" s="153">
        <f t="shared" si="456"/>
        <v>0</v>
      </c>
      <c r="P228" s="152" t="str">
        <f t="array" ref="P228">IFERROR(XLOOKUP(B228,'ImportaçãoGoogleAds - Adveronix'!$F:$F,'ImportaçãoGoogleAds - Adveronix'!$B:$B)," ")</f>
        <v> </v>
      </c>
      <c r="Q228" s="154"/>
      <c r="R228" s="154"/>
      <c r="S228" s="155" t="str">
        <f t="array" ref="S228">IFERROR(XLOOKUP(B228,'ImportaçãoGoogleAds - Adveronix'!$F:$F,'ImportaçãoGoogleAds - Adveronix'!C:C)," ")</f>
        <v> </v>
      </c>
      <c r="T228" s="155" t="str">
        <f t="array" ref="T228">IFERROR(XLOOKUP(B228,'ImportaçãoGoogleAds - Adveronix'!$F:$F,'ImportaçãoGoogleAds - Adveronix'!D:D)," ")</f>
        <v> </v>
      </c>
      <c r="U228" s="155" t="str">
        <f t="array" ref="U228">IFERROR(XLOOKUP(B228,'ImportaçãoGoogleAds - Adveronix'!$F:$F,'ImportaçãoGoogleAds - Adveronix'!E:E)," ")</f>
        <v> </v>
      </c>
      <c r="V228" s="156"/>
      <c r="W228" s="157"/>
      <c r="X228" s="157"/>
      <c r="Y228" s="158"/>
      <c r="Z228" s="158">
        <f>IFERROR(COUNTIFS(Leads!$L:$L,$B228,Leads!$F:$F,"*google*"),0)</f>
        <v>0</v>
      </c>
      <c r="AA228" s="158">
        <f>IFERROR(COUNTIFS(Leads!$L:$L,$B228,Leads!$F:$F,"*google*",Leads!$N:$N,"Sim"),0)</f>
        <v>0</v>
      </c>
      <c r="AB228" s="152" t="str">
        <f t="array" ref="AB228">IFERROR(XLOOKUP(B228,'ImportaçãoMeta - Adveronix'!F:F,'ImportaçãoMeta - Adveronix'!B:B),"")</f>
        <v/>
      </c>
      <c r="AC228" s="154"/>
      <c r="AD228" s="154"/>
      <c r="AE228" s="159" t="str">
        <f t="array" ref="AE228">IFERROR(XLOOKUP(B228,'ImportaçãoMeta - Adveronix'!$F:$F,'ImportaçãoMeta - Adveronix'!C:C),"")</f>
        <v/>
      </c>
      <c r="AF228" s="159" t="str">
        <f t="array" ref="AF228">IFERROR(XLOOKUP(B228,'ImportaçãoMeta - Adveronix'!$F:$F,'ImportaçãoMeta - Adveronix'!D:D),"")</f>
        <v/>
      </c>
      <c r="AG228" s="159" t="str">
        <f t="array" ref="AG228">IFERROR(XLOOKUP(B228,'ImportaçãoMeta - Adveronix'!$F:$F,'ImportaçãoMeta - Adveronix'!E:E),"")</f>
        <v/>
      </c>
      <c r="AH228" s="157"/>
      <c r="AI228" s="157"/>
      <c r="AJ228" s="156"/>
      <c r="AK228" s="160">
        <f>IFERROR(COUNTIFS(Leads!$L:$L,$B228,Leads!$F:$F,"*MetaAds"),0)</f>
        <v>0</v>
      </c>
      <c r="AL228" s="160">
        <f>IFERROR(COUNTIFS(Leads!$L:$L,$B228,Leads!$F:$F,"*MetaAds*",Leads!$N:$N,"Sim"),0)</f>
        <v>0</v>
      </c>
    </row>
    <row r="229" ht="15.75" customHeight="1">
      <c r="A229" s="149" t="str">
        <f t="array" ref="A229">XLOOKUP(MONTH(B229),BASE!$F$16:$F$27,BASE!$G$16:$G$27)</f>
        <v>Agosto</v>
      </c>
      <c r="B229" s="150">
        <v>46250.0</v>
      </c>
      <c r="C229" s="151"/>
      <c r="D229" s="149" t="str">
        <f t="shared" si="4"/>
        <v>domingo</v>
      </c>
      <c r="E229" s="152">
        <f t="shared" ref="E229:J229" si="457">IFERROR(SUM(P229,AB229)," ")</f>
        <v>0</v>
      </c>
      <c r="F229" s="152">
        <f t="shared" si="457"/>
        <v>0</v>
      </c>
      <c r="G229" s="152">
        <f t="shared" si="457"/>
        <v>0</v>
      </c>
      <c r="H229" s="153">
        <f t="shared" si="457"/>
        <v>0</v>
      </c>
      <c r="I229" s="153">
        <f t="shared" si="457"/>
        <v>0</v>
      </c>
      <c r="J229" s="153">
        <f t="shared" si="457"/>
        <v>0</v>
      </c>
      <c r="K229" s="153">
        <f t="shared" ref="K229:O229" si="458">IFERROR(SUM(W229,AH229)," ")</f>
        <v>0</v>
      </c>
      <c r="L229" s="153">
        <f t="shared" si="458"/>
        <v>0</v>
      </c>
      <c r="M229" s="153">
        <f t="shared" si="458"/>
        <v>0</v>
      </c>
      <c r="N229" s="153">
        <f t="shared" si="458"/>
        <v>0</v>
      </c>
      <c r="O229" s="153">
        <f t="shared" si="458"/>
        <v>0</v>
      </c>
      <c r="P229" s="152" t="str">
        <f t="array" ref="P229">IFERROR(XLOOKUP(B229,'ImportaçãoGoogleAds - Adveronix'!$F:$F,'ImportaçãoGoogleAds - Adveronix'!$B:$B)," ")</f>
        <v> </v>
      </c>
      <c r="Q229" s="154"/>
      <c r="R229" s="154"/>
      <c r="S229" s="155" t="str">
        <f t="array" ref="S229">IFERROR(XLOOKUP(B229,'ImportaçãoGoogleAds - Adveronix'!$F:$F,'ImportaçãoGoogleAds - Adveronix'!C:C)," ")</f>
        <v> </v>
      </c>
      <c r="T229" s="155" t="str">
        <f t="array" ref="T229">IFERROR(XLOOKUP(B229,'ImportaçãoGoogleAds - Adveronix'!$F:$F,'ImportaçãoGoogleAds - Adveronix'!D:D)," ")</f>
        <v> </v>
      </c>
      <c r="U229" s="155" t="str">
        <f t="array" ref="U229">IFERROR(XLOOKUP(B229,'ImportaçãoGoogleAds - Adveronix'!$F:$F,'ImportaçãoGoogleAds - Adveronix'!E:E)," ")</f>
        <v> </v>
      </c>
      <c r="V229" s="156"/>
      <c r="W229" s="157"/>
      <c r="X229" s="157"/>
      <c r="Y229" s="158"/>
      <c r="Z229" s="158">
        <f>IFERROR(COUNTIFS(Leads!$L:$L,$B229,Leads!$F:$F,"*google*"),0)</f>
        <v>0</v>
      </c>
      <c r="AA229" s="158">
        <f>IFERROR(COUNTIFS(Leads!$L:$L,$B229,Leads!$F:$F,"*google*",Leads!$N:$N,"Sim"),0)</f>
        <v>0</v>
      </c>
      <c r="AB229" s="152" t="str">
        <f t="array" ref="AB229">IFERROR(XLOOKUP(B229,'ImportaçãoMeta - Adveronix'!F:F,'ImportaçãoMeta - Adveronix'!B:B),"")</f>
        <v/>
      </c>
      <c r="AC229" s="154"/>
      <c r="AD229" s="154"/>
      <c r="AE229" s="159" t="str">
        <f t="array" ref="AE229">IFERROR(XLOOKUP(B229,'ImportaçãoMeta - Adveronix'!$F:$F,'ImportaçãoMeta - Adveronix'!C:C),"")</f>
        <v/>
      </c>
      <c r="AF229" s="159" t="str">
        <f t="array" ref="AF229">IFERROR(XLOOKUP(B229,'ImportaçãoMeta - Adveronix'!$F:$F,'ImportaçãoMeta - Adveronix'!D:D),"")</f>
        <v/>
      </c>
      <c r="AG229" s="159" t="str">
        <f t="array" ref="AG229">IFERROR(XLOOKUP(B229,'ImportaçãoMeta - Adveronix'!$F:$F,'ImportaçãoMeta - Adveronix'!E:E),"")</f>
        <v/>
      </c>
      <c r="AH229" s="157"/>
      <c r="AI229" s="157"/>
      <c r="AJ229" s="156"/>
      <c r="AK229" s="160">
        <f>IFERROR(COUNTIFS(Leads!$L:$L,$B229,Leads!$F:$F,"*MetaAds"),0)</f>
        <v>0</v>
      </c>
      <c r="AL229" s="160">
        <f>IFERROR(COUNTIFS(Leads!$L:$L,$B229,Leads!$F:$F,"*MetaAds*",Leads!$N:$N,"Sim"),0)</f>
        <v>0</v>
      </c>
    </row>
    <row r="230" ht="15.75" customHeight="1">
      <c r="A230" s="149" t="str">
        <f t="array" ref="A230">XLOOKUP(MONTH(B230),BASE!$F$16:$F$27,BASE!$G$16:$G$27)</f>
        <v>Agosto</v>
      </c>
      <c r="B230" s="150">
        <v>46251.0</v>
      </c>
      <c r="C230" s="151"/>
      <c r="D230" s="149" t="str">
        <f t="shared" si="4"/>
        <v>segunda-feira</v>
      </c>
      <c r="E230" s="152">
        <f t="shared" ref="E230:J230" si="459">IFERROR(SUM(P230,AB230)," ")</f>
        <v>0</v>
      </c>
      <c r="F230" s="152">
        <f t="shared" si="459"/>
        <v>0</v>
      </c>
      <c r="G230" s="152">
        <f t="shared" si="459"/>
        <v>0</v>
      </c>
      <c r="H230" s="153">
        <f t="shared" si="459"/>
        <v>0</v>
      </c>
      <c r="I230" s="153">
        <f t="shared" si="459"/>
        <v>0</v>
      </c>
      <c r="J230" s="153">
        <f t="shared" si="459"/>
        <v>0</v>
      </c>
      <c r="K230" s="153">
        <f t="shared" ref="K230:O230" si="460">IFERROR(SUM(W230,AH230)," ")</f>
        <v>0</v>
      </c>
      <c r="L230" s="153">
        <f t="shared" si="460"/>
        <v>0</v>
      </c>
      <c r="M230" s="153">
        <f t="shared" si="460"/>
        <v>0</v>
      </c>
      <c r="N230" s="153">
        <f t="shared" si="460"/>
        <v>0</v>
      </c>
      <c r="O230" s="153">
        <f t="shared" si="460"/>
        <v>0</v>
      </c>
      <c r="P230" s="152" t="str">
        <f t="array" ref="P230">IFERROR(XLOOKUP(B230,'ImportaçãoGoogleAds - Adveronix'!$F:$F,'ImportaçãoGoogleAds - Adveronix'!$B:$B)," ")</f>
        <v> </v>
      </c>
      <c r="Q230" s="154"/>
      <c r="R230" s="154"/>
      <c r="S230" s="155" t="str">
        <f t="array" ref="S230">IFERROR(XLOOKUP(B230,'ImportaçãoGoogleAds - Adveronix'!$F:$F,'ImportaçãoGoogleAds - Adveronix'!C:C)," ")</f>
        <v> </v>
      </c>
      <c r="T230" s="155" t="str">
        <f t="array" ref="T230">IFERROR(XLOOKUP(B230,'ImportaçãoGoogleAds - Adveronix'!$F:$F,'ImportaçãoGoogleAds - Adveronix'!D:D)," ")</f>
        <v> </v>
      </c>
      <c r="U230" s="155" t="str">
        <f t="array" ref="U230">IFERROR(XLOOKUP(B230,'ImportaçãoGoogleAds - Adveronix'!$F:$F,'ImportaçãoGoogleAds - Adveronix'!E:E)," ")</f>
        <v> </v>
      </c>
      <c r="V230" s="156"/>
      <c r="W230" s="157"/>
      <c r="X230" s="157"/>
      <c r="Y230" s="158"/>
      <c r="Z230" s="158">
        <f>IFERROR(COUNTIFS(Leads!$L:$L,$B230,Leads!$F:$F,"*google*"),0)</f>
        <v>0</v>
      </c>
      <c r="AA230" s="158">
        <f>IFERROR(COUNTIFS(Leads!$L:$L,$B230,Leads!$F:$F,"*google*",Leads!$N:$N,"Sim"),0)</f>
        <v>0</v>
      </c>
      <c r="AB230" s="152" t="str">
        <f t="array" ref="AB230">IFERROR(XLOOKUP(B230,'ImportaçãoMeta - Adveronix'!F:F,'ImportaçãoMeta - Adveronix'!B:B),"")</f>
        <v/>
      </c>
      <c r="AC230" s="154"/>
      <c r="AD230" s="154"/>
      <c r="AE230" s="159" t="str">
        <f t="array" ref="AE230">IFERROR(XLOOKUP(B230,'ImportaçãoMeta - Adveronix'!$F:$F,'ImportaçãoMeta - Adveronix'!C:C),"")</f>
        <v/>
      </c>
      <c r="AF230" s="159" t="str">
        <f t="array" ref="AF230">IFERROR(XLOOKUP(B230,'ImportaçãoMeta - Adveronix'!$F:$F,'ImportaçãoMeta - Adveronix'!D:D),"")</f>
        <v/>
      </c>
      <c r="AG230" s="159" t="str">
        <f t="array" ref="AG230">IFERROR(XLOOKUP(B230,'ImportaçãoMeta - Adveronix'!$F:$F,'ImportaçãoMeta - Adveronix'!E:E),"")</f>
        <v/>
      </c>
      <c r="AH230" s="157"/>
      <c r="AI230" s="157"/>
      <c r="AJ230" s="156"/>
      <c r="AK230" s="160">
        <f>IFERROR(COUNTIFS(Leads!$L:$L,$B230,Leads!$F:$F,"*MetaAds"),0)</f>
        <v>0</v>
      </c>
      <c r="AL230" s="160">
        <f>IFERROR(COUNTIFS(Leads!$L:$L,$B230,Leads!$F:$F,"*MetaAds*",Leads!$N:$N,"Sim"),0)</f>
        <v>0</v>
      </c>
    </row>
    <row r="231" ht="15.75" customHeight="1">
      <c r="A231" s="149" t="str">
        <f t="array" ref="A231">XLOOKUP(MONTH(B231),BASE!$F$16:$F$27,BASE!$G$16:$G$27)</f>
        <v>Agosto</v>
      </c>
      <c r="B231" s="150">
        <v>46252.0</v>
      </c>
      <c r="C231" s="151"/>
      <c r="D231" s="149" t="str">
        <f t="shared" si="4"/>
        <v>terça-feira</v>
      </c>
      <c r="E231" s="152">
        <f t="shared" ref="E231:J231" si="461">IFERROR(SUM(P231,AB231)," ")</f>
        <v>0</v>
      </c>
      <c r="F231" s="152">
        <f t="shared" si="461"/>
        <v>0</v>
      </c>
      <c r="G231" s="152">
        <f t="shared" si="461"/>
        <v>0</v>
      </c>
      <c r="H231" s="153">
        <f t="shared" si="461"/>
        <v>0</v>
      </c>
      <c r="I231" s="153">
        <f t="shared" si="461"/>
        <v>0</v>
      </c>
      <c r="J231" s="153">
        <f t="shared" si="461"/>
        <v>0</v>
      </c>
      <c r="K231" s="153">
        <f t="shared" ref="K231:O231" si="462">IFERROR(SUM(W231,AH231)," ")</f>
        <v>0</v>
      </c>
      <c r="L231" s="153">
        <f t="shared" si="462"/>
        <v>0</v>
      </c>
      <c r="M231" s="153">
        <f t="shared" si="462"/>
        <v>0</v>
      </c>
      <c r="N231" s="153">
        <f t="shared" si="462"/>
        <v>0</v>
      </c>
      <c r="O231" s="153">
        <f t="shared" si="462"/>
        <v>0</v>
      </c>
      <c r="P231" s="152" t="str">
        <f t="array" ref="P231">IFERROR(XLOOKUP(B231,'ImportaçãoGoogleAds - Adveronix'!$F:$F,'ImportaçãoGoogleAds - Adveronix'!$B:$B)," ")</f>
        <v> </v>
      </c>
      <c r="Q231" s="154"/>
      <c r="R231" s="154"/>
      <c r="S231" s="155" t="str">
        <f t="array" ref="S231">IFERROR(XLOOKUP(B231,'ImportaçãoGoogleAds - Adveronix'!$F:$F,'ImportaçãoGoogleAds - Adveronix'!C:C)," ")</f>
        <v> </v>
      </c>
      <c r="T231" s="155" t="str">
        <f t="array" ref="T231">IFERROR(XLOOKUP(B231,'ImportaçãoGoogleAds - Adveronix'!$F:$F,'ImportaçãoGoogleAds - Adveronix'!D:D)," ")</f>
        <v> </v>
      </c>
      <c r="U231" s="155" t="str">
        <f t="array" ref="U231">IFERROR(XLOOKUP(B231,'ImportaçãoGoogleAds - Adveronix'!$F:$F,'ImportaçãoGoogleAds - Adveronix'!E:E)," ")</f>
        <v> </v>
      </c>
      <c r="V231" s="156"/>
      <c r="W231" s="157"/>
      <c r="X231" s="157"/>
      <c r="Y231" s="158"/>
      <c r="Z231" s="158">
        <f>IFERROR(COUNTIFS(Leads!$L:$L,$B231,Leads!$F:$F,"*google*"),0)</f>
        <v>0</v>
      </c>
      <c r="AA231" s="158">
        <f>IFERROR(COUNTIFS(Leads!$L:$L,$B231,Leads!$F:$F,"*google*",Leads!$N:$N,"Sim"),0)</f>
        <v>0</v>
      </c>
      <c r="AB231" s="152" t="str">
        <f t="array" ref="AB231">IFERROR(XLOOKUP(B231,'ImportaçãoMeta - Adveronix'!F:F,'ImportaçãoMeta - Adveronix'!B:B),"")</f>
        <v/>
      </c>
      <c r="AC231" s="154"/>
      <c r="AD231" s="154"/>
      <c r="AE231" s="159" t="str">
        <f t="array" ref="AE231">IFERROR(XLOOKUP(B231,'ImportaçãoMeta - Adveronix'!$F:$F,'ImportaçãoMeta - Adveronix'!C:C),"")</f>
        <v/>
      </c>
      <c r="AF231" s="159" t="str">
        <f t="array" ref="AF231">IFERROR(XLOOKUP(B231,'ImportaçãoMeta - Adveronix'!$F:$F,'ImportaçãoMeta - Adveronix'!D:D),"")</f>
        <v/>
      </c>
      <c r="AG231" s="159" t="str">
        <f t="array" ref="AG231">IFERROR(XLOOKUP(B231,'ImportaçãoMeta - Adveronix'!$F:$F,'ImportaçãoMeta - Adveronix'!E:E),"")</f>
        <v/>
      </c>
      <c r="AH231" s="157"/>
      <c r="AI231" s="157"/>
      <c r="AJ231" s="156"/>
      <c r="AK231" s="160">
        <f>IFERROR(COUNTIFS(Leads!$L:$L,$B231,Leads!$F:$F,"*MetaAds"),0)</f>
        <v>0</v>
      </c>
      <c r="AL231" s="160">
        <f>IFERROR(COUNTIFS(Leads!$L:$L,$B231,Leads!$F:$F,"*MetaAds*",Leads!$N:$N,"Sim"),0)</f>
        <v>0</v>
      </c>
    </row>
    <row r="232" ht="15.75" customHeight="1">
      <c r="A232" s="149" t="str">
        <f t="array" ref="A232">XLOOKUP(MONTH(B232),BASE!$F$16:$F$27,BASE!$G$16:$G$27)</f>
        <v>Agosto</v>
      </c>
      <c r="B232" s="150">
        <v>46253.0</v>
      </c>
      <c r="C232" s="151"/>
      <c r="D232" s="149" t="str">
        <f t="shared" si="4"/>
        <v>quarta-feira</v>
      </c>
      <c r="E232" s="152">
        <f t="shared" ref="E232:J232" si="463">IFERROR(SUM(P232,AB232)," ")</f>
        <v>0</v>
      </c>
      <c r="F232" s="152">
        <f t="shared" si="463"/>
        <v>0</v>
      </c>
      <c r="G232" s="152">
        <f t="shared" si="463"/>
        <v>0</v>
      </c>
      <c r="H232" s="153">
        <f t="shared" si="463"/>
        <v>0</v>
      </c>
      <c r="I232" s="153">
        <f t="shared" si="463"/>
        <v>0</v>
      </c>
      <c r="J232" s="153">
        <f t="shared" si="463"/>
        <v>0</v>
      </c>
      <c r="K232" s="153">
        <f t="shared" ref="K232:O232" si="464">IFERROR(SUM(W232,AH232)," ")</f>
        <v>0</v>
      </c>
      <c r="L232" s="153">
        <f t="shared" si="464"/>
        <v>0</v>
      </c>
      <c r="M232" s="153">
        <f t="shared" si="464"/>
        <v>0</v>
      </c>
      <c r="N232" s="153">
        <f t="shared" si="464"/>
        <v>0</v>
      </c>
      <c r="O232" s="153">
        <f t="shared" si="464"/>
        <v>0</v>
      </c>
      <c r="P232" s="152" t="str">
        <f t="array" ref="P232">IFERROR(XLOOKUP(B232,'ImportaçãoGoogleAds - Adveronix'!$F:$F,'ImportaçãoGoogleAds - Adveronix'!$B:$B)," ")</f>
        <v> </v>
      </c>
      <c r="Q232" s="154"/>
      <c r="R232" s="154"/>
      <c r="S232" s="155" t="str">
        <f t="array" ref="S232">IFERROR(XLOOKUP(B232,'ImportaçãoGoogleAds - Adveronix'!$F:$F,'ImportaçãoGoogleAds - Adveronix'!C:C)," ")</f>
        <v> </v>
      </c>
      <c r="T232" s="155" t="str">
        <f t="array" ref="T232">IFERROR(XLOOKUP(B232,'ImportaçãoGoogleAds - Adveronix'!$F:$F,'ImportaçãoGoogleAds - Adveronix'!D:D)," ")</f>
        <v> </v>
      </c>
      <c r="U232" s="155" t="str">
        <f t="array" ref="U232">IFERROR(XLOOKUP(B232,'ImportaçãoGoogleAds - Adveronix'!$F:$F,'ImportaçãoGoogleAds - Adveronix'!E:E)," ")</f>
        <v> </v>
      </c>
      <c r="V232" s="156"/>
      <c r="W232" s="157"/>
      <c r="X232" s="157"/>
      <c r="Y232" s="158"/>
      <c r="Z232" s="158">
        <f>IFERROR(COUNTIFS(Leads!$L:$L,$B232,Leads!$F:$F,"*google*"),0)</f>
        <v>0</v>
      </c>
      <c r="AA232" s="158">
        <f>IFERROR(COUNTIFS(Leads!$L:$L,$B232,Leads!$F:$F,"*google*",Leads!$N:$N,"Sim"),0)</f>
        <v>0</v>
      </c>
      <c r="AB232" s="152" t="str">
        <f t="array" ref="AB232">IFERROR(XLOOKUP(B232,'ImportaçãoMeta - Adveronix'!F:F,'ImportaçãoMeta - Adveronix'!B:B),"")</f>
        <v/>
      </c>
      <c r="AC232" s="154"/>
      <c r="AD232" s="154"/>
      <c r="AE232" s="159" t="str">
        <f t="array" ref="AE232">IFERROR(XLOOKUP(B232,'ImportaçãoMeta - Adveronix'!$F:$F,'ImportaçãoMeta - Adveronix'!C:C),"")</f>
        <v/>
      </c>
      <c r="AF232" s="159" t="str">
        <f t="array" ref="AF232">IFERROR(XLOOKUP(B232,'ImportaçãoMeta - Adveronix'!$F:$F,'ImportaçãoMeta - Adveronix'!D:D),"")</f>
        <v/>
      </c>
      <c r="AG232" s="159" t="str">
        <f t="array" ref="AG232">IFERROR(XLOOKUP(B232,'ImportaçãoMeta - Adveronix'!$F:$F,'ImportaçãoMeta - Adveronix'!E:E),"")</f>
        <v/>
      </c>
      <c r="AH232" s="157"/>
      <c r="AI232" s="157"/>
      <c r="AJ232" s="156"/>
      <c r="AK232" s="160">
        <f>IFERROR(COUNTIFS(Leads!$L:$L,$B232,Leads!$F:$F,"*MetaAds"),0)</f>
        <v>0</v>
      </c>
      <c r="AL232" s="160">
        <f>IFERROR(COUNTIFS(Leads!$L:$L,$B232,Leads!$F:$F,"*MetaAds*",Leads!$N:$N,"Sim"),0)</f>
        <v>0</v>
      </c>
    </row>
    <row r="233" ht="15.75" customHeight="1">
      <c r="A233" s="149" t="str">
        <f t="array" ref="A233">XLOOKUP(MONTH(B233),BASE!$F$16:$F$27,BASE!$G$16:$G$27)</f>
        <v>Agosto</v>
      </c>
      <c r="B233" s="150">
        <v>46254.0</v>
      </c>
      <c r="C233" s="151"/>
      <c r="D233" s="149" t="str">
        <f t="shared" si="4"/>
        <v>quinta-feira</v>
      </c>
      <c r="E233" s="152">
        <f t="shared" ref="E233:J233" si="465">IFERROR(SUM(P233,AB233)," ")</f>
        <v>0</v>
      </c>
      <c r="F233" s="152">
        <f t="shared" si="465"/>
        <v>0</v>
      </c>
      <c r="G233" s="152">
        <f t="shared" si="465"/>
        <v>0</v>
      </c>
      <c r="H233" s="153">
        <f t="shared" si="465"/>
        <v>0</v>
      </c>
      <c r="I233" s="153">
        <f t="shared" si="465"/>
        <v>0</v>
      </c>
      <c r="J233" s="153">
        <f t="shared" si="465"/>
        <v>0</v>
      </c>
      <c r="K233" s="153">
        <f t="shared" ref="K233:O233" si="466">IFERROR(SUM(W233,AH233)," ")</f>
        <v>0</v>
      </c>
      <c r="L233" s="153">
        <f t="shared" si="466"/>
        <v>0</v>
      </c>
      <c r="M233" s="153">
        <f t="shared" si="466"/>
        <v>0</v>
      </c>
      <c r="N233" s="153">
        <f t="shared" si="466"/>
        <v>0</v>
      </c>
      <c r="O233" s="153">
        <f t="shared" si="466"/>
        <v>0</v>
      </c>
      <c r="P233" s="152" t="str">
        <f t="array" ref="P233">IFERROR(XLOOKUP(B233,'ImportaçãoGoogleAds - Adveronix'!$F:$F,'ImportaçãoGoogleAds - Adveronix'!$B:$B)," ")</f>
        <v> </v>
      </c>
      <c r="Q233" s="154"/>
      <c r="R233" s="154"/>
      <c r="S233" s="155" t="str">
        <f t="array" ref="S233">IFERROR(XLOOKUP(B233,'ImportaçãoGoogleAds - Adveronix'!$F:$F,'ImportaçãoGoogleAds - Adveronix'!C:C)," ")</f>
        <v> </v>
      </c>
      <c r="T233" s="155" t="str">
        <f t="array" ref="T233">IFERROR(XLOOKUP(B233,'ImportaçãoGoogleAds - Adveronix'!$F:$F,'ImportaçãoGoogleAds - Adveronix'!D:D)," ")</f>
        <v> </v>
      </c>
      <c r="U233" s="155" t="str">
        <f t="array" ref="U233">IFERROR(XLOOKUP(B233,'ImportaçãoGoogleAds - Adveronix'!$F:$F,'ImportaçãoGoogleAds - Adveronix'!E:E)," ")</f>
        <v> </v>
      </c>
      <c r="V233" s="156"/>
      <c r="W233" s="157"/>
      <c r="X233" s="157"/>
      <c r="Y233" s="158"/>
      <c r="Z233" s="158">
        <f>IFERROR(COUNTIFS(Leads!$L:$L,$B233,Leads!$F:$F,"*google*"),0)</f>
        <v>0</v>
      </c>
      <c r="AA233" s="158">
        <f>IFERROR(COUNTIFS(Leads!$L:$L,$B233,Leads!$F:$F,"*google*",Leads!$N:$N,"Sim"),0)</f>
        <v>0</v>
      </c>
      <c r="AB233" s="152" t="str">
        <f t="array" ref="AB233">IFERROR(XLOOKUP(B233,'ImportaçãoMeta - Adveronix'!F:F,'ImportaçãoMeta - Adveronix'!B:B),"")</f>
        <v/>
      </c>
      <c r="AC233" s="154"/>
      <c r="AD233" s="154"/>
      <c r="AE233" s="159" t="str">
        <f t="array" ref="AE233">IFERROR(XLOOKUP(B233,'ImportaçãoMeta - Adveronix'!$F:$F,'ImportaçãoMeta - Adveronix'!C:C),"")</f>
        <v/>
      </c>
      <c r="AF233" s="159" t="str">
        <f t="array" ref="AF233">IFERROR(XLOOKUP(B233,'ImportaçãoMeta - Adveronix'!$F:$F,'ImportaçãoMeta - Adveronix'!D:D),"")</f>
        <v/>
      </c>
      <c r="AG233" s="159" t="str">
        <f t="array" ref="AG233">IFERROR(XLOOKUP(B233,'ImportaçãoMeta - Adveronix'!$F:$F,'ImportaçãoMeta - Adveronix'!E:E),"")</f>
        <v/>
      </c>
      <c r="AH233" s="157"/>
      <c r="AI233" s="157"/>
      <c r="AJ233" s="156"/>
      <c r="AK233" s="160">
        <f>IFERROR(COUNTIFS(Leads!$L:$L,$B233,Leads!$F:$F,"*MetaAds"),0)</f>
        <v>0</v>
      </c>
      <c r="AL233" s="160">
        <f>IFERROR(COUNTIFS(Leads!$L:$L,$B233,Leads!$F:$F,"*MetaAds*",Leads!$N:$N,"Sim"),0)</f>
        <v>0</v>
      </c>
    </row>
    <row r="234" ht="15.75" customHeight="1">
      <c r="A234" s="149" t="str">
        <f t="array" ref="A234">XLOOKUP(MONTH(B234),BASE!$F$16:$F$27,BASE!$G$16:$G$27)</f>
        <v>Agosto</v>
      </c>
      <c r="B234" s="150">
        <v>46255.0</v>
      </c>
      <c r="C234" s="151"/>
      <c r="D234" s="149" t="str">
        <f t="shared" si="4"/>
        <v>sexta-feira</v>
      </c>
      <c r="E234" s="152">
        <f t="shared" ref="E234:J234" si="467">IFERROR(SUM(P234,AB234)," ")</f>
        <v>0</v>
      </c>
      <c r="F234" s="152">
        <f t="shared" si="467"/>
        <v>0</v>
      </c>
      <c r="G234" s="152">
        <f t="shared" si="467"/>
        <v>0</v>
      </c>
      <c r="H234" s="153">
        <f t="shared" si="467"/>
        <v>0</v>
      </c>
      <c r="I234" s="153">
        <f t="shared" si="467"/>
        <v>0</v>
      </c>
      <c r="J234" s="153">
        <f t="shared" si="467"/>
        <v>0</v>
      </c>
      <c r="K234" s="153">
        <f t="shared" ref="K234:O234" si="468">IFERROR(SUM(W234,AH234)," ")</f>
        <v>0</v>
      </c>
      <c r="L234" s="153">
        <f t="shared" si="468"/>
        <v>0</v>
      </c>
      <c r="M234" s="153">
        <f t="shared" si="468"/>
        <v>0</v>
      </c>
      <c r="N234" s="153">
        <f t="shared" si="468"/>
        <v>0</v>
      </c>
      <c r="O234" s="153">
        <f t="shared" si="468"/>
        <v>0</v>
      </c>
      <c r="P234" s="152" t="str">
        <f t="array" ref="P234">IFERROR(XLOOKUP(B234,'ImportaçãoGoogleAds - Adveronix'!$F:$F,'ImportaçãoGoogleAds - Adveronix'!$B:$B)," ")</f>
        <v> </v>
      </c>
      <c r="Q234" s="154"/>
      <c r="R234" s="154"/>
      <c r="S234" s="155" t="str">
        <f t="array" ref="S234">IFERROR(XLOOKUP(B234,'ImportaçãoGoogleAds - Adveronix'!$F:$F,'ImportaçãoGoogleAds - Adveronix'!C:C)," ")</f>
        <v> </v>
      </c>
      <c r="T234" s="155" t="str">
        <f t="array" ref="T234">IFERROR(XLOOKUP(B234,'ImportaçãoGoogleAds - Adveronix'!$F:$F,'ImportaçãoGoogleAds - Adveronix'!D:D)," ")</f>
        <v> </v>
      </c>
      <c r="U234" s="155" t="str">
        <f t="array" ref="U234">IFERROR(XLOOKUP(B234,'ImportaçãoGoogleAds - Adveronix'!$F:$F,'ImportaçãoGoogleAds - Adveronix'!E:E)," ")</f>
        <v> </v>
      </c>
      <c r="V234" s="156"/>
      <c r="W234" s="157"/>
      <c r="X234" s="157"/>
      <c r="Y234" s="158"/>
      <c r="Z234" s="158">
        <f>IFERROR(COUNTIFS(Leads!$L:$L,$B234,Leads!$F:$F,"*google*"),0)</f>
        <v>0</v>
      </c>
      <c r="AA234" s="158">
        <f>IFERROR(COUNTIFS(Leads!$L:$L,$B234,Leads!$F:$F,"*google*",Leads!$N:$N,"Sim"),0)</f>
        <v>0</v>
      </c>
      <c r="AB234" s="152" t="str">
        <f t="array" ref="AB234">IFERROR(XLOOKUP(B234,'ImportaçãoMeta - Adveronix'!F:F,'ImportaçãoMeta - Adveronix'!B:B),"")</f>
        <v/>
      </c>
      <c r="AC234" s="154"/>
      <c r="AD234" s="154"/>
      <c r="AE234" s="159" t="str">
        <f t="array" ref="AE234">IFERROR(XLOOKUP(B234,'ImportaçãoMeta - Adveronix'!$F:$F,'ImportaçãoMeta - Adveronix'!C:C),"")</f>
        <v/>
      </c>
      <c r="AF234" s="159" t="str">
        <f t="array" ref="AF234">IFERROR(XLOOKUP(B234,'ImportaçãoMeta - Adveronix'!$F:$F,'ImportaçãoMeta - Adveronix'!D:D),"")</f>
        <v/>
      </c>
      <c r="AG234" s="159" t="str">
        <f t="array" ref="AG234">IFERROR(XLOOKUP(B234,'ImportaçãoMeta - Adveronix'!$F:$F,'ImportaçãoMeta - Adveronix'!E:E),"")</f>
        <v/>
      </c>
      <c r="AH234" s="157"/>
      <c r="AI234" s="157"/>
      <c r="AJ234" s="156"/>
      <c r="AK234" s="160">
        <f>IFERROR(COUNTIFS(Leads!$L:$L,$B234,Leads!$F:$F,"*MetaAds"),0)</f>
        <v>0</v>
      </c>
      <c r="AL234" s="160">
        <f>IFERROR(COUNTIFS(Leads!$L:$L,$B234,Leads!$F:$F,"*MetaAds*",Leads!$N:$N,"Sim"),0)</f>
        <v>0</v>
      </c>
    </row>
    <row r="235" ht="15.75" customHeight="1">
      <c r="A235" s="149" t="str">
        <f t="array" ref="A235">XLOOKUP(MONTH(B235),BASE!$F$16:$F$27,BASE!$G$16:$G$27)</f>
        <v>Agosto</v>
      </c>
      <c r="B235" s="150">
        <v>46256.0</v>
      </c>
      <c r="C235" s="151"/>
      <c r="D235" s="149" t="str">
        <f t="shared" si="4"/>
        <v>sábado</v>
      </c>
      <c r="E235" s="152">
        <f t="shared" ref="E235:J235" si="469">IFERROR(SUM(P235,AB235)," ")</f>
        <v>0</v>
      </c>
      <c r="F235" s="152">
        <f t="shared" si="469"/>
        <v>0</v>
      </c>
      <c r="G235" s="152">
        <f t="shared" si="469"/>
        <v>0</v>
      </c>
      <c r="H235" s="153">
        <f t="shared" si="469"/>
        <v>0</v>
      </c>
      <c r="I235" s="153">
        <f t="shared" si="469"/>
        <v>0</v>
      </c>
      <c r="J235" s="153">
        <f t="shared" si="469"/>
        <v>0</v>
      </c>
      <c r="K235" s="153">
        <f t="shared" ref="K235:O235" si="470">IFERROR(SUM(W235,AH235)," ")</f>
        <v>0</v>
      </c>
      <c r="L235" s="153">
        <f t="shared" si="470"/>
        <v>0</v>
      </c>
      <c r="M235" s="153">
        <f t="shared" si="470"/>
        <v>0</v>
      </c>
      <c r="N235" s="153">
        <f t="shared" si="470"/>
        <v>0</v>
      </c>
      <c r="O235" s="153">
        <f t="shared" si="470"/>
        <v>0</v>
      </c>
      <c r="P235" s="152" t="str">
        <f t="array" ref="P235">IFERROR(XLOOKUP(B235,'ImportaçãoGoogleAds - Adveronix'!$F:$F,'ImportaçãoGoogleAds - Adveronix'!$B:$B)," ")</f>
        <v> </v>
      </c>
      <c r="Q235" s="154"/>
      <c r="R235" s="154"/>
      <c r="S235" s="155" t="str">
        <f t="array" ref="S235">IFERROR(XLOOKUP(B235,'ImportaçãoGoogleAds - Adveronix'!$F:$F,'ImportaçãoGoogleAds - Adveronix'!C:C)," ")</f>
        <v> </v>
      </c>
      <c r="T235" s="155" t="str">
        <f t="array" ref="T235">IFERROR(XLOOKUP(B235,'ImportaçãoGoogleAds - Adveronix'!$F:$F,'ImportaçãoGoogleAds - Adveronix'!D:D)," ")</f>
        <v> </v>
      </c>
      <c r="U235" s="155" t="str">
        <f t="array" ref="U235">IFERROR(XLOOKUP(B235,'ImportaçãoGoogleAds - Adveronix'!$F:$F,'ImportaçãoGoogleAds - Adveronix'!E:E)," ")</f>
        <v> </v>
      </c>
      <c r="V235" s="156"/>
      <c r="W235" s="157"/>
      <c r="X235" s="157"/>
      <c r="Y235" s="158"/>
      <c r="Z235" s="158">
        <f>IFERROR(COUNTIFS(Leads!$L:$L,$B235,Leads!$F:$F,"*google*"),0)</f>
        <v>0</v>
      </c>
      <c r="AA235" s="158">
        <f>IFERROR(COUNTIFS(Leads!$L:$L,$B235,Leads!$F:$F,"*google*",Leads!$N:$N,"Sim"),0)</f>
        <v>0</v>
      </c>
      <c r="AB235" s="152" t="str">
        <f t="array" ref="AB235">IFERROR(XLOOKUP(B235,'ImportaçãoMeta - Adveronix'!F:F,'ImportaçãoMeta - Adveronix'!B:B),"")</f>
        <v/>
      </c>
      <c r="AC235" s="154"/>
      <c r="AD235" s="154"/>
      <c r="AE235" s="159" t="str">
        <f t="array" ref="AE235">IFERROR(XLOOKUP(B235,'ImportaçãoMeta - Adveronix'!$F:$F,'ImportaçãoMeta - Adveronix'!C:C),"")</f>
        <v/>
      </c>
      <c r="AF235" s="159" t="str">
        <f t="array" ref="AF235">IFERROR(XLOOKUP(B235,'ImportaçãoMeta - Adveronix'!$F:$F,'ImportaçãoMeta - Adveronix'!D:D),"")</f>
        <v/>
      </c>
      <c r="AG235" s="159" t="str">
        <f t="array" ref="AG235">IFERROR(XLOOKUP(B235,'ImportaçãoMeta - Adveronix'!$F:$F,'ImportaçãoMeta - Adveronix'!E:E),"")</f>
        <v/>
      </c>
      <c r="AH235" s="157"/>
      <c r="AI235" s="157"/>
      <c r="AJ235" s="156"/>
      <c r="AK235" s="160">
        <f>IFERROR(COUNTIFS(Leads!$L:$L,$B235,Leads!$F:$F,"*MetaAds"),0)</f>
        <v>0</v>
      </c>
      <c r="AL235" s="160">
        <f>IFERROR(COUNTIFS(Leads!$L:$L,$B235,Leads!$F:$F,"*MetaAds*",Leads!$N:$N,"Sim"),0)</f>
        <v>0</v>
      </c>
    </row>
    <row r="236" ht="15.75" customHeight="1">
      <c r="A236" s="149" t="str">
        <f t="array" ref="A236">XLOOKUP(MONTH(B236),BASE!$F$16:$F$27,BASE!$G$16:$G$27)</f>
        <v>Agosto</v>
      </c>
      <c r="B236" s="150">
        <v>46257.0</v>
      </c>
      <c r="C236" s="151"/>
      <c r="D236" s="149" t="str">
        <f t="shared" si="4"/>
        <v>domingo</v>
      </c>
      <c r="E236" s="152">
        <f t="shared" ref="E236:J236" si="471">IFERROR(SUM(P236,AB236)," ")</f>
        <v>0</v>
      </c>
      <c r="F236" s="152">
        <f t="shared" si="471"/>
        <v>0</v>
      </c>
      <c r="G236" s="152">
        <f t="shared" si="471"/>
        <v>0</v>
      </c>
      <c r="H236" s="153">
        <f t="shared" si="471"/>
        <v>0</v>
      </c>
      <c r="I236" s="153">
        <f t="shared" si="471"/>
        <v>0</v>
      </c>
      <c r="J236" s="153">
        <f t="shared" si="471"/>
        <v>0</v>
      </c>
      <c r="K236" s="153">
        <f t="shared" ref="K236:O236" si="472">IFERROR(SUM(W236,AH236)," ")</f>
        <v>0</v>
      </c>
      <c r="L236" s="153">
        <f t="shared" si="472"/>
        <v>0</v>
      </c>
      <c r="M236" s="153">
        <f t="shared" si="472"/>
        <v>0</v>
      </c>
      <c r="N236" s="153">
        <f t="shared" si="472"/>
        <v>0</v>
      </c>
      <c r="O236" s="153">
        <f t="shared" si="472"/>
        <v>0</v>
      </c>
      <c r="P236" s="152" t="str">
        <f t="array" ref="P236">IFERROR(XLOOKUP(B236,'ImportaçãoGoogleAds - Adveronix'!$F:$F,'ImportaçãoGoogleAds - Adveronix'!$B:$B)," ")</f>
        <v> </v>
      </c>
      <c r="Q236" s="154"/>
      <c r="R236" s="154"/>
      <c r="S236" s="155" t="str">
        <f t="array" ref="S236">IFERROR(XLOOKUP(B236,'ImportaçãoGoogleAds - Adveronix'!$F:$F,'ImportaçãoGoogleAds - Adveronix'!C:C)," ")</f>
        <v> </v>
      </c>
      <c r="T236" s="155" t="str">
        <f t="array" ref="T236">IFERROR(XLOOKUP(B236,'ImportaçãoGoogleAds - Adveronix'!$F:$F,'ImportaçãoGoogleAds - Adveronix'!D:D)," ")</f>
        <v> </v>
      </c>
      <c r="U236" s="155" t="str">
        <f t="array" ref="U236">IFERROR(XLOOKUP(B236,'ImportaçãoGoogleAds - Adveronix'!$F:$F,'ImportaçãoGoogleAds - Adveronix'!E:E)," ")</f>
        <v> </v>
      </c>
      <c r="V236" s="156"/>
      <c r="W236" s="157"/>
      <c r="X236" s="157"/>
      <c r="Y236" s="158"/>
      <c r="Z236" s="158">
        <f>IFERROR(COUNTIFS(Leads!$L:$L,$B236,Leads!$F:$F,"*google*"),0)</f>
        <v>0</v>
      </c>
      <c r="AA236" s="158">
        <f>IFERROR(COUNTIFS(Leads!$L:$L,$B236,Leads!$F:$F,"*google*",Leads!$N:$N,"Sim"),0)</f>
        <v>0</v>
      </c>
      <c r="AB236" s="152" t="str">
        <f t="array" ref="AB236">IFERROR(XLOOKUP(B236,'ImportaçãoMeta - Adveronix'!F:F,'ImportaçãoMeta - Adveronix'!B:B),"")</f>
        <v/>
      </c>
      <c r="AC236" s="154"/>
      <c r="AD236" s="154"/>
      <c r="AE236" s="159" t="str">
        <f t="array" ref="AE236">IFERROR(XLOOKUP(B236,'ImportaçãoMeta - Adveronix'!$F:$F,'ImportaçãoMeta - Adveronix'!C:C),"")</f>
        <v/>
      </c>
      <c r="AF236" s="159" t="str">
        <f t="array" ref="AF236">IFERROR(XLOOKUP(B236,'ImportaçãoMeta - Adveronix'!$F:$F,'ImportaçãoMeta - Adveronix'!D:D),"")</f>
        <v/>
      </c>
      <c r="AG236" s="159" t="str">
        <f t="array" ref="AG236">IFERROR(XLOOKUP(B236,'ImportaçãoMeta - Adveronix'!$F:$F,'ImportaçãoMeta - Adveronix'!E:E),"")</f>
        <v/>
      </c>
      <c r="AH236" s="157"/>
      <c r="AI236" s="157"/>
      <c r="AJ236" s="156"/>
      <c r="AK236" s="160">
        <f>IFERROR(COUNTIFS(Leads!$L:$L,$B236,Leads!$F:$F,"*MetaAds"),0)</f>
        <v>0</v>
      </c>
      <c r="AL236" s="160">
        <f>IFERROR(COUNTIFS(Leads!$L:$L,$B236,Leads!$F:$F,"*MetaAds*",Leads!$N:$N,"Sim"),0)</f>
        <v>0</v>
      </c>
    </row>
    <row r="237" ht="15.75" customHeight="1">
      <c r="A237" s="149" t="str">
        <f t="array" ref="A237">XLOOKUP(MONTH(B237),BASE!$F$16:$F$27,BASE!$G$16:$G$27)</f>
        <v>Agosto</v>
      </c>
      <c r="B237" s="150">
        <v>46258.0</v>
      </c>
      <c r="C237" s="151"/>
      <c r="D237" s="149" t="str">
        <f t="shared" si="4"/>
        <v>segunda-feira</v>
      </c>
      <c r="E237" s="152">
        <f t="shared" ref="E237:J237" si="473">IFERROR(SUM(P237,AB237)," ")</f>
        <v>0</v>
      </c>
      <c r="F237" s="152">
        <f t="shared" si="473"/>
        <v>0</v>
      </c>
      <c r="G237" s="152">
        <f t="shared" si="473"/>
        <v>0</v>
      </c>
      <c r="H237" s="153">
        <f t="shared" si="473"/>
        <v>0</v>
      </c>
      <c r="I237" s="153">
        <f t="shared" si="473"/>
        <v>0</v>
      </c>
      <c r="J237" s="153">
        <f t="shared" si="473"/>
        <v>0</v>
      </c>
      <c r="K237" s="153">
        <f t="shared" ref="K237:O237" si="474">IFERROR(SUM(W237,AH237)," ")</f>
        <v>0</v>
      </c>
      <c r="L237" s="153">
        <f t="shared" si="474"/>
        <v>0</v>
      </c>
      <c r="M237" s="153">
        <f t="shared" si="474"/>
        <v>0</v>
      </c>
      <c r="N237" s="153">
        <f t="shared" si="474"/>
        <v>0</v>
      </c>
      <c r="O237" s="153">
        <f t="shared" si="474"/>
        <v>0</v>
      </c>
      <c r="P237" s="152" t="str">
        <f t="array" ref="P237">IFERROR(XLOOKUP(B237,'ImportaçãoGoogleAds - Adveronix'!$F:$F,'ImportaçãoGoogleAds - Adveronix'!$B:$B)," ")</f>
        <v> </v>
      </c>
      <c r="Q237" s="154"/>
      <c r="R237" s="154"/>
      <c r="S237" s="155" t="str">
        <f t="array" ref="S237">IFERROR(XLOOKUP(B237,'ImportaçãoGoogleAds - Adveronix'!$F:$F,'ImportaçãoGoogleAds - Adveronix'!C:C)," ")</f>
        <v> </v>
      </c>
      <c r="T237" s="155" t="str">
        <f t="array" ref="T237">IFERROR(XLOOKUP(B237,'ImportaçãoGoogleAds - Adveronix'!$F:$F,'ImportaçãoGoogleAds - Adveronix'!D:D)," ")</f>
        <v> </v>
      </c>
      <c r="U237" s="155" t="str">
        <f t="array" ref="U237">IFERROR(XLOOKUP(B237,'ImportaçãoGoogleAds - Adveronix'!$F:$F,'ImportaçãoGoogleAds - Adveronix'!E:E)," ")</f>
        <v> </v>
      </c>
      <c r="V237" s="156"/>
      <c r="W237" s="157"/>
      <c r="X237" s="157"/>
      <c r="Y237" s="158"/>
      <c r="Z237" s="158">
        <f>IFERROR(COUNTIFS(Leads!$L:$L,$B237,Leads!$F:$F,"*google*"),0)</f>
        <v>0</v>
      </c>
      <c r="AA237" s="158">
        <f>IFERROR(COUNTIFS(Leads!$L:$L,$B237,Leads!$F:$F,"*google*",Leads!$N:$N,"Sim"),0)</f>
        <v>0</v>
      </c>
      <c r="AB237" s="152" t="str">
        <f t="array" ref="AB237">IFERROR(XLOOKUP(B237,'ImportaçãoMeta - Adveronix'!F:F,'ImportaçãoMeta - Adveronix'!B:B),"")</f>
        <v/>
      </c>
      <c r="AC237" s="154"/>
      <c r="AD237" s="154"/>
      <c r="AE237" s="159" t="str">
        <f t="array" ref="AE237">IFERROR(XLOOKUP(B237,'ImportaçãoMeta - Adveronix'!$F:$F,'ImportaçãoMeta - Adveronix'!C:C),"")</f>
        <v/>
      </c>
      <c r="AF237" s="159" t="str">
        <f t="array" ref="AF237">IFERROR(XLOOKUP(B237,'ImportaçãoMeta - Adveronix'!$F:$F,'ImportaçãoMeta - Adveronix'!D:D),"")</f>
        <v/>
      </c>
      <c r="AG237" s="159" t="str">
        <f t="array" ref="AG237">IFERROR(XLOOKUP(B237,'ImportaçãoMeta - Adveronix'!$F:$F,'ImportaçãoMeta - Adveronix'!E:E),"")</f>
        <v/>
      </c>
      <c r="AH237" s="157"/>
      <c r="AI237" s="157"/>
      <c r="AJ237" s="156"/>
      <c r="AK237" s="160">
        <f>IFERROR(COUNTIFS(Leads!$L:$L,$B237,Leads!$F:$F,"*MetaAds"),0)</f>
        <v>0</v>
      </c>
      <c r="AL237" s="160">
        <f>IFERROR(COUNTIFS(Leads!$L:$L,$B237,Leads!$F:$F,"*MetaAds*",Leads!$N:$N,"Sim"),0)</f>
        <v>0</v>
      </c>
    </row>
    <row r="238" ht="15.75" customHeight="1">
      <c r="A238" s="149" t="str">
        <f t="array" ref="A238">XLOOKUP(MONTH(B238),BASE!$F$16:$F$27,BASE!$G$16:$G$27)</f>
        <v>Agosto</v>
      </c>
      <c r="B238" s="150">
        <v>46259.0</v>
      </c>
      <c r="C238" s="151"/>
      <c r="D238" s="149" t="str">
        <f t="shared" si="4"/>
        <v>terça-feira</v>
      </c>
      <c r="E238" s="152">
        <f t="shared" ref="E238:J238" si="475">IFERROR(SUM(P238,AB238)," ")</f>
        <v>0</v>
      </c>
      <c r="F238" s="152">
        <f t="shared" si="475"/>
        <v>0</v>
      </c>
      <c r="G238" s="152">
        <f t="shared" si="475"/>
        <v>0</v>
      </c>
      <c r="H238" s="153">
        <f t="shared" si="475"/>
        <v>0</v>
      </c>
      <c r="I238" s="153">
        <f t="shared" si="475"/>
        <v>0</v>
      </c>
      <c r="J238" s="153">
        <f t="shared" si="475"/>
        <v>0</v>
      </c>
      <c r="K238" s="153">
        <f t="shared" ref="K238:O238" si="476">IFERROR(SUM(W238,AH238)," ")</f>
        <v>0</v>
      </c>
      <c r="L238" s="153">
        <f t="shared" si="476"/>
        <v>0</v>
      </c>
      <c r="M238" s="153">
        <f t="shared" si="476"/>
        <v>0</v>
      </c>
      <c r="N238" s="153">
        <f t="shared" si="476"/>
        <v>0</v>
      </c>
      <c r="O238" s="153">
        <f t="shared" si="476"/>
        <v>0</v>
      </c>
      <c r="P238" s="152" t="str">
        <f t="array" ref="P238">IFERROR(XLOOKUP(B238,'ImportaçãoGoogleAds - Adveronix'!$F:$F,'ImportaçãoGoogleAds - Adveronix'!$B:$B)," ")</f>
        <v> </v>
      </c>
      <c r="Q238" s="154"/>
      <c r="R238" s="154"/>
      <c r="S238" s="155" t="str">
        <f t="array" ref="S238">IFERROR(XLOOKUP(B238,'ImportaçãoGoogleAds - Adveronix'!$F:$F,'ImportaçãoGoogleAds - Adveronix'!C:C)," ")</f>
        <v> </v>
      </c>
      <c r="T238" s="155" t="str">
        <f t="array" ref="T238">IFERROR(XLOOKUP(B238,'ImportaçãoGoogleAds - Adveronix'!$F:$F,'ImportaçãoGoogleAds - Adveronix'!D:D)," ")</f>
        <v> </v>
      </c>
      <c r="U238" s="155" t="str">
        <f t="array" ref="U238">IFERROR(XLOOKUP(B238,'ImportaçãoGoogleAds - Adveronix'!$F:$F,'ImportaçãoGoogleAds - Adveronix'!E:E)," ")</f>
        <v> </v>
      </c>
      <c r="V238" s="156"/>
      <c r="W238" s="157"/>
      <c r="X238" s="157"/>
      <c r="Y238" s="158"/>
      <c r="Z238" s="158">
        <f>IFERROR(COUNTIFS(Leads!$L:$L,$B238,Leads!$F:$F,"*google*"),0)</f>
        <v>0</v>
      </c>
      <c r="AA238" s="158">
        <f>IFERROR(COUNTIFS(Leads!$L:$L,$B238,Leads!$F:$F,"*google*",Leads!$N:$N,"Sim"),0)</f>
        <v>0</v>
      </c>
      <c r="AB238" s="152" t="str">
        <f t="array" ref="AB238">IFERROR(XLOOKUP(B238,'ImportaçãoMeta - Adveronix'!F:F,'ImportaçãoMeta - Adveronix'!B:B),"")</f>
        <v/>
      </c>
      <c r="AC238" s="154"/>
      <c r="AD238" s="154"/>
      <c r="AE238" s="159" t="str">
        <f t="array" ref="AE238">IFERROR(XLOOKUP(B238,'ImportaçãoMeta - Adveronix'!$F:$F,'ImportaçãoMeta - Adveronix'!C:C),"")</f>
        <v/>
      </c>
      <c r="AF238" s="159" t="str">
        <f t="array" ref="AF238">IFERROR(XLOOKUP(B238,'ImportaçãoMeta - Adveronix'!$F:$F,'ImportaçãoMeta - Adveronix'!D:D),"")</f>
        <v/>
      </c>
      <c r="AG238" s="159" t="str">
        <f t="array" ref="AG238">IFERROR(XLOOKUP(B238,'ImportaçãoMeta - Adveronix'!$F:$F,'ImportaçãoMeta - Adveronix'!E:E),"")</f>
        <v/>
      </c>
      <c r="AH238" s="157"/>
      <c r="AI238" s="157"/>
      <c r="AJ238" s="156"/>
      <c r="AK238" s="160">
        <f>IFERROR(COUNTIFS(Leads!$L:$L,$B238,Leads!$F:$F,"*MetaAds"),0)</f>
        <v>0</v>
      </c>
      <c r="AL238" s="160">
        <f>IFERROR(COUNTIFS(Leads!$L:$L,$B238,Leads!$F:$F,"*MetaAds*",Leads!$N:$N,"Sim"),0)</f>
        <v>0</v>
      </c>
    </row>
    <row r="239" ht="15.75" customHeight="1">
      <c r="A239" s="149" t="str">
        <f t="array" ref="A239">XLOOKUP(MONTH(B239),BASE!$F$16:$F$27,BASE!$G$16:$G$27)</f>
        <v>Agosto</v>
      </c>
      <c r="B239" s="150">
        <v>46260.0</v>
      </c>
      <c r="C239" s="151"/>
      <c r="D239" s="149" t="str">
        <f t="shared" si="4"/>
        <v>quarta-feira</v>
      </c>
      <c r="E239" s="152">
        <f t="shared" ref="E239:J239" si="477">IFERROR(SUM(P239,AB239)," ")</f>
        <v>0</v>
      </c>
      <c r="F239" s="152">
        <f t="shared" si="477"/>
        <v>0</v>
      </c>
      <c r="G239" s="152">
        <f t="shared" si="477"/>
        <v>0</v>
      </c>
      <c r="H239" s="153">
        <f t="shared" si="477"/>
        <v>0</v>
      </c>
      <c r="I239" s="153">
        <f t="shared" si="477"/>
        <v>0</v>
      </c>
      <c r="J239" s="153">
        <f t="shared" si="477"/>
        <v>0</v>
      </c>
      <c r="K239" s="153">
        <f t="shared" ref="K239:O239" si="478">IFERROR(SUM(W239,AH239)," ")</f>
        <v>0</v>
      </c>
      <c r="L239" s="153">
        <f t="shared" si="478"/>
        <v>0</v>
      </c>
      <c r="M239" s="153">
        <f t="shared" si="478"/>
        <v>0</v>
      </c>
      <c r="N239" s="153">
        <f t="shared" si="478"/>
        <v>0</v>
      </c>
      <c r="O239" s="153">
        <f t="shared" si="478"/>
        <v>0</v>
      </c>
      <c r="P239" s="152" t="str">
        <f t="array" ref="P239">IFERROR(XLOOKUP(B239,'ImportaçãoGoogleAds - Adveronix'!$F:$F,'ImportaçãoGoogleAds - Adveronix'!$B:$B)," ")</f>
        <v> </v>
      </c>
      <c r="Q239" s="154"/>
      <c r="R239" s="154"/>
      <c r="S239" s="155" t="str">
        <f t="array" ref="S239">IFERROR(XLOOKUP(B239,'ImportaçãoGoogleAds - Adveronix'!$F:$F,'ImportaçãoGoogleAds - Adveronix'!C:C)," ")</f>
        <v> </v>
      </c>
      <c r="T239" s="155" t="str">
        <f t="array" ref="T239">IFERROR(XLOOKUP(B239,'ImportaçãoGoogleAds - Adveronix'!$F:$F,'ImportaçãoGoogleAds - Adveronix'!D:D)," ")</f>
        <v> </v>
      </c>
      <c r="U239" s="155" t="str">
        <f t="array" ref="U239">IFERROR(XLOOKUP(B239,'ImportaçãoGoogleAds - Adveronix'!$F:$F,'ImportaçãoGoogleAds - Adveronix'!E:E)," ")</f>
        <v> </v>
      </c>
      <c r="V239" s="156"/>
      <c r="W239" s="157"/>
      <c r="X239" s="157"/>
      <c r="Y239" s="158"/>
      <c r="Z239" s="158">
        <f>IFERROR(COUNTIFS(Leads!$L:$L,$B239,Leads!$F:$F,"*google*"),0)</f>
        <v>0</v>
      </c>
      <c r="AA239" s="158">
        <f>IFERROR(COUNTIFS(Leads!$L:$L,$B239,Leads!$F:$F,"*google*",Leads!$N:$N,"Sim"),0)</f>
        <v>0</v>
      </c>
      <c r="AB239" s="152" t="str">
        <f t="array" ref="AB239">IFERROR(XLOOKUP(B239,'ImportaçãoMeta - Adveronix'!F:F,'ImportaçãoMeta - Adveronix'!B:B),"")</f>
        <v/>
      </c>
      <c r="AC239" s="154"/>
      <c r="AD239" s="154"/>
      <c r="AE239" s="159" t="str">
        <f t="array" ref="AE239">IFERROR(XLOOKUP(B239,'ImportaçãoMeta - Adveronix'!$F:$F,'ImportaçãoMeta - Adveronix'!C:C),"")</f>
        <v/>
      </c>
      <c r="AF239" s="159" t="str">
        <f t="array" ref="AF239">IFERROR(XLOOKUP(B239,'ImportaçãoMeta - Adveronix'!$F:$F,'ImportaçãoMeta - Adveronix'!D:D),"")</f>
        <v/>
      </c>
      <c r="AG239" s="159" t="str">
        <f t="array" ref="AG239">IFERROR(XLOOKUP(B239,'ImportaçãoMeta - Adveronix'!$F:$F,'ImportaçãoMeta - Adveronix'!E:E),"")</f>
        <v/>
      </c>
      <c r="AH239" s="157"/>
      <c r="AI239" s="157"/>
      <c r="AJ239" s="156"/>
      <c r="AK239" s="160">
        <f>IFERROR(COUNTIFS(Leads!$L:$L,$B239,Leads!$F:$F,"*MetaAds"),0)</f>
        <v>0</v>
      </c>
      <c r="AL239" s="160">
        <f>IFERROR(COUNTIFS(Leads!$L:$L,$B239,Leads!$F:$F,"*MetaAds*",Leads!$N:$N,"Sim"),0)</f>
        <v>0</v>
      </c>
    </row>
    <row r="240" ht="15.75" customHeight="1">
      <c r="A240" s="149" t="str">
        <f t="array" ref="A240">XLOOKUP(MONTH(B240),BASE!$F$16:$F$27,BASE!$G$16:$G$27)</f>
        <v>Agosto</v>
      </c>
      <c r="B240" s="150">
        <v>46261.0</v>
      </c>
      <c r="C240" s="151"/>
      <c r="D240" s="149" t="str">
        <f t="shared" si="4"/>
        <v>quinta-feira</v>
      </c>
      <c r="E240" s="152">
        <f t="shared" ref="E240:J240" si="479">IFERROR(SUM(P240,AB240)," ")</f>
        <v>0</v>
      </c>
      <c r="F240" s="152">
        <f t="shared" si="479"/>
        <v>0</v>
      </c>
      <c r="G240" s="152">
        <f t="shared" si="479"/>
        <v>0</v>
      </c>
      <c r="H240" s="153">
        <f t="shared" si="479"/>
        <v>0</v>
      </c>
      <c r="I240" s="153">
        <f t="shared" si="479"/>
        <v>0</v>
      </c>
      <c r="J240" s="153">
        <f t="shared" si="479"/>
        <v>0</v>
      </c>
      <c r="K240" s="153">
        <f t="shared" ref="K240:O240" si="480">IFERROR(SUM(W240,AH240)," ")</f>
        <v>0</v>
      </c>
      <c r="L240" s="153">
        <f t="shared" si="480"/>
        <v>0</v>
      </c>
      <c r="M240" s="153">
        <f t="shared" si="480"/>
        <v>0</v>
      </c>
      <c r="N240" s="153">
        <f t="shared" si="480"/>
        <v>0</v>
      </c>
      <c r="O240" s="153">
        <f t="shared" si="480"/>
        <v>0</v>
      </c>
      <c r="P240" s="152" t="str">
        <f t="array" ref="P240">IFERROR(XLOOKUP(B240,'ImportaçãoGoogleAds - Adveronix'!$F:$F,'ImportaçãoGoogleAds - Adveronix'!$B:$B)," ")</f>
        <v> </v>
      </c>
      <c r="Q240" s="154"/>
      <c r="R240" s="154"/>
      <c r="S240" s="155" t="str">
        <f t="array" ref="S240">IFERROR(XLOOKUP(B240,'ImportaçãoGoogleAds - Adveronix'!$F:$F,'ImportaçãoGoogleAds - Adveronix'!C:C)," ")</f>
        <v> </v>
      </c>
      <c r="T240" s="155" t="str">
        <f t="array" ref="T240">IFERROR(XLOOKUP(B240,'ImportaçãoGoogleAds - Adveronix'!$F:$F,'ImportaçãoGoogleAds - Adveronix'!D:D)," ")</f>
        <v> </v>
      </c>
      <c r="U240" s="155" t="str">
        <f t="array" ref="U240">IFERROR(XLOOKUP(B240,'ImportaçãoGoogleAds - Adveronix'!$F:$F,'ImportaçãoGoogleAds - Adveronix'!E:E)," ")</f>
        <v> </v>
      </c>
      <c r="V240" s="156"/>
      <c r="W240" s="157"/>
      <c r="X240" s="157"/>
      <c r="Y240" s="158"/>
      <c r="Z240" s="158">
        <f>IFERROR(COUNTIFS(Leads!$L:$L,$B240,Leads!$F:$F,"*google*"),0)</f>
        <v>0</v>
      </c>
      <c r="AA240" s="158">
        <f>IFERROR(COUNTIFS(Leads!$L:$L,$B240,Leads!$F:$F,"*google*",Leads!$N:$N,"Sim"),0)</f>
        <v>0</v>
      </c>
      <c r="AB240" s="152" t="str">
        <f t="array" ref="AB240">IFERROR(XLOOKUP(B240,'ImportaçãoMeta - Adveronix'!F:F,'ImportaçãoMeta - Adveronix'!B:B),"")</f>
        <v/>
      </c>
      <c r="AC240" s="154"/>
      <c r="AD240" s="154"/>
      <c r="AE240" s="159" t="str">
        <f t="array" ref="AE240">IFERROR(XLOOKUP(B240,'ImportaçãoMeta - Adveronix'!$F:$F,'ImportaçãoMeta - Adveronix'!C:C),"")</f>
        <v/>
      </c>
      <c r="AF240" s="159" t="str">
        <f t="array" ref="AF240">IFERROR(XLOOKUP(B240,'ImportaçãoMeta - Adveronix'!$F:$F,'ImportaçãoMeta - Adveronix'!D:D),"")</f>
        <v/>
      </c>
      <c r="AG240" s="159" t="str">
        <f t="array" ref="AG240">IFERROR(XLOOKUP(B240,'ImportaçãoMeta - Adveronix'!$F:$F,'ImportaçãoMeta - Adveronix'!E:E),"")</f>
        <v/>
      </c>
      <c r="AH240" s="157"/>
      <c r="AI240" s="157"/>
      <c r="AJ240" s="156"/>
      <c r="AK240" s="160">
        <f>IFERROR(COUNTIFS(Leads!$L:$L,$B240,Leads!$F:$F,"*MetaAds"),0)</f>
        <v>0</v>
      </c>
      <c r="AL240" s="160">
        <f>IFERROR(COUNTIFS(Leads!$L:$L,$B240,Leads!$F:$F,"*MetaAds*",Leads!$N:$N,"Sim"),0)</f>
        <v>0</v>
      </c>
    </row>
    <row r="241" ht="15.75" customHeight="1">
      <c r="A241" s="149" t="str">
        <f t="array" ref="A241">XLOOKUP(MONTH(B241),BASE!$F$16:$F$27,BASE!$G$16:$G$27)</f>
        <v>Agosto</v>
      </c>
      <c r="B241" s="150">
        <v>46262.0</v>
      </c>
      <c r="C241" s="151"/>
      <c r="D241" s="149" t="str">
        <f t="shared" si="4"/>
        <v>sexta-feira</v>
      </c>
      <c r="E241" s="152">
        <f t="shared" ref="E241:J241" si="481">IFERROR(SUM(P241,AB241)," ")</f>
        <v>0</v>
      </c>
      <c r="F241" s="152">
        <f t="shared" si="481"/>
        <v>0</v>
      </c>
      <c r="G241" s="152">
        <f t="shared" si="481"/>
        <v>0</v>
      </c>
      <c r="H241" s="153">
        <f t="shared" si="481"/>
        <v>0</v>
      </c>
      <c r="I241" s="153">
        <f t="shared" si="481"/>
        <v>0</v>
      </c>
      <c r="J241" s="153">
        <f t="shared" si="481"/>
        <v>0</v>
      </c>
      <c r="K241" s="153">
        <f t="shared" ref="K241:O241" si="482">IFERROR(SUM(W241,AH241)," ")</f>
        <v>0</v>
      </c>
      <c r="L241" s="153">
        <f t="shared" si="482"/>
        <v>0</v>
      </c>
      <c r="M241" s="153">
        <f t="shared" si="482"/>
        <v>0</v>
      </c>
      <c r="N241" s="153">
        <f t="shared" si="482"/>
        <v>0</v>
      </c>
      <c r="O241" s="153">
        <f t="shared" si="482"/>
        <v>0</v>
      </c>
      <c r="P241" s="152" t="str">
        <f t="array" ref="P241">IFERROR(XLOOKUP(B241,'ImportaçãoGoogleAds - Adveronix'!$F:$F,'ImportaçãoGoogleAds - Adveronix'!$B:$B)," ")</f>
        <v> </v>
      </c>
      <c r="Q241" s="154"/>
      <c r="R241" s="154"/>
      <c r="S241" s="155" t="str">
        <f t="array" ref="S241">IFERROR(XLOOKUP(B241,'ImportaçãoGoogleAds - Adveronix'!$F:$F,'ImportaçãoGoogleAds - Adveronix'!C:C)," ")</f>
        <v> </v>
      </c>
      <c r="T241" s="155" t="str">
        <f t="array" ref="T241">IFERROR(XLOOKUP(B241,'ImportaçãoGoogleAds - Adveronix'!$F:$F,'ImportaçãoGoogleAds - Adveronix'!D:D)," ")</f>
        <v> </v>
      </c>
      <c r="U241" s="155" t="str">
        <f t="array" ref="U241">IFERROR(XLOOKUP(B241,'ImportaçãoGoogleAds - Adveronix'!$F:$F,'ImportaçãoGoogleAds - Adveronix'!E:E)," ")</f>
        <v> </v>
      </c>
      <c r="V241" s="156"/>
      <c r="W241" s="157"/>
      <c r="X241" s="157"/>
      <c r="Y241" s="158"/>
      <c r="Z241" s="158">
        <f>IFERROR(COUNTIFS(Leads!$L:$L,$B241,Leads!$F:$F,"*google*"),0)</f>
        <v>0</v>
      </c>
      <c r="AA241" s="158">
        <f>IFERROR(COUNTIFS(Leads!$L:$L,$B241,Leads!$F:$F,"*google*",Leads!$N:$N,"Sim"),0)</f>
        <v>0</v>
      </c>
      <c r="AB241" s="152" t="str">
        <f t="array" ref="AB241">IFERROR(XLOOKUP(B241,'ImportaçãoMeta - Adveronix'!F:F,'ImportaçãoMeta - Adveronix'!B:B),"")</f>
        <v/>
      </c>
      <c r="AC241" s="154"/>
      <c r="AD241" s="154"/>
      <c r="AE241" s="159" t="str">
        <f t="array" ref="AE241">IFERROR(XLOOKUP(B241,'ImportaçãoMeta - Adveronix'!$F:$F,'ImportaçãoMeta - Adveronix'!C:C),"")</f>
        <v/>
      </c>
      <c r="AF241" s="159" t="str">
        <f t="array" ref="AF241">IFERROR(XLOOKUP(B241,'ImportaçãoMeta - Adveronix'!$F:$F,'ImportaçãoMeta - Adveronix'!D:D),"")</f>
        <v/>
      </c>
      <c r="AG241" s="159" t="str">
        <f t="array" ref="AG241">IFERROR(XLOOKUP(B241,'ImportaçãoMeta - Adveronix'!$F:$F,'ImportaçãoMeta - Adveronix'!E:E),"")</f>
        <v/>
      </c>
      <c r="AH241" s="157"/>
      <c r="AI241" s="157"/>
      <c r="AJ241" s="156"/>
      <c r="AK241" s="160">
        <f>IFERROR(COUNTIFS(Leads!$L:$L,$B241,Leads!$F:$F,"*MetaAds"),0)</f>
        <v>0</v>
      </c>
      <c r="AL241" s="160">
        <f>IFERROR(COUNTIFS(Leads!$L:$L,$B241,Leads!$F:$F,"*MetaAds*",Leads!$N:$N,"Sim"),0)</f>
        <v>0</v>
      </c>
    </row>
    <row r="242" ht="15.75" customHeight="1">
      <c r="A242" s="149" t="str">
        <f t="array" ref="A242">XLOOKUP(MONTH(B242),BASE!$F$16:$F$27,BASE!$G$16:$G$27)</f>
        <v>Agosto</v>
      </c>
      <c r="B242" s="150">
        <v>46263.0</v>
      </c>
      <c r="C242" s="151"/>
      <c r="D242" s="149" t="str">
        <f t="shared" si="4"/>
        <v>sábado</v>
      </c>
      <c r="E242" s="152">
        <f t="shared" ref="E242:J242" si="483">IFERROR(SUM(P242,AB242)," ")</f>
        <v>0</v>
      </c>
      <c r="F242" s="152">
        <f t="shared" si="483"/>
        <v>0</v>
      </c>
      <c r="G242" s="152">
        <f t="shared" si="483"/>
        <v>0</v>
      </c>
      <c r="H242" s="153">
        <f t="shared" si="483"/>
        <v>0</v>
      </c>
      <c r="I242" s="153">
        <f t="shared" si="483"/>
        <v>0</v>
      </c>
      <c r="J242" s="153">
        <f t="shared" si="483"/>
        <v>0</v>
      </c>
      <c r="K242" s="153">
        <f t="shared" ref="K242:O242" si="484">IFERROR(SUM(W242,AH242)," ")</f>
        <v>0</v>
      </c>
      <c r="L242" s="153">
        <f t="shared" si="484"/>
        <v>0</v>
      </c>
      <c r="M242" s="153">
        <f t="shared" si="484"/>
        <v>0</v>
      </c>
      <c r="N242" s="153">
        <f t="shared" si="484"/>
        <v>0</v>
      </c>
      <c r="O242" s="153">
        <f t="shared" si="484"/>
        <v>0</v>
      </c>
      <c r="P242" s="152" t="str">
        <f t="array" ref="P242">IFERROR(XLOOKUP(B242,'ImportaçãoGoogleAds - Adveronix'!$F:$F,'ImportaçãoGoogleAds - Adveronix'!$B:$B)," ")</f>
        <v> </v>
      </c>
      <c r="Q242" s="154"/>
      <c r="R242" s="154"/>
      <c r="S242" s="155" t="str">
        <f t="array" ref="S242">IFERROR(XLOOKUP(B242,'ImportaçãoGoogleAds - Adveronix'!$F:$F,'ImportaçãoGoogleAds - Adveronix'!C:C)," ")</f>
        <v> </v>
      </c>
      <c r="T242" s="155" t="str">
        <f t="array" ref="T242">IFERROR(XLOOKUP(B242,'ImportaçãoGoogleAds - Adveronix'!$F:$F,'ImportaçãoGoogleAds - Adveronix'!D:D)," ")</f>
        <v> </v>
      </c>
      <c r="U242" s="155" t="str">
        <f t="array" ref="U242">IFERROR(XLOOKUP(B242,'ImportaçãoGoogleAds - Adveronix'!$F:$F,'ImportaçãoGoogleAds - Adveronix'!E:E)," ")</f>
        <v> </v>
      </c>
      <c r="V242" s="156"/>
      <c r="W242" s="157"/>
      <c r="X242" s="157"/>
      <c r="Y242" s="158"/>
      <c r="Z242" s="158">
        <f>IFERROR(COUNTIFS(Leads!$L:$L,$B242,Leads!$F:$F,"*google*"),0)</f>
        <v>0</v>
      </c>
      <c r="AA242" s="158">
        <f>IFERROR(COUNTIFS(Leads!$L:$L,$B242,Leads!$F:$F,"*google*",Leads!$N:$N,"Sim"),0)</f>
        <v>0</v>
      </c>
      <c r="AB242" s="152" t="str">
        <f t="array" ref="AB242">IFERROR(XLOOKUP(B242,'ImportaçãoMeta - Adveronix'!F:F,'ImportaçãoMeta - Adveronix'!B:B),"")</f>
        <v/>
      </c>
      <c r="AC242" s="154"/>
      <c r="AD242" s="154"/>
      <c r="AE242" s="159" t="str">
        <f t="array" ref="AE242">IFERROR(XLOOKUP(B242,'ImportaçãoMeta - Adveronix'!$F:$F,'ImportaçãoMeta - Adveronix'!C:C),"")</f>
        <v/>
      </c>
      <c r="AF242" s="159" t="str">
        <f t="array" ref="AF242">IFERROR(XLOOKUP(B242,'ImportaçãoMeta - Adveronix'!$F:$F,'ImportaçãoMeta - Adveronix'!D:D),"")</f>
        <v/>
      </c>
      <c r="AG242" s="159" t="str">
        <f t="array" ref="AG242">IFERROR(XLOOKUP(B242,'ImportaçãoMeta - Adveronix'!$F:$F,'ImportaçãoMeta - Adveronix'!E:E),"")</f>
        <v/>
      </c>
      <c r="AH242" s="157"/>
      <c r="AI242" s="157"/>
      <c r="AJ242" s="156"/>
      <c r="AK242" s="160">
        <f>IFERROR(COUNTIFS(Leads!$L:$L,$B242,Leads!$F:$F,"*MetaAds"),0)</f>
        <v>0</v>
      </c>
      <c r="AL242" s="160">
        <f>IFERROR(COUNTIFS(Leads!$L:$L,$B242,Leads!$F:$F,"*MetaAds*",Leads!$N:$N,"Sim"),0)</f>
        <v>0</v>
      </c>
    </row>
    <row r="243" ht="15.75" customHeight="1">
      <c r="A243" s="149" t="str">
        <f t="array" ref="A243">XLOOKUP(MONTH(B243),BASE!$F$16:$F$27,BASE!$G$16:$G$27)</f>
        <v>Agosto</v>
      </c>
      <c r="B243" s="150">
        <v>46264.0</v>
      </c>
      <c r="C243" s="151"/>
      <c r="D243" s="149" t="str">
        <f t="shared" si="4"/>
        <v>domingo</v>
      </c>
      <c r="E243" s="152">
        <f t="shared" ref="E243:J243" si="485">IFERROR(SUM(P243,AB243)," ")</f>
        <v>0</v>
      </c>
      <c r="F243" s="152">
        <f t="shared" si="485"/>
        <v>0</v>
      </c>
      <c r="G243" s="152">
        <f t="shared" si="485"/>
        <v>0</v>
      </c>
      <c r="H243" s="153">
        <f t="shared" si="485"/>
        <v>0</v>
      </c>
      <c r="I243" s="153">
        <f t="shared" si="485"/>
        <v>0</v>
      </c>
      <c r="J243" s="153">
        <f t="shared" si="485"/>
        <v>0</v>
      </c>
      <c r="K243" s="153">
        <f t="shared" ref="K243:O243" si="486">IFERROR(SUM(W243,AH243)," ")</f>
        <v>0</v>
      </c>
      <c r="L243" s="153">
        <f t="shared" si="486"/>
        <v>0</v>
      </c>
      <c r="M243" s="153">
        <f t="shared" si="486"/>
        <v>0</v>
      </c>
      <c r="N243" s="153">
        <f t="shared" si="486"/>
        <v>0</v>
      </c>
      <c r="O243" s="153">
        <f t="shared" si="486"/>
        <v>0</v>
      </c>
      <c r="P243" s="152" t="str">
        <f t="array" ref="P243">IFERROR(XLOOKUP(B243,'ImportaçãoGoogleAds - Adveronix'!$F:$F,'ImportaçãoGoogleAds - Adveronix'!$B:$B)," ")</f>
        <v> </v>
      </c>
      <c r="Q243" s="154"/>
      <c r="R243" s="154"/>
      <c r="S243" s="155" t="str">
        <f t="array" ref="S243">IFERROR(XLOOKUP(B243,'ImportaçãoGoogleAds - Adveronix'!$F:$F,'ImportaçãoGoogleAds - Adveronix'!C:C)," ")</f>
        <v> </v>
      </c>
      <c r="T243" s="155" t="str">
        <f t="array" ref="T243">IFERROR(XLOOKUP(B243,'ImportaçãoGoogleAds - Adveronix'!$F:$F,'ImportaçãoGoogleAds - Adveronix'!D:D)," ")</f>
        <v> </v>
      </c>
      <c r="U243" s="155" t="str">
        <f t="array" ref="U243">IFERROR(XLOOKUP(B243,'ImportaçãoGoogleAds - Adveronix'!$F:$F,'ImportaçãoGoogleAds - Adveronix'!E:E)," ")</f>
        <v> </v>
      </c>
      <c r="V243" s="156"/>
      <c r="W243" s="157"/>
      <c r="X243" s="157"/>
      <c r="Y243" s="158"/>
      <c r="Z243" s="158">
        <f>IFERROR(COUNTIFS(Leads!$L:$L,$B243,Leads!$F:$F,"*google*"),0)</f>
        <v>0</v>
      </c>
      <c r="AA243" s="158">
        <f>IFERROR(COUNTIFS(Leads!$L:$L,$B243,Leads!$F:$F,"*google*",Leads!$N:$N,"Sim"),0)</f>
        <v>0</v>
      </c>
      <c r="AB243" s="152" t="str">
        <f t="array" ref="AB243">IFERROR(XLOOKUP(B243,'ImportaçãoMeta - Adveronix'!F:F,'ImportaçãoMeta - Adveronix'!B:B),"")</f>
        <v/>
      </c>
      <c r="AC243" s="154"/>
      <c r="AD243" s="154"/>
      <c r="AE243" s="159" t="str">
        <f t="array" ref="AE243">IFERROR(XLOOKUP(B243,'ImportaçãoMeta - Adveronix'!$F:$F,'ImportaçãoMeta - Adveronix'!C:C),"")</f>
        <v/>
      </c>
      <c r="AF243" s="159" t="str">
        <f t="array" ref="AF243">IFERROR(XLOOKUP(B243,'ImportaçãoMeta - Adveronix'!$F:$F,'ImportaçãoMeta - Adveronix'!D:D),"")</f>
        <v/>
      </c>
      <c r="AG243" s="159" t="str">
        <f t="array" ref="AG243">IFERROR(XLOOKUP(B243,'ImportaçãoMeta - Adveronix'!$F:$F,'ImportaçãoMeta - Adveronix'!E:E),"")</f>
        <v/>
      </c>
      <c r="AH243" s="157"/>
      <c r="AI243" s="157"/>
      <c r="AJ243" s="156"/>
      <c r="AK243" s="160">
        <f>IFERROR(COUNTIFS(Leads!$L:$L,$B243,Leads!$F:$F,"*MetaAds"),0)</f>
        <v>0</v>
      </c>
      <c r="AL243" s="160">
        <f>IFERROR(COUNTIFS(Leads!$L:$L,$B243,Leads!$F:$F,"*MetaAds*",Leads!$N:$N,"Sim"),0)</f>
        <v>0</v>
      </c>
    </row>
    <row r="244" ht="15.75" customHeight="1">
      <c r="A244" s="149" t="str">
        <f t="array" ref="A244">XLOOKUP(MONTH(B244),BASE!$F$16:$F$27,BASE!$G$16:$G$27)</f>
        <v>Agosto</v>
      </c>
      <c r="B244" s="150">
        <v>46265.0</v>
      </c>
      <c r="C244" s="151"/>
      <c r="D244" s="149" t="str">
        <f t="shared" si="4"/>
        <v>segunda-feira</v>
      </c>
      <c r="E244" s="152">
        <f t="shared" ref="E244:J244" si="487">IFERROR(SUM(P244,AB244)," ")</f>
        <v>0</v>
      </c>
      <c r="F244" s="152">
        <f t="shared" si="487"/>
        <v>0</v>
      </c>
      <c r="G244" s="152">
        <f t="shared" si="487"/>
        <v>0</v>
      </c>
      <c r="H244" s="153">
        <f t="shared" si="487"/>
        <v>0</v>
      </c>
      <c r="I244" s="153">
        <f t="shared" si="487"/>
        <v>0</v>
      </c>
      <c r="J244" s="153">
        <f t="shared" si="487"/>
        <v>0</v>
      </c>
      <c r="K244" s="153">
        <f t="shared" ref="K244:O244" si="488">IFERROR(SUM(W244,AH244)," ")</f>
        <v>0</v>
      </c>
      <c r="L244" s="153">
        <f t="shared" si="488"/>
        <v>0</v>
      </c>
      <c r="M244" s="153">
        <f t="shared" si="488"/>
        <v>0</v>
      </c>
      <c r="N244" s="153">
        <f t="shared" si="488"/>
        <v>0</v>
      </c>
      <c r="O244" s="153">
        <f t="shared" si="488"/>
        <v>0</v>
      </c>
      <c r="P244" s="152" t="str">
        <f t="array" ref="P244">IFERROR(XLOOKUP(B244,'ImportaçãoGoogleAds - Adveronix'!$F:$F,'ImportaçãoGoogleAds - Adveronix'!$B:$B)," ")</f>
        <v> </v>
      </c>
      <c r="Q244" s="154"/>
      <c r="R244" s="154"/>
      <c r="S244" s="155" t="str">
        <f t="array" ref="S244">IFERROR(XLOOKUP(B244,'ImportaçãoGoogleAds - Adveronix'!$F:$F,'ImportaçãoGoogleAds - Adveronix'!C:C)," ")</f>
        <v> </v>
      </c>
      <c r="T244" s="155" t="str">
        <f t="array" ref="T244">IFERROR(XLOOKUP(B244,'ImportaçãoGoogleAds - Adveronix'!$F:$F,'ImportaçãoGoogleAds - Adveronix'!D:D)," ")</f>
        <v> </v>
      </c>
      <c r="U244" s="155" t="str">
        <f t="array" ref="U244">IFERROR(XLOOKUP(B244,'ImportaçãoGoogleAds - Adveronix'!$F:$F,'ImportaçãoGoogleAds - Adveronix'!E:E)," ")</f>
        <v> </v>
      </c>
      <c r="V244" s="156"/>
      <c r="W244" s="157"/>
      <c r="X244" s="157"/>
      <c r="Y244" s="158"/>
      <c r="Z244" s="158">
        <f>IFERROR(COUNTIFS(Leads!$L:$L,$B244,Leads!$F:$F,"*google*"),0)</f>
        <v>0</v>
      </c>
      <c r="AA244" s="158">
        <f>IFERROR(COUNTIFS(Leads!$L:$L,$B244,Leads!$F:$F,"*google*",Leads!$N:$N,"Sim"),0)</f>
        <v>0</v>
      </c>
      <c r="AB244" s="152" t="str">
        <f t="array" ref="AB244">IFERROR(XLOOKUP(B244,'ImportaçãoMeta - Adveronix'!F:F,'ImportaçãoMeta - Adveronix'!B:B),"")</f>
        <v/>
      </c>
      <c r="AC244" s="154"/>
      <c r="AD244" s="154"/>
      <c r="AE244" s="159" t="str">
        <f t="array" ref="AE244">IFERROR(XLOOKUP(B244,'ImportaçãoMeta - Adveronix'!$F:$F,'ImportaçãoMeta - Adveronix'!C:C),"")</f>
        <v/>
      </c>
      <c r="AF244" s="159" t="str">
        <f t="array" ref="AF244">IFERROR(XLOOKUP(B244,'ImportaçãoMeta - Adveronix'!$F:$F,'ImportaçãoMeta - Adveronix'!D:D),"")</f>
        <v/>
      </c>
      <c r="AG244" s="159" t="str">
        <f t="array" ref="AG244">IFERROR(XLOOKUP(B244,'ImportaçãoMeta - Adveronix'!$F:$F,'ImportaçãoMeta - Adveronix'!E:E),"")</f>
        <v/>
      </c>
      <c r="AH244" s="157"/>
      <c r="AI244" s="157"/>
      <c r="AJ244" s="156"/>
      <c r="AK244" s="160">
        <f>IFERROR(COUNTIFS(Leads!$L:$L,$B244,Leads!$F:$F,"*MetaAds"),0)</f>
        <v>0</v>
      </c>
      <c r="AL244" s="160">
        <f>IFERROR(COUNTIFS(Leads!$L:$L,$B244,Leads!$F:$F,"*MetaAds*",Leads!$N:$N,"Sim"),0)</f>
        <v>0</v>
      </c>
    </row>
    <row r="245" ht="15.75" customHeight="1">
      <c r="A245" s="149" t="str">
        <f t="array" ref="A245">XLOOKUP(MONTH(B245),BASE!$F$16:$F$27,BASE!$G$16:$G$27)</f>
        <v>Setembro</v>
      </c>
      <c r="B245" s="150">
        <v>46266.0</v>
      </c>
      <c r="C245" s="151"/>
      <c r="D245" s="149" t="str">
        <f t="shared" si="4"/>
        <v>terça-feira</v>
      </c>
      <c r="E245" s="152">
        <f t="shared" ref="E245:J245" si="489">IFERROR(SUM(P245,AB245)," ")</f>
        <v>0</v>
      </c>
      <c r="F245" s="152">
        <f t="shared" si="489"/>
        <v>0</v>
      </c>
      <c r="G245" s="152">
        <f t="shared" si="489"/>
        <v>0</v>
      </c>
      <c r="H245" s="153">
        <f t="shared" si="489"/>
        <v>0</v>
      </c>
      <c r="I245" s="153">
        <f t="shared" si="489"/>
        <v>0</v>
      </c>
      <c r="J245" s="153">
        <f t="shared" si="489"/>
        <v>0</v>
      </c>
      <c r="K245" s="153">
        <f t="shared" ref="K245:O245" si="490">IFERROR(SUM(W245,AH245)," ")</f>
        <v>0</v>
      </c>
      <c r="L245" s="153">
        <f t="shared" si="490"/>
        <v>0</v>
      </c>
      <c r="M245" s="153">
        <f t="shared" si="490"/>
        <v>0</v>
      </c>
      <c r="N245" s="153">
        <f t="shared" si="490"/>
        <v>0</v>
      </c>
      <c r="O245" s="153">
        <f t="shared" si="490"/>
        <v>0</v>
      </c>
      <c r="P245" s="152" t="str">
        <f t="array" ref="P245">IFERROR(XLOOKUP(B245,'ImportaçãoGoogleAds - Adveronix'!$F:$F,'ImportaçãoGoogleAds - Adveronix'!$B:$B)," ")</f>
        <v> </v>
      </c>
      <c r="Q245" s="154"/>
      <c r="R245" s="154"/>
      <c r="S245" s="155" t="str">
        <f t="array" ref="S245">IFERROR(XLOOKUP(B245,'ImportaçãoGoogleAds - Adveronix'!$F:$F,'ImportaçãoGoogleAds - Adveronix'!C:C)," ")</f>
        <v> </v>
      </c>
      <c r="T245" s="155" t="str">
        <f t="array" ref="T245">IFERROR(XLOOKUP(B245,'ImportaçãoGoogleAds - Adveronix'!$F:$F,'ImportaçãoGoogleAds - Adveronix'!D:D)," ")</f>
        <v> </v>
      </c>
      <c r="U245" s="155" t="str">
        <f t="array" ref="U245">IFERROR(XLOOKUP(B245,'ImportaçãoGoogleAds - Adveronix'!$F:$F,'ImportaçãoGoogleAds - Adveronix'!E:E)," ")</f>
        <v> </v>
      </c>
      <c r="V245" s="156"/>
      <c r="W245" s="157"/>
      <c r="X245" s="157"/>
      <c r="Y245" s="158"/>
      <c r="Z245" s="158">
        <f>IFERROR(COUNTIFS(Leads!$L:$L,$B245,Leads!$F:$F,"*google*"),0)</f>
        <v>0</v>
      </c>
      <c r="AA245" s="158">
        <f>IFERROR(COUNTIFS(Leads!$L:$L,$B245,Leads!$F:$F,"*google*",Leads!$N:$N,"Sim"),0)</f>
        <v>0</v>
      </c>
      <c r="AB245" s="152" t="str">
        <f t="array" ref="AB245">IFERROR(XLOOKUP(B245,'ImportaçãoMeta - Adveronix'!F:F,'ImportaçãoMeta - Adveronix'!B:B),"")</f>
        <v/>
      </c>
      <c r="AC245" s="154"/>
      <c r="AD245" s="154"/>
      <c r="AE245" s="159" t="str">
        <f t="array" ref="AE245">IFERROR(XLOOKUP(B245,'ImportaçãoMeta - Adveronix'!$F:$F,'ImportaçãoMeta - Adveronix'!C:C),"")</f>
        <v/>
      </c>
      <c r="AF245" s="159" t="str">
        <f t="array" ref="AF245">IFERROR(XLOOKUP(B245,'ImportaçãoMeta - Adveronix'!$F:$F,'ImportaçãoMeta - Adveronix'!D:D),"")</f>
        <v/>
      </c>
      <c r="AG245" s="159" t="str">
        <f t="array" ref="AG245">IFERROR(XLOOKUP(B245,'ImportaçãoMeta - Adveronix'!$F:$F,'ImportaçãoMeta - Adveronix'!E:E),"")</f>
        <v/>
      </c>
      <c r="AH245" s="157"/>
      <c r="AI245" s="157"/>
      <c r="AJ245" s="156"/>
      <c r="AK245" s="160">
        <f>IFERROR(COUNTIFS(Leads!$L:$L,$B245,Leads!$F:$F,"*MetaAds"),0)</f>
        <v>0</v>
      </c>
      <c r="AL245" s="160">
        <f>IFERROR(COUNTIFS(Leads!$L:$L,$B245,Leads!$F:$F,"*MetaAds*",Leads!$N:$N,"Sim"),0)</f>
        <v>0</v>
      </c>
    </row>
    <row r="246" ht="15.75" customHeight="1">
      <c r="A246" s="149" t="str">
        <f t="array" ref="A246">XLOOKUP(MONTH(B246),BASE!$F$16:$F$27,BASE!$G$16:$G$27)</f>
        <v>Setembro</v>
      </c>
      <c r="B246" s="150">
        <v>46267.0</v>
      </c>
      <c r="C246" s="151"/>
      <c r="D246" s="149" t="str">
        <f t="shared" si="4"/>
        <v>quarta-feira</v>
      </c>
      <c r="E246" s="152">
        <f t="shared" ref="E246:J246" si="491">IFERROR(SUM(P246,AB246)," ")</f>
        <v>0</v>
      </c>
      <c r="F246" s="152">
        <f t="shared" si="491"/>
        <v>0</v>
      </c>
      <c r="G246" s="152">
        <f t="shared" si="491"/>
        <v>0</v>
      </c>
      <c r="H246" s="153">
        <f t="shared" si="491"/>
        <v>0</v>
      </c>
      <c r="I246" s="153">
        <f t="shared" si="491"/>
        <v>0</v>
      </c>
      <c r="J246" s="153">
        <f t="shared" si="491"/>
        <v>0</v>
      </c>
      <c r="K246" s="153">
        <f t="shared" ref="K246:O246" si="492">IFERROR(SUM(W246,AH246)," ")</f>
        <v>0</v>
      </c>
      <c r="L246" s="153">
        <f t="shared" si="492"/>
        <v>0</v>
      </c>
      <c r="M246" s="153">
        <f t="shared" si="492"/>
        <v>0</v>
      </c>
      <c r="N246" s="153">
        <f t="shared" si="492"/>
        <v>0</v>
      </c>
      <c r="O246" s="153">
        <f t="shared" si="492"/>
        <v>0</v>
      </c>
      <c r="P246" s="152" t="str">
        <f t="array" ref="P246">IFERROR(XLOOKUP(B246,'ImportaçãoGoogleAds - Adveronix'!$F:$F,'ImportaçãoGoogleAds - Adveronix'!$B:$B)," ")</f>
        <v> </v>
      </c>
      <c r="Q246" s="154"/>
      <c r="R246" s="154"/>
      <c r="S246" s="155" t="str">
        <f t="array" ref="S246">IFERROR(XLOOKUP(B246,'ImportaçãoGoogleAds - Adveronix'!$F:$F,'ImportaçãoGoogleAds - Adveronix'!C:C)," ")</f>
        <v> </v>
      </c>
      <c r="T246" s="155" t="str">
        <f t="array" ref="T246">IFERROR(XLOOKUP(B246,'ImportaçãoGoogleAds - Adveronix'!$F:$F,'ImportaçãoGoogleAds - Adveronix'!D:D)," ")</f>
        <v> </v>
      </c>
      <c r="U246" s="155" t="str">
        <f t="array" ref="U246">IFERROR(XLOOKUP(B246,'ImportaçãoGoogleAds - Adveronix'!$F:$F,'ImportaçãoGoogleAds - Adveronix'!E:E)," ")</f>
        <v> </v>
      </c>
      <c r="V246" s="156"/>
      <c r="W246" s="157"/>
      <c r="X246" s="157"/>
      <c r="Y246" s="158"/>
      <c r="Z246" s="158">
        <f>IFERROR(COUNTIFS(Leads!$L:$L,$B246,Leads!$F:$F,"*google*"),0)</f>
        <v>0</v>
      </c>
      <c r="AA246" s="158">
        <f>IFERROR(COUNTIFS(Leads!$L:$L,$B246,Leads!$F:$F,"*google*",Leads!$N:$N,"Sim"),0)</f>
        <v>0</v>
      </c>
      <c r="AB246" s="152" t="str">
        <f t="array" ref="AB246">IFERROR(XLOOKUP(B246,'ImportaçãoMeta - Adveronix'!F:F,'ImportaçãoMeta - Adveronix'!B:B),"")</f>
        <v/>
      </c>
      <c r="AC246" s="154"/>
      <c r="AD246" s="154"/>
      <c r="AE246" s="159" t="str">
        <f t="array" ref="AE246">IFERROR(XLOOKUP(B246,'ImportaçãoMeta - Adveronix'!$F:$F,'ImportaçãoMeta - Adveronix'!C:C),"")</f>
        <v/>
      </c>
      <c r="AF246" s="159" t="str">
        <f t="array" ref="AF246">IFERROR(XLOOKUP(B246,'ImportaçãoMeta - Adveronix'!$F:$F,'ImportaçãoMeta - Adveronix'!D:D),"")</f>
        <v/>
      </c>
      <c r="AG246" s="159" t="str">
        <f t="array" ref="AG246">IFERROR(XLOOKUP(B246,'ImportaçãoMeta - Adveronix'!$F:$F,'ImportaçãoMeta - Adveronix'!E:E),"")</f>
        <v/>
      </c>
      <c r="AH246" s="157"/>
      <c r="AI246" s="157"/>
      <c r="AJ246" s="156"/>
      <c r="AK246" s="160">
        <f>IFERROR(COUNTIFS(Leads!$L:$L,$B246,Leads!$F:$F,"*MetaAds"),0)</f>
        <v>0</v>
      </c>
      <c r="AL246" s="160">
        <f>IFERROR(COUNTIFS(Leads!$L:$L,$B246,Leads!$F:$F,"*MetaAds*",Leads!$N:$N,"Sim"),0)</f>
        <v>0</v>
      </c>
    </row>
    <row r="247" ht="15.75" customHeight="1">
      <c r="A247" s="149" t="str">
        <f t="array" ref="A247">XLOOKUP(MONTH(B247),BASE!$F$16:$F$27,BASE!$G$16:$G$27)</f>
        <v>Setembro</v>
      </c>
      <c r="B247" s="150">
        <v>46268.0</v>
      </c>
      <c r="C247" s="151"/>
      <c r="D247" s="149" t="str">
        <f t="shared" si="4"/>
        <v>quinta-feira</v>
      </c>
      <c r="E247" s="152">
        <f t="shared" ref="E247:J247" si="493">IFERROR(SUM(P247,AB247)," ")</f>
        <v>0</v>
      </c>
      <c r="F247" s="152">
        <f t="shared" si="493"/>
        <v>0</v>
      </c>
      <c r="G247" s="152">
        <f t="shared" si="493"/>
        <v>0</v>
      </c>
      <c r="H247" s="153">
        <f t="shared" si="493"/>
        <v>0</v>
      </c>
      <c r="I247" s="153">
        <f t="shared" si="493"/>
        <v>0</v>
      </c>
      <c r="J247" s="153">
        <f t="shared" si="493"/>
        <v>0</v>
      </c>
      <c r="K247" s="153">
        <f t="shared" ref="K247:O247" si="494">IFERROR(SUM(W247,AH247)," ")</f>
        <v>0</v>
      </c>
      <c r="L247" s="153">
        <f t="shared" si="494"/>
        <v>0</v>
      </c>
      <c r="M247" s="153">
        <f t="shared" si="494"/>
        <v>0</v>
      </c>
      <c r="N247" s="153">
        <f t="shared" si="494"/>
        <v>0</v>
      </c>
      <c r="O247" s="153">
        <f t="shared" si="494"/>
        <v>0</v>
      </c>
      <c r="P247" s="152" t="str">
        <f t="array" ref="P247">IFERROR(XLOOKUP(B247,'ImportaçãoGoogleAds - Adveronix'!$F:$F,'ImportaçãoGoogleAds - Adveronix'!$B:$B)," ")</f>
        <v> </v>
      </c>
      <c r="Q247" s="154"/>
      <c r="R247" s="154"/>
      <c r="S247" s="155" t="str">
        <f t="array" ref="S247">IFERROR(XLOOKUP(B247,'ImportaçãoGoogleAds - Adveronix'!$F:$F,'ImportaçãoGoogleAds - Adveronix'!C:C)," ")</f>
        <v> </v>
      </c>
      <c r="T247" s="155" t="str">
        <f t="array" ref="T247">IFERROR(XLOOKUP(B247,'ImportaçãoGoogleAds - Adveronix'!$F:$F,'ImportaçãoGoogleAds - Adveronix'!D:D)," ")</f>
        <v> </v>
      </c>
      <c r="U247" s="155" t="str">
        <f t="array" ref="U247">IFERROR(XLOOKUP(B247,'ImportaçãoGoogleAds - Adveronix'!$F:$F,'ImportaçãoGoogleAds - Adveronix'!E:E)," ")</f>
        <v> </v>
      </c>
      <c r="V247" s="156"/>
      <c r="W247" s="157"/>
      <c r="X247" s="157"/>
      <c r="Y247" s="158"/>
      <c r="Z247" s="158">
        <f>IFERROR(COUNTIFS(Leads!$L:$L,$B247,Leads!$F:$F,"*google*"),0)</f>
        <v>0</v>
      </c>
      <c r="AA247" s="158">
        <f>IFERROR(COUNTIFS(Leads!$L:$L,$B247,Leads!$F:$F,"*google*",Leads!$N:$N,"Sim"),0)</f>
        <v>0</v>
      </c>
      <c r="AB247" s="152" t="str">
        <f t="array" ref="AB247">IFERROR(XLOOKUP(B247,'ImportaçãoMeta - Adveronix'!F:F,'ImportaçãoMeta - Adveronix'!B:B),"")</f>
        <v/>
      </c>
      <c r="AC247" s="154"/>
      <c r="AD247" s="154"/>
      <c r="AE247" s="159" t="str">
        <f t="array" ref="AE247">IFERROR(XLOOKUP(B247,'ImportaçãoMeta - Adveronix'!$F:$F,'ImportaçãoMeta - Adveronix'!C:C),"")</f>
        <v/>
      </c>
      <c r="AF247" s="159" t="str">
        <f t="array" ref="AF247">IFERROR(XLOOKUP(B247,'ImportaçãoMeta - Adveronix'!$F:$F,'ImportaçãoMeta - Adveronix'!D:D),"")</f>
        <v/>
      </c>
      <c r="AG247" s="159" t="str">
        <f t="array" ref="AG247">IFERROR(XLOOKUP(B247,'ImportaçãoMeta - Adveronix'!$F:$F,'ImportaçãoMeta - Adveronix'!E:E),"")</f>
        <v/>
      </c>
      <c r="AH247" s="157"/>
      <c r="AI247" s="157"/>
      <c r="AJ247" s="156"/>
      <c r="AK247" s="160">
        <f>IFERROR(COUNTIFS(Leads!$L:$L,$B247,Leads!$F:$F,"*MetaAds"),0)</f>
        <v>0</v>
      </c>
      <c r="AL247" s="160">
        <f>IFERROR(COUNTIFS(Leads!$L:$L,$B247,Leads!$F:$F,"*MetaAds*",Leads!$N:$N,"Sim"),0)</f>
        <v>0</v>
      </c>
    </row>
    <row r="248" ht="15.75" customHeight="1">
      <c r="A248" s="149" t="str">
        <f t="array" ref="A248">XLOOKUP(MONTH(B248),BASE!$F$16:$F$27,BASE!$G$16:$G$27)</f>
        <v>Setembro</v>
      </c>
      <c r="B248" s="150">
        <v>46269.0</v>
      </c>
      <c r="C248" s="151"/>
      <c r="D248" s="149" t="str">
        <f t="shared" si="4"/>
        <v>sexta-feira</v>
      </c>
      <c r="E248" s="152">
        <f t="shared" ref="E248:J248" si="495">IFERROR(SUM(P248,AB248)," ")</f>
        <v>0</v>
      </c>
      <c r="F248" s="152">
        <f t="shared" si="495"/>
        <v>0</v>
      </c>
      <c r="G248" s="152">
        <f t="shared" si="495"/>
        <v>0</v>
      </c>
      <c r="H248" s="153">
        <f t="shared" si="495"/>
        <v>0</v>
      </c>
      <c r="I248" s="153">
        <f t="shared" si="495"/>
        <v>0</v>
      </c>
      <c r="J248" s="153">
        <f t="shared" si="495"/>
        <v>0</v>
      </c>
      <c r="K248" s="153">
        <f t="shared" ref="K248:O248" si="496">IFERROR(SUM(W248,AH248)," ")</f>
        <v>0</v>
      </c>
      <c r="L248" s="153">
        <f t="shared" si="496"/>
        <v>0</v>
      </c>
      <c r="M248" s="153">
        <f t="shared" si="496"/>
        <v>0</v>
      </c>
      <c r="N248" s="153">
        <f t="shared" si="496"/>
        <v>0</v>
      </c>
      <c r="O248" s="153">
        <f t="shared" si="496"/>
        <v>0</v>
      </c>
      <c r="P248" s="152" t="str">
        <f t="array" ref="P248">IFERROR(XLOOKUP(B248,'ImportaçãoGoogleAds - Adveronix'!$F:$F,'ImportaçãoGoogleAds - Adveronix'!$B:$B)," ")</f>
        <v> </v>
      </c>
      <c r="Q248" s="154"/>
      <c r="R248" s="154"/>
      <c r="S248" s="155" t="str">
        <f t="array" ref="S248">IFERROR(XLOOKUP(B248,'ImportaçãoGoogleAds - Adveronix'!$F:$F,'ImportaçãoGoogleAds - Adveronix'!C:C)," ")</f>
        <v> </v>
      </c>
      <c r="T248" s="155" t="str">
        <f t="array" ref="T248">IFERROR(XLOOKUP(B248,'ImportaçãoGoogleAds - Adveronix'!$F:$F,'ImportaçãoGoogleAds - Adveronix'!D:D)," ")</f>
        <v> </v>
      </c>
      <c r="U248" s="155" t="str">
        <f t="array" ref="U248">IFERROR(XLOOKUP(B248,'ImportaçãoGoogleAds - Adveronix'!$F:$F,'ImportaçãoGoogleAds - Adveronix'!E:E)," ")</f>
        <v> </v>
      </c>
      <c r="V248" s="156"/>
      <c r="W248" s="157"/>
      <c r="X248" s="157"/>
      <c r="Y248" s="158"/>
      <c r="Z248" s="158">
        <f>IFERROR(COUNTIFS(Leads!$L:$L,$B248,Leads!$F:$F,"*google*"),0)</f>
        <v>0</v>
      </c>
      <c r="AA248" s="158">
        <f>IFERROR(COUNTIFS(Leads!$L:$L,$B248,Leads!$F:$F,"*google*",Leads!$N:$N,"Sim"),0)</f>
        <v>0</v>
      </c>
      <c r="AB248" s="152" t="str">
        <f t="array" ref="AB248">IFERROR(XLOOKUP(B248,'ImportaçãoMeta - Adveronix'!F:F,'ImportaçãoMeta - Adveronix'!B:B),"")</f>
        <v/>
      </c>
      <c r="AC248" s="154"/>
      <c r="AD248" s="154"/>
      <c r="AE248" s="159" t="str">
        <f t="array" ref="AE248">IFERROR(XLOOKUP(B248,'ImportaçãoMeta - Adveronix'!$F:$F,'ImportaçãoMeta - Adveronix'!C:C),"")</f>
        <v/>
      </c>
      <c r="AF248" s="159" t="str">
        <f t="array" ref="AF248">IFERROR(XLOOKUP(B248,'ImportaçãoMeta - Adveronix'!$F:$F,'ImportaçãoMeta - Adveronix'!D:D),"")</f>
        <v/>
      </c>
      <c r="AG248" s="159" t="str">
        <f t="array" ref="AG248">IFERROR(XLOOKUP(B248,'ImportaçãoMeta - Adveronix'!$F:$F,'ImportaçãoMeta - Adveronix'!E:E),"")</f>
        <v/>
      </c>
      <c r="AH248" s="157"/>
      <c r="AI248" s="157"/>
      <c r="AJ248" s="156"/>
      <c r="AK248" s="160">
        <f>IFERROR(COUNTIFS(Leads!$L:$L,$B248,Leads!$F:$F,"*MetaAds"),0)</f>
        <v>0</v>
      </c>
      <c r="AL248" s="160">
        <f>IFERROR(COUNTIFS(Leads!$L:$L,$B248,Leads!$F:$F,"*MetaAds*",Leads!$N:$N,"Sim"),0)</f>
        <v>0</v>
      </c>
    </row>
    <row r="249" ht="15.75" customHeight="1">
      <c r="A249" s="149" t="str">
        <f t="array" ref="A249">XLOOKUP(MONTH(B249),BASE!$F$16:$F$27,BASE!$G$16:$G$27)</f>
        <v>Setembro</v>
      </c>
      <c r="B249" s="150">
        <v>46270.0</v>
      </c>
      <c r="C249" s="151"/>
      <c r="D249" s="149" t="str">
        <f t="shared" si="4"/>
        <v>sábado</v>
      </c>
      <c r="E249" s="152">
        <f t="shared" ref="E249:J249" si="497">IFERROR(SUM(P249,AB249)," ")</f>
        <v>0</v>
      </c>
      <c r="F249" s="152">
        <f t="shared" si="497"/>
        <v>0</v>
      </c>
      <c r="G249" s="152">
        <f t="shared" si="497"/>
        <v>0</v>
      </c>
      <c r="H249" s="153">
        <f t="shared" si="497"/>
        <v>0</v>
      </c>
      <c r="I249" s="153">
        <f t="shared" si="497"/>
        <v>0</v>
      </c>
      <c r="J249" s="153">
        <f t="shared" si="497"/>
        <v>0</v>
      </c>
      <c r="K249" s="153">
        <f t="shared" ref="K249:O249" si="498">IFERROR(SUM(W249,AH249)," ")</f>
        <v>0</v>
      </c>
      <c r="L249" s="153">
        <f t="shared" si="498"/>
        <v>0</v>
      </c>
      <c r="M249" s="153">
        <f t="shared" si="498"/>
        <v>0</v>
      </c>
      <c r="N249" s="153">
        <f t="shared" si="498"/>
        <v>0</v>
      </c>
      <c r="O249" s="153">
        <f t="shared" si="498"/>
        <v>0</v>
      </c>
      <c r="P249" s="152" t="str">
        <f t="array" ref="P249">IFERROR(XLOOKUP(B249,'ImportaçãoGoogleAds - Adveronix'!$F:$F,'ImportaçãoGoogleAds - Adveronix'!$B:$B)," ")</f>
        <v> </v>
      </c>
      <c r="Q249" s="154"/>
      <c r="R249" s="154"/>
      <c r="S249" s="155" t="str">
        <f t="array" ref="S249">IFERROR(XLOOKUP(B249,'ImportaçãoGoogleAds - Adveronix'!$F:$F,'ImportaçãoGoogleAds - Adveronix'!C:C)," ")</f>
        <v> </v>
      </c>
      <c r="T249" s="155" t="str">
        <f t="array" ref="T249">IFERROR(XLOOKUP(B249,'ImportaçãoGoogleAds - Adveronix'!$F:$F,'ImportaçãoGoogleAds - Adveronix'!D:D)," ")</f>
        <v> </v>
      </c>
      <c r="U249" s="155" t="str">
        <f t="array" ref="U249">IFERROR(XLOOKUP(B249,'ImportaçãoGoogleAds - Adveronix'!$F:$F,'ImportaçãoGoogleAds - Adveronix'!E:E)," ")</f>
        <v> </v>
      </c>
      <c r="V249" s="156"/>
      <c r="W249" s="157"/>
      <c r="X249" s="157"/>
      <c r="Y249" s="158"/>
      <c r="Z249" s="158">
        <f>IFERROR(COUNTIFS(Leads!$L:$L,$B249,Leads!$F:$F,"*google*"),0)</f>
        <v>0</v>
      </c>
      <c r="AA249" s="158">
        <f>IFERROR(COUNTIFS(Leads!$L:$L,$B249,Leads!$F:$F,"*google*",Leads!$N:$N,"Sim"),0)</f>
        <v>0</v>
      </c>
      <c r="AB249" s="152" t="str">
        <f t="array" ref="AB249">IFERROR(XLOOKUP(B249,'ImportaçãoMeta - Adveronix'!F:F,'ImportaçãoMeta - Adveronix'!B:B),"")</f>
        <v/>
      </c>
      <c r="AC249" s="154"/>
      <c r="AD249" s="154"/>
      <c r="AE249" s="159" t="str">
        <f t="array" ref="AE249">IFERROR(XLOOKUP(B249,'ImportaçãoMeta - Adveronix'!$F:$F,'ImportaçãoMeta - Adveronix'!C:C),"")</f>
        <v/>
      </c>
      <c r="AF249" s="159" t="str">
        <f t="array" ref="AF249">IFERROR(XLOOKUP(B249,'ImportaçãoMeta - Adveronix'!$F:$F,'ImportaçãoMeta - Adveronix'!D:D),"")</f>
        <v/>
      </c>
      <c r="AG249" s="159" t="str">
        <f t="array" ref="AG249">IFERROR(XLOOKUP(B249,'ImportaçãoMeta - Adveronix'!$F:$F,'ImportaçãoMeta - Adveronix'!E:E),"")</f>
        <v/>
      </c>
      <c r="AH249" s="157"/>
      <c r="AI249" s="157"/>
      <c r="AJ249" s="156"/>
      <c r="AK249" s="160">
        <f>IFERROR(COUNTIFS(Leads!$L:$L,$B249,Leads!$F:$F,"*MetaAds"),0)</f>
        <v>0</v>
      </c>
      <c r="AL249" s="160">
        <f>IFERROR(COUNTIFS(Leads!$L:$L,$B249,Leads!$F:$F,"*MetaAds*",Leads!$N:$N,"Sim"),0)</f>
        <v>0</v>
      </c>
    </row>
    <row r="250" ht="15.75" customHeight="1">
      <c r="A250" s="149" t="str">
        <f t="array" ref="A250">XLOOKUP(MONTH(B250),BASE!$F$16:$F$27,BASE!$G$16:$G$27)</f>
        <v>Setembro</v>
      </c>
      <c r="B250" s="150">
        <v>46271.0</v>
      </c>
      <c r="C250" s="151"/>
      <c r="D250" s="149" t="str">
        <f t="shared" si="4"/>
        <v>domingo</v>
      </c>
      <c r="E250" s="152">
        <f t="shared" ref="E250:J250" si="499">IFERROR(SUM(P250,AB250)," ")</f>
        <v>0</v>
      </c>
      <c r="F250" s="152">
        <f t="shared" si="499"/>
        <v>0</v>
      </c>
      <c r="G250" s="152">
        <f t="shared" si="499"/>
        <v>0</v>
      </c>
      <c r="H250" s="153">
        <f t="shared" si="499"/>
        <v>0</v>
      </c>
      <c r="I250" s="153">
        <f t="shared" si="499"/>
        <v>0</v>
      </c>
      <c r="J250" s="153">
        <f t="shared" si="499"/>
        <v>0</v>
      </c>
      <c r="K250" s="153">
        <f t="shared" ref="K250:O250" si="500">IFERROR(SUM(W250,AH250)," ")</f>
        <v>0</v>
      </c>
      <c r="L250" s="153">
        <f t="shared" si="500"/>
        <v>0</v>
      </c>
      <c r="M250" s="153">
        <f t="shared" si="500"/>
        <v>0</v>
      </c>
      <c r="N250" s="153">
        <f t="shared" si="500"/>
        <v>0</v>
      </c>
      <c r="O250" s="153">
        <f t="shared" si="500"/>
        <v>0</v>
      </c>
      <c r="P250" s="152" t="str">
        <f t="array" ref="P250">IFERROR(XLOOKUP(B250,'ImportaçãoGoogleAds - Adveronix'!$F:$F,'ImportaçãoGoogleAds - Adveronix'!$B:$B)," ")</f>
        <v> </v>
      </c>
      <c r="Q250" s="154"/>
      <c r="R250" s="154"/>
      <c r="S250" s="155" t="str">
        <f t="array" ref="S250">IFERROR(XLOOKUP(B250,'ImportaçãoGoogleAds - Adveronix'!$F:$F,'ImportaçãoGoogleAds - Adveronix'!C:C)," ")</f>
        <v> </v>
      </c>
      <c r="T250" s="155" t="str">
        <f t="array" ref="T250">IFERROR(XLOOKUP(B250,'ImportaçãoGoogleAds - Adveronix'!$F:$F,'ImportaçãoGoogleAds - Adveronix'!D:D)," ")</f>
        <v> </v>
      </c>
      <c r="U250" s="155" t="str">
        <f t="array" ref="U250">IFERROR(XLOOKUP(B250,'ImportaçãoGoogleAds - Adveronix'!$F:$F,'ImportaçãoGoogleAds - Adveronix'!E:E)," ")</f>
        <v> </v>
      </c>
      <c r="V250" s="156"/>
      <c r="W250" s="157"/>
      <c r="X250" s="157"/>
      <c r="Y250" s="158"/>
      <c r="Z250" s="158">
        <f>IFERROR(COUNTIFS(Leads!$L:$L,$B250,Leads!$F:$F,"*google*"),0)</f>
        <v>0</v>
      </c>
      <c r="AA250" s="158">
        <f>IFERROR(COUNTIFS(Leads!$L:$L,$B250,Leads!$F:$F,"*google*",Leads!$N:$N,"Sim"),0)</f>
        <v>0</v>
      </c>
      <c r="AB250" s="152" t="str">
        <f t="array" ref="AB250">IFERROR(XLOOKUP(B250,'ImportaçãoMeta - Adveronix'!F:F,'ImportaçãoMeta - Adveronix'!B:B),"")</f>
        <v/>
      </c>
      <c r="AC250" s="154"/>
      <c r="AD250" s="154"/>
      <c r="AE250" s="159" t="str">
        <f t="array" ref="AE250">IFERROR(XLOOKUP(B250,'ImportaçãoMeta - Adveronix'!$F:$F,'ImportaçãoMeta - Adveronix'!C:C),"")</f>
        <v/>
      </c>
      <c r="AF250" s="159" t="str">
        <f t="array" ref="AF250">IFERROR(XLOOKUP(B250,'ImportaçãoMeta - Adveronix'!$F:$F,'ImportaçãoMeta - Adveronix'!D:D),"")</f>
        <v/>
      </c>
      <c r="AG250" s="159" t="str">
        <f t="array" ref="AG250">IFERROR(XLOOKUP(B250,'ImportaçãoMeta - Adveronix'!$F:$F,'ImportaçãoMeta - Adveronix'!E:E),"")</f>
        <v/>
      </c>
      <c r="AH250" s="157"/>
      <c r="AI250" s="157"/>
      <c r="AJ250" s="156"/>
      <c r="AK250" s="160">
        <f>IFERROR(COUNTIFS(Leads!$L:$L,$B250,Leads!$F:$F,"*MetaAds"),0)</f>
        <v>0</v>
      </c>
      <c r="AL250" s="160">
        <f>IFERROR(COUNTIFS(Leads!$L:$L,$B250,Leads!$F:$F,"*MetaAds*",Leads!$N:$N,"Sim"),0)</f>
        <v>0</v>
      </c>
    </row>
    <row r="251" ht="15.75" customHeight="1">
      <c r="A251" s="149" t="str">
        <f t="array" ref="A251">XLOOKUP(MONTH(B251),BASE!$F$16:$F$27,BASE!$G$16:$G$27)</f>
        <v>Setembro</v>
      </c>
      <c r="B251" s="150">
        <v>46272.0</v>
      </c>
      <c r="C251" s="151"/>
      <c r="D251" s="149" t="str">
        <f t="shared" si="4"/>
        <v>segunda-feira</v>
      </c>
      <c r="E251" s="152">
        <f t="shared" ref="E251:J251" si="501">IFERROR(SUM(P251,AB251)," ")</f>
        <v>0</v>
      </c>
      <c r="F251" s="152">
        <f t="shared" si="501"/>
        <v>0</v>
      </c>
      <c r="G251" s="152">
        <f t="shared" si="501"/>
        <v>0</v>
      </c>
      <c r="H251" s="153">
        <f t="shared" si="501"/>
        <v>0</v>
      </c>
      <c r="I251" s="153">
        <f t="shared" si="501"/>
        <v>0</v>
      </c>
      <c r="J251" s="153">
        <f t="shared" si="501"/>
        <v>0</v>
      </c>
      <c r="K251" s="153">
        <f t="shared" ref="K251:O251" si="502">IFERROR(SUM(W251,AH251)," ")</f>
        <v>0</v>
      </c>
      <c r="L251" s="153">
        <f t="shared" si="502"/>
        <v>0</v>
      </c>
      <c r="M251" s="153">
        <f t="shared" si="502"/>
        <v>0</v>
      </c>
      <c r="N251" s="153">
        <f t="shared" si="502"/>
        <v>0</v>
      </c>
      <c r="O251" s="153">
        <f t="shared" si="502"/>
        <v>0</v>
      </c>
      <c r="P251" s="152" t="str">
        <f t="array" ref="P251">IFERROR(XLOOKUP(B251,'ImportaçãoGoogleAds - Adveronix'!$F:$F,'ImportaçãoGoogleAds - Adveronix'!$B:$B)," ")</f>
        <v> </v>
      </c>
      <c r="Q251" s="154"/>
      <c r="R251" s="154"/>
      <c r="S251" s="155" t="str">
        <f t="array" ref="S251">IFERROR(XLOOKUP(B251,'ImportaçãoGoogleAds - Adveronix'!$F:$F,'ImportaçãoGoogleAds - Adveronix'!C:C)," ")</f>
        <v> </v>
      </c>
      <c r="T251" s="155" t="str">
        <f t="array" ref="T251">IFERROR(XLOOKUP(B251,'ImportaçãoGoogleAds - Adveronix'!$F:$F,'ImportaçãoGoogleAds - Adveronix'!D:D)," ")</f>
        <v> </v>
      </c>
      <c r="U251" s="155" t="str">
        <f t="array" ref="U251">IFERROR(XLOOKUP(B251,'ImportaçãoGoogleAds - Adveronix'!$F:$F,'ImportaçãoGoogleAds - Adveronix'!E:E)," ")</f>
        <v> </v>
      </c>
      <c r="V251" s="156"/>
      <c r="W251" s="157"/>
      <c r="X251" s="157"/>
      <c r="Y251" s="158"/>
      <c r="Z251" s="158">
        <f>IFERROR(COUNTIFS(Leads!$L:$L,$B251,Leads!$F:$F,"*google*"),0)</f>
        <v>0</v>
      </c>
      <c r="AA251" s="158">
        <f>IFERROR(COUNTIFS(Leads!$L:$L,$B251,Leads!$F:$F,"*google*",Leads!$N:$N,"Sim"),0)</f>
        <v>0</v>
      </c>
      <c r="AB251" s="152" t="str">
        <f t="array" ref="AB251">IFERROR(XLOOKUP(B251,'ImportaçãoMeta - Adveronix'!F:F,'ImportaçãoMeta - Adveronix'!B:B),"")</f>
        <v/>
      </c>
      <c r="AC251" s="154"/>
      <c r="AD251" s="154"/>
      <c r="AE251" s="159" t="str">
        <f t="array" ref="AE251">IFERROR(XLOOKUP(B251,'ImportaçãoMeta - Adveronix'!$F:$F,'ImportaçãoMeta - Adveronix'!C:C),"")</f>
        <v/>
      </c>
      <c r="AF251" s="159" t="str">
        <f t="array" ref="AF251">IFERROR(XLOOKUP(B251,'ImportaçãoMeta - Adveronix'!$F:$F,'ImportaçãoMeta - Adveronix'!D:D),"")</f>
        <v/>
      </c>
      <c r="AG251" s="159" t="str">
        <f t="array" ref="AG251">IFERROR(XLOOKUP(B251,'ImportaçãoMeta - Adveronix'!$F:$F,'ImportaçãoMeta - Adveronix'!E:E),"")</f>
        <v/>
      </c>
      <c r="AH251" s="157"/>
      <c r="AI251" s="157"/>
      <c r="AJ251" s="156"/>
      <c r="AK251" s="160">
        <f>IFERROR(COUNTIFS(Leads!$L:$L,$B251,Leads!$F:$F,"*MetaAds"),0)</f>
        <v>0</v>
      </c>
      <c r="AL251" s="160">
        <f>IFERROR(COUNTIFS(Leads!$L:$L,$B251,Leads!$F:$F,"*MetaAds*",Leads!$N:$N,"Sim"),0)</f>
        <v>0</v>
      </c>
    </row>
    <row r="252" ht="15.75" customHeight="1">
      <c r="A252" s="149" t="str">
        <f t="array" ref="A252">XLOOKUP(MONTH(B252),BASE!$F$16:$F$27,BASE!$G$16:$G$27)</f>
        <v>Setembro</v>
      </c>
      <c r="B252" s="150">
        <v>46273.0</v>
      </c>
      <c r="C252" s="151"/>
      <c r="D252" s="149" t="str">
        <f t="shared" si="4"/>
        <v>terça-feira</v>
      </c>
      <c r="E252" s="152">
        <f t="shared" ref="E252:J252" si="503">IFERROR(SUM(P252,AB252)," ")</f>
        <v>0</v>
      </c>
      <c r="F252" s="152">
        <f t="shared" si="503"/>
        <v>0</v>
      </c>
      <c r="G252" s="152">
        <f t="shared" si="503"/>
        <v>0</v>
      </c>
      <c r="H252" s="153">
        <f t="shared" si="503"/>
        <v>0</v>
      </c>
      <c r="I252" s="153">
        <f t="shared" si="503"/>
        <v>0</v>
      </c>
      <c r="J252" s="153">
        <f t="shared" si="503"/>
        <v>0</v>
      </c>
      <c r="K252" s="153">
        <f t="shared" ref="K252:O252" si="504">IFERROR(SUM(W252,AH252)," ")</f>
        <v>0</v>
      </c>
      <c r="L252" s="153">
        <f t="shared" si="504"/>
        <v>0</v>
      </c>
      <c r="M252" s="153">
        <f t="shared" si="504"/>
        <v>0</v>
      </c>
      <c r="N252" s="153">
        <f t="shared" si="504"/>
        <v>0</v>
      </c>
      <c r="O252" s="153">
        <f t="shared" si="504"/>
        <v>0</v>
      </c>
      <c r="P252" s="152" t="str">
        <f t="array" ref="P252">IFERROR(XLOOKUP(B252,'ImportaçãoGoogleAds - Adveronix'!$F:$F,'ImportaçãoGoogleAds - Adveronix'!$B:$B)," ")</f>
        <v> </v>
      </c>
      <c r="Q252" s="154"/>
      <c r="R252" s="154"/>
      <c r="S252" s="155" t="str">
        <f t="array" ref="S252">IFERROR(XLOOKUP(B252,'ImportaçãoGoogleAds - Adveronix'!$F:$F,'ImportaçãoGoogleAds - Adveronix'!C:C)," ")</f>
        <v> </v>
      </c>
      <c r="T252" s="155" t="str">
        <f t="array" ref="T252">IFERROR(XLOOKUP(B252,'ImportaçãoGoogleAds - Adveronix'!$F:$F,'ImportaçãoGoogleAds - Adveronix'!D:D)," ")</f>
        <v> </v>
      </c>
      <c r="U252" s="155" t="str">
        <f t="array" ref="U252">IFERROR(XLOOKUP(B252,'ImportaçãoGoogleAds - Adveronix'!$F:$F,'ImportaçãoGoogleAds - Adveronix'!E:E)," ")</f>
        <v> </v>
      </c>
      <c r="V252" s="156"/>
      <c r="W252" s="157"/>
      <c r="X252" s="157"/>
      <c r="Y252" s="158"/>
      <c r="Z252" s="158">
        <f>IFERROR(COUNTIFS(Leads!$L:$L,$B252,Leads!$F:$F,"*google*"),0)</f>
        <v>0</v>
      </c>
      <c r="AA252" s="158">
        <f>IFERROR(COUNTIFS(Leads!$L:$L,$B252,Leads!$F:$F,"*google*",Leads!$N:$N,"Sim"),0)</f>
        <v>0</v>
      </c>
      <c r="AB252" s="152" t="str">
        <f t="array" ref="AB252">IFERROR(XLOOKUP(B252,'ImportaçãoMeta - Adveronix'!F:F,'ImportaçãoMeta - Adveronix'!B:B),"")</f>
        <v/>
      </c>
      <c r="AC252" s="154"/>
      <c r="AD252" s="154"/>
      <c r="AE252" s="159" t="str">
        <f t="array" ref="AE252">IFERROR(XLOOKUP(B252,'ImportaçãoMeta - Adveronix'!$F:$F,'ImportaçãoMeta - Adveronix'!C:C),"")</f>
        <v/>
      </c>
      <c r="AF252" s="159" t="str">
        <f t="array" ref="AF252">IFERROR(XLOOKUP(B252,'ImportaçãoMeta - Adveronix'!$F:$F,'ImportaçãoMeta - Adveronix'!D:D),"")</f>
        <v/>
      </c>
      <c r="AG252" s="159" t="str">
        <f t="array" ref="AG252">IFERROR(XLOOKUP(B252,'ImportaçãoMeta - Adveronix'!$F:$F,'ImportaçãoMeta - Adveronix'!E:E),"")</f>
        <v/>
      </c>
      <c r="AH252" s="157"/>
      <c r="AI252" s="157"/>
      <c r="AJ252" s="156"/>
      <c r="AK252" s="160">
        <f>IFERROR(COUNTIFS(Leads!$L:$L,$B252,Leads!$F:$F,"*MetaAds"),0)</f>
        <v>0</v>
      </c>
      <c r="AL252" s="160">
        <f>IFERROR(COUNTIFS(Leads!$L:$L,$B252,Leads!$F:$F,"*MetaAds*",Leads!$N:$N,"Sim"),0)</f>
        <v>0</v>
      </c>
    </row>
    <row r="253" ht="15.75" customHeight="1">
      <c r="A253" s="149" t="str">
        <f t="array" ref="A253">XLOOKUP(MONTH(B253),BASE!$F$16:$F$27,BASE!$G$16:$G$27)</f>
        <v>Setembro</v>
      </c>
      <c r="B253" s="150">
        <v>46274.0</v>
      </c>
      <c r="C253" s="151"/>
      <c r="D253" s="149" t="str">
        <f t="shared" si="4"/>
        <v>quarta-feira</v>
      </c>
      <c r="E253" s="152">
        <f t="shared" ref="E253:J253" si="505">IFERROR(SUM(P253,AB253)," ")</f>
        <v>0</v>
      </c>
      <c r="F253" s="152">
        <f t="shared" si="505"/>
        <v>0</v>
      </c>
      <c r="G253" s="152">
        <f t="shared" si="505"/>
        <v>0</v>
      </c>
      <c r="H253" s="153">
        <f t="shared" si="505"/>
        <v>0</v>
      </c>
      <c r="I253" s="153">
        <f t="shared" si="505"/>
        <v>0</v>
      </c>
      <c r="J253" s="153">
        <f t="shared" si="505"/>
        <v>0</v>
      </c>
      <c r="K253" s="153">
        <f t="shared" ref="K253:O253" si="506">IFERROR(SUM(W253,AH253)," ")</f>
        <v>0</v>
      </c>
      <c r="L253" s="153">
        <f t="shared" si="506"/>
        <v>0</v>
      </c>
      <c r="M253" s="153">
        <f t="shared" si="506"/>
        <v>0</v>
      </c>
      <c r="N253" s="153">
        <f t="shared" si="506"/>
        <v>0</v>
      </c>
      <c r="O253" s="153">
        <f t="shared" si="506"/>
        <v>0</v>
      </c>
      <c r="P253" s="152" t="str">
        <f t="array" ref="P253">IFERROR(XLOOKUP(B253,'ImportaçãoGoogleAds - Adveronix'!$F:$F,'ImportaçãoGoogleAds - Adveronix'!$B:$B)," ")</f>
        <v> </v>
      </c>
      <c r="Q253" s="154"/>
      <c r="R253" s="154"/>
      <c r="S253" s="155" t="str">
        <f t="array" ref="S253">IFERROR(XLOOKUP(B253,'ImportaçãoGoogleAds - Adveronix'!$F:$F,'ImportaçãoGoogleAds - Adveronix'!C:C)," ")</f>
        <v> </v>
      </c>
      <c r="T253" s="155" t="str">
        <f t="array" ref="T253">IFERROR(XLOOKUP(B253,'ImportaçãoGoogleAds - Adveronix'!$F:$F,'ImportaçãoGoogleAds - Adveronix'!D:D)," ")</f>
        <v> </v>
      </c>
      <c r="U253" s="155" t="str">
        <f t="array" ref="U253">IFERROR(XLOOKUP(B253,'ImportaçãoGoogleAds - Adveronix'!$F:$F,'ImportaçãoGoogleAds - Adveronix'!E:E)," ")</f>
        <v> </v>
      </c>
      <c r="V253" s="156"/>
      <c r="W253" s="157"/>
      <c r="X253" s="157"/>
      <c r="Y253" s="158"/>
      <c r="Z253" s="158">
        <f>IFERROR(COUNTIFS(Leads!$L:$L,$B253,Leads!$F:$F,"*google*"),0)</f>
        <v>0</v>
      </c>
      <c r="AA253" s="158">
        <f>IFERROR(COUNTIFS(Leads!$L:$L,$B253,Leads!$F:$F,"*google*",Leads!$N:$N,"Sim"),0)</f>
        <v>0</v>
      </c>
      <c r="AB253" s="152" t="str">
        <f t="array" ref="AB253">IFERROR(XLOOKUP(B253,'ImportaçãoMeta - Adveronix'!F:F,'ImportaçãoMeta - Adveronix'!B:B),"")</f>
        <v/>
      </c>
      <c r="AC253" s="154"/>
      <c r="AD253" s="154"/>
      <c r="AE253" s="159" t="str">
        <f t="array" ref="AE253">IFERROR(XLOOKUP(B253,'ImportaçãoMeta - Adveronix'!$F:$F,'ImportaçãoMeta - Adveronix'!C:C),"")</f>
        <v/>
      </c>
      <c r="AF253" s="159" t="str">
        <f t="array" ref="AF253">IFERROR(XLOOKUP(B253,'ImportaçãoMeta - Adveronix'!$F:$F,'ImportaçãoMeta - Adveronix'!D:D),"")</f>
        <v/>
      </c>
      <c r="AG253" s="159" t="str">
        <f t="array" ref="AG253">IFERROR(XLOOKUP(B253,'ImportaçãoMeta - Adveronix'!$F:$F,'ImportaçãoMeta - Adveronix'!E:E),"")</f>
        <v/>
      </c>
      <c r="AH253" s="157"/>
      <c r="AI253" s="157"/>
      <c r="AJ253" s="156"/>
      <c r="AK253" s="160">
        <f>IFERROR(COUNTIFS(Leads!$L:$L,$B253,Leads!$F:$F,"*MetaAds"),0)</f>
        <v>0</v>
      </c>
      <c r="AL253" s="160">
        <f>IFERROR(COUNTIFS(Leads!$L:$L,$B253,Leads!$F:$F,"*MetaAds*",Leads!$N:$N,"Sim"),0)</f>
        <v>0</v>
      </c>
    </row>
    <row r="254" ht="15.75" customHeight="1">
      <c r="A254" s="149" t="str">
        <f t="array" ref="A254">XLOOKUP(MONTH(B254),BASE!$F$16:$F$27,BASE!$G$16:$G$27)</f>
        <v>Setembro</v>
      </c>
      <c r="B254" s="150">
        <v>46275.0</v>
      </c>
      <c r="C254" s="151"/>
      <c r="D254" s="149" t="str">
        <f t="shared" si="4"/>
        <v>quinta-feira</v>
      </c>
      <c r="E254" s="152">
        <f t="shared" ref="E254:J254" si="507">IFERROR(SUM(P254,AB254)," ")</f>
        <v>0</v>
      </c>
      <c r="F254" s="152">
        <f t="shared" si="507"/>
        <v>0</v>
      </c>
      <c r="G254" s="152">
        <f t="shared" si="507"/>
        <v>0</v>
      </c>
      <c r="H254" s="153">
        <f t="shared" si="507"/>
        <v>0</v>
      </c>
      <c r="I254" s="153">
        <f t="shared" si="507"/>
        <v>0</v>
      </c>
      <c r="J254" s="153">
        <f t="shared" si="507"/>
        <v>0</v>
      </c>
      <c r="K254" s="153">
        <f t="shared" ref="K254:O254" si="508">IFERROR(SUM(W254,AH254)," ")</f>
        <v>0</v>
      </c>
      <c r="L254" s="153">
        <f t="shared" si="508"/>
        <v>0</v>
      </c>
      <c r="M254" s="153">
        <f t="shared" si="508"/>
        <v>0</v>
      </c>
      <c r="N254" s="153">
        <f t="shared" si="508"/>
        <v>0</v>
      </c>
      <c r="O254" s="153">
        <f t="shared" si="508"/>
        <v>0</v>
      </c>
      <c r="P254" s="152" t="str">
        <f t="array" ref="P254">IFERROR(XLOOKUP(B254,'ImportaçãoGoogleAds - Adveronix'!$F:$F,'ImportaçãoGoogleAds - Adveronix'!$B:$B)," ")</f>
        <v> </v>
      </c>
      <c r="Q254" s="154"/>
      <c r="R254" s="154"/>
      <c r="S254" s="155" t="str">
        <f t="array" ref="S254">IFERROR(XLOOKUP(B254,'ImportaçãoGoogleAds - Adveronix'!$F:$F,'ImportaçãoGoogleAds - Adveronix'!C:C)," ")</f>
        <v> </v>
      </c>
      <c r="T254" s="155" t="str">
        <f t="array" ref="T254">IFERROR(XLOOKUP(B254,'ImportaçãoGoogleAds - Adveronix'!$F:$F,'ImportaçãoGoogleAds - Adveronix'!D:D)," ")</f>
        <v> </v>
      </c>
      <c r="U254" s="155" t="str">
        <f t="array" ref="U254">IFERROR(XLOOKUP(B254,'ImportaçãoGoogleAds - Adveronix'!$F:$F,'ImportaçãoGoogleAds - Adveronix'!E:E)," ")</f>
        <v> </v>
      </c>
      <c r="V254" s="156"/>
      <c r="W254" s="157"/>
      <c r="X254" s="157"/>
      <c r="Y254" s="158"/>
      <c r="Z254" s="158">
        <f>IFERROR(COUNTIFS(Leads!$L:$L,$B254,Leads!$F:$F,"*google*"),0)</f>
        <v>0</v>
      </c>
      <c r="AA254" s="158">
        <f>IFERROR(COUNTIFS(Leads!$L:$L,$B254,Leads!$F:$F,"*google*",Leads!$N:$N,"Sim"),0)</f>
        <v>0</v>
      </c>
      <c r="AB254" s="152" t="str">
        <f t="array" ref="AB254">IFERROR(XLOOKUP(B254,'ImportaçãoMeta - Adveronix'!F:F,'ImportaçãoMeta - Adveronix'!B:B),"")</f>
        <v/>
      </c>
      <c r="AC254" s="154"/>
      <c r="AD254" s="154"/>
      <c r="AE254" s="159" t="str">
        <f t="array" ref="AE254">IFERROR(XLOOKUP(B254,'ImportaçãoMeta - Adveronix'!$F:$F,'ImportaçãoMeta - Adveronix'!C:C),"")</f>
        <v/>
      </c>
      <c r="AF254" s="159" t="str">
        <f t="array" ref="AF254">IFERROR(XLOOKUP(B254,'ImportaçãoMeta - Adveronix'!$F:$F,'ImportaçãoMeta - Adveronix'!D:D),"")</f>
        <v/>
      </c>
      <c r="AG254" s="159" t="str">
        <f t="array" ref="AG254">IFERROR(XLOOKUP(B254,'ImportaçãoMeta - Adveronix'!$F:$F,'ImportaçãoMeta - Adveronix'!E:E),"")</f>
        <v/>
      </c>
      <c r="AH254" s="157"/>
      <c r="AI254" s="157"/>
      <c r="AJ254" s="156"/>
      <c r="AK254" s="160">
        <f>IFERROR(COUNTIFS(Leads!$L:$L,$B254,Leads!$F:$F,"*MetaAds"),0)</f>
        <v>0</v>
      </c>
      <c r="AL254" s="160">
        <f>IFERROR(COUNTIFS(Leads!$L:$L,$B254,Leads!$F:$F,"*MetaAds*",Leads!$N:$N,"Sim"),0)</f>
        <v>0</v>
      </c>
    </row>
    <row r="255" ht="15.75" customHeight="1">
      <c r="A255" s="149" t="str">
        <f t="array" ref="A255">XLOOKUP(MONTH(B255),BASE!$F$16:$F$27,BASE!$G$16:$G$27)</f>
        <v>Setembro</v>
      </c>
      <c r="B255" s="150">
        <v>46276.0</v>
      </c>
      <c r="C255" s="151"/>
      <c r="D255" s="149" t="str">
        <f t="shared" si="4"/>
        <v>sexta-feira</v>
      </c>
      <c r="E255" s="152">
        <f t="shared" ref="E255:J255" si="509">IFERROR(SUM(P255,AB255)," ")</f>
        <v>0</v>
      </c>
      <c r="F255" s="152">
        <f t="shared" si="509"/>
        <v>0</v>
      </c>
      <c r="G255" s="152">
        <f t="shared" si="509"/>
        <v>0</v>
      </c>
      <c r="H255" s="153">
        <f t="shared" si="509"/>
        <v>0</v>
      </c>
      <c r="I255" s="153">
        <f t="shared" si="509"/>
        <v>0</v>
      </c>
      <c r="J255" s="153">
        <f t="shared" si="509"/>
        <v>0</v>
      </c>
      <c r="K255" s="153">
        <f t="shared" ref="K255:O255" si="510">IFERROR(SUM(W255,AH255)," ")</f>
        <v>0</v>
      </c>
      <c r="L255" s="153">
        <f t="shared" si="510"/>
        <v>0</v>
      </c>
      <c r="M255" s="153">
        <f t="shared" si="510"/>
        <v>0</v>
      </c>
      <c r="N255" s="153">
        <f t="shared" si="510"/>
        <v>0</v>
      </c>
      <c r="O255" s="153">
        <f t="shared" si="510"/>
        <v>0</v>
      </c>
      <c r="P255" s="152" t="str">
        <f t="array" ref="P255">IFERROR(XLOOKUP(B255,'ImportaçãoGoogleAds - Adveronix'!$F:$F,'ImportaçãoGoogleAds - Adveronix'!$B:$B)," ")</f>
        <v> </v>
      </c>
      <c r="Q255" s="154"/>
      <c r="R255" s="154"/>
      <c r="S255" s="155" t="str">
        <f t="array" ref="S255">IFERROR(XLOOKUP(B255,'ImportaçãoGoogleAds - Adveronix'!$F:$F,'ImportaçãoGoogleAds - Adveronix'!C:C)," ")</f>
        <v> </v>
      </c>
      <c r="T255" s="155" t="str">
        <f t="array" ref="T255">IFERROR(XLOOKUP(B255,'ImportaçãoGoogleAds - Adveronix'!$F:$F,'ImportaçãoGoogleAds - Adveronix'!D:D)," ")</f>
        <v> </v>
      </c>
      <c r="U255" s="155" t="str">
        <f t="array" ref="U255">IFERROR(XLOOKUP(B255,'ImportaçãoGoogleAds - Adveronix'!$F:$F,'ImportaçãoGoogleAds - Adveronix'!E:E)," ")</f>
        <v> </v>
      </c>
      <c r="V255" s="156"/>
      <c r="W255" s="157"/>
      <c r="X255" s="157"/>
      <c r="Y255" s="158"/>
      <c r="Z255" s="158">
        <f>IFERROR(COUNTIFS(Leads!$L:$L,$B255,Leads!$F:$F,"*google*"),0)</f>
        <v>0</v>
      </c>
      <c r="AA255" s="158">
        <f>IFERROR(COUNTIFS(Leads!$L:$L,$B255,Leads!$F:$F,"*google*",Leads!$N:$N,"Sim"),0)</f>
        <v>0</v>
      </c>
      <c r="AB255" s="152" t="str">
        <f t="array" ref="AB255">IFERROR(XLOOKUP(B255,'ImportaçãoMeta - Adveronix'!F:F,'ImportaçãoMeta - Adveronix'!B:B),"")</f>
        <v/>
      </c>
      <c r="AC255" s="154"/>
      <c r="AD255" s="154"/>
      <c r="AE255" s="159" t="str">
        <f t="array" ref="AE255">IFERROR(XLOOKUP(B255,'ImportaçãoMeta - Adveronix'!$F:$F,'ImportaçãoMeta - Adveronix'!C:C),"")</f>
        <v/>
      </c>
      <c r="AF255" s="159" t="str">
        <f t="array" ref="AF255">IFERROR(XLOOKUP(B255,'ImportaçãoMeta - Adveronix'!$F:$F,'ImportaçãoMeta - Adveronix'!D:D),"")</f>
        <v/>
      </c>
      <c r="AG255" s="159" t="str">
        <f t="array" ref="AG255">IFERROR(XLOOKUP(B255,'ImportaçãoMeta - Adveronix'!$F:$F,'ImportaçãoMeta - Adveronix'!E:E),"")</f>
        <v/>
      </c>
      <c r="AH255" s="157"/>
      <c r="AI255" s="157"/>
      <c r="AJ255" s="156"/>
      <c r="AK255" s="160">
        <f>IFERROR(COUNTIFS(Leads!$L:$L,$B255,Leads!$F:$F,"*MetaAds"),0)</f>
        <v>0</v>
      </c>
      <c r="AL255" s="160">
        <f>IFERROR(COUNTIFS(Leads!$L:$L,$B255,Leads!$F:$F,"*MetaAds*",Leads!$N:$N,"Sim"),0)</f>
        <v>0</v>
      </c>
    </row>
    <row r="256" ht="15.75" customHeight="1">
      <c r="A256" s="149" t="str">
        <f t="array" ref="A256">XLOOKUP(MONTH(B256),BASE!$F$16:$F$27,BASE!$G$16:$G$27)</f>
        <v>Setembro</v>
      </c>
      <c r="B256" s="150">
        <v>46277.0</v>
      </c>
      <c r="C256" s="151"/>
      <c r="D256" s="149" t="str">
        <f t="shared" si="4"/>
        <v>sábado</v>
      </c>
      <c r="E256" s="152">
        <f t="shared" ref="E256:J256" si="511">IFERROR(SUM(P256,AB256)," ")</f>
        <v>0</v>
      </c>
      <c r="F256" s="152">
        <f t="shared" si="511"/>
        <v>0</v>
      </c>
      <c r="G256" s="152">
        <f t="shared" si="511"/>
        <v>0</v>
      </c>
      <c r="H256" s="153">
        <f t="shared" si="511"/>
        <v>0</v>
      </c>
      <c r="I256" s="153">
        <f t="shared" si="511"/>
        <v>0</v>
      </c>
      <c r="J256" s="153">
        <f t="shared" si="511"/>
        <v>0</v>
      </c>
      <c r="K256" s="153">
        <f t="shared" ref="K256:O256" si="512">IFERROR(SUM(W256,AH256)," ")</f>
        <v>0</v>
      </c>
      <c r="L256" s="153">
        <f t="shared" si="512"/>
        <v>0</v>
      </c>
      <c r="M256" s="153">
        <f t="shared" si="512"/>
        <v>0</v>
      </c>
      <c r="N256" s="153">
        <f t="shared" si="512"/>
        <v>0</v>
      </c>
      <c r="O256" s="153">
        <f t="shared" si="512"/>
        <v>0</v>
      </c>
      <c r="P256" s="152" t="str">
        <f t="array" ref="P256">IFERROR(XLOOKUP(B256,'ImportaçãoGoogleAds - Adveronix'!$F:$F,'ImportaçãoGoogleAds - Adveronix'!$B:$B)," ")</f>
        <v> </v>
      </c>
      <c r="Q256" s="154"/>
      <c r="R256" s="154"/>
      <c r="S256" s="155" t="str">
        <f t="array" ref="S256">IFERROR(XLOOKUP(B256,'ImportaçãoGoogleAds - Adveronix'!$F:$F,'ImportaçãoGoogleAds - Adveronix'!C:C)," ")</f>
        <v> </v>
      </c>
      <c r="T256" s="155" t="str">
        <f t="array" ref="T256">IFERROR(XLOOKUP(B256,'ImportaçãoGoogleAds - Adveronix'!$F:$F,'ImportaçãoGoogleAds - Adveronix'!D:D)," ")</f>
        <v> </v>
      </c>
      <c r="U256" s="155" t="str">
        <f t="array" ref="U256">IFERROR(XLOOKUP(B256,'ImportaçãoGoogleAds - Adveronix'!$F:$F,'ImportaçãoGoogleAds - Adveronix'!E:E)," ")</f>
        <v> </v>
      </c>
      <c r="V256" s="156"/>
      <c r="W256" s="157"/>
      <c r="X256" s="157"/>
      <c r="Y256" s="158"/>
      <c r="Z256" s="158">
        <f>IFERROR(COUNTIFS(Leads!$L:$L,$B256,Leads!$F:$F,"*google*"),0)</f>
        <v>0</v>
      </c>
      <c r="AA256" s="158">
        <f>IFERROR(COUNTIFS(Leads!$L:$L,$B256,Leads!$F:$F,"*google*",Leads!$N:$N,"Sim"),0)</f>
        <v>0</v>
      </c>
      <c r="AB256" s="152" t="str">
        <f t="array" ref="AB256">IFERROR(XLOOKUP(B256,'ImportaçãoMeta - Adveronix'!F:F,'ImportaçãoMeta - Adveronix'!B:B),"")</f>
        <v/>
      </c>
      <c r="AC256" s="154"/>
      <c r="AD256" s="154"/>
      <c r="AE256" s="159" t="str">
        <f t="array" ref="AE256">IFERROR(XLOOKUP(B256,'ImportaçãoMeta - Adveronix'!$F:$F,'ImportaçãoMeta - Adveronix'!C:C),"")</f>
        <v/>
      </c>
      <c r="AF256" s="159" t="str">
        <f t="array" ref="AF256">IFERROR(XLOOKUP(B256,'ImportaçãoMeta - Adveronix'!$F:$F,'ImportaçãoMeta - Adveronix'!D:D),"")</f>
        <v/>
      </c>
      <c r="AG256" s="159" t="str">
        <f t="array" ref="AG256">IFERROR(XLOOKUP(B256,'ImportaçãoMeta - Adveronix'!$F:$F,'ImportaçãoMeta - Adveronix'!E:E),"")</f>
        <v/>
      </c>
      <c r="AH256" s="157"/>
      <c r="AI256" s="157"/>
      <c r="AJ256" s="156"/>
      <c r="AK256" s="160">
        <f>IFERROR(COUNTIFS(Leads!$L:$L,$B256,Leads!$F:$F,"*MetaAds"),0)</f>
        <v>0</v>
      </c>
      <c r="AL256" s="160">
        <f>IFERROR(COUNTIFS(Leads!$L:$L,$B256,Leads!$F:$F,"*MetaAds*",Leads!$N:$N,"Sim"),0)</f>
        <v>0</v>
      </c>
    </row>
    <row r="257" ht="15.75" customHeight="1">
      <c r="A257" s="149" t="str">
        <f t="array" ref="A257">XLOOKUP(MONTH(B257),BASE!$F$16:$F$27,BASE!$G$16:$G$27)</f>
        <v>Setembro</v>
      </c>
      <c r="B257" s="150">
        <v>46278.0</v>
      </c>
      <c r="C257" s="151"/>
      <c r="D257" s="149" t="str">
        <f t="shared" si="4"/>
        <v>domingo</v>
      </c>
      <c r="E257" s="152">
        <f t="shared" ref="E257:J257" si="513">IFERROR(SUM(P257,AB257)," ")</f>
        <v>0</v>
      </c>
      <c r="F257" s="152">
        <f t="shared" si="513"/>
        <v>0</v>
      </c>
      <c r="G257" s="152">
        <f t="shared" si="513"/>
        <v>0</v>
      </c>
      <c r="H257" s="153">
        <f t="shared" si="513"/>
        <v>0</v>
      </c>
      <c r="I257" s="153">
        <f t="shared" si="513"/>
        <v>0</v>
      </c>
      <c r="J257" s="153">
        <f t="shared" si="513"/>
        <v>0</v>
      </c>
      <c r="K257" s="153">
        <f t="shared" ref="K257:O257" si="514">IFERROR(SUM(W257,AH257)," ")</f>
        <v>0</v>
      </c>
      <c r="L257" s="153">
        <f t="shared" si="514"/>
        <v>0</v>
      </c>
      <c r="M257" s="153">
        <f t="shared" si="514"/>
        <v>0</v>
      </c>
      <c r="N257" s="153">
        <f t="shared" si="514"/>
        <v>0</v>
      </c>
      <c r="O257" s="153">
        <f t="shared" si="514"/>
        <v>0</v>
      </c>
      <c r="P257" s="152" t="str">
        <f t="array" ref="P257">IFERROR(XLOOKUP(B257,'ImportaçãoGoogleAds - Adveronix'!$F:$F,'ImportaçãoGoogleAds - Adveronix'!$B:$B)," ")</f>
        <v> </v>
      </c>
      <c r="Q257" s="154"/>
      <c r="R257" s="154"/>
      <c r="S257" s="155" t="str">
        <f t="array" ref="S257">IFERROR(XLOOKUP(B257,'ImportaçãoGoogleAds - Adveronix'!$F:$F,'ImportaçãoGoogleAds - Adveronix'!C:C)," ")</f>
        <v> </v>
      </c>
      <c r="T257" s="155" t="str">
        <f t="array" ref="T257">IFERROR(XLOOKUP(B257,'ImportaçãoGoogleAds - Adveronix'!$F:$F,'ImportaçãoGoogleAds - Adveronix'!D:D)," ")</f>
        <v> </v>
      </c>
      <c r="U257" s="155" t="str">
        <f t="array" ref="U257">IFERROR(XLOOKUP(B257,'ImportaçãoGoogleAds - Adveronix'!$F:$F,'ImportaçãoGoogleAds - Adveronix'!E:E)," ")</f>
        <v> </v>
      </c>
      <c r="V257" s="156"/>
      <c r="W257" s="157"/>
      <c r="X257" s="157"/>
      <c r="Y257" s="158"/>
      <c r="Z257" s="158">
        <f>IFERROR(COUNTIFS(Leads!$L:$L,$B257,Leads!$F:$F,"*google*"),0)</f>
        <v>0</v>
      </c>
      <c r="AA257" s="158">
        <f>IFERROR(COUNTIFS(Leads!$L:$L,$B257,Leads!$F:$F,"*google*",Leads!$N:$N,"Sim"),0)</f>
        <v>0</v>
      </c>
      <c r="AB257" s="152" t="str">
        <f t="array" ref="AB257">IFERROR(XLOOKUP(B257,'ImportaçãoMeta - Adveronix'!F:F,'ImportaçãoMeta - Adveronix'!B:B),"")</f>
        <v/>
      </c>
      <c r="AC257" s="154"/>
      <c r="AD257" s="154"/>
      <c r="AE257" s="159" t="str">
        <f t="array" ref="AE257">IFERROR(XLOOKUP(B257,'ImportaçãoMeta - Adveronix'!$F:$F,'ImportaçãoMeta - Adveronix'!C:C),"")</f>
        <v/>
      </c>
      <c r="AF257" s="159" t="str">
        <f t="array" ref="AF257">IFERROR(XLOOKUP(B257,'ImportaçãoMeta - Adveronix'!$F:$F,'ImportaçãoMeta - Adveronix'!D:D),"")</f>
        <v/>
      </c>
      <c r="AG257" s="159" t="str">
        <f t="array" ref="AG257">IFERROR(XLOOKUP(B257,'ImportaçãoMeta - Adveronix'!$F:$F,'ImportaçãoMeta - Adveronix'!E:E),"")</f>
        <v/>
      </c>
      <c r="AH257" s="157"/>
      <c r="AI257" s="157"/>
      <c r="AJ257" s="156"/>
      <c r="AK257" s="160">
        <f>IFERROR(COUNTIFS(Leads!$L:$L,$B257,Leads!$F:$F,"*MetaAds"),0)</f>
        <v>0</v>
      </c>
      <c r="AL257" s="160">
        <f>IFERROR(COUNTIFS(Leads!$L:$L,$B257,Leads!$F:$F,"*MetaAds*",Leads!$N:$N,"Sim"),0)</f>
        <v>0</v>
      </c>
    </row>
    <row r="258" ht="15.75" customHeight="1">
      <c r="A258" s="149" t="str">
        <f t="array" ref="A258">XLOOKUP(MONTH(B258),BASE!$F$16:$F$27,BASE!$G$16:$G$27)</f>
        <v>Setembro</v>
      </c>
      <c r="B258" s="150">
        <v>46279.0</v>
      </c>
      <c r="C258" s="151"/>
      <c r="D258" s="149" t="str">
        <f t="shared" si="4"/>
        <v>segunda-feira</v>
      </c>
      <c r="E258" s="152">
        <f t="shared" ref="E258:J258" si="515">IFERROR(SUM(P258,AB258)," ")</f>
        <v>0</v>
      </c>
      <c r="F258" s="152">
        <f t="shared" si="515"/>
        <v>0</v>
      </c>
      <c r="G258" s="152">
        <f t="shared" si="515"/>
        <v>0</v>
      </c>
      <c r="H258" s="153">
        <f t="shared" si="515"/>
        <v>0</v>
      </c>
      <c r="I258" s="153">
        <f t="shared" si="515"/>
        <v>0</v>
      </c>
      <c r="J258" s="153">
        <f t="shared" si="515"/>
        <v>0</v>
      </c>
      <c r="K258" s="153">
        <f t="shared" ref="K258:O258" si="516">IFERROR(SUM(W258,AH258)," ")</f>
        <v>0</v>
      </c>
      <c r="L258" s="153">
        <f t="shared" si="516"/>
        <v>0</v>
      </c>
      <c r="M258" s="153">
        <f t="shared" si="516"/>
        <v>0</v>
      </c>
      <c r="N258" s="153">
        <f t="shared" si="516"/>
        <v>0</v>
      </c>
      <c r="O258" s="153">
        <f t="shared" si="516"/>
        <v>0</v>
      </c>
      <c r="P258" s="152" t="str">
        <f t="array" ref="P258">IFERROR(XLOOKUP(B258,'ImportaçãoGoogleAds - Adveronix'!$F:$F,'ImportaçãoGoogleAds - Adveronix'!$B:$B)," ")</f>
        <v> </v>
      </c>
      <c r="Q258" s="154"/>
      <c r="R258" s="154"/>
      <c r="S258" s="155" t="str">
        <f t="array" ref="S258">IFERROR(XLOOKUP(B258,'ImportaçãoGoogleAds - Adveronix'!$F:$F,'ImportaçãoGoogleAds - Adveronix'!C:C)," ")</f>
        <v> </v>
      </c>
      <c r="T258" s="155" t="str">
        <f t="array" ref="T258">IFERROR(XLOOKUP(B258,'ImportaçãoGoogleAds - Adveronix'!$F:$F,'ImportaçãoGoogleAds - Adveronix'!D:D)," ")</f>
        <v> </v>
      </c>
      <c r="U258" s="155" t="str">
        <f t="array" ref="U258">IFERROR(XLOOKUP(B258,'ImportaçãoGoogleAds - Adveronix'!$F:$F,'ImportaçãoGoogleAds - Adveronix'!E:E)," ")</f>
        <v> </v>
      </c>
      <c r="V258" s="156"/>
      <c r="W258" s="157"/>
      <c r="X258" s="157"/>
      <c r="Y258" s="158"/>
      <c r="Z258" s="158">
        <f>IFERROR(COUNTIFS(Leads!$L:$L,$B258,Leads!$F:$F,"*google*"),0)</f>
        <v>0</v>
      </c>
      <c r="AA258" s="158">
        <f>IFERROR(COUNTIFS(Leads!$L:$L,$B258,Leads!$F:$F,"*google*",Leads!$N:$N,"Sim"),0)</f>
        <v>0</v>
      </c>
      <c r="AB258" s="152" t="str">
        <f t="array" ref="AB258">IFERROR(XLOOKUP(B258,'ImportaçãoMeta - Adveronix'!F:F,'ImportaçãoMeta - Adveronix'!B:B),"")</f>
        <v/>
      </c>
      <c r="AC258" s="154"/>
      <c r="AD258" s="154"/>
      <c r="AE258" s="159" t="str">
        <f t="array" ref="AE258">IFERROR(XLOOKUP(B258,'ImportaçãoMeta - Adveronix'!$F:$F,'ImportaçãoMeta - Adveronix'!C:C),"")</f>
        <v/>
      </c>
      <c r="AF258" s="159" t="str">
        <f t="array" ref="AF258">IFERROR(XLOOKUP(B258,'ImportaçãoMeta - Adveronix'!$F:$F,'ImportaçãoMeta - Adveronix'!D:D),"")</f>
        <v/>
      </c>
      <c r="AG258" s="159" t="str">
        <f t="array" ref="AG258">IFERROR(XLOOKUP(B258,'ImportaçãoMeta - Adveronix'!$F:$F,'ImportaçãoMeta - Adveronix'!E:E),"")</f>
        <v/>
      </c>
      <c r="AH258" s="157"/>
      <c r="AI258" s="157"/>
      <c r="AJ258" s="156"/>
      <c r="AK258" s="160">
        <f>IFERROR(COUNTIFS(Leads!$L:$L,$B258,Leads!$F:$F,"*MetaAds"),0)</f>
        <v>0</v>
      </c>
      <c r="AL258" s="160">
        <f>IFERROR(COUNTIFS(Leads!$L:$L,$B258,Leads!$F:$F,"*MetaAds*",Leads!$N:$N,"Sim"),0)</f>
        <v>0</v>
      </c>
    </row>
    <row r="259" ht="15.75" customHeight="1">
      <c r="A259" s="149" t="str">
        <f t="array" ref="A259">XLOOKUP(MONTH(B259),BASE!$F$16:$F$27,BASE!$G$16:$G$27)</f>
        <v>Setembro</v>
      </c>
      <c r="B259" s="150">
        <v>46280.0</v>
      </c>
      <c r="C259" s="151"/>
      <c r="D259" s="149" t="str">
        <f t="shared" si="4"/>
        <v>terça-feira</v>
      </c>
      <c r="E259" s="152">
        <f t="shared" ref="E259:J259" si="517">IFERROR(SUM(P259,AB259)," ")</f>
        <v>0</v>
      </c>
      <c r="F259" s="152">
        <f t="shared" si="517"/>
        <v>0</v>
      </c>
      <c r="G259" s="152">
        <f t="shared" si="517"/>
        <v>0</v>
      </c>
      <c r="H259" s="153">
        <f t="shared" si="517"/>
        <v>0</v>
      </c>
      <c r="I259" s="153">
        <f t="shared" si="517"/>
        <v>0</v>
      </c>
      <c r="J259" s="153">
        <f t="shared" si="517"/>
        <v>0</v>
      </c>
      <c r="K259" s="153">
        <f t="shared" ref="K259:O259" si="518">IFERROR(SUM(W259,AH259)," ")</f>
        <v>0</v>
      </c>
      <c r="L259" s="153">
        <f t="shared" si="518"/>
        <v>0</v>
      </c>
      <c r="M259" s="153">
        <f t="shared" si="518"/>
        <v>0</v>
      </c>
      <c r="N259" s="153">
        <f t="shared" si="518"/>
        <v>0</v>
      </c>
      <c r="O259" s="153">
        <f t="shared" si="518"/>
        <v>0</v>
      </c>
      <c r="P259" s="152" t="str">
        <f t="array" ref="P259">IFERROR(XLOOKUP(B259,'ImportaçãoGoogleAds - Adveronix'!$F:$F,'ImportaçãoGoogleAds - Adveronix'!$B:$B)," ")</f>
        <v> </v>
      </c>
      <c r="Q259" s="154"/>
      <c r="R259" s="154"/>
      <c r="S259" s="155" t="str">
        <f t="array" ref="S259">IFERROR(XLOOKUP(B259,'ImportaçãoGoogleAds - Adveronix'!$F:$F,'ImportaçãoGoogleAds - Adveronix'!C:C)," ")</f>
        <v> </v>
      </c>
      <c r="T259" s="155" t="str">
        <f t="array" ref="T259">IFERROR(XLOOKUP(B259,'ImportaçãoGoogleAds - Adveronix'!$F:$F,'ImportaçãoGoogleAds - Adveronix'!D:D)," ")</f>
        <v> </v>
      </c>
      <c r="U259" s="155" t="str">
        <f t="array" ref="U259">IFERROR(XLOOKUP(B259,'ImportaçãoGoogleAds - Adveronix'!$F:$F,'ImportaçãoGoogleAds - Adveronix'!E:E)," ")</f>
        <v> </v>
      </c>
      <c r="V259" s="156"/>
      <c r="W259" s="157"/>
      <c r="X259" s="157"/>
      <c r="Y259" s="158"/>
      <c r="Z259" s="158">
        <f>IFERROR(COUNTIFS(Leads!$L:$L,$B259,Leads!$F:$F,"*google*"),0)</f>
        <v>0</v>
      </c>
      <c r="AA259" s="158">
        <f>IFERROR(COUNTIFS(Leads!$L:$L,$B259,Leads!$F:$F,"*google*",Leads!$N:$N,"Sim"),0)</f>
        <v>0</v>
      </c>
      <c r="AB259" s="152" t="str">
        <f t="array" ref="AB259">IFERROR(XLOOKUP(B259,'ImportaçãoMeta - Adveronix'!F:F,'ImportaçãoMeta - Adveronix'!B:B),"")</f>
        <v/>
      </c>
      <c r="AC259" s="154"/>
      <c r="AD259" s="154"/>
      <c r="AE259" s="159" t="str">
        <f t="array" ref="AE259">IFERROR(XLOOKUP(B259,'ImportaçãoMeta - Adveronix'!$F:$F,'ImportaçãoMeta - Adveronix'!C:C),"")</f>
        <v/>
      </c>
      <c r="AF259" s="159" t="str">
        <f t="array" ref="AF259">IFERROR(XLOOKUP(B259,'ImportaçãoMeta - Adveronix'!$F:$F,'ImportaçãoMeta - Adveronix'!D:D),"")</f>
        <v/>
      </c>
      <c r="AG259" s="159" t="str">
        <f t="array" ref="AG259">IFERROR(XLOOKUP(B259,'ImportaçãoMeta - Adveronix'!$F:$F,'ImportaçãoMeta - Adveronix'!E:E),"")</f>
        <v/>
      </c>
      <c r="AH259" s="157"/>
      <c r="AI259" s="157"/>
      <c r="AJ259" s="156"/>
      <c r="AK259" s="160">
        <f>IFERROR(COUNTIFS(Leads!$L:$L,$B259,Leads!$F:$F,"*MetaAds"),0)</f>
        <v>0</v>
      </c>
      <c r="AL259" s="160">
        <f>IFERROR(COUNTIFS(Leads!$L:$L,$B259,Leads!$F:$F,"*MetaAds*",Leads!$N:$N,"Sim"),0)</f>
        <v>0</v>
      </c>
    </row>
    <row r="260" ht="15.75" customHeight="1">
      <c r="A260" s="149" t="str">
        <f t="array" ref="A260">XLOOKUP(MONTH(B260),BASE!$F$16:$F$27,BASE!$G$16:$G$27)</f>
        <v>Setembro</v>
      </c>
      <c r="B260" s="150">
        <v>46281.0</v>
      </c>
      <c r="C260" s="151"/>
      <c r="D260" s="149" t="str">
        <f t="shared" si="4"/>
        <v>quarta-feira</v>
      </c>
      <c r="E260" s="152">
        <f t="shared" ref="E260:J260" si="519">IFERROR(SUM(P260,AB260)," ")</f>
        <v>0</v>
      </c>
      <c r="F260" s="152">
        <f t="shared" si="519"/>
        <v>0</v>
      </c>
      <c r="G260" s="152">
        <f t="shared" si="519"/>
        <v>0</v>
      </c>
      <c r="H260" s="153">
        <f t="shared" si="519"/>
        <v>0</v>
      </c>
      <c r="I260" s="153">
        <f t="shared" si="519"/>
        <v>0</v>
      </c>
      <c r="J260" s="153">
        <f t="shared" si="519"/>
        <v>0</v>
      </c>
      <c r="K260" s="153">
        <f t="shared" ref="K260:O260" si="520">IFERROR(SUM(W260,AH260)," ")</f>
        <v>0</v>
      </c>
      <c r="L260" s="153">
        <f t="shared" si="520"/>
        <v>0</v>
      </c>
      <c r="M260" s="153">
        <f t="shared" si="520"/>
        <v>0</v>
      </c>
      <c r="N260" s="153">
        <f t="shared" si="520"/>
        <v>0</v>
      </c>
      <c r="O260" s="153">
        <f t="shared" si="520"/>
        <v>0</v>
      </c>
      <c r="P260" s="152" t="str">
        <f t="array" ref="P260">IFERROR(XLOOKUP(B260,'ImportaçãoGoogleAds - Adveronix'!$F:$F,'ImportaçãoGoogleAds - Adveronix'!$B:$B)," ")</f>
        <v> </v>
      </c>
      <c r="Q260" s="154"/>
      <c r="R260" s="154"/>
      <c r="S260" s="155" t="str">
        <f t="array" ref="S260">IFERROR(XLOOKUP(B260,'ImportaçãoGoogleAds - Adveronix'!$F:$F,'ImportaçãoGoogleAds - Adveronix'!C:C)," ")</f>
        <v> </v>
      </c>
      <c r="T260" s="155" t="str">
        <f t="array" ref="T260">IFERROR(XLOOKUP(B260,'ImportaçãoGoogleAds - Adveronix'!$F:$F,'ImportaçãoGoogleAds - Adveronix'!D:D)," ")</f>
        <v> </v>
      </c>
      <c r="U260" s="155" t="str">
        <f t="array" ref="U260">IFERROR(XLOOKUP(B260,'ImportaçãoGoogleAds - Adveronix'!$F:$F,'ImportaçãoGoogleAds - Adveronix'!E:E)," ")</f>
        <v> </v>
      </c>
      <c r="V260" s="156"/>
      <c r="W260" s="157"/>
      <c r="X260" s="157"/>
      <c r="Y260" s="158"/>
      <c r="Z260" s="158">
        <f>IFERROR(COUNTIFS(Leads!$L:$L,$B260,Leads!$F:$F,"*google*"),0)</f>
        <v>0</v>
      </c>
      <c r="AA260" s="158">
        <f>IFERROR(COUNTIFS(Leads!$L:$L,$B260,Leads!$F:$F,"*google*",Leads!$N:$N,"Sim"),0)</f>
        <v>0</v>
      </c>
      <c r="AB260" s="152" t="str">
        <f t="array" ref="AB260">IFERROR(XLOOKUP(B260,'ImportaçãoMeta - Adveronix'!F:F,'ImportaçãoMeta - Adveronix'!B:B),"")</f>
        <v/>
      </c>
      <c r="AC260" s="154"/>
      <c r="AD260" s="154"/>
      <c r="AE260" s="159" t="str">
        <f t="array" ref="AE260">IFERROR(XLOOKUP(B260,'ImportaçãoMeta - Adveronix'!$F:$F,'ImportaçãoMeta - Adveronix'!C:C),"")</f>
        <v/>
      </c>
      <c r="AF260" s="159" t="str">
        <f t="array" ref="AF260">IFERROR(XLOOKUP(B260,'ImportaçãoMeta - Adveronix'!$F:$F,'ImportaçãoMeta - Adveronix'!D:D),"")</f>
        <v/>
      </c>
      <c r="AG260" s="159" t="str">
        <f t="array" ref="AG260">IFERROR(XLOOKUP(B260,'ImportaçãoMeta - Adveronix'!$F:$F,'ImportaçãoMeta - Adveronix'!E:E),"")</f>
        <v/>
      </c>
      <c r="AH260" s="157"/>
      <c r="AI260" s="157"/>
      <c r="AJ260" s="156"/>
      <c r="AK260" s="160">
        <f>IFERROR(COUNTIFS(Leads!$L:$L,$B260,Leads!$F:$F,"*MetaAds"),0)</f>
        <v>0</v>
      </c>
      <c r="AL260" s="160">
        <f>IFERROR(COUNTIFS(Leads!$L:$L,$B260,Leads!$F:$F,"*MetaAds*",Leads!$N:$N,"Sim"),0)</f>
        <v>0</v>
      </c>
    </row>
    <row r="261" ht="15.75" customHeight="1">
      <c r="A261" s="149" t="str">
        <f t="array" ref="A261">XLOOKUP(MONTH(B261),BASE!$F$16:$F$27,BASE!$G$16:$G$27)</f>
        <v>Setembro</v>
      </c>
      <c r="B261" s="150">
        <v>46282.0</v>
      </c>
      <c r="C261" s="151"/>
      <c r="D261" s="149" t="str">
        <f t="shared" si="4"/>
        <v>quinta-feira</v>
      </c>
      <c r="E261" s="152">
        <f t="shared" ref="E261:J261" si="521">IFERROR(SUM(P261,AB261)," ")</f>
        <v>0</v>
      </c>
      <c r="F261" s="152">
        <f t="shared" si="521"/>
        <v>0</v>
      </c>
      <c r="G261" s="152">
        <f t="shared" si="521"/>
        <v>0</v>
      </c>
      <c r="H261" s="153">
        <f t="shared" si="521"/>
        <v>0</v>
      </c>
      <c r="I261" s="153">
        <f t="shared" si="521"/>
        <v>0</v>
      </c>
      <c r="J261" s="153">
        <f t="shared" si="521"/>
        <v>0</v>
      </c>
      <c r="K261" s="153">
        <f t="shared" ref="K261:O261" si="522">IFERROR(SUM(W261,AH261)," ")</f>
        <v>0</v>
      </c>
      <c r="L261" s="153">
        <f t="shared" si="522"/>
        <v>0</v>
      </c>
      <c r="M261" s="153">
        <f t="shared" si="522"/>
        <v>0</v>
      </c>
      <c r="N261" s="153">
        <f t="shared" si="522"/>
        <v>0</v>
      </c>
      <c r="O261" s="153">
        <f t="shared" si="522"/>
        <v>0</v>
      </c>
      <c r="P261" s="152" t="str">
        <f t="array" ref="P261">IFERROR(XLOOKUP(B261,'ImportaçãoGoogleAds - Adveronix'!$F:$F,'ImportaçãoGoogleAds - Adveronix'!$B:$B)," ")</f>
        <v> </v>
      </c>
      <c r="Q261" s="154"/>
      <c r="R261" s="154"/>
      <c r="S261" s="155" t="str">
        <f t="array" ref="S261">IFERROR(XLOOKUP(B261,'ImportaçãoGoogleAds - Adveronix'!$F:$F,'ImportaçãoGoogleAds - Adveronix'!C:C)," ")</f>
        <v> </v>
      </c>
      <c r="T261" s="155" t="str">
        <f t="array" ref="T261">IFERROR(XLOOKUP(B261,'ImportaçãoGoogleAds - Adveronix'!$F:$F,'ImportaçãoGoogleAds - Adveronix'!D:D)," ")</f>
        <v> </v>
      </c>
      <c r="U261" s="155" t="str">
        <f t="array" ref="U261">IFERROR(XLOOKUP(B261,'ImportaçãoGoogleAds - Adveronix'!$F:$F,'ImportaçãoGoogleAds - Adveronix'!E:E)," ")</f>
        <v> </v>
      </c>
      <c r="V261" s="156"/>
      <c r="W261" s="157"/>
      <c r="X261" s="157"/>
      <c r="Y261" s="158"/>
      <c r="Z261" s="158">
        <f>IFERROR(COUNTIFS(Leads!$L:$L,$B261,Leads!$F:$F,"*google*"),0)</f>
        <v>0</v>
      </c>
      <c r="AA261" s="158">
        <f>IFERROR(COUNTIFS(Leads!$L:$L,$B261,Leads!$F:$F,"*google*",Leads!$N:$N,"Sim"),0)</f>
        <v>0</v>
      </c>
      <c r="AB261" s="152" t="str">
        <f t="array" ref="AB261">IFERROR(XLOOKUP(B261,'ImportaçãoMeta - Adveronix'!F:F,'ImportaçãoMeta - Adveronix'!B:B),"")</f>
        <v/>
      </c>
      <c r="AC261" s="154"/>
      <c r="AD261" s="154"/>
      <c r="AE261" s="159" t="str">
        <f t="array" ref="AE261">IFERROR(XLOOKUP(B261,'ImportaçãoMeta - Adveronix'!$F:$F,'ImportaçãoMeta - Adveronix'!C:C),"")</f>
        <v/>
      </c>
      <c r="AF261" s="159" t="str">
        <f t="array" ref="AF261">IFERROR(XLOOKUP(B261,'ImportaçãoMeta - Adveronix'!$F:$F,'ImportaçãoMeta - Adveronix'!D:D),"")</f>
        <v/>
      </c>
      <c r="AG261" s="159" t="str">
        <f t="array" ref="AG261">IFERROR(XLOOKUP(B261,'ImportaçãoMeta - Adveronix'!$F:$F,'ImportaçãoMeta - Adveronix'!E:E),"")</f>
        <v/>
      </c>
      <c r="AH261" s="157"/>
      <c r="AI261" s="157"/>
      <c r="AJ261" s="156"/>
      <c r="AK261" s="160">
        <f>IFERROR(COUNTIFS(Leads!$L:$L,$B261,Leads!$F:$F,"*MetaAds"),0)</f>
        <v>0</v>
      </c>
      <c r="AL261" s="160">
        <f>IFERROR(COUNTIFS(Leads!$L:$L,$B261,Leads!$F:$F,"*MetaAds*",Leads!$N:$N,"Sim"),0)</f>
        <v>0</v>
      </c>
    </row>
    <row r="262" ht="15.75" customHeight="1">
      <c r="A262" s="149" t="str">
        <f t="array" ref="A262">XLOOKUP(MONTH(B262),BASE!$F$16:$F$27,BASE!$G$16:$G$27)</f>
        <v>Setembro</v>
      </c>
      <c r="B262" s="150">
        <v>46283.0</v>
      </c>
      <c r="C262" s="151"/>
      <c r="D262" s="149" t="str">
        <f t="shared" si="4"/>
        <v>sexta-feira</v>
      </c>
      <c r="E262" s="152">
        <f t="shared" ref="E262:J262" si="523">IFERROR(SUM(P262,AB262)," ")</f>
        <v>0</v>
      </c>
      <c r="F262" s="152">
        <f t="shared" si="523"/>
        <v>0</v>
      </c>
      <c r="G262" s="152">
        <f t="shared" si="523"/>
        <v>0</v>
      </c>
      <c r="H262" s="153">
        <f t="shared" si="523"/>
        <v>0</v>
      </c>
      <c r="I262" s="153">
        <f t="shared" si="523"/>
        <v>0</v>
      </c>
      <c r="J262" s="153">
        <f t="shared" si="523"/>
        <v>0</v>
      </c>
      <c r="K262" s="153">
        <f t="shared" ref="K262:O262" si="524">IFERROR(SUM(W262,AH262)," ")</f>
        <v>0</v>
      </c>
      <c r="L262" s="153">
        <f t="shared" si="524"/>
        <v>0</v>
      </c>
      <c r="M262" s="153">
        <f t="shared" si="524"/>
        <v>0</v>
      </c>
      <c r="N262" s="153">
        <f t="shared" si="524"/>
        <v>0</v>
      </c>
      <c r="O262" s="153">
        <f t="shared" si="524"/>
        <v>0</v>
      </c>
      <c r="P262" s="152" t="str">
        <f t="array" ref="P262">IFERROR(XLOOKUP(B262,'ImportaçãoGoogleAds - Adveronix'!$F:$F,'ImportaçãoGoogleAds - Adveronix'!$B:$B)," ")</f>
        <v> </v>
      </c>
      <c r="Q262" s="154"/>
      <c r="R262" s="154"/>
      <c r="S262" s="155" t="str">
        <f t="array" ref="S262">IFERROR(XLOOKUP(B262,'ImportaçãoGoogleAds - Adveronix'!$F:$F,'ImportaçãoGoogleAds - Adveronix'!C:C)," ")</f>
        <v> </v>
      </c>
      <c r="T262" s="155" t="str">
        <f t="array" ref="T262">IFERROR(XLOOKUP(B262,'ImportaçãoGoogleAds - Adveronix'!$F:$F,'ImportaçãoGoogleAds - Adveronix'!D:D)," ")</f>
        <v> </v>
      </c>
      <c r="U262" s="155" t="str">
        <f t="array" ref="U262">IFERROR(XLOOKUP(B262,'ImportaçãoGoogleAds - Adveronix'!$F:$F,'ImportaçãoGoogleAds - Adveronix'!E:E)," ")</f>
        <v> </v>
      </c>
      <c r="V262" s="156"/>
      <c r="W262" s="157"/>
      <c r="X262" s="157"/>
      <c r="Y262" s="158"/>
      <c r="Z262" s="158">
        <f>IFERROR(COUNTIFS(Leads!$L:$L,$B262,Leads!$F:$F,"*google*"),0)</f>
        <v>0</v>
      </c>
      <c r="AA262" s="158">
        <f>IFERROR(COUNTIFS(Leads!$L:$L,$B262,Leads!$F:$F,"*google*",Leads!$N:$N,"Sim"),0)</f>
        <v>0</v>
      </c>
      <c r="AB262" s="152" t="str">
        <f t="array" ref="AB262">IFERROR(XLOOKUP(B262,'ImportaçãoMeta - Adveronix'!F:F,'ImportaçãoMeta - Adveronix'!B:B),"")</f>
        <v/>
      </c>
      <c r="AC262" s="154"/>
      <c r="AD262" s="154"/>
      <c r="AE262" s="159" t="str">
        <f t="array" ref="AE262">IFERROR(XLOOKUP(B262,'ImportaçãoMeta - Adveronix'!$F:$F,'ImportaçãoMeta - Adveronix'!C:C),"")</f>
        <v/>
      </c>
      <c r="AF262" s="159" t="str">
        <f t="array" ref="AF262">IFERROR(XLOOKUP(B262,'ImportaçãoMeta - Adveronix'!$F:$F,'ImportaçãoMeta - Adveronix'!D:D),"")</f>
        <v/>
      </c>
      <c r="AG262" s="159" t="str">
        <f t="array" ref="AG262">IFERROR(XLOOKUP(B262,'ImportaçãoMeta - Adveronix'!$F:$F,'ImportaçãoMeta - Adveronix'!E:E),"")</f>
        <v/>
      </c>
      <c r="AH262" s="157"/>
      <c r="AI262" s="157"/>
      <c r="AJ262" s="156"/>
      <c r="AK262" s="160">
        <f>IFERROR(COUNTIFS(Leads!$L:$L,$B262,Leads!$F:$F,"*MetaAds"),0)</f>
        <v>0</v>
      </c>
      <c r="AL262" s="160">
        <f>IFERROR(COUNTIFS(Leads!$L:$L,$B262,Leads!$F:$F,"*MetaAds*",Leads!$N:$N,"Sim"),0)</f>
        <v>0</v>
      </c>
    </row>
    <row r="263" ht="15.75" customHeight="1">
      <c r="A263" s="149" t="str">
        <f t="array" ref="A263">XLOOKUP(MONTH(B263),BASE!$F$16:$F$27,BASE!$G$16:$G$27)</f>
        <v>Setembro</v>
      </c>
      <c r="B263" s="150">
        <v>46284.0</v>
      </c>
      <c r="C263" s="151"/>
      <c r="D263" s="149" t="str">
        <f t="shared" si="4"/>
        <v>sábado</v>
      </c>
      <c r="E263" s="152">
        <f t="shared" ref="E263:J263" si="525">IFERROR(SUM(P263,AB263)," ")</f>
        <v>0</v>
      </c>
      <c r="F263" s="152">
        <f t="shared" si="525"/>
        <v>0</v>
      </c>
      <c r="G263" s="152">
        <f t="shared" si="525"/>
        <v>0</v>
      </c>
      <c r="H263" s="153">
        <f t="shared" si="525"/>
        <v>0</v>
      </c>
      <c r="I263" s="153">
        <f t="shared" si="525"/>
        <v>0</v>
      </c>
      <c r="J263" s="153">
        <f t="shared" si="525"/>
        <v>0</v>
      </c>
      <c r="K263" s="153">
        <f t="shared" ref="K263:O263" si="526">IFERROR(SUM(W263,AH263)," ")</f>
        <v>0</v>
      </c>
      <c r="L263" s="153">
        <f t="shared" si="526"/>
        <v>0</v>
      </c>
      <c r="M263" s="153">
        <f t="shared" si="526"/>
        <v>0</v>
      </c>
      <c r="N263" s="153">
        <f t="shared" si="526"/>
        <v>0</v>
      </c>
      <c r="O263" s="153">
        <f t="shared" si="526"/>
        <v>0</v>
      </c>
      <c r="P263" s="152" t="str">
        <f t="array" ref="P263">IFERROR(XLOOKUP(B263,'ImportaçãoGoogleAds - Adveronix'!$F:$F,'ImportaçãoGoogleAds - Adveronix'!$B:$B)," ")</f>
        <v> </v>
      </c>
      <c r="Q263" s="154"/>
      <c r="R263" s="154"/>
      <c r="S263" s="155" t="str">
        <f t="array" ref="S263">IFERROR(XLOOKUP(B263,'ImportaçãoGoogleAds - Adveronix'!$F:$F,'ImportaçãoGoogleAds - Adveronix'!C:C)," ")</f>
        <v> </v>
      </c>
      <c r="T263" s="155" t="str">
        <f t="array" ref="T263">IFERROR(XLOOKUP(B263,'ImportaçãoGoogleAds - Adveronix'!$F:$F,'ImportaçãoGoogleAds - Adveronix'!D:D)," ")</f>
        <v> </v>
      </c>
      <c r="U263" s="155" t="str">
        <f t="array" ref="U263">IFERROR(XLOOKUP(B263,'ImportaçãoGoogleAds - Adveronix'!$F:$F,'ImportaçãoGoogleAds - Adveronix'!E:E)," ")</f>
        <v> </v>
      </c>
      <c r="V263" s="156"/>
      <c r="W263" s="157"/>
      <c r="X263" s="157"/>
      <c r="Y263" s="158"/>
      <c r="Z263" s="158">
        <f>IFERROR(COUNTIFS(Leads!$L:$L,$B263,Leads!$F:$F,"*google*"),0)</f>
        <v>0</v>
      </c>
      <c r="AA263" s="158">
        <f>IFERROR(COUNTIFS(Leads!$L:$L,$B263,Leads!$F:$F,"*google*",Leads!$N:$N,"Sim"),0)</f>
        <v>0</v>
      </c>
      <c r="AB263" s="152" t="str">
        <f t="array" ref="AB263">IFERROR(XLOOKUP(B263,'ImportaçãoMeta - Adveronix'!F:F,'ImportaçãoMeta - Adveronix'!B:B),"")</f>
        <v/>
      </c>
      <c r="AC263" s="154"/>
      <c r="AD263" s="154"/>
      <c r="AE263" s="159" t="str">
        <f t="array" ref="AE263">IFERROR(XLOOKUP(B263,'ImportaçãoMeta - Adveronix'!$F:$F,'ImportaçãoMeta - Adveronix'!C:C),"")</f>
        <v/>
      </c>
      <c r="AF263" s="159" t="str">
        <f t="array" ref="AF263">IFERROR(XLOOKUP(B263,'ImportaçãoMeta - Adveronix'!$F:$F,'ImportaçãoMeta - Adveronix'!D:D),"")</f>
        <v/>
      </c>
      <c r="AG263" s="159" t="str">
        <f t="array" ref="AG263">IFERROR(XLOOKUP(B263,'ImportaçãoMeta - Adveronix'!$F:$F,'ImportaçãoMeta - Adveronix'!E:E),"")</f>
        <v/>
      </c>
      <c r="AH263" s="157"/>
      <c r="AI263" s="157"/>
      <c r="AJ263" s="156"/>
      <c r="AK263" s="160">
        <f>IFERROR(COUNTIFS(Leads!$L:$L,$B263,Leads!$F:$F,"*MetaAds"),0)</f>
        <v>0</v>
      </c>
      <c r="AL263" s="160">
        <f>IFERROR(COUNTIFS(Leads!$L:$L,$B263,Leads!$F:$F,"*MetaAds*",Leads!$N:$N,"Sim"),0)</f>
        <v>0</v>
      </c>
    </row>
    <row r="264" ht="15.75" customHeight="1">
      <c r="A264" s="149" t="str">
        <f t="array" ref="A264">XLOOKUP(MONTH(B264),BASE!$F$16:$F$27,BASE!$G$16:$G$27)</f>
        <v>Setembro</v>
      </c>
      <c r="B264" s="150">
        <v>46285.0</v>
      </c>
      <c r="C264" s="151"/>
      <c r="D264" s="149" t="str">
        <f t="shared" si="4"/>
        <v>domingo</v>
      </c>
      <c r="E264" s="152">
        <f t="shared" ref="E264:J264" si="527">IFERROR(SUM(P264,AB264)," ")</f>
        <v>0</v>
      </c>
      <c r="F264" s="152">
        <f t="shared" si="527"/>
        <v>0</v>
      </c>
      <c r="G264" s="152">
        <f t="shared" si="527"/>
        <v>0</v>
      </c>
      <c r="H264" s="153">
        <f t="shared" si="527"/>
        <v>0</v>
      </c>
      <c r="I264" s="153">
        <f t="shared" si="527"/>
        <v>0</v>
      </c>
      <c r="J264" s="153">
        <f t="shared" si="527"/>
        <v>0</v>
      </c>
      <c r="K264" s="153">
        <f t="shared" ref="K264:O264" si="528">IFERROR(SUM(W264,AH264)," ")</f>
        <v>0</v>
      </c>
      <c r="L264" s="153">
        <f t="shared" si="528"/>
        <v>0</v>
      </c>
      <c r="M264" s="153">
        <f t="shared" si="528"/>
        <v>0</v>
      </c>
      <c r="N264" s="153">
        <f t="shared" si="528"/>
        <v>0</v>
      </c>
      <c r="O264" s="153">
        <f t="shared" si="528"/>
        <v>0</v>
      </c>
      <c r="P264" s="152" t="str">
        <f t="array" ref="P264">IFERROR(XLOOKUP(B264,'ImportaçãoGoogleAds - Adveronix'!$F:$F,'ImportaçãoGoogleAds - Adveronix'!$B:$B)," ")</f>
        <v> </v>
      </c>
      <c r="Q264" s="154"/>
      <c r="R264" s="154"/>
      <c r="S264" s="155" t="str">
        <f t="array" ref="S264">IFERROR(XLOOKUP(B264,'ImportaçãoGoogleAds - Adveronix'!$F:$F,'ImportaçãoGoogleAds - Adveronix'!C:C)," ")</f>
        <v> </v>
      </c>
      <c r="T264" s="155" t="str">
        <f t="array" ref="T264">IFERROR(XLOOKUP(B264,'ImportaçãoGoogleAds - Adveronix'!$F:$F,'ImportaçãoGoogleAds - Adveronix'!D:D)," ")</f>
        <v> </v>
      </c>
      <c r="U264" s="155" t="str">
        <f t="array" ref="U264">IFERROR(XLOOKUP(B264,'ImportaçãoGoogleAds - Adveronix'!$F:$F,'ImportaçãoGoogleAds - Adveronix'!E:E)," ")</f>
        <v> </v>
      </c>
      <c r="V264" s="156"/>
      <c r="W264" s="157"/>
      <c r="X264" s="157"/>
      <c r="Y264" s="158"/>
      <c r="Z264" s="158">
        <f>IFERROR(COUNTIFS(Leads!$L:$L,$B264,Leads!$F:$F,"*google*"),0)</f>
        <v>0</v>
      </c>
      <c r="AA264" s="158">
        <f>IFERROR(COUNTIFS(Leads!$L:$L,$B264,Leads!$F:$F,"*google*",Leads!$N:$N,"Sim"),0)</f>
        <v>0</v>
      </c>
      <c r="AB264" s="152" t="str">
        <f t="array" ref="AB264">IFERROR(XLOOKUP(B264,'ImportaçãoMeta - Adveronix'!F:F,'ImportaçãoMeta - Adveronix'!B:B),"")</f>
        <v/>
      </c>
      <c r="AC264" s="154"/>
      <c r="AD264" s="154"/>
      <c r="AE264" s="159" t="str">
        <f t="array" ref="AE264">IFERROR(XLOOKUP(B264,'ImportaçãoMeta - Adveronix'!$F:$F,'ImportaçãoMeta - Adveronix'!C:C),"")</f>
        <v/>
      </c>
      <c r="AF264" s="159" t="str">
        <f t="array" ref="AF264">IFERROR(XLOOKUP(B264,'ImportaçãoMeta - Adveronix'!$F:$F,'ImportaçãoMeta - Adveronix'!D:D),"")</f>
        <v/>
      </c>
      <c r="AG264" s="159" t="str">
        <f t="array" ref="AG264">IFERROR(XLOOKUP(B264,'ImportaçãoMeta - Adveronix'!$F:$F,'ImportaçãoMeta - Adveronix'!E:E),"")</f>
        <v/>
      </c>
      <c r="AH264" s="157"/>
      <c r="AI264" s="157"/>
      <c r="AJ264" s="156"/>
      <c r="AK264" s="160">
        <f>IFERROR(COUNTIFS(Leads!$L:$L,$B264,Leads!$F:$F,"*MetaAds"),0)</f>
        <v>0</v>
      </c>
      <c r="AL264" s="160">
        <f>IFERROR(COUNTIFS(Leads!$L:$L,$B264,Leads!$F:$F,"*MetaAds*",Leads!$N:$N,"Sim"),0)</f>
        <v>0</v>
      </c>
    </row>
    <row r="265" ht="15.75" customHeight="1">
      <c r="A265" s="149" t="str">
        <f t="array" ref="A265">XLOOKUP(MONTH(B265),BASE!$F$16:$F$27,BASE!$G$16:$G$27)</f>
        <v>Setembro</v>
      </c>
      <c r="B265" s="150">
        <v>46286.0</v>
      </c>
      <c r="C265" s="151"/>
      <c r="D265" s="149" t="str">
        <f t="shared" si="4"/>
        <v>segunda-feira</v>
      </c>
      <c r="E265" s="152">
        <f t="shared" ref="E265:J265" si="529">IFERROR(SUM(P265,AB265)," ")</f>
        <v>0</v>
      </c>
      <c r="F265" s="152">
        <f t="shared" si="529"/>
        <v>0</v>
      </c>
      <c r="G265" s="152">
        <f t="shared" si="529"/>
        <v>0</v>
      </c>
      <c r="H265" s="153">
        <f t="shared" si="529"/>
        <v>0</v>
      </c>
      <c r="I265" s="153">
        <f t="shared" si="529"/>
        <v>0</v>
      </c>
      <c r="J265" s="153">
        <f t="shared" si="529"/>
        <v>0</v>
      </c>
      <c r="K265" s="153">
        <f t="shared" ref="K265:O265" si="530">IFERROR(SUM(W265,AH265)," ")</f>
        <v>0</v>
      </c>
      <c r="L265" s="153">
        <f t="shared" si="530"/>
        <v>0</v>
      </c>
      <c r="M265" s="153">
        <f t="shared" si="530"/>
        <v>0</v>
      </c>
      <c r="N265" s="153">
        <f t="shared" si="530"/>
        <v>0</v>
      </c>
      <c r="O265" s="153">
        <f t="shared" si="530"/>
        <v>0</v>
      </c>
      <c r="P265" s="152" t="str">
        <f t="array" ref="P265">IFERROR(XLOOKUP(B265,'ImportaçãoGoogleAds - Adveronix'!$F:$F,'ImportaçãoGoogleAds - Adveronix'!$B:$B)," ")</f>
        <v> </v>
      </c>
      <c r="Q265" s="154"/>
      <c r="R265" s="154"/>
      <c r="S265" s="155" t="str">
        <f t="array" ref="S265">IFERROR(XLOOKUP(B265,'ImportaçãoGoogleAds - Adveronix'!$F:$F,'ImportaçãoGoogleAds - Adveronix'!C:C)," ")</f>
        <v> </v>
      </c>
      <c r="T265" s="155" t="str">
        <f t="array" ref="T265">IFERROR(XLOOKUP(B265,'ImportaçãoGoogleAds - Adveronix'!$F:$F,'ImportaçãoGoogleAds - Adveronix'!D:D)," ")</f>
        <v> </v>
      </c>
      <c r="U265" s="155" t="str">
        <f t="array" ref="U265">IFERROR(XLOOKUP(B265,'ImportaçãoGoogleAds - Adveronix'!$F:$F,'ImportaçãoGoogleAds - Adveronix'!E:E)," ")</f>
        <v> </v>
      </c>
      <c r="V265" s="156"/>
      <c r="W265" s="157"/>
      <c r="X265" s="157"/>
      <c r="Y265" s="158"/>
      <c r="Z265" s="158">
        <f>IFERROR(COUNTIFS(Leads!$L:$L,$B265,Leads!$F:$F,"*google*"),0)</f>
        <v>0</v>
      </c>
      <c r="AA265" s="158">
        <f>IFERROR(COUNTIFS(Leads!$L:$L,$B265,Leads!$F:$F,"*google*",Leads!$N:$N,"Sim"),0)</f>
        <v>0</v>
      </c>
      <c r="AB265" s="152" t="str">
        <f t="array" ref="AB265">IFERROR(XLOOKUP(B265,'ImportaçãoMeta - Adveronix'!F:F,'ImportaçãoMeta - Adveronix'!B:B),"")</f>
        <v/>
      </c>
      <c r="AC265" s="154"/>
      <c r="AD265" s="154"/>
      <c r="AE265" s="159" t="str">
        <f t="array" ref="AE265">IFERROR(XLOOKUP(B265,'ImportaçãoMeta - Adveronix'!$F:$F,'ImportaçãoMeta - Adveronix'!C:C),"")</f>
        <v/>
      </c>
      <c r="AF265" s="159" t="str">
        <f t="array" ref="AF265">IFERROR(XLOOKUP(B265,'ImportaçãoMeta - Adveronix'!$F:$F,'ImportaçãoMeta - Adveronix'!D:D),"")</f>
        <v/>
      </c>
      <c r="AG265" s="159" t="str">
        <f t="array" ref="AG265">IFERROR(XLOOKUP(B265,'ImportaçãoMeta - Adveronix'!$F:$F,'ImportaçãoMeta - Adveronix'!E:E),"")</f>
        <v/>
      </c>
      <c r="AH265" s="157"/>
      <c r="AI265" s="157"/>
      <c r="AJ265" s="156"/>
      <c r="AK265" s="160">
        <f>IFERROR(COUNTIFS(Leads!$L:$L,$B265,Leads!$F:$F,"*MetaAds"),0)</f>
        <v>0</v>
      </c>
      <c r="AL265" s="160">
        <f>IFERROR(COUNTIFS(Leads!$L:$L,$B265,Leads!$F:$F,"*MetaAds*",Leads!$N:$N,"Sim"),0)</f>
        <v>0</v>
      </c>
    </row>
    <row r="266" ht="15.75" customHeight="1">
      <c r="A266" s="149" t="str">
        <f t="array" ref="A266">XLOOKUP(MONTH(B266),BASE!$F$16:$F$27,BASE!$G$16:$G$27)</f>
        <v>Setembro</v>
      </c>
      <c r="B266" s="150">
        <v>46287.0</v>
      </c>
      <c r="C266" s="151"/>
      <c r="D266" s="149" t="str">
        <f t="shared" si="4"/>
        <v>terça-feira</v>
      </c>
      <c r="E266" s="152">
        <f t="shared" ref="E266:J266" si="531">IFERROR(SUM(P266,AB266)," ")</f>
        <v>0</v>
      </c>
      <c r="F266" s="152">
        <f t="shared" si="531"/>
        <v>0</v>
      </c>
      <c r="G266" s="152">
        <f t="shared" si="531"/>
        <v>0</v>
      </c>
      <c r="H266" s="153">
        <f t="shared" si="531"/>
        <v>0</v>
      </c>
      <c r="I266" s="153">
        <f t="shared" si="531"/>
        <v>0</v>
      </c>
      <c r="J266" s="153">
        <f t="shared" si="531"/>
        <v>0</v>
      </c>
      <c r="K266" s="153">
        <f t="shared" ref="K266:O266" si="532">IFERROR(SUM(W266,AH266)," ")</f>
        <v>0</v>
      </c>
      <c r="L266" s="153">
        <f t="shared" si="532"/>
        <v>0</v>
      </c>
      <c r="M266" s="153">
        <f t="shared" si="532"/>
        <v>0</v>
      </c>
      <c r="N266" s="153">
        <f t="shared" si="532"/>
        <v>0</v>
      </c>
      <c r="O266" s="153">
        <f t="shared" si="532"/>
        <v>0</v>
      </c>
      <c r="P266" s="152" t="str">
        <f t="array" ref="P266">IFERROR(XLOOKUP(B266,'ImportaçãoGoogleAds - Adveronix'!$F:$F,'ImportaçãoGoogleAds - Adveronix'!$B:$B)," ")</f>
        <v> </v>
      </c>
      <c r="Q266" s="154"/>
      <c r="R266" s="154"/>
      <c r="S266" s="155" t="str">
        <f t="array" ref="S266">IFERROR(XLOOKUP(B266,'ImportaçãoGoogleAds - Adveronix'!$F:$F,'ImportaçãoGoogleAds - Adveronix'!C:C)," ")</f>
        <v> </v>
      </c>
      <c r="T266" s="155" t="str">
        <f t="array" ref="T266">IFERROR(XLOOKUP(B266,'ImportaçãoGoogleAds - Adveronix'!$F:$F,'ImportaçãoGoogleAds - Adveronix'!D:D)," ")</f>
        <v> </v>
      </c>
      <c r="U266" s="155" t="str">
        <f t="array" ref="U266">IFERROR(XLOOKUP(B266,'ImportaçãoGoogleAds - Adveronix'!$F:$F,'ImportaçãoGoogleAds - Adveronix'!E:E)," ")</f>
        <v> </v>
      </c>
      <c r="V266" s="156"/>
      <c r="W266" s="157"/>
      <c r="X266" s="157"/>
      <c r="Y266" s="158"/>
      <c r="Z266" s="158">
        <f>IFERROR(COUNTIFS(Leads!$L:$L,$B266,Leads!$F:$F,"*google*"),0)</f>
        <v>0</v>
      </c>
      <c r="AA266" s="158">
        <f>IFERROR(COUNTIFS(Leads!$L:$L,$B266,Leads!$F:$F,"*google*",Leads!$N:$N,"Sim"),0)</f>
        <v>0</v>
      </c>
      <c r="AB266" s="152" t="str">
        <f t="array" ref="AB266">IFERROR(XLOOKUP(B266,'ImportaçãoMeta - Adveronix'!F:F,'ImportaçãoMeta - Adveronix'!B:B),"")</f>
        <v/>
      </c>
      <c r="AC266" s="154"/>
      <c r="AD266" s="154"/>
      <c r="AE266" s="159" t="str">
        <f t="array" ref="AE266">IFERROR(XLOOKUP(B266,'ImportaçãoMeta - Adveronix'!$F:$F,'ImportaçãoMeta - Adveronix'!C:C),"")</f>
        <v/>
      </c>
      <c r="AF266" s="159" t="str">
        <f t="array" ref="AF266">IFERROR(XLOOKUP(B266,'ImportaçãoMeta - Adveronix'!$F:$F,'ImportaçãoMeta - Adveronix'!D:D),"")</f>
        <v/>
      </c>
      <c r="AG266" s="159" t="str">
        <f t="array" ref="AG266">IFERROR(XLOOKUP(B266,'ImportaçãoMeta - Adveronix'!$F:$F,'ImportaçãoMeta - Adveronix'!E:E),"")</f>
        <v/>
      </c>
      <c r="AH266" s="157"/>
      <c r="AI266" s="157"/>
      <c r="AJ266" s="156"/>
      <c r="AK266" s="160">
        <f>IFERROR(COUNTIFS(Leads!$L:$L,$B266,Leads!$F:$F,"*MetaAds"),0)</f>
        <v>0</v>
      </c>
      <c r="AL266" s="160">
        <f>IFERROR(COUNTIFS(Leads!$L:$L,$B266,Leads!$F:$F,"*MetaAds*",Leads!$N:$N,"Sim"),0)</f>
        <v>0</v>
      </c>
    </row>
    <row r="267" ht="15.75" customHeight="1">
      <c r="A267" s="149" t="str">
        <f t="array" ref="A267">XLOOKUP(MONTH(B267),BASE!$F$16:$F$27,BASE!$G$16:$G$27)</f>
        <v>Setembro</v>
      </c>
      <c r="B267" s="150">
        <v>46288.0</v>
      </c>
      <c r="C267" s="151"/>
      <c r="D267" s="149" t="str">
        <f t="shared" si="4"/>
        <v>quarta-feira</v>
      </c>
      <c r="E267" s="152">
        <f t="shared" ref="E267:J267" si="533">IFERROR(SUM(P267,AB267)," ")</f>
        <v>0</v>
      </c>
      <c r="F267" s="152">
        <f t="shared" si="533"/>
        <v>0</v>
      </c>
      <c r="G267" s="152">
        <f t="shared" si="533"/>
        <v>0</v>
      </c>
      <c r="H267" s="153">
        <f t="shared" si="533"/>
        <v>0</v>
      </c>
      <c r="I267" s="153">
        <f t="shared" si="533"/>
        <v>0</v>
      </c>
      <c r="J267" s="153">
        <f t="shared" si="533"/>
        <v>0</v>
      </c>
      <c r="K267" s="153">
        <f t="shared" ref="K267:O267" si="534">IFERROR(SUM(W267,AH267)," ")</f>
        <v>0</v>
      </c>
      <c r="L267" s="153">
        <f t="shared" si="534"/>
        <v>0</v>
      </c>
      <c r="M267" s="153">
        <f t="shared" si="534"/>
        <v>0</v>
      </c>
      <c r="N267" s="153">
        <f t="shared" si="534"/>
        <v>0</v>
      </c>
      <c r="O267" s="153">
        <f t="shared" si="534"/>
        <v>0</v>
      </c>
      <c r="P267" s="152" t="str">
        <f t="array" ref="P267">IFERROR(XLOOKUP(B267,'ImportaçãoGoogleAds - Adveronix'!$F:$F,'ImportaçãoGoogleAds - Adveronix'!$B:$B)," ")</f>
        <v> </v>
      </c>
      <c r="Q267" s="154"/>
      <c r="R267" s="154"/>
      <c r="S267" s="155" t="str">
        <f t="array" ref="S267">IFERROR(XLOOKUP(B267,'ImportaçãoGoogleAds - Adveronix'!$F:$F,'ImportaçãoGoogleAds - Adveronix'!C:C)," ")</f>
        <v> </v>
      </c>
      <c r="T267" s="155" t="str">
        <f t="array" ref="T267">IFERROR(XLOOKUP(B267,'ImportaçãoGoogleAds - Adveronix'!$F:$F,'ImportaçãoGoogleAds - Adveronix'!D:D)," ")</f>
        <v> </v>
      </c>
      <c r="U267" s="155" t="str">
        <f t="array" ref="U267">IFERROR(XLOOKUP(B267,'ImportaçãoGoogleAds - Adveronix'!$F:$F,'ImportaçãoGoogleAds - Adveronix'!E:E)," ")</f>
        <v> </v>
      </c>
      <c r="V267" s="156"/>
      <c r="W267" s="157"/>
      <c r="X267" s="157"/>
      <c r="Y267" s="158"/>
      <c r="Z267" s="158">
        <f>IFERROR(COUNTIFS(Leads!$L:$L,$B267,Leads!$F:$F,"*google*"),0)</f>
        <v>0</v>
      </c>
      <c r="AA267" s="158">
        <f>IFERROR(COUNTIFS(Leads!$L:$L,$B267,Leads!$F:$F,"*google*",Leads!$N:$N,"Sim"),0)</f>
        <v>0</v>
      </c>
      <c r="AB267" s="152" t="str">
        <f t="array" ref="AB267">IFERROR(XLOOKUP(B267,'ImportaçãoMeta - Adveronix'!F:F,'ImportaçãoMeta - Adveronix'!B:B),"")</f>
        <v/>
      </c>
      <c r="AC267" s="154"/>
      <c r="AD267" s="154"/>
      <c r="AE267" s="159" t="str">
        <f t="array" ref="AE267">IFERROR(XLOOKUP(B267,'ImportaçãoMeta - Adveronix'!$F:$F,'ImportaçãoMeta - Adveronix'!C:C),"")</f>
        <v/>
      </c>
      <c r="AF267" s="159" t="str">
        <f t="array" ref="AF267">IFERROR(XLOOKUP(B267,'ImportaçãoMeta - Adveronix'!$F:$F,'ImportaçãoMeta - Adveronix'!D:D),"")</f>
        <v/>
      </c>
      <c r="AG267" s="159" t="str">
        <f t="array" ref="AG267">IFERROR(XLOOKUP(B267,'ImportaçãoMeta - Adveronix'!$F:$F,'ImportaçãoMeta - Adveronix'!E:E),"")</f>
        <v/>
      </c>
      <c r="AH267" s="157"/>
      <c r="AI267" s="157"/>
      <c r="AJ267" s="156"/>
      <c r="AK267" s="160">
        <f>IFERROR(COUNTIFS(Leads!$L:$L,$B267,Leads!$F:$F,"*MetaAds"),0)</f>
        <v>0</v>
      </c>
      <c r="AL267" s="160">
        <f>IFERROR(COUNTIFS(Leads!$L:$L,$B267,Leads!$F:$F,"*MetaAds*",Leads!$N:$N,"Sim"),0)</f>
        <v>0</v>
      </c>
    </row>
    <row r="268" ht="15.75" customHeight="1">
      <c r="A268" s="149" t="str">
        <f t="array" ref="A268">XLOOKUP(MONTH(B268),BASE!$F$16:$F$27,BASE!$G$16:$G$27)</f>
        <v>Setembro</v>
      </c>
      <c r="B268" s="150">
        <v>46289.0</v>
      </c>
      <c r="C268" s="151"/>
      <c r="D268" s="149" t="str">
        <f t="shared" si="4"/>
        <v>quinta-feira</v>
      </c>
      <c r="E268" s="152">
        <f t="shared" ref="E268:J268" si="535">IFERROR(SUM(P268,AB268)," ")</f>
        <v>0</v>
      </c>
      <c r="F268" s="152">
        <f t="shared" si="535"/>
        <v>0</v>
      </c>
      <c r="G268" s="152">
        <f t="shared" si="535"/>
        <v>0</v>
      </c>
      <c r="H268" s="153">
        <f t="shared" si="535"/>
        <v>0</v>
      </c>
      <c r="I268" s="153">
        <f t="shared" si="535"/>
        <v>0</v>
      </c>
      <c r="J268" s="153">
        <f t="shared" si="535"/>
        <v>0</v>
      </c>
      <c r="K268" s="153">
        <f t="shared" ref="K268:O268" si="536">IFERROR(SUM(W268,AH268)," ")</f>
        <v>0</v>
      </c>
      <c r="L268" s="153">
        <f t="shared" si="536"/>
        <v>0</v>
      </c>
      <c r="M268" s="153">
        <f t="shared" si="536"/>
        <v>0</v>
      </c>
      <c r="N268" s="153">
        <f t="shared" si="536"/>
        <v>0</v>
      </c>
      <c r="O268" s="153">
        <f t="shared" si="536"/>
        <v>0</v>
      </c>
      <c r="P268" s="152" t="str">
        <f t="array" ref="P268">IFERROR(XLOOKUP(B268,'ImportaçãoGoogleAds - Adveronix'!$F:$F,'ImportaçãoGoogleAds - Adveronix'!$B:$B)," ")</f>
        <v> </v>
      </c>
      <c r="Q268" s="154"/>
      <c r="R268" s="154"/>
      <c r="S268" s="155" t="str">
        <f t="array" ref="S268">IFERROR(XLOOKUP(B268,'ImportaçãoGoogleAds - Adveronix'!$F:$F,'ImportaçãoGoogleAds - Adveronix'!C:C)," ")</f>
        <v> </v>
      </c>
      <c r="T268" s="155" t="str">
        <f t="array" ref="T268">IFERROR(XLOOKUP(B268,'ImportaçãoGoogleAds - Adveronix'!$F:$F,'ImportaçãoGoogleAds - Adveronix'!D:D)," ")</f>
        <v> </v>
      </c>
      <c r="U268" s="155" t="str">
        <f t="array" ref="U268">IFERROR(XLOOKUP(B268,'ImportaçãoGoogleAds - Adveronix'!$F:$F,'ImportaçãoGoogleAds - Adveronix'!E:E)," ")</f>
        <v> </v>
      </c>
      <c r="V268" s="156"/>
      <c r="W268" s="157"/>
      <c r="X268" s="157"/>
      <c r="Y268" s="158"/>
      <c r="Z268" s="158">
        <f>IFERROR(COUNTIFS(Leads!$L:$L,$B268,Leads!$F:$F,"*google*"),0)</f>
        <v>0</v>
      </c>
      <c r="AA268" s="158">
        <f>IFERROR(COUNTIFS(Leads!$L:$L,$B268,Leads!$F:$F,"*google*",Leads!$N:$N,"Sim"),0)</f>
        <v>0</v>
      </c>
      <c r="AB268" s="152" t="str">
        <f t="array" ref="AB268">IFERROR(XLOOKUP(B268,'ImportaçãoMeta - Adveronix'!F:F,'ImportaçãoMeta - Adveronix'!B:B),"")</f>
        <v/>
      </c>
      <c r="AC268" s="154"/>
      <c r="AD268" s="154"/>
      <c r="AE268" s="159" t="str">
        <f t="array" ref="AE268">IFERROR(XLOOKUP(B268,'ImportaçãoMeta - Adveronix'!$F:$F,'ImportaçãoMeta - Adveronix'!C:C),"")</f>
        <v/>
      </c>
      <c r="AF268" s="159" t="str">
        <f t="array" ref="AF268">IFERROR(XLOOKUP(B268,'ImportaçãoMeta - Adveronix'!$F:$F,'ImportaçãoMeta - Adveronix'!D:D),"")</f>
        <v/>
      </c>
      <c r="AG268" s="159" t="str">
        <f t="array" ref="AG268">IFERROR(XLOOKUP(B268,'ImportaçãoMeta - Adveronix'!$F:$F,'ImportaçãoMeta - Adveronix'!E:E),"")</f>
        <v/>
      </c>
      <c r="AH268" s="157"/>
      <c r="AI268" s="157"/>
      <c r="AJ268" s="156"/>
      <c r="AK268" s="160">
        <f>IFERROR(COUNTIFS(Leads!$L:$L,$B268,Leads!$F:$F,"*MetaAds"),0)</f>
        <v>0</v>
      </c>
      <c r="AL268" s="160">
        <f>IFERROR(COUNTIFS(Leads!$L:$L,$B268,Leads!$F:$F,"*MetaAds*",Leads!$N:$N,"Sim"),0)</f>
        <v>0</v>
      </c>
    </row>
    <row r="269" ht="15.75" customHeight="1">
      <c r="A269" s="149" t="str">
        <f t="array" ref="A269">XLOOKUP(MONTH(B269),BASE!$F$16:$F$27,BASE!$G$16:$G$27)</f>
        <v>Setembro</v>
      </c>
      <c r="B269" s="150">
        <v>46290.0</v>
      </c>
      <c r="C269" s="151"/>
      <c r="D269" s="149" t="str">
        <f t="shared" si="4"/>
        <v>sexta-feira</v>
      </c>
      <c r="E269" s="152">
        <f t="shared" ref="E269:J269" si="537">IFERROR(SUM(P269,AB269)," ")</f>
        <v>0</v>
      </c>
      <c r="F269" s="152">
        <f t="shared" si="537"/>
        <v>0</v>
      </c>
      <c r="G269" s="152">
        <f t="shared" si="537"/>
        <v>0</v>
      </c>
      <c r="H269" s="153">
        <f t="shared" si="537"/>
        <v>0</v>
      </c>
      <c r="I269" s="153">
        <f t="shared" si="537"/>
        <v>0</v>
      </c>
      <c r="J269" s="153">
        <f t="shared" si="537"/>
        <v>0</v>
      </c>
      <c r="K269" s="153">
        <f t="shared" ref="K269:O269" si="538">IFERROR(SUM(W269,AH269)," ")</f>
        <v>0</v>
      </c>
      <c r="L269" s="153">
        <f t="shared" si="538"/>
        <v>0</v>
      </c>
      <c r="M269" s="153">
        <f t="shared" si="538"/>
        <v>0</v>
      </c>
      <c r="N269" s="153">
        <f t="shared" si="538"/>
        <v>0</v>
      </c>
      <c r="O269" s="153">
        <f t="shared" si="538"/>
        <v>0</v>
      </c>
      <c r="P269" s="152" t="str">
        <f t="array" ref="P269">IFERROR(XLOOKUP(B269,'ImportaçãoGoogleAds - Adveronix'!$F:$F,'ImportaçãoGoogleAds - Adveronix'!$B:$B)," ")</f>
        <v> </v>
      </c>
      <c r="Q269" s="154"/>
      <c r="R269" s="154"/>
      <c r="S269" s="155" t="str">
        <f t="array" ref="S269">IFERROR(XLOOKUP(B269,'ImportaçãoGoogleAds - Adveronix'!$F:$F,'ImportaçãoGoogleAds - Adveronix'!C:C)," ")</f>
        <v> </v>
      </c>
      <c r="T269" s="155" t="str">
        <f t="array" ref="T269">IFERROR(XLOOKUP(B269,'ImportaçãoGoogleAds - Adveronix'!$F:$F,'ImportaçãoGoogleAds - Adveronix'!D:D)," ")</f>
        <v> </v>
      </c>
      <c r="U269" s="155" t="str">
        <f t="array" ref="U269">IFERROR(XLOOKUP(B269,'ImportaçãoGoogleAds - Adveronix'!$F:$F,'ImportaçãoGoogleAds - Adveronix'!E:E)," ")</f>
        <v> </v>
      </c>
      <c r="V269" s="156"/>
      <c r="W269" s="157"/>
      <c r="X269" s="157"/>
      <c r="Y269" s="158"/>
      <c r="Z269" s="158">
        <f>IFERROR(COUNTIFS(Leads!$L:$L,$B269,Leads!$F:$F,"*google*"),0)</f>
        <v>0</v>
      </c>
      <c r="AA269" s="158">
        <f>IFERROR(COUNTIFS(Leads!$L:$L,$B269,Leads!$F:$F,"*google*",Leads!$N:$N,"Sim"),0)</f>
        <v>0</v>
      </c>
      <c r="AB269" s="152" t="str">
        <f t="array" ref="AB269">IFERROR(XLOOKUP(B269,'ImportaçãoMeta - Adveronix'!F:F,'ImportaçãoMeta - Adveronix'!B:B),"")</f>
        <v/>
      </c>
      <c r="AC269" s="154"/>
      <c r="AD269" s="154"/>
      <c r="AE269" s="159" t="str">
        <f t="array" ref="AE269">IFERROR(XLOOKUP(B269,'ImportaçãoMeta - Adveronix'!$F:$F,'ImportaçãoMeta - Adveronix'!C:C),"")</f>
        <v/>
      </c>
      <c r="AF269" s="159" t="str">
        <f t="array" ref="AF269">IFERROR(XLOOKUP(B269,'ImportaçãoMeta - Adveronix'!$F:$F,'ImportaçãoMeta - Adveronix'!D:D),"")</f>
        <v/>
      </c>
      <c r="AG269" s="159" t="str">
        <f t="array" ref="AG269">IFERROR(XLOOKUP(B269,'ImportaçãoMeta - Adveronix'!$F:$F,'ImportaçãoMeta - Adveronix'!E:E),"")</f>
        <v/>
      </c>
      <c r="AH269" s="157"/>
      <c r="AI269" s="157"/>
      <c r="AJ269" s="156"/>
      <c r="AK269" s="160">
        <f>IFERROR(COUNTIFS(Leads!$L:$L,$B269,Leads!$F:$F,"*MetaAds"),0)</f>
        <v>0</v>
      </c>
      <c r="AL269" s="160">
        <f>IFERROR(COUNTIFS(Leads!$L:$L,$B269,Leads!$F:$F,"*MetaAds*",Leads!$N:$N,"Sim"),0)</f>
        <v>0</v>
      </c>
    </row>
    <row r="270" ht="15.75" customHeight="1">
      <c r="A270" s="149" t="str">
        <f t="array" ref="A270">XLOOKUP(MONTH(B270),BASE!$F$16:$F$27,BASE!$G$16:$G$27)</f>
        <v>Setembro</v>
      </c>
      <c r="B270" s="150">
        <v>46291.0</v>
      </c>
      <c r="C270" s="151"/>
      <c r="D270" s="149" t="str">
        <f t="shared" si="4"/>
        <v>sábado</v>
      </c>
      <c r="E270" s="152">
        <f t="shared" ref="E270:J270" si="539">IFERROR(SUM(P270,AB270)," ")</f>
        <v>0</v>
      </c>
      <c r="F270" s="152">
        <f t="shared" si="539"/>
        <v>0</v>
      </c>
      <c r="G270" s="152">
        <f t="shared" si="539"/>
        <v>0</v>
      </c>
      <c r="H270" s="153">
        <f t="shared" si="539"/>
        <v>0</v>
      </c>
      <c r="I270" s="153">
        <f t="shared" si="539"/>
        <v>0</v>
      </c>
      <c r="J270" s="153">
        <f t="shared" si="539"/>
        <v>0</v>
      </c>
      <c r="K270" s="153">
        <f t="shared" ref="K270:O270" si="540">IFERROR(SUM(W270,AH270)," ")</f>
        <v>0</v>
      </c>
      <c r="L270" s="153">
        <f t="shared" si="540"/>
        <v>0</v>
      </c>
      <c r="M270" s="153">
        <f t="shared" si="540"/>
        <v>0</v>
      </c>
      <c r="N270" s="153">
        <f t="shared" si="540"/>
        <v>0</v>
      </c>
      <c r="O270" s="153">
        <f t="shared" si="540"/>
        <v>0</v>
      </c>
      <c r="P270" s="152" t="str">
        <f t="array" ref="P270">IFERROR(XLOOKUP(B270,'ImportaçãoGoogleAds - Adveronix'!$F:$F,'ImportaçãoGoogleAds - Adveronix'!$B:$B)," ")</f>
        <v> </v>
      </c>
      <c r="Q270" s="154"/>
      <c r="R270" s="154"/>
      <c r="S270" s="155" t="str">
        <f t="array" ref="S270">IFERROR(XLOOKUP(B270,'ImportaçãoGoogleAds - Adveronix'!$F:$F,'ImportaçãoGoogleAds - Adveronix'!C:C)," ")</f>
        <v> </v>
      </c>
      <c r="T270" s="155" t="str">
        <f t="array" ref="T270">IFERROR(XLOOKUP(B270,'ImportaçãoGoogleAds - Adveronix'!$F:$F,'ImportaçãoGoogleAds - Adveronix'!D:D)," ")</f>
        <v> </v>
      </c>
      <c r="U270" s="155" t="str">
        <f t="array" ref="U270">IFERROR(XLOOKUP(B270,'ImportaçãoGoogleAds - Adveronix'!$F:$F,'ImportaçãoGoogleAds - Adveronix'!E:E)," ")</f>
        <v> </v>
      </c>
      <c r="V270" s="156"/>
      <c r="W270" s="157"/>
      <c r="X270" s="157"/>
      <c r="Y270" s="158"/>
      <c r="Z270" s="158">
        <f>IFERROR(COUNTIFS(Leads!$L:$L,$B270,Leads!$F:$F,"*google*"),0)</f>
        <v>0</v>
      </c>
      <c r="AA270" s="158">
        <f>IFERROR(COUNTIFS(Leads!$L:$L,$B270,Leads!$F:$F,"*google*",Leads!$N:$N,"Sim"),0)</f>
        <v>0</v>
      </c>
      <c r="AB270" s="152" t="str">
        <f t="array" ref="AB270">IFERROR(XLOOKUP(B270,'ImportaçãoMeta - Adveronix'!F:F,'ImportaçãoMeta - Adveronix'!B:B),"")</f>
        <v/>
      </c>
      <c r="AC270" s="154"/>
      <c r="AD270" s="154"/>
      <c r="AE270" s="159" t="str">
        <f t="array" ref="AE270">IFERROR(XLOOKUP(B270,'ImportaçãoMeta - Adveronix'!$F:$F,'ImportaçãoMeta - Adveronix'!C:C),"")</f>
        <v/>
      </c>
      <c r="AF270" s="159" t="str">
        <f t="array" ref="AF270">IFERROR(XLOOKUP(B270,'ImportaçãoMeta - Adveronix'!$F:$F,'ImportaçãoMeta - Adveronix'!D:D),"")</f>
        <v/>
      </c>
      <c r="AG270" s="159" t="str">
        <f t="array" ref="AG270">IFERROR(XLOOKUP(B270,'ImportaçãoMeta - Adveronix'!$F:$F,'ImportaçãoMeta - Adveronix'!E:E),"")</f>
        <v/>
      </c>
      <c r="AH270" s="157"/>
      <c r="AI270" s="157"/>
      <c r="AJ270" s="156"/>
      <c r="AK270" s="160">
        <f>IFERROR(COUNTIFS(Leads!$L:$L,$B270,Leads!$F:$F,"*MetaAds"),0)</f>
        <v>0</v>
      </c>
      <c r="AL270" s="160">
        <f>IFERROR(COUNTIFS(Leads!$L:$L,$B270,Leads!$F:$F,"*MetaAds*",Leads!$N:$N,"Sim"),0)</f>
        <v>0</v>
      </c>
    </row>
    <row r="271" ht="15.75" customHeight="1">
      <c r="A271" s="149" t="str">
        <f t="array" ref="A271">XLOOKUP(MONTH(B271),BASE!$F$16:$F$27,BASE!$G$16:$G$27)</f>
        <v>Setembro</v>
      </c>
      <c r="B271" s="150">
        <v>46292.0</v>
      </c>
      <c r="C271" s="151"/>
      <c r="D271" s="149" t="str">
        <f t="shared" si="4"/>
        <v>domingo</v>
      </c>
      <c r="E271" s="152">
        <f t="shared" ref="E271:J271" si="541">IFERROR(SUM(P271,AB271)," ")</f>
        <v>0</v>
      </c>
      <c r="F271" s="152">
        <f t="shared" si="541"/>
        <v>0</v>
      </c>
      <c r="G271" s="152">
        <f t="shared" si="541"/>
        <v>0</v>
      </c>
      <c r="H271" s="153">
        <f t="shared" si="541"/>
        <v>0</v>
      </c>
      <c r="I271" s="153">
        <f t="shared" si="541"/>
        <v>0</v>
      </c>
      <c r="J271" s="153">
        <f t="shared" si="541"/>
        <v>0</v>
      </c>
      <c r="K271" s="153">
        <f t="shared" ref="K271:O271" si="542">IFERROR(SUM(W271,AH271)," ")</f>
        <v>0</v>
      </c>
      <c r="L271" s="153">
        <f t="shared" si="542"/>
        <v>0</v>
      </c>
      <c r="M271" s="153">
        <f t="shared" si="542"/>
        <v>0</v>
      </c>
      <c r="N271" s="153">
        <f t="shared" si="542"/>
        <v>0</v>
      </c>
      <c r="O271" s="153">
        <f t="shared" si="542"/>
        <v>0</v>
      </c>
      <c r="P271" s="152" t="str">
        <f t="array" ref="P271">IFERROR(XLOOKUP(B271,'ImportaçãoGoogleAds - Adveronix'!$F:$F,'ImportaçãoGoogleAds - Adveronix'!$B:$B)," ")</f>
        <v> </v>
      </c>
      <c r="Q271" s="154"/>
      <c r="R271" s="154"/>
      <c r="S271" s="155" t="str">
        <f t="array" ref="S271">IFERROR(XLOOKUP(B271,'ImportaçãoGoogleAds - Adveronix'!$F:$F,'ImportaçãoGoogleAds - Adveronix'!C:C)," ")</f>
        <v> </v>
      </c>
      <c r="T271" s="155" t="str">
        <f t="array" ref="T271">IFERROR(XLOOKUP(B271,'ImportaçãoGoogleAds - Adveronix'!$F:$F,'ImportaçãoGoogleAds - Adveronix'!D:D)," ")</f>
        <v> </v>
      </c>
      <c r="U271" s="155" t="str">
        <f t="array" ref="U271">IFERROR(XLOOKUP(B271,'ImportaçãoGoogleAds - Adveronix'!$F:$F,'ImportaçãoGoogleAds - Adveronix'!E:E)," ")</f>
        <v> </v>
      </c>
      <c r="V271" s="156"/>
      <c r="W271" s="157"/>
      <c r="X271" s="157"/>
      <c r="Y271" s="158"/>
      <c r="Z271" s="158">
        <f>IFERROR(COUNTIFS(Leads!$L:$L,$B271,Leads!$F:$F,"*google*"),0)</f>
        <v>0</v>
      </c>
      <c r="AA271" s="158">
        <f>IFERROR(COUNTIFS(Leads!$L:$L,$B271,Leads!$F:$F,"*google*",Leads!$N:$N,"Sim"),0)</f>
        <v>0</v>
      </c>
      <c r="AB271" s="152" t="str">
        <f t="array" ref="AB271">IFERROR(XLOOKUP(B271,'ImportaçãoMeta - Adveronix'!F:F,'ImportaçãoMeta - Adveronix'!B:B),"")</f>
        <v/>
      </c>
      <c r="AC271" s="154"/>
      <c r="AD271" s="154"/>
      <c r="AE271" s="159" t="str">
        <f t="array" ref="AE271">IFERROR(XLOOKUP(B271,'ImportaçãoMeta - Adveronix'!$F:$F,'ImportaçãoMeta - Adveronix'!C:C),"")</f>
        <v/>
      </c>
      <c r="AF271" s="159" t="str">
        <f t="array" ref="AF271">IFERROR(XLOOKUP(B271,'ImportaçãoMeta - Adveronix'!$F:$F,'ImportaçãoMeta - Adveronix'!D:D),"")</f>
        <v/>
      </c>
      <c r="AG271" s="159" t="str">
        <f t="array" ref="AG271">IFERROR(XLOOKUP(B271,'ImportaçãoMeta - Adveronix'!$F:$F,'ImportaçãoMeta - Adveronix'!E:E),"")</f>
        <v/>
      </c>
      <c r="AH271" s="157"/>
      <c r="AI271" s="157"/>
      <c r="AJ271" s="156"/>
      <c r="AK271" s="160">
        <f>IFERROR(COUNTIFS(Leads!$L:$L,$B271,Leads!$F:$F,"*MetaAds"),0)</f>
        <v>0</v>
      </c>
      <c r="AL271" s="160">
        <f>IFERROR(COUNTIFS(Leads!$L:$L,$B271,Leads!$F:$F,"*MetaAds*",Leads!$N:$N,"Sim"),0)</f>
        <v>0</v>
      </c>
    </row>
    <row r="272" ht="15.75" customHeight="1">
      <c r="A272" s="149" t="str">
        <f t="array" ref="A272">XLOOKUP(MONTH(B272),BASE!$F$16:$F$27,BASE!$G$16:$G$27)</f>
        <v>Setembro</v>
      </c>
      <c r="B272" s="150">
        <v>46293.0</v>
      </c>
      <c r="C272" s="151"/>
      <c r="D272" s="149" t="str">
        <f t="shared" si="4"/>
        <v>segunda-feira</v>
      </c>
      <c r="E272" s="152">
        <f t="shared" ref="E272:J272" si="543">IFERROR(SUM(P272,AB272)," ")</f>
        <v>0</v>
      </c>
      <c r="F272" s="152">
        <f t="shared" si="543"/>
        <v>0</v>
      </c>
      <c r="G272" s="152">
        <f t="shared" si="543"/>
        <v>0</v>
      </c>
      <c r="H272" s="153">
        <f t="shared" si="543"/>
        <v>0</v>
      </c>
      <c r="I272" s="153">
        <f t="shared" si="543"/>
        <v>0</v>
      </c>
      <c r="J272" s="153">
        <f t="shared" si="543"/>
        <v>0</v>
      </c>
      <c r="K272" s="153">
        <f t="shared" ref="K272:O272" si="544">IFERROR(SUM(W272,AH272)," ")</f>
        <v>0</v>
      </c>
      <c r="L272" s="153">
        <f t="shared" si="544"/>
        <v>0</v>
      </c>
      <c r="M272" s="153">
        <f t="shared" si="544"/>
        <v>0</v>
      </c>
      <c r="N272" s="153">
        <f t="shared" si="544"/>
        <v>0</v>
      </c>
      <c r="O272" s="153">
        <f t="shared" si="544"/>
        <v>0</v>
      </c>
      <c r="P272" s="152" t="str">
        <f t="array" ref="P272">IFERROR(XLOOKUP(B272,'ImportaçãoGoogleAds - Adveronix'!$F:$F,'ImportaçãoGoogleAds - Adveronix'!$B:$B)," ")</f>
        <v> </v>
      </c>
      <c r="Q272" s="154"/>
      <c r="R272" s="154"/>
      <c r="S272" s="155" t="str">
        <f t="array" ref="S272">IFERROR(XLOOKUP(B272,'ImportaçãoGoogleAds - Adveronix'!$F:$F,'ImportaçãoGoogleAds - Adveronix'!C:C)," ")</f>
        <v> </v>
      </c>
      <c r="T272" s="155" t="str">
        <f t="array" ref="T272">IFERROR(XLOOKUP(B272,'ImportaçãoGoogleAds - Adveronix'!$F:$F,'ImportaçãoGoogleAds - Adveronix'!D:D)," ")</f>
        <v> </v>
      </c>
      <c r="U272" s="155" t="str">
        <f t="array" ref="U272">IFERROR(XLOOKUP(B272,'ImportaçãoGoogleAds - Adveronix'!$F:$F,'ImportaçãoGoogleAds - Adveronix'!E:E)," ")</f>
        <v> </v>
      </c>
      <c r="V272" s="156"/>
      <c r="W272" s="157"/>
      <c r="X272" s="157"/>
      <c r="Y272" s="158"/>
      <c r="Z272" s="158">
        <f>IFERROR(COUNTIFS(Leads!$L:$L,$B272,Leads!$F:$F,"*google*"),0)</f>
        <v>0</v>
      </c>
      <c r="AA272" s="158">
        <f>IFERROR(COUNTIFS(Leads!$L:$L,$B272,Leads!$F:$F,"*google*",Leads!$N:$N,"Sim"),0)</f>
        <v>0</v>
      </c>
      <c r="AB272" s="152" t="str">
        <f t="array" ref="AB272">IFERROR(XLOOKUP(B272,'ImportaçãoMeta - Adveronix'!F:F,'ImportaçãoMeta - Adveronix'!B:B),"")</f>
        <v/>
      </c>
      <c r="AC272" s="154"/>
      <c r="AD272" s="154"/>
      <c r="AE272" s="159" t="str">
        <f t="array" ref="AE272">IFERROR(XLOOKUP(B272,'ImportaçãoMeta - Adveronix'!$F:$F,'ImportaçãoMeta - Adveronix'!C:C),"")</f>
        <v/>
      </c>
      <c r="AF272" s="159" t="str">
        <f t="array" ref="AF272">IFERROR(XLOOKUP(B272,'ImportaçãoMeta - Adveronix'!$F:$F,'ImportaçãoMeta - Adveronix'!D:D),"")</f>
        <v/>
      </c>
      <c r="AG272" s="159" t="str">
        <f t="array" ref="AG272">IFERROR(XLOOKUP(B272,'ImportaçãoMeta - Adveronix'!$F:$F,'ImportaçãoMeta - Adveronix'!E:E),"")</f>
        <v/>
      </c>
      <c r="AH272" s="157"/>
      <c r="AI272" s="157"/>
      <c r="AJ272" s="156"/>
      <c r="AK272" s="160">
        <f>IFERROR(COUNTIFS(Leads!$L:$L,$B272,Leads!$F:$F,"*MetaAds"),0)</f>
        <v>0</v>
      </c>
      <c r="AL272" s="160">
        <f>IFERROR(COUNTIFS(Leads!$L:$L,$B272,Leads!$F:$F,"*MetaAds*",Leads!$N:$N,"Sim"),0)</f>
        <v>0</v>
      </c>
    </row>
    <row r="273" ht="15.75" customHeight="1">
      <c r="A273" s="149" t="str">
        <f t="array" ref="A273">XLOOKUP(MONTH(B273),BASE!$F$16:$F$27,BASE!$G$16:$G$27)</f>
        <v>Setembro</v>
      </c>
      <c r="B273" s="150">
        <v>46294.0</v>
      </c>
      <c r="C273" s="151"/>
      <c r="D273" s="149" t="str">
        <f t="shared" si="4"/>
        <v>terça-feira</v>
      </c>
      <c r="E273" s="152">
        <f t="shared" ref="E273:J273" si="545">IFERROR(SUM(P273,AB273)," ")</f>
        <v>0</v>
      </c>
      <c r="F273" s="152">
        <f t="shared" si="545"/>
        <v>0</v>
      </c>
      <c r="G273" s="152">
        <f t="shared" si="545"/>
        <v>0</v>
      </c>
      <c r="H273" s="153">
        <f t="shared" si="545"/>
        <v>0</v>
      </c>
      <c r="I273" s="153">
        <f t="shared" si="545"/>
        <v>0</v>
      </c>
      <c r="J273" s="153">
        <f t="shared" si="545"/>
        <v>0</v>
      </c>
      <c r="K273" s="153">
        <f t="shared" ref="K273:O273" si="546">IFERROR(SUM(W273,AH273)," ")</f>
        <v>0</v>
      </c>
      <c r="L273" s="153">
        <f t="shared" si="546"/>
        <v>0</v>
      </c>
      <c r="M273" s="153">
        <f t="shared" si="546"/>
        <v>0</v>
      </c>
      <c r="N273" s="153">
        <f t="shared" si="546"/>
        <v>0</v>
      </c>
      <c r="O273" s="153">
        <f t="shared" si="546"/>
        <v>0</v>
      </c>
      <c r="P273" s="152" t="str">
        <f t="array" ref="P273">IFERROR(XLOOKUP(B273,'ImportaçãoGoogleAds - Adveronix'!$F:$F,'ImportaçãoGoogleAds - Adveronix'!$B:$B)," ")</f>
        <v> </v>
      </c>
      <c r="Q273" s="154"/>
      <c r="R273" s="154"/>
      <c r="S273" s="155" t="str">
        <f t="array" ref="S273">IFERROR(XLOOKUP(B273,'ImportaçãoGoogleAds - Adveronix'!$F:$F,'ImportaçãoGoogleAds - Adveronix'!C:C)," ")</f>
        <v> </v>
      </c>
      <c r="T273" s="155" t="str">
        <f t="array" ref="T273">IFERROR(XLOOKUP(B273,'ImportaçãoGoogleAds - Adveronix'!$F:$F,'ImportaçãoGoogleAds - Adveronix'!D:D)," ")</f>
        <v> </v>
      </c>
      <c r="U273" s="155" t="str">
        <f t="array" ref="U273">IFERROR(XLOOKUP(B273,'ImportaçãoGoogleAds - Adveronix'!$F:$F,'ImportaçãoGoogleAds - Adveronix'!E:E)," ")</f>
        <v> </v>
      </c>
      <c r="V273" s="156"/>
      <c r="W273" s="157"/>
      <c r="X273" s="157"/>
      <c r="Y273" s="158"/>
      <c r="Z273" s="158">
        <f>IFERROR(COUNTIFS(Leads!$L:$L,$B273,Leads!$F:$F,"*google*"),0)</f>
        <v>0</v>
      </c>
      <c r="AA273" s="158">
        <f>IFERROR(COUNTIFS(Leads!$L:$L,$B273,Leads!$F:$F,"*google*",Leads!$N:$N,"Sim"),0)</f>
        <v>0</v>
      </c>
      <c r="AB273" s="152" t="str">
        <f t="array" ref="AB273">IFERROR(XLOOKUP(B273,'ImportaçãoMeta - Adveronix'!F:F,'ImportaçãoMeta - Adveronix'!B:B),"")</f>
        <v/>
      </c>
      <c r="AC273" s="154"/>
      <c r="AD273" s="154"/>
      <c r="AE273" s="159" t="str">
        <f t="array" ref="AE273">IFERROR(XLOOKUP(B273,'ImportaçãoMeta - Adveronix'!$F:$F,'ImportaçãoMeta - Adveronix'!C:C),"")</f>
        <v/>
      </c>
      <c r="AF273" s="159" t="str">
        <f t="array" ref="AF273">IFERROR(XLOOKUP(B273,'ImportaçãoMeta - Adveronix'!$F:$F,'ImportaçãoMeta - Adveronix'!D:D),"")</f>
        <v/>
      </c>
      <c r="AG273" s="159" t="str">
        <f t="array" ref="AG273">IFERROR(XLOOKUP(B273,'ImportaçãoMeta - Adveronix'!$F:$F,'ImportaçãoMeta - Adveronix'!E:E),"")</f>
        <v/>
      </c>
      <c r="AH273" s="157"/>
      <c r="AI273" s="157"/>
      <c r="AJ273" s="156"/>
      <c r="AK273" s="160">
        <f>IFERROR(COUNTIFS(Leads!$L:$L,$B273,Leads!$F:$F,"*MetaAds"),0)</f>
        <v>0</v>
      </c>
      <c r="AL273" s="160">
        <f>IFERROR(COUNTIFS(Leads!$L:$L,$B273,Leads!$F:$F,"*MetaAds*",Leads!$N:$N,"Sim"),0)</f>
        <v>0</v>
      </c>
    </row>
    <row r="274" ht="15.75" customHeight="1">
      <c r="A274" s="149" t="str">
        <f t="array" ref="A274">XLOOKUP(MONTH(B274),BASE!$F$16:$F$27,BASE!$G$16:$G$27)</f>
        <v>Setembro</v>
      </c>
      <c r="B274" s="150">
        <v>46295.0</v>
      </c>
      <c r="C274" s="151"/>
      <c r="D274" s="149" t="str">
        <f t="shared" si="4"/>
        <v>quarta-feira</v>
      </c>
      <c r="E274" s="152">
        <f t="shared" ref="E274:J274" si="547">IFERROR(SUM(P274,AB274)," ")</f>
        <v>0</v>
      </c>
      <c r="F274" s="152">
        <f t="shared" si="547"/>
        <v>0</v>
      </c>
      <c r="G274" s="152">
        <f t="shared" si="547"/>
        <v>0</v>
      </c>
      <c r="H274" s="153">
        <f t="shared" si="547"/>
        <v>0</v>
      </c>
      <c r="I274" s="153">
        <f t="shared" si="547"/>
        <v>0</v>
      </c>
      <c r="J274" s="153">
        <f t="shared" si="547"/>
        <v>0</v>
      </c>
      <c r="K274" s="153">
        <f t="shared" ref="K274:O274" si="548">IFERROR(SUM(W274,AH274)," ")</f>
        <v>0</v>
      </c>
      <c r="L274" s="153">
        <f t="shared" si="548"/>
        <v>0</v>
      </c>
      <c r="M274" s="153">
        <f t="shared" si="548"/>
        <v>0</v>
      </c>
      <c r="N274" s="153">
        <f t="shared" si="548"/>
        <v>0</v>
      </c>
      <c r="O274" s="153">
        <f t="shared" si="548"/>
        <v>0</v>
      </c>
      <c r="P274" s="152" t="str">
        <f t="array" ref="P274">IFERROR(XLOOKUP(B274,'ImportaçãoGoogleAds - Adveronix'!$F:$F,'ImportaçãoGoogleAds - Adveronix'!$B:$B)," ")</f>
        <v> </v>
      </c>
      <c r="Q274" s="154"/>
      <c r="R274" s="154"/>
      <c r="S274" s="155" t="str">
        <f t="array" ref="S274">IFERROR(XLOOKUP(B274,'ImportaçãoGoogleAds - Adveronix'!$F:$F,'ImportaçãoGoogleAds - Adveronix'!C:C)," ")</f>
        <v> </v>
      </c>
      <c r="T274" s="155" t="str">
        <f t="array" ref="T274">IFERROR(XLOOKUP(B274,'ImportaçãoGoogleAds - Adveronix'!$F:$F,'ImportaçãoGoogleAds - Adveronix'!D:D)," ")</f>
        <v> </v>
      </c>
      <c r="U274" s="155" t="str">
        <f t="array" ref="U274">IFERROR(XLOOKUP(B274,'ImportaçãoGoogleAds - Adveronix'!$F:$F,'ImportaçãoGoogleAds - Adveronix'!E:E)," ")</f>
        <v> </v>
      </c>
      <c r="V274" s="156"/>
      <c r="W274" s="157"/>
      <c r="X274" s="157"/>
      <c r="Y274" s="158"/>
      <c r="Z274" s="158">
        <f>IFERROR(COUNTIFS(Leads!$L:$L,$B274,Leads!$F:$F,"*google*"),0)</f>
        <v>0</v>
      </c>
      <c r="AA274" s="158">
        <f>IFERROR(COUNTIFS(Leads!$L:$L,$B274,Leads!$F:$F,"*google*",Leads!$N:$N,"Sim"),0)</f>
        <v>0</v>
      </c>
      <c r="AB274" s="152" t="str">
        <f t="array" ref="AB274">IFERROR(XLOOKUP(B274,'ImportaçãoMeta - Adveronix'!F:F,'ImportaçãoMeta - Adveronix'!B:B),"")</f>
        <v/>
      </c>
      <c r="AC274" s="154"/>
      <c r="AD274" s="154"/>
      <c r="AE274" s="159" t="str">
        <f t="array" ref="AE274">IFERROR(XLOOKUP(B274,'ImportaçãoMeta - Adveronix'!$F:$F,'ImportaçãoMeta - Adveronix'!C:C),"")</f>
        <v/>
      </c>
      <c r="AF274" s="159" t="str">
        <f t="array" ref="AF274">IFERROR(XLOOKUP(B274,'ImportaçãoMeta - Adveronix'!$F:$F,'ImportaçãoMeta - Adveronix'!D:D),"")</f>
        <v/>
      </c>
      <c r="AG274" s="159" t="str">
        <f t="array" ref="AG274">IFERROR(XLOOKUP(B274,'ImportaçãoMeta - Adveronix'!$F:$F,'ImportaçãoMeta - Adveronix'!E:E),"")</f>
        <v/>
      </c>
      <c r="AH274" s="157"/>
      <c r="AI274" s="157"/>
      <c r="AJ274" s="156"/>
      <c r="AK274" s="160">
        <f>IFERROR(COUNTIFS(Leads!$L:$L,$B274,Leads!$F:$F,"*MetaAds"),0)</f>
        <v>0</v>
      </c>
      <c r="AL274" s="160">
        <f>IFERROR(COUNTIFS(Leads!$L:$L,$B274,Leads!$F:$F,"*MetaAds*",Leads!$N:$N,"Sim"),0)</f>
        <v>0</v>
      </c>
    </row>
    <row r="275" ht="15.75" customHeight="1">
      <c r="A275" s="149" t="str">
        <f t="array" ref="A275">XLOOKUP(MONTH(B275),BASE!$F$16:$F$27,BASE!$G$16:$G$27)</f>
        <v>Outubro</v>
      </c>
      <c r="B275" s="150">
        <v>46296.0</v>
      </c>
      <c r="C275" s="151"/>
      <c r="D275" s="149" t="str">
        <f t="shared" si="4"/>
        <v>quinta-feira</v>
      </c>
      <c r="E275" s="152">
        <f t="shared" ref="E275:J275" si="549">IFERROR(SUM(P275,AB275)," ")</f>
        <v>0</v>
      </c>
      <c r="F275" s="152">
        <f t="shared" si="549"/>
        <v>0</v>
      </c>
      <c r="G275" s="152">
        <f t="shared" si="549"/>
        <v>0</v>
      </c>
      <c r="H275" s="153">
        <f t="shared" si="549"/>
        <v>0</v>
      </c>
      <c r="I275" s="153">
        <f t="shared" si="549"/>
        <v>0</v>
      </c>
      <c r="J275" s="153">
        <f t="shared" si="549"/>
        <v>0</v>
      </c>
      <c r="K275" s="153">
        <f t="shared" ref="K275:O275" si="550">IFERROR(SUM(W275,AH275)," ")</f>
        <v>0</v>
      </c>
      <c r="L275" s="153">
        <f t="shared" si="550"/>
        <v>0</v>
      </c>
      <c r="M275" s="153">
        <f t="shared" si="550"/>
        <v>0</v>
      </c>
      <c r="N275" s="153">
        <f t="shared" si="550"/>
        <v>0</v>
      </c>
      <c r="O275" s="153">
        <f t="shared" si="550"/>
        <v>0</v>
      </c>
      <c r="P275" s="152" t="str">
        <f t="array" ref="P275">IFERROR(XLOOKUP(B275,'ImportaçãoGoogleAds - Adveronix'!$F:$F,'ImportaçãoGoogleAds - Adveronix'!$B:$B)," ")</f>
        <v> </v>
      </c>
      <c r="Q275" s="154"/>
      <c r="R275" s="154"/>
      <c r="S275" s="155" t="str">
        <f t="array" ref="S275">IFERROR(XLOOKUP(B275,'ImportaçãoGoogleAds - Adveronix'!$F:$F,'ImportaçãoGoogleAds - Adveronix'!C:C)," ")</f>
        <v> </v>
      </c>
      <c r="T275" s="155" t="str">
        <f t="array" ref="T275">IFERROR(XLOOKUP(B275,'ImportaçãoGoogleAds - Adveronix'!$F:$F,'ImportaçãoGoogleAds - Adveronix'!D:D)," ")</f>
        <v> </v>
      </c>
      <c r="U275" s="155" t="str">
        <f t="array" ref="U275">IFERROR(XLOOKUP(B275,'ImportaçãoGoogleAds - Adveronix'!$F:$F,'ImportaçãoGoogleAds - Adveronix'!E:E)," ")</f>
        <v> </v>
      </c>
      <c r="V275" s="156"/>
      <c r="W275" s="157"/>
      <c r="X275" s="157"/>
      <c r="Y275" s="158"/>
      <c r="Z275" s="158">
        <f>IFERROR(COUNTIFS(Leads!$L:$L,$B275,Leads!$F:$F,"*google*"),0)</f>
        <v>0</v>
      </c>
      <c r="AA275" s="158">
        <f>IFERROR(COUNTIFS(Leads!$L:$L,$B275,Leads!$F:$F,"*google*",Leads!$N:$N,"Sim"),0)</f>
        <v>0</v>
      </c>
      <c r="AB275" s="152" t="str">
        <f t="array" ref="AB275">IFERROR(XLOOKUP(B275,'ImportaçãoMeta - Adveronix'!F:F,'ImportaçãoMeta - Adveronix'!B:B),"")</f>
        <v/>
      </c>
      <c r="AC275" s="154"/>
      <c r="AD275" s="154"/>
      <c r="AE275" s="159" t="str">
        <f t="array" ref="AE275">IFERROR(XLOOKUP(B275,'ImportaçãoMeta - Adveronix'!$F:$F,'ImportaçãoMeta - Adveronix'!C:C),"")</f>
        <v/>
      </c>
      <c r="AF275" s="159" t="str">
        <f t="array" ref="AF275">IFERROR(XLOOKUP(B275,'ImportaçãoMeta - Adveronix'!$F:$F,'ImportaçãoMeta - Adveronix'!D:D),"")</f>
        <v/>
      </c>
      <c r="AG275" s="159" t="str">
        <f t="array" ref="AG275">IFERROR(XLOOKUP(B275,'ImportaçãoMeta - Adveronix'!$F:$F,'ImportaçãoMeta - Adveronix'!E:E),"")</f>
        <v/>
      </c>
      <c r="AH275" s="157"/>
      <c r="AI275" s="157"/>
      <c r="AJ275" s="156"/>
      <c r="AK275" s="160">
        <f>IFERROR(COUNTIFS(Leads!$L:$L,$B275,Leads!$F:$F,"*MetaAds"),0)</f>
        <v>0</v>
      </c>
      <c r="AL275" s="160">
        <f>IFERROR(COUNTIFS(Leads!$L:$L,$B275,Leads!$F:$F,"*MetaAds*",Leads!$N:$N,"Sim"),0)</f>
        <v>0</v>
      </c>
    </row>
    <row r="276" ht="15.75" customHeight="1">
      <c r="A276" s="149" t="str">
        <f t="array" ref="A276">XLOOKUP(MONTH(B276),BASE!$F$16:$F$27,BASE!$G$16:$G$27)</f>
        <v>Outubro</v>
      </c>
      <c r="B276" s="150">
        <v>46297.0</v>
      </c>
      <c r="C276" s="151"/>
      <c r="D276" s="149" t="str">
        <f t="shared" si="4"/>
        <v>sexta-feira</v>
      </c>
      <c r="E276" s="152">
        <f t="shared" ref="E276:J276" si="551">IFERROR(SUM(P276,AB276)," ")</f>
        <v>0</v>
      </c>
      <c r="F276" s="152">
        <f t="shared" si="551"/>
        <v>0</v>
      </c>
      <c r="G276" s="152">
        <f t="shared" si="551"/>
        <v>0</v>
      </c>
      <c r="H276" s="153">
        <f t="shared" si="551"/>
        <v>0</v>
      </c>
      <c r="I276" s="153">
        <f t="shared" si="551"/>
        <v>0</v>
      </c>
      <c r="J276" s="153">
        <f t="shared" si="551"/>
        <v>0</v>
      </c>
      <c r="K276" s="153">
        <f t="shared" ref="K276:O276" si="552">IFERROR(SUM(W276,AH276)," ")</f>
        <v>0</v>
      </c>
      <c r="L276" s="153">
        <f t="shared" si="552"/>
        <v>0</v>
      </c>
      <c r="M276" s="153">
        <f t="shared" si="552"/>
        <v>0</v>
      </c>
      <c r="N276" s="153">
        <f t="shared" si="552"/>
        <v>0</v>
      </c>
      <c r="O276" s="153">
        <f t="shared" si="552"/>
        <v>0</v>
      </c>
      <c r="P276" s="152" t="str">
        <f t="array" ref="P276">IFERROR(XLOOKUP(B276,'ImportaçãoGoogleAds - Adveronix'!$F:$F,'ImportaçãoGoogleAds - Adveronix'!$B:$B)," ")</f>
        <v> </v>
      </c>
      <c r="Q276" s="154"/>
      <c r="R276" s="154"/>
      <c r="S276" s="155" t="str">
        <f t="array" ref="S276">IFERROR(XLOOKUP(B276,'ImportaçãoGoogleAds - Adveronix'!$F:$F,'ImportaçãoGoogleAds - Adveronix'!C:C)," ")</f>
        <v> </v>
      </c>
      <c r="T276" s="155" t="str">
        <f t="array" ref="T276">IFERROR(XLOOKUP(B276,'ImportaçãoGoogleAds - Adveronix'!$F:$F,'ImportaçãoGoogleAds - Adveronix'!D:D)," ")</f>
        <v> </v>
      </c>
      <c r="U276" s="155" t="str">
        <f t="array" ref="U276">IFERROR(XLOOKUP(B276,'ImportaçãoGoogleAds - Adveronix'!$F:$F,'ImportaçãoGoogleAds - Adveronix'!E:E)," ")</f>
        <v> </v>
      </c>
      <c r="V276" s="156"/>
      <c r="W276" s="157"/>
      <c r="X276" s="157"/>
      <c r="Y276" s="158"/>
      <c r="Z276" s="158">
        <f>IFERROR(COUNTIFS(Leads!$L:$L,$B276,Leads!$F:$F,"*google*"),0)</f>
        <v>0</v>
      </c>
      <c r="AA276" s="158">
        <f>IFERROR(COUNTIFS(Leads!$L:$L,$B276,Leads!$F:$F,"*google*",Leads!$N:$N,"Sim"),0)</f>
        <v>0</v>
      </c>
      <c r="AB276" s="152" t="str">
        <f t="array" ref="AB276">IFERROR(XLOOKUP(B276,'ImportaçãoMeta - Adveronix'!F:F,'ImportaçãoMeta - Adveronix'!B:B),"")</f>
        <v/>
      </c>
      <c r="AC276" s="154"/>
      <c r="AD276" s="154"/>
      <c r="AE276" s="159" t="str">
        <f t="array" ref="AE276">IFERROR(XLOOKUP(B276,'ImportaçãoMeta - Adveronix'!$F:$F,'ImportaçãoMeta - Adveronix'!C:C),"")</f>
        <v/>
      </c>
      <c r="AF276" s="159" t="str">
        <f t="array" ref="AF276">IFERROR(XLOOKUP(B276,'ImportaçãoMeta - Adveronix'!$F:$F,'ImportaçãoMeta - Adveronix'!D:D),"")</f>
        <v/>
      </c>
      <c r="AG276" s="159" t="str">
        <f t="array" ref="AG276">IFERROR(XLOOKUP(B276,'ImportaçãoMeta - Adveronix'!$F:$F,'ImportaçãoMeta - Adveronix'!E:E),"")</f>
        <v/>
      </c>
      <c r="AH276" s="157"/>
      <c r="AI276" s="157"/>
      <c r="AJ276" s="156"/>
      <c r="AK276" s="160">
        <f>IFERROR(COUNTIFS(Leads!$L:$L,$B276,Leads!$F:$F,"*MetaAds"),0)</f>
        <v>0</v>
      </c>
      <c r="AL276" s="160">
        <f>IFERROR(COUNTIFS(Leads!$L:$L,$B276,Leads!$F:$F,"*MetaAds*",Leads!$N:$N,"Sim"),0)</f>
        <v>0</v>
      </c>
    </row>
    <row r="277" ht="15.75" customHeight="1">
      <c r="A277" s="149" t="str">
        <f t="array" ref="A277">XLOOKUP(MONTH(B277),BASE!$F$16:$F$27,BASE!$G$16:$G$27)</f>
        <v>Outubro</v>
      </c>
      <c r="B277" s="150">
        <v>46298.0</v>
      </c>
      <c r="C277" s="151"/>
      <c r="D277" s="149" t="str">
        <f t="shared" si="4"/>
        <v>sábado</v>
      </c>
      <c r="E277" s="152">
        <f t="shared" ref="E277:J277" si="553">IFERROR(SUM(P277,AB277)," ")</f>
        <v>0</v>
      </c>
      <c r="F277" s="152">
        <f t="shared" si="553"/>
        <v>0</v>
      </c>
      <c r="G277" s="152">
        <f t="shared" si="553"/>
        <v>0</v>
      </c>
      <c r="H277" s="153">
        <f t="shared" si="553"/>
        <v>0</v>
      </c>
      <c r="I277" s="153">
        <f t="shared" si="553"/>
        <v>0</v>
      </c>
      <c r="J277" s="153">
        <f t="shared" si="553"/>
        <v>0</v>
      </c>
      <c r="K277" s="153">
        <f t="shared" ref="K277:O277" si="554">IFERROR(SUM(W277,AH277)," ")</f>
        <v>0</v>
      </c>
      <c r="L277" s="153">
        <f t="shared" si="554"/>
        <v>0</v>
      </c>
      <c r="M277" s="153">
        <f t="shared" si="554"/>
        <v>0</v>
      </c>
      <c r="N277" s="153">
        <f t="shared" si="554"/>
        <v>0</v>
      </c>
      <c r="O277" s="153">
        <f t="shared" si="554"/>
        <v>0</v>
      </c>
      <c r="P277" s="152" t="str">
        <f t="array" ref="P277">IFERROR(XLOOKUP(B277,'ImportaçãoGoogleAds - Adveronix'!$F:$F,'ImportaçãoGoogleAds - Adveronix'!$B:$B)," ")</f>
        <v> </v>
      </c>
      <c r="Q277" s="154"/>
      <c r="R277" s="154"/>
      <c r="S277" s="155" t="str">
        <f t="array" ref="S277">IFERROR(XLOOKUP(B277,'ImportaçãoGoogleAds - Adveronix'!$F:$F,'ImportaçãoGoogleAds - Adveronix'!C:C)," ")</f>
        <v> </v>
      </c>
      <c r="T277" s="155" t="str">
        <f t="array" ref="T277">IFERROR(XLOOKUP(B277,'ImportaçãoGoogleAds - Adveronix'!$F:$F,'ImportaçãoGoogleAds - Adveronix'!D:D)," ")</f>
        <v> </v>
      </c>
      <c r="U277" s="155" t="str">
        <f t="array" ref="U277">IFERROR(XLOOKUP(B277,'ImportaçãoGoogleAds - Adveronix'!$F:$F,'ImportaçãoGoogleAds - Adveronix'!E:E)," ")</f>
        <v> </v>
      </c>
      <c r="V277" s="156"/>
      <c r="W277" s="157"/>
      <c r="X277" s="157"/>
      <c r="Y277" s="158"/>
      <c r="Z277" s="158">
        <f>IFERROR(COUNTIFS(Leads!$L:$L,$B277,Leads!$F:$F,"*google*"),0)</f>
        <v>0</v>
      </c>
      <c r="AA277" s="158">
        <f>IFERROR(COUNTIFS(Leads!$L:$L,$B277,Leads!$F:$F,"*google*",Leads!$N:$N,"Sim"),0)</f>
        <v>0</v>
      </c>
      <c r="AB277" s="152" t="str">
        <f t="array" ref="AB277">IFERROR(XLOOKUP(B277,'ImportaçãoMeta - Adveronix'!F:F,'ImportaçãoMeta - Adveronix'!B:B),"")</f>
        <v/>
      </c>
      <c r="AC277" s="154"/>
      <c r="AD277" s="154"/>
      <c r="AE277" s="159" t="str">
        <f t="array" ref="AE277">IFERROR(XLOOKUP(B277,'ImportaçãoMeta - Adveronix'!$F:$F,'ImportaçãoMeta - Adveronix'!C:C),"")</f>
        <v/>
      </c>
      <c r="AF277" s="159" t="str">
        <f t="array" ref="AF277">IFERROR(XLOOKUP(B277,'ImportaçãoMeta - Adveronix'!$F:$F,'ImportaçãoMeta - Adveronix'!D:D),"")</f>
        <v/>
      </c>
      <c r="AG277" s="159" t="str">
        <f t="array" ref="AG277">IFERROR(XLOOKUP(B277,'ImportaçãoMeta - Adveronix'!$F:$F,'ImportaçãoMeta - Adveronix'!E:E),"")</f>
        <v/>
      </c>
      <c r="AH277" s="157"/>
      <c r="AI277" s="157"/>
      <c r="AJ277" s="156"/>
      <c r="AK277" s="160">
        <f>IFERROR(COUNTIFS(Leads!$L:$L,$B277,Leads!$F:$F,"*MetaAds"),0)</f>
        <v>0</v>
      </c>
      <c r="AL277" s="160">
        <f>IFERROR(COUNTIFS(Leads!$L:$L,$B277,Leads!$F:$F,"*MetaAds*",Leads!$N:$N,"Sim"),0)</f>
        <v>0</v>
      </c>
    </row>
    <row r="278" ht="15.75" customHeight="1">
      <c r="A278" s="149" t="str">
        <f t="array" ref="A278">XLOOKUP(MONTH(B278),BASE!$F$16:$F$27,BASE!$G$16:$G$27)</f>
        <v>Outubro</v>
      </c>
      <c r="B278" s="150">
        <v>46299.0</v>
      </c>
      <c r="C278" s="151"/>
      <c r="D278" s="149" t="str">
        <f t="shared" si="4"/>
        <v>domingo</v>
      </c>
      <c r="E278" s="152">
        <f t="shared" ref="E278:J278" si="555">IFERROR(SUM(P278,AB278)," ")</f>
        <v>0</v>
      </c>
      <c r="F278" s="152">
        <f t="shared" si="555"/>
        <v>0</v>
      </c>
      <c r="G278" s="152">
        <f t="shared" si="555"/>
        <v>0</v>
      </c>
      <c r="H278" s="153">
        <f t="shared" si="555"/>
        <v>0</v>
      </c>
      <c r="I278" s="153">
        <f t="shared" si="555"/>
        <v>0</v>
      </c>
      <c r="J278" s="153">
        <f t="shared" si="555"/>
        <v>0</v>
      </c>
      <c r="K278" s="153">
        <f t="shared" ref="K278:O278" si="556">IFERROR(SUM(W278,AH278)," ")</f>
        <v>0</v>
      </c>
      <c r="L278" s="153">
        <f t="shared" si="556"/>
        <v>0</v>
      </c>
      <c r="M278" s="153">
        <f t="shared" si="556"/>
        <v>0</v>
      </c>
      <c r="N278" s="153">
        <f t="shared" si="556"/>
        <v>0</v>
      </c>
      <c r="O278" s="153">
        <f t="shared" si="556"/>
        <v>0</v>
      </c>
      <c r="P278" s="152" t="str">
        <f t="array" ref="P278">IFERROR(XLOOKUP(B278,'ImportaçãoGoogleAds - Adveronix'!$F:$F,'ImportaçãoGoogleAds - Adveronix'!$B:$B)," ")</f>
        <v> </v>
      </c>
      <c r="Q278" s="154"/>
      <c r="R278" s="154"/>
      <c r="S278" s="155" t="str">
        <f t="array" ref="S278">IFERROR(XLOOKUP(B278,'ImportaçãoGoogleAds - Adveronix'!$F:$F,'ImportaçãoGoogleAds - Adveronix'!C:C)," ")</f>
        <v> </v>
      </c>
      <c r="T278" s="155" t="str">
        <f t="array" ref="T278">IFERROR(XLOOKUP(B278,'ImportaçãoGoogleAds - Adveronix'!$F:$F,'ImportaçãoGoogleAds - Adveronix'!D:D)," ")</f>
        <v> </v>
      </c>
      <c r="U278" s="155" t="str">
        <f t="array" ref="U278">IFERROR(XLOOKUP(B278,'ImportaçãoGoogleAds - Adveronix'!$F:$F,'ImportaçãoGoogleAds - Adveronix'!E:E)," ")</f>
        <v> </v>
      </c>
      <c r="V278" s="156"/>
      <c r="W278" s="157"/>
      <c r="X278" s="157"/>
      <c r="Y278" s="158"/>
      <c r="Z278" s="158">
        <f>IFERROR(COUNTIFS(Leads!$L:$L,$B278,Leads!$F:$F,"*google*"),0)</f>
        <v>0</v>
      </c>
      <c r="AA278" s="158">
        <f>IFERROR(COUNTIFS(Leads!$L:$L,$B278,Leads!$F:$F,"*google*",Leads!$N:$N,"Sim"),0)</f>
        <v>0</v>
      </c>
      <c r="AB278" s="152" t="str">
        <f t="array" ref="AB278">IFERROR(XLOOKUP(B278,'ImportaçãoMeta - Adveronix'!F:F,'ImportaçãoMeta - Adveronix'!B:B),"")</f>
        <v/>
      </c>
      <c r="AC278" s="154"/>
      <c r="AD278" s="154"/>
      <c r="AE278" s="159" t="str">
        <f t="array" ref="AE278">IFERROR(XLOOKUP(B278,'ImportaçãoMeta - Adveronix'!$F:$F,'ImportaçãoMeta - Adveronix'!C:C),"")</f>
        <v/>
      </c>
      <c r="AF278" s="159" t="str">
        <f t="array" ref="AF278">IFERROR(XLOOKUP(B278,'ImportaçãoMeta - Adveronix'!$F:$F,'ImportaçãoMeta - Adveronix'!D:D),"")</f>
        <v/>
      </c>
      <c r="AG278" s="159" t="str">
        <f t="array" ref="AG278">IFERROR(XLOOKUP(B278,'ImportaçãoMeta - Adveronix'!$F:$F,'ImportaçãoMeta - Adveronix'!E:E),"")</f>
        <v/>
      </c>
      <c r="AH278" s="157"/>
      <c r="AI278" s="157"/>
      <c r="AJ278" s="156"/>
      <c r="AK278" s="160">
        <f>IFERROR(COUNTIFS(Leads!$L:$L,$B278,Leads!$F:$F,"*MetaAds"),0)</f>
        <v>0</v>
      </c>
      <c r="AL278" s="160">
        <f>IFERROR(COUNTIFS(Leads!$L:$L,$B278,Leads!$F:$F,"*MetaAds*",Leads!$N:$N,"Sim"),0)</f>
        <v>0</v>
      </c>
    </row>
    <row r="279" ht="15.75" customHeight="1">
      <c r="A279" s="149" t="str">
        <f t="array" ref="A279">XLOOKUP(MONTH(B279),BASE!$F$16:$F$27,BASE!$G$16:$G$27)</f>
        <v>Outubro</v>
      </c>
      <c r="B279" s="150">
        <v>46300.0</v>
      </c>
      <c r="C279" s="151"/>
      <c r="D279" s="149" t="str">
        <f t="shared" si="4"/>
        <v>segunda-feira</v>
      </c>
      <c r="E279" s="152">
        <f t="shared" ref="E279:J279" si="557">IFERROR(SUM(P279,AB279)," ")</f>
        <v>0</v>
      </c>
      <c r="F279" s="152">
        <f t="shared" si="557"/>
        <v>0</v>
      </c>
      <c r="G279" s="152">
        <f t="shared" si="557"/>
        <v>0</v>
      </c>
      <c r="H279" s="153">
        <f t="shared" si="557"/>
        <v>0</v>
      </c>
      <c r="I279" s="153">
        <f t="shared" si="557"/>
        <v>0</v>
      </c>
      <c r="J279" s="153">
        <f t="shared" si="557"/>
        <v>0</v>
      </c>
      <c r="K279" s="153">
        <f t="shared" ref="K279:O279" si="558">IFERROR(SUM(W279,AH279)," ")</f>
        <v>0</v>
      </c>
      <c r="L279" s="153">
        <f t="shared" si="558"/>
        <v>0</v>
      </c>
      <c r="M279" s="153">
        <f t="shared" si="558"/>
        <v>0</v>
      </c>
      <c r="N279" s="153">
        <f t="shared" si="558"/>
        <v>0</v>
      </c>
      <c r="O279" s="153">
        <f t="shared" si="558"/>
        <v>0</v>
      </c>
      <c r="P279" s="152" t="str">
        <f t="array" ref="P279">IFERROR(XLOOKUP(B279,'ImportaçãoGoogleAds - Adveronix'!$F:$F,'ImportaçãoGoogleAds - Adveronix'!$B:$B)," ")</f>
        <v> </v>
      </c>
      <c r="Q279" s="154"/>
      <c r="R279" s="154"/>
      <c r="S279" s="155" t="str">
        <f t="array" ref="S279">IFERROR(XLOOKUP(B279,'ImportaçãoGoogleAds - Adveronix'!$F:$F,'ImportaçãoGoogleAds - Adveronix'!C:C)," ")</f>
        <v> </v>
      </c>
      <c r="T279" s="155" t="str">
        <f t="array" ref="T279">IFERROR(XLOOKUP(B279,'ImportaçãoGoogleAds - Adveronix'!$F:$F,'ImportaçãoGoogleAds - Adveronix'!D:D)," ")</f>
        <v> </v>
      </c>
      <c r="U279" s="155" t="str">
        <f t="array" ref="U279">IFERROR(XLOOKUP(B279,'ImportaçãoGoogleAds - Adveronix'!$F:$F,'ImportaçãoGoogleAds - Adveronix'!E:E)," ")</f>
        <v> </v>
      </c>
      <c r="V279" s="156"/>
      <c r="W279" s="157"/>
      <c r="X279" s="157"/>
      <c r="Y279" s="158"/>
      <c r="Z279" s="158">
        <f>IFERROR(COUNTIFS(Leads!$L:$L,$B279,Leads!$F:$F,"*google*"),0)</f>
        <v>0</v>
      </c>
      <c r="AA279" s="158">
        <f>IFERROR(COUNTIFS(Leads!$L:$L,$B279,Leads!$F:$F,"*google*",Leads!$N:$N,"Sim"),0)</f>
        <v>0</v>
      </c>
      <c r="AB279" s="152" t="str">
        <f t="array" ref="AB279">IFERROR(XLOOKUP(B279,'ImportaçãoMeta - Adveronix'!F:F,'ImportaçãoMeta - Adveronix'!B:B),"")</f>
        <v/>
      </c>
      <c r="AC279" s="154"/>
      <c r="AD279" s="154"/>
      <c r="AE279" s="159" t="str">
        <f t="array" ref="AE279">IFERROR(XLOOKUP(B279,'ImportaçãoMeta - Adveronix'!$F:$F,'ImportaçãoMeta - Adveronix'!C:C),"")</f>
        <v/>
      </c>
      <c r="AF279" s="159" t="str">
        <f t="array" ref="AF279">IFERROR(XLOOKUP(B279,'ImportaçãoMeta - Adveronix'!$F:$F,'ImportaçãoMeta - Adveronix'!D:D),"")</f>
        <v/>
      </c>
      <c r="AG279" s="159" t="str">
        <f t="array" ref="AG279">IFERROR(XLOOKUP(B279,'ImportaçãoMeta - Adveronix'!$F:$F,'ImportaçãoMeta - Adveronix'!E:E),"")</f>
        <v/>
      </c>
      <c r="AH279" s="157"/>
      <c r="AI279" s="157"/>
      <c r="AJ279" s="156"/>
      <c r="AK279" s="160">
        <f>IFERROR(COUNTIFS(Leads!$L:$L,$B279,Leads!$F:$F,"*MetaAds"),0)</f>
        <v>0</v>
      </c>
      <c r="AL279" s="160">
        <f>IFERROR(COUNTIFS(Leads!$L:$L,$B279,Leads!$F:$F,"*MetaAds*",Leads!$N:$N,"Sim"),0)</f>
        <v>0</v>
      </c>
    </row>
    <row r="280" ht="15.75" customHeight="1">
      <c r="A280" s="149" t="str">
        <f t="array" ref="A280">XLOOKUP(MONTH(B280),BASE!$F$16:$F$27,BASE!$G$16:$G$27)</f>
        <v>Outubro</v>
      </c>
      <c r="B280" s="150">
        <v>46301.0</v>
      </c>
      <c r="C280" s="151"/>
      <c r="D280" s="149" t="str">
        <f t="shared" si="4"/>
        <v>terça-feira</v>
      </c>
      <c r="E280" s="152">
        <f t="shared" ref="E280:J280" si="559">IFERROR(SUM(P280,AB280)," ")</f>
        <v>0</v>
      </c>
      <c r="F280" s="152">
        <f t="shared" si="559"/>
        <v>0</v>
      </c>
      <c r="G280" s="152">
        <f t="shared" si="559"/>
        <v>0</v>
      </c>
      <c r="H280" s="153">
        <f t="shared" si="559"/>
        <v>0</v>
      </c>
      <c r="I280" s="153">
        <f t="shared" si="559"/>
        <v>0</v>
      </c>
      <c r="J280" s="153">
        <f t="shared" si="559"/>
        <v>0</v>
      </c>
      <c r="K280" s="153">
        <f t="shared" ref="K280:O280" si="560">IFERROR(SUM(W280,AH280)," ")</f>
        <v>0</v>
      </c>
      <c r="L280" s="153">
        <f t="shared" si="560"/>
        <v>0</v>
      </c>
      <c r="M280" s="153">
        <f t="shared" si="560"/>
        <v>0</v>
      </c>
      <c r="N280" s="153">
        <f t="shared" si="560"/>
        <v>0</v>
      </c>
      <c r="O280" s="153">
        <f t="shared" si="560"/>
        <v>0</v>
      </c>
      <c r="P280" s="152" t="str">
        <f t="array" ref="P280">IFERROR(XLOOKUP(B280,'ImportaçãoGoogleAds - Adveronix'!$F:$F,'ImportaçãoGoogleAds - Adveronix'!$B:$B)," ")</f>
        <v> </v>
      </c>
      <c r="Q280" s="154"/>
      <c r="R280" s="154"/>
      <c r="S280" s="155" t="str">
        <f t="array" ref="S280">IFERROR(XLOOKUP(B280,'ImportaçãoGoogleAds - Adveronix'!$F:$F,'ImportaçãoGoogleAds - Adveronix'!C:C)," ")</f>
        <v> </v>
      </c>
      <c r="T280" s="155" t="str">
        <f t="array" ref="T280">IFERROR(XLOOKUP(B280,'ImportaçãoGoogleAds - Adveronix'!$F:$F,'ImportaçãoGoogleAds - Adveronix'!D:D)," ")</f>
        <v> </v>
      </c>
      <c r="U280" s="155" t="str">
        <f t="array" ref="U280">IFERROR(XLOOKUP(B280,'ImportaçãoGoogleAds - Adveronix'!$F:$F,'ImportaçãoGoogleAds - Adveronix'!E:E)," ")</f>
        <v> </v>
      </c>
      <c r="V280" s="156"/>
      <c r="W280" s="157"/>
      <c r="X280" s="157"/>
      <c r="Y280" s="158"/>
      <c r="Z280" s="158">
        <f>IFERROR(COUNTIFS(Leads!$L:$L,$B280,Leads!$F:$F,"*google*"),0)</f>
        <v>0</v>
      </c>
      <c r="AA280" s="158">
        <f>IFERROR(COUNTIFS(Leads!$L:$L,$B280,Leads!$F:$F,"*google*",Leads!$N:$N,"Sim"),0)</f>
        <v>0</v>
      </c>
      <c r="AB280" s="152" t="str">
        <f t="array" ref="AB280">IFERROR(XLOOKUP(B280,'ImportaçãoMeta - Adveronix'!F:F,'ImportaçãoMeta - Adveronix'!B:B),"")</f>
        <v/>
      </c>
      <c r="AC280" s="154"/>
      <c r="AD280" s="154"/>
      <c r="AE280" s="159" t="str">
        <f t="array" ref="AE280">IFERROR(XLOOKUP(B280,'ImportaçãoMeta - Adveronix'!$F:$F,'ImportaçãoMeta - Adveronix'!C:C),"")</f>
        <v/>
      </c>
      <c r="AF280" s="159" t="str">
        <f t="array" ref="AF280">IFERROR(XLOOKUP(B280,'ImportaçãoMeta - Adveronix'!$F:$F,'ImportaçãoMeta - Adveronix'!D:D),"")</f>
        <v/>
      </c>
      <c r="AG280" s="159" t="str">
        <f t="array" ref="AG280">IFERROR(XLOOKUP(B280,'ImportaçãoMeta - Adveronix'!$F:$F,'ImportaçãoMeta - Adveronix'!E:E),"")</f>
        <v/>
      </c>
      <c r="AH280" s="157"/>
      <c r="AI280" s="157"/>
      <c r="AJ280" s="156"/>
      <c r="AK280" s="160">
        <f>IFERROR(COUNTIFS(Leads!$L:$L,$B280,Leads!$F:$F,"*MetaAds"),0)</f>
        <v>0</v>
      </c>
      <c r="AL280" s="160">
        <f>IFERROR(COUNTIFS(Leads!$L:$L,$B280,Leads!$F:$F,"*MetaAds*",Leads!$N:$N,"Sim"),0)</f>
        <v>0</v>
      </c>
    </row>
    <row r="281" ht="15.75" customHeight="1">
      <c r="A281" s="149" t="str">
        <f t="array" ref="A281">XLOOKUP(MONTH(B281),BASE!$F$16:$F$27,BASE!$G$16:$G$27)</f>
        <v>Outubro</v>
      </c>
      <c r="B281" s="150">
        <v>46302.0</v>
      </c>
      <c r="C281" s="151"/>
      <c r="D281" s="149" t="str">
        <f t="shared" si="4"/>
        <v>quarta-feira</v>
      </c>
      <c r="E281" s="152">
        <f t="shared" ref="E281:J281" si="561">IFERROR(SUM(P281,AB281)," ")</f>
        <v>0</v>
      </c>
      <c r="F281" s="152">
        <f t="shared" si="561"/>
        <v>0</v>
      </c>
      <c r="G281" s="152">
        <f t="shared" si="561"/>
        <v>0</v>
      </c>
      <c r="H281" s="153">
        <f t="shared" si="561"/>
        <v>0</v>
      </c>
      <c r="I281" s="153">
        <f t="shared" si="561"/>
        <v>0</v>
      </c>
      <c r="J281" s="153">
        <f t="shared" si="561"/>
        <v>0</v>
      </c>
      <c r="K281" s="153">
        <f t="shared" ref="K281:O281" si="562">IFERROR(SUM(W281,AH281)," ")</f>
        <v>0</v>
      </c>
      <c r="L281" s="153">
        <f t="shared" si="562"/>
        <v>0</v>
      </c>
      <c r="M281" s="153">
        <f t="shared" si="562"/>
        <v>0</v>
      </c>
      <c r="N281" s="153">
        <f t="shared" si="562"/>
        <v>0</v>
      </c>
      <c r="O281" s="153">
        <f t="shared" si="562"/>
        <v>0</v>
      </c>
      <c r="P281" s="152" t="str">
        <f t="array" ref="P281">IFERROR(XLOOKUP(B281,'ImportaçãoGoogleAds - Adveronix'!$F:$F,'ImportaçãoGoogleAds - Adveronix'!$B:$B)," ")</f>
        <v> </v>
      </c>
      <c r="Q281" s="154"/>
      <c r="R281" s="154"/>
      <c r="S281" s="155" t="str">
        <f t="array" ref="S281">IFERROR(XLOOKUP(B281,'ImportaçãoGoogleAds - Adveronix'!$F:$F,'ImportaçãoGoogleAds - Adveronix'!C:C)," ")</f>
        <v> </v>
      </c>
      <c r="T281" s="155" t="str">
        <f t="array" ref="T281">IFERROR(XLOOKUP(B281,'ImportaçãoGoogleAds - Adveronix'!$F:$F,'ImportaçãoGoogleAds - Adveronix'!D:D)," ")</f>
        <v> </v>
      </c>
      <c r="U281" s="155" t="str">
        <f t="array" ref="U281">IFERROR(XLOOKUP(B281,'ImportaçãoGoogleAds - Adveronix'!$F:$F,'ImportaçãoGoogleAds - Adveronix'!E:E)," ")</f>
        <v> </v>
      </c>
      <c r="V281" s="156"/>
      <c r="W281" s="157"/>
      <c r="X281" s="157"/>
      <c r="Y281" s="158"/>
      <c r="Z281" s="158">
        <f>IFERROR(COUNTIFS(Leads!$L:$L,$B281,Leads!$F:$F,"*google*"),0)</f>
        <v>0</v>
      </c>
      <c r="AA281" s="158">
        <f>IFERROR(COUNTIFS(Leads!$L:$L,$B281,Leads!$F:$F,"*google*",Leads!$N:$N,"Sim"),0)</f>
        <v>0</v>
      </c>
      <c r="AB281" s="152" t="str">
        <f t="array" ref="AB281">IFERROR(XLOOKUP(B281,'ImportaçãoMeta - Adveronix'!F:F,'ImportaçãoMeta - Adveronix'!B:B),"")</f>
        <v/>
      </c>
      <c r="AC281" s="154"/>
      <c r="AD281" s="154"/>
      <c r="AE281" s="159" t="str">
        <f t="array" ref="AE281">IFERROR(XLOOKUP(B281,'ImportaçãoMeta - Adveronix'!$F:$F,'ImportaçãoMeta - Adveronix'!C:C),"")</f>
        <v/>
      </c>
      <c r="AF281" s="159" t="str">
        <f t="array" ref="AF281">IFERROR(XLOOKUP(B281,'ImportaçãoMeta - Adveronix'!$F:$F,'ImportaçãoMeta - Adveronix'!D:D),"")</f>
        <v/>
      </c>
      <c r="AG281" s="159" t="str">
        <f t="array" ref="AG281">IFERROR(XLOOKUP(B281,'ImportaçãoMeta - Adveronix'!$F:$F,'ImportaçãoMeta - Adveronix'!E:E),"")</f>
        <v/>
      </c>
      <c r="AH281" s="157"/>
      <c r="AI281" s="157"/>
      <c r="AJ281" s="156"/>
      <c r="AK281" s="160">
        <f>IFERROR(COUNTIFS(Leads!$L:$L,$B281,Leads!$F:$F,"*MetaAds"),0)</f>
        <v>0</v>
      </c>
      <c r="AL281" s="160">
        <f>IFERROR(COUNTIFS(Leads!$L:$L,$B281,Leads!$F:$F,"*MetaAds*",Leads!$N:$N,"Sim"),0)</f>
        <v>0</v>
      </c>
    </row>
    <row r="282" ht="15.75" customHeight="1">
      <c r="A282" s="149" t="str">
        <f t="array" ref="A282">XLOOKUP(MONTH(B282),BASE!$F$16:$F$27,BASE!$G$16:$G$27)</f>
        <v>Outubro</v>
      </c>
      <c r="B282" s="150">
        <v>46303.0</v>
      </c>
      <c r="C282" s="151"/>
      <c r="D282" s="149" t="str">
        <f t="shared" si="4"/>
        <v>quinta-feira</v>
      </c>
      <c r="E282" s="152">
        <f t="shared" ref="E282:J282" si="563">IFERROR(SUM(P282,AB282)," ")</f>
        <v>0</v>
      </c>
      <c r="F282" s="152">
        <f t="shared" si="563"/>
        <v>0</v>
      </c>
      <c r="G282" s="152">
        <f t="shared" si="563"/>
        <v>0</v>
      </c>
      <c r="H282" s="153">
        <f t="shared" si="563"/>
        <v>0</v>
      </c>
      <c r="I282" s="153">
        <f t="shared" si="563"/>
        <v>0</v>
      </c>
      <c r="J282" s="153">
        <f t="shared" si="563"/>
        <v>0</v>
      </c>
      <c r="K282" s="153">
        <f t="shared" ref="K282:O282" si="564">IFERROR(SUM(W282,AH282)," ")</f>
        <v>0</v>
      </c>
      <c r="L282" s="153">
        <f t="shared" si="564"/>
        <v>0</v>
      </c>
      <c r="M282" s="153">
        <f t="shared" si="564"/>
        <v>0</v>
      </c>
      <c r="N282" s="153">
        <f t="shared" si="564"/>
        <v>0</v>
      </c>
      <c r="O282" s="153">
        <f t="shared" si="564"/>
        <v>0</v>
      </c>
      <c r="P282" s="152" t="str">
        <f t="array" ref="P282">IFERROR(XLOOKUP(B282,'ImportaçãoGoogleAds - Adveronix'!$F:$F,'ImportaçãoGoogleAds - Adveronix'!$B:$B)," ")</f>
        <v> </v>
      </c>
      <c r="Q282" s="154"/>
      <c r="R282" s="154"/>
      <c r="S282" s="155" t="str">
        <f t="array" ref="S282">IFERROR(XLOOKUP(B282,'ImportaçãoGoogleAds - Adveronix'!$F:$F,'ImportaçãoGoogleAds - Adveronix'!C:C)," ")</f>
        <v> </v>
      </c>
      <c r="T282" s="155" t="str">
        <f t="array" ref="T282">IFERROR(XLOOKUP(B282,'ImportaçãoGoogleAds - Adveronix'!$F:$F,'ImportaçãoGoogleAds - Adveronix'!D:D)," ")</f>
        <v> </v>
      </c>
      <c r="U282" s="155" t="str">
        <f t="array" ref="U282">IFERROR(XLOOKUP(B282,'ImportaçãoGoogleAds - Adveronix'!$F:$F,'ImportaçãoGoogleAds - Adveronix'!E:E)," ")</f>
        <v> </v>
      </c>
      <c r="V282" s="156"/>
      <c r="W282" s="157"/>
      <c r="X282" s="157"/>
      <c r="Y282" s="158"/>
      <c r="Z282" s="158">
        <f>IFERROR(COUNTIFS(Leads!$L:$L,$B282,Leads!$F:$F,"*google*"),0)</f>
        <v>0</v>
      </c>
      <c r="AA282" s="158">
        <f>IFERROR(COUNTIFS(Leads!$L:$L,$B282,Leads!$F:$F,"*google*",Leads!$N:$N,"Sim"),0)</f>
        <v>0</v>
      </c>
      <c r="AB282" s="152" t="str">
        <f t="array" ref="AB282">IFERROR(XLOOKUP(B282,'ImportaçãoMeta - Adveronix'!F:F,'ImportaçãoMeta - Adveronix'!B:B),"")</f>
        <v/>
      </c>
      <c r="AC282" s="154"/>
      <c r="AD282" s="154"/>
      <c r="AE282" s="159" t="str">
        <f t="array" ref="AE282">IFERROR(XLOOKUP(B282,'ImportaçãoMeta - Adveronix'!$F:$F,'ImportaçãoMeta - Adveronix'!C:C),"")</f>
        <v/>
      </c>
      <c r="AF282" s="159" t="str">
        <f t="array" ref="AF282">IFERROR(XLOOKUP(B282,'ImportaçãoMeta - Adveronix'!$F:$F,'ImportaçãoMeta - Adveronix'!D:D),"")</f>
        <v/>
      </c>
      <c r="AG282" s="159" t="str">
        <f t="array" ref="AG282">IFERROR(XLOOKUP(B282,'ImportaçãoMeta - Adveronix'!$F:$F,'ImportaçãoMeta - Adveronix'!E:E),"")</f>
        <v/>
      </c>
      <c r="AH282" s="157"/>
      <c r="AI282" s="157"/>
      <c r="AJ282" s="156"/>
      <c r="AK282" s="160">
        <f>IFERROR(COUNTIFS(Leads!$L:$L,$B282,Leads!$F:$F,"*MetaAds"),0)</f>
        <v>0</v>
      </c>
      <c r="AL282" s="160">
        <f>IFERROR(COUNTIFS(Leads!$L:$L,$B282,Leads!$F:$F,"*MetaAds*",Leads!$N:$N,"Sim"),0)</f>
        <v>0</v>
      </c>
    </row>
    <row r="283" ht="15.75" customHeight="1">
      <c r="A283" s="149" t="str">
        <f t="array" ref="A283">XLOOKUP(MONTH(B283),BASE!$F$16:$F$27,BASE!$G$16:$G$27)</f>
        <v>Outubro</v>
      </c>
      <c r="B283" s="150">
        <v>46304.0</v>
      </c>
      <c r="C283" s="151"/>
      <c r="D283" s="149" t="str">
        <f t="shared" si="4"/>
        <v>sexta-feira</v>
      </c>
      <c r="E283" s="152">
        <f t="shared" ref="E283:J283" si="565">IFERROR(SUM(P283,AB283)," ")</f>
        <v>0</v>
      </c>
      <c r="F283" s="152">
        <f t="shared" si="565"/>
        <v>0</v>
      </c>
      <c r="G283" s="152">
        <f t="shared" si="565"/>
        <v>0</v>
      </c>
      <c r="H283" s="153">
        <f t="shared" si="565"/>
        <v>0</v>
      </c>
      <c r="I283" s="153">
        <f t="shared" si="565"/>
        <v>0</v>
      </c>
      <c r="J283" s="153">
        <f t="shared" si="565"/>
        <v>0</v>
      </c>
      <c r="K283" s="153">
        <f t="shared" ref="K283:O283" si="566">IFERROR(SUM(W283,AH283)," ")</f>
        <v>0</v>
      </c>
      <c r="L283" s="153">
        <f t="shared" si="566"/>
        <v>0</v>
      </c>
      <c r="M283" s="153">
        <f t="shared" si="566"/>
        <v>0</v>
      </c>
      <c r="N283" s="153">
        <f t="shared" si="566"/>
        <v>0</v>
      </c>
      <c r="O283" s="153">
        <f t="shared" si="566"/>
        <v>0</v>
      </c>
      <c r="P283" s="152" t="str">
        <f t="array" ref="P283">IFERROR(XLOOKUP(B283,'ImportaçãoGoogleAds - Adveronix'!$F:$F,'ImportaçãoGoogleAds - Adveronix'!$B:$B)," ")</f>
        <v> </v>
      </c>
      <c r="Q283" s="154"/>
      <c r="R283" s="154"/>
      <c r="S283" s="155" t="str">
        <f t="array" ref="S283">IFERROR(XLOOKUP(B283,'ImportaçãoGoogleAds - Adveronix'!$F:$F,'ImportaçãoGoogleAds - Adveronix'!C:C)," ")</f>
        <v> </v>
      </c>
      <c r="T283" s="155" t="str">
        <f t="array" ref="T283">IFERROR(XLOOKUP(B283,'ImportaçãoGoogleAds - Adveronix'!$F:$F,'ImportaçãoGoogleAds - Adveronix'!D:D)," ")</f>
        <v> </v>
      </c>
      <c r="U283" s="155" t="str">
        <f t="array" ref="U283">IFERROR(XLOOKUP(B283,'ImportaçãoGoogleAds - Adveronix'!$F:$F,'ImportaçãoGoogleAds - Adveronix'!E:E)," ")</f>
        <v> </v>
      </c>
      <c r="V283" s="156"/>
      <c r="W283" s="157"/>
      <c r="X283" s="157"/>
      <c r="Y283" s="158"/>
      <c r="Z283" s="158">
        <f>IFERROR(COUNTIFS(Leads!$L:$L,$B283,Leads!$F:$F,"*google*"),0)</f>
        <v>0</v>
      </c>
      <c r="AA283" s="158">
        <f>IFERROR(COUNTIFS(Leads!$L:$L,$B283,Leads!$F:$F,"*google*",Leads!$N:$N,"Sim"),0)</f>
        <v>0</v>
      </c>
      <c r="AB283" s="152" t="str">
        <f t="array" ref="AB283">IFERROR(XLOOKUP(B283,'ImportaçãoMeta - Adveronix'!F:F,'ImportaçãoMeta - Adveronix'!B:B),"")</f>
        <v/>
      </c>
      <c r="AC283" s="154"/>
      <c r="AD283" s="154"/>
      <c r="AE283" s="159" t="str">
        <f t="array" ref="AE283">IFERROR(XLOOKUP(B283,'ImportaçãoMeta - Adveronix'!$F:$F,'ImportaçãoMeta - Adveronix'!C:C),"")</f>
        <v/>
      </c>
      <c r="AF283" s="159" t="str">
        <f t="array" ref="AF283">IFERROR(XLOOKUP(B283,'ImportaçãoMeta - Adveronix'!$F:$F,'ImportaçãoMeta - Adveronix'!D:D),"")</f>
        <v/>
      </c>
      <c r="AG283" s="159" t="str">
        <f t="array" ref="AG283">IFERROR(XLOOKUP(B283,'ImportaçãoMeta - Adveronix'!$F:$F,'ImportaçãoMeta - Adveronix'!E:E),"")</f>
        <v/>
      </c>
      <c r="AH283" s="157"/>
      <c r="AI283" s="157"/>
      <c r="AJ283" s="156"/>
      <c r="AK283" s="160">
        <f>IFERROR(COUNTIFS(Leads!$L:$L,$B283,Leads!$F:$F,"*MetaAds"),0)</f>
        <v>0</v>
      </c>
      <c r="AL283" s="160">
        <f>IFERROR(COUNTIFS(Leads!$L:$L,$B283,Leads!$F:$F,"*MetaAds*",Leads!$N:$N,"Sim"),0)</f>
        <v>0</v>
      </c>
    </row>
    <row r="284" ht="15.75" customHeight="1">
      <c r="A284" s="149" t="str">
        <f t="array" ref="A284">XLOOKUP(MONTH(B284),BASE!$F$16:$F$27,BASE!$G$16:$G$27)</f>
        <v>Outubro</v>
      </c>
      <c r="B284" s="150">
        <v>46305.0</v>
      </c>
      <c r="C284" s="151"/>
      <c r="D284" s="149" t="str">
        <f t="shared" si="4"/>
        <v>sábado</v>
      </c>
      <c r="E284" s="152">
        <f t="shared" ref="E284:J284" si="567">IFERROR(SUM(P284,AB284)," ")</f>
        <v>0</v>
      </c>
      <c r="F284" s="152">
        <f t="shared" si="567"/>
        <v>0</v>
      </c>
      <c r="G284" s="152">
        <f t="shared" si="567"/>
        <v>0</v>
      </c>
      <c r="H284" s="153">
        <f t="shared" si="567"/>
        <v>0</v>
      </c>
      <c r="I284" s="153">
        <f t="shared" si="567"/>
        <v>0</v>
      </c>
      <c r="J284" s="153">
        <f t="shared" si="567"/>
        <v>0</v>
      </c>
      <c r="K284" s="153">
        <f t="shared" ref="K284:O284" si="568">IFERROR(SUM(W284,AH284)," ")</f>
        <v>0</v>
      </c>
      <c r="L284" s="153">
        <f t="shared" si="568"/>
        <v>0</v>
      </c>
      <c r="M284" s="153">
        <f t="shared" si="568"/>
        <v>0</v>
      </c>
      <c r="N284" s="153">
        <f t="shared" si="568"/>
        <v>0</v>
      </c>
      <c r="O284" s="153">
        <f t="shared" si="568"/>
        <v>0</v>
      </c>
      <c r="P284" s="152" t="str">
        <f t="array" ref="P284">IFERROR(XLOOKUP(B284,'ImportaçãoGoogleAds - Adveronix'!$F:$F,'ImportaçãoGoogleAds - Adveronix'!$B:$B)," ")</f>
        <v> </v>
      </c>
      <c r="Q284" s="154"/>
      <c r="R284" s="154"/>
      <c r="S284" s="155" t="str">
        <f t="array" ref="S284">IFERROR(XLOOKUP(B284,'ImportaçãoGoogleAds - Adveronix'!$F:$F,'ImportaçãoGoogleAds - Adveronix'!C:C)," ")</f>
        <v> </v>
      </c>
      <c r="T284" s="155" t="str">
        <f t="array" ref="T284">IFERROR(XLOOKUP(B284,'ImportaçãoGoogleAds - Adveronix'!$F:$F,'ImportaçãoGoogleAds - Adveronix'!D:D)," ")</f>
        <v> </v>
      </c>
      <c r="U284" s="155" t="str">
        <f t="array" ref="U284">IFERROR(XLOOKUP(B284,'ImportaçãoGoogleAds - Adveronix'!$F:$F,'ImportaçãoGoogleAds - Adveronix'!E:E)," ")</f>
        <v> </v>
      </c>
      <c r="V284" s="156"/>
      <c r="W284" s="157"/>
      <c r="X284" s="157"/>
      <c r="Y284" s="158"/>
      <c r="Z284" s="158">
        <f>IFERROR(COUNTIFS(Leads!$L:$L,$B284,Leads!$F:$F,"*google*"),0)</f>
        <v>0</v>
      </c>
      <c r="AA284" s="158">
        <f>IFERROR(COUNTIFS(Leads!$L:$L,$B284,Leads!$F:$F,"*google*",Leads!$N:$N,"Sim"),0)</f>
        <v>0</v>
      </c>
      <c r="AB284" s="152" t="str">
        <f t="array" ref="AB284">IFERROR(XLOOKUP(B284,'ImportaçãoMeta - Adveronix'!F:F,'ImportaçãoMeta - Adveronix'!B:B),"")</f>
        <v/>
      </c>
      <c r="AC284" s="154"/>
      <c r="AD284" s="154"/>
      <c r="AE284" s="159" t="str">
        <f t="array" ref="AE284">IFERROR(XLOOKUP(B284,'ImportaçãoMeta - Adveronix'!$F:$F,'ImportaçãoMeta - Adveronix'!C:C),"")</f>
        <v/>
      </c>
      <c r="AF284" s="159" t="str">
        <f t="array" ref="AF284">IFERROR(XLOOKUP(B284,'ImportaçãoMeta - Adveronix'!$F:$F,'ImportaçãoMeta - Adveronix'!D:D),"")</f>
        <v/>
      </c>
      <c r="AG284" s="159" t="str">
        <f t="array" ref="AG284">IFERROR(XLOOKUP(B284,'ImportaçãoMeta - Adveronix'!$F:$F,'ImportaçãoMeta - Adveronix'!E:E),"")</f>
        <v/>
      </c>
      <c r="AH284" s="157"/>
      <c r="AI284" s="157"/>
      <c r="AJ284" s="156"/>
      <c r="AK284" s="160">
        <f>IFERROR(COUNTIFS(Leads!$L:$L,$B284,Leads!$F:$F,"*MetaAds"),0)</f>
        <v>0</v>
      </c>
      <c r="AL284" s="160">
        <f>IFERROR(COUNTIFS(Leads!$L:$L,$B284,Leads!$F:$F,"*MetaAds*",Leads!$N:$N,"Sim"),0)</f>
        <v>0</v>
      </c>
    </row>
    <row r="285" ht="15.75" customHeight="1">
      <c r="A285" s="149" t="str">
        <f t="array" ref="A285">XLOOKUP(MONTH(B285),BASE!$F$16:$F$27,BASE!$G$16:$G$27)</f>
        <v>Outubro</v>
      </c>
      <c r="B285" s="150">
        <v>46306.0</v>
      </c>
      <c r="C285" s="151"/>
      <c r="D285" s="149" t="str">
        <f t="shared" si="4"/>
        <v>domingo</v>
      </c>
      <c r="E285" s="152">
        <f t="shared" ref="E285:J285" si="569">IFERROR(SUM(P285,AB285)," ")</f>
        <v>0</v>
      </c>
      <c r="F285" s="152">
        <f t="shared" si="569"/>
        <v>0</v>
      </c>
      <c r="G285" s="152">
        <f t="shared" si="569"/>
        <v>0</v>
      </c>
      <c r="H285" s="153">
        <f t="shared" si="569"/>
        <v>0</v>
      </c>
      <c r="I285" s="153">
        <f t="shared" si="569"/>
        <v>0</v>
      </c>
      <c r="J285" s="153">
        <f t="shared" si="569"/>
        <v>0</v>
      </c>
      <c r="K285" s="153">
        <f t="shared" ref="K285:O285" si="570">IFERROR(SUM(W285,AH285)," ")</f>
        <v>0</v>
      </c>
      <c r="L285" s="153">
        <f t="shared" si="570"/>
        <v>0</v>
      </c>
      <c r="M285" s="153">
        <f t="shared" si="570"/>
        <v>0</v>
      </c>
      <c r="N285" s="153">
        <f t="shared" si="570"/>
        <v>0</v>
      </c>
      <c r="O285" s="153">
        <f t="shared" si="570"/>
        <v>0</v>
      </c>
      <c r="P285" s="152" t="str">
        <f t="array" ref="P285">IFERROR(XLOOKUP(B285,'ImportaçãoGoogleAds - Adveronix'!$F:$F,'ImportaçãoGoogleAds - Adveronix'!$B:$B)," ")</f>
        <v> </v>
      </c>
      <c r="Q285" s="154"/>
      <c r="R285" s="154"/>
      <c r="S285" s="155" t="str">
        <f t="array" ref="S285">IFERROR(XLOOKUP(B285,'ImportaçãoGoogleAds - Adveronix'!$F:$F,'ImportaçãoGoogleAds - Adveronix'!C:C)," ")</f>
        <v> </v>
      </c>
      <c r="T285" s="155" t="str">
        <f t="array" ref="T285">IFERROR(XLOOKUP(B285,'ImportaçãoGoogleAds - Adveronix'!$F:$F,'ImportaçãoGoogleAds - Adveronix'!D:D)," ")</f>
        <v> </v>
      </c>
      <c r="U285" s="155" t="str">
        <f t="array" ref="U285">IFERROR(XLOOKUP(B285,'ImportaçãoGoogleAds - Adveronix'!$F:$F,'ImportaçãoGoogleAds - Adveronix'!E:E)," ")</f>
        <v> </v>
      </c>
      <c r="V285" s="156"/>
      <c r="W285" s="157"/>
      <c r="X285" s="157"/>
      <c r="Y285" s="158"/>
      <c r="Z285" s="158">
        <f>IFERROR(COUNTIFS(Leads!$L:$L,$B285,Leads!$F:$F,"*google*"),0)</f>
        <v>0</v>
      </c>
      <c r="AA285" s="158">
        <f>IFERROR(COUNTIFS(Leads!$L:$L,$B285,Leads!$F:$F,"*google*",Leads!$N:$N,"Sim"),0)</f>
        <v>0</v>
      </c>
      <c r="AB285" s="152" t="str">
        <f t="array" ref="AB285">IFERROR(XLOOKUP(B285,'ImportaçãoMeta - Adveronix'!F:F,'ImportaçãoMeta - Adveronix'!B:B),"")</f>
        <v/>
      </c>
      <c r="AC285" s="154"/>
      <c r="AD285" s="154"/>
      <c r="AE285" s="159" t="str">
        <f t="array" ref="AE285">IFERROR(XLOOKUP(B285,'ImportaçãoMeta - Adveronix'!$F:$F,'ImportaçãoMeta - Adveronix'!C:C),"")</f>
        <v/>
      </c>
      <c r="AF285" s="159" t="str">
        <f t="array" ref="AF285">IFERROR(XLOOKUP(B285,'ImportaçãoMeta - Adveronix'!$F:$F,'ImportaçãoMeta - Adveronix'!D:D),"")</f>
        <v/>
      </c>
      <c r="AG285" s="159" t="str">
        <f t="array" ref="AG285">IFERROR(XLOOKUP(B285,'ImportaçãoMeta - Adveronix'!$F:$F,'ImportaçãoMeta - Adveronix'!E:E),"")</f>
        <v/>
      </c>
      <c r="AH285" s="157"/>
      <c r="AI285" s="157"/>
      <c r="AJ285" s="156"/>
      <c r="AK285" s="160">
        <f>IFERROR(COUNTIFS(Leads!$L:$L,$B285,Leads!$F:$F,"*MetaAds"),0)</f>
        <v>0</v>
      </c>
      <c r="AL285" s="160">
        <f>IFERROR(COUNTIFS(Leads!$L:$L,$B285,Leads!$F:$F,"*MetaAds*",Leads!$N:$N,"Sim"),0)</f>
        <v>0</v>
      </c>
    </row>
    <row r="286" ht="15.75" customHeight="1">
      <c r="A286" s="149" t="str">
        <f t="array" ref="A286">XLOOKUP(MONTH(B286),BASE!$F$16:$F$27,BASE!$G$16:$G$27)</f>
        <v>Outubro</v>
      </c>
      <c r="B286" s="150">
        <v>46307.0</v>
      </c>
      <c r="C286" s="151"/>
      <c r="D286" s="149" t="str">
        <f t="shared" si="4"/>
        <v>segunda-feira</v>
      </c>
      <c r="E286" s="152">
        <f t="shared" ref="E286:J286" si="571">IFERROR(SUM(P286,AB286)," ")</f>
        <v>0</v>
      </c>
      <c r="F286" s="152">
        <f t="shared" si="571"/>
        <v>0</v>
      </c>
      <c r="G286" s="152">
        <f t="shared" si="571"/>
        <v>0</v>
      </c>
      <c r="H286" s="153">
        <f t="shared" si="571"/>
        <v>0</v>
      </c>
      <c r="I286" s="153">
        <f t="shared" si="571"/>
        <v>0</v>
      </c>
      <c r="J286" s="153">
        <f t="shared" si="571"/>
        <v>0</v>
      </c>
      <c r="K286" s="153">
        <f t="shared" ref="K286:O286" si="572">IFERROR(SUM(W286,AH286)," ")</f>
        <v>0</v>
      </c>
      <c r="L286" s="153">
        <f t="shared" si="572"/>
        <v>0</v>
      </c>
      <c r="M286" s="153">
        <f t="shared" si="572"/>
        <v>0</v>
      </c>
      <c r="N286" s="153">
        <f t="shared" si="572"/>
        <v>0</v>
      </c>
      <c r="O286" s="153">
        <f t="shared" si="572"/>
        <v>0</v>
      </c>
      <c r="P286" s="152" t="str">
        <f t="array" ref="P286">IFERROR(XLOOKUP(B286,'ImportaçãoGoogleAds - Adveronix'!$F:$F,'ImportaçãoGoogleAds - Adveronix'!$B:$B)," ")</f>
        <v> </v>
      </c>
      <c r="Q286" s="154"/>
      <c r="R286" s="154"/>
      <c r="S286" s="155" t="str">
        <f t="array" ref="S286">IFERROR(XLOOKUP(B286,'ImportaçãoGoogleAds - Adveronix'!$F:$F,'ImportaçãoGoogleAds - Adveronix'!C:C)," ")</f>
        <v> </v>
      </c>
      <c r="T286" s="155" t="str">
        <f t="array" ref="T286">IFERROR(XLOOKUP(B286,'ImportaçãoGoogleAds - Adveronix'!$F:$F,'ImportaçãoGoogleAds - Adveronix'!D:D)," ")</f>
        <v> </v>
      </c>
      <c r="U286" s="155" t="str">
        <f t="array" ref="U286">IFERROR(XLOOKUP(B286,'ImportaçãoGoogleAds - Adveronix'!$F:$F,'ImportaçãoGoogleAds - Adveronix'!E:E)," ")</f>
        <v> </v>
      </c>
      <c r="V286" s="156"/>
      <c r="W286" s="157"/>
      <c r="X286" s="157"/>
      <c r="Y286" s="158"/>
      <c r="Z286" s="158">
        <f>IFERROR(COUNTIFS(Leads!$L:$L,$B286,Leads!$F:$F,"*google*"),0)</f>
        <v>0</v>
      </c>
      <c r="AA286" s="158">
        <f>IFERROR(COUNTIFS(Leads!$L:$L,$B286,Leads!$F:$F,"*google*",Leads!$N:$N,"Sim"),0)</f>
        <v>0</v>
      </c>
      <c r="AB286" s="152" t="str">
        <f t="array" ref="AB286">IFERROR(XLOOKUP(B286,'ImportaçãoMeta - Adveronix'!F:F,'ImportaçãoMeta - Adveronix'!B:B),"")</f>
        <v/>
      </c>
      <c r="AC286" s="154"/>
      <c r="AD286" s="154"/>
      <c r="AE286" s="159" t="str">
        <f t="array" ref="AE286">IFERROR(XLOOKUP(B286,'ImportaçãoMeta - Adveronix'!$F:$F,'ImportaçãoMeta - Adveronix'!C:C),"")</f>
        <v/>
      </c>
      <c r="AF286" s="159" t="str">
        <f t="array" ref="AF286">IFERROR(XLOOKUP(B286,'ImportaçãoMeta - Adveronix'!$F:$F,'ImportaçãoMeta - Adveronix'!D:D),"")</f>
        <v/>
      </c>
      <c r="AG286" s="159" t="str">
        <f t="array" ref="AG286">IFERROR(XLOOKUP(B286,'ImportaçãoMeta - Adveronix'!$F:$F,'ImportaçãoMeta - Adveronix'!E:E),"")</f>
        <v/>
      </c>
      <c r="AH286" s="157"/>
      <c r="AI286" s="157"/>
      <c r="AJ286" s="156"/>
      <c r="AK286" s="160">
        <f>IFERROR(COUNTIFS(Leads!$L:$L,$B286,Leads!$F:$F,"*MetaAds"),0)</f>
        <v>0</v>
      </c>
      <c r="AL286" s="160">
        <f>IFERROR(COUNTIFS(Leads!$L:$L,$B286,Leads!$F:$F,"*MetaAds*",Leads!$N:$N,"Sim"),0)</f>
        <v>0</v>
      </c>
    </row>
    <row r="287" ht="15.75" customHeight="1">
      <c r="A287" s="149" t="str">
        <f t="array" ref="A287">XLOOKUP(MONTH(B287),BASE!$F$16:$F$27,BASE!$G$16:$G$27)</f>
        <v>Outubro</v>
      </c>
      <c r="B287" s="150">
        <v>46308.0</v>
      </c>
      <c r="C287" s="151"/>
      <c r="D287" s="149" t="str">
        <f t="shared" si="4"/>
        <v>terça-feira</v>
      </c>
      <c r="E287" s="152">
        <f t="shared" ref="E287:J287" si="573">IFERROR(SUM(P287,AB287)," ")</f>
        <v>0</v>
      </c>
      <c r="F287" s="152">
        <f t="shared" si="573"/>
        <v>0</v>
      </c>
      <c r="G287" s="152">
        <f t="shared" si="573"/>
        <v>0</v>
      </c>
      <c r="H287" s="153">
        <f t="shared" si="573"/>
        <v>0</v>
      </c>
      <c r="I287" s="153">
        <f t="shared" si="573"/>
        <v>0</v>
      </c>
      <c r="J287" s="153">
        <f t="shared" si="573"/>
        <v>0</v>
      </c>
      <c r="K287" s="153">
        <f t="shared" ref="K287:O287" si="574">IFERROR(SUM(W287,AH287)," ")</f>
        <v>0</v>
      </c>
      <c r="L287" s="153">
        <f t="shared" si="574"/>
        <v>0</v>
      </c>
      <c r="M287" s="153">
        <f t="shared" si="574"/>
        <v>0</v>
      </c>
      <c r="N287" s="153">
        <f t="shared" si="574"/>
        <v>0</v>
      </c>
      <c r="O287" s="153">
        <f t="shared" si="574"/>
        <v>0</v>
      </c>
      <c r="P287" s="152" t="str">
        <f t="array" ref="P287">IFERROR(XLOOKUP(B287,'ImportaçãoGoogleAds - Adveronix'!$F:$F,'ImportaçãoGoogleAds - Adveronix'!$B:$B)," ")</f>
        <v> </v>
      </c>
      <c r="Q287" s="154"/>
      <c r="R287" s="154"/>
      <c r="S287" s="155" t="str">
        <f t="array" ref="S287">IFERROR(XLOOKUP(B287,'ImportaçãoGoogleAds - Adveronix'!$F:$F,'ImportaçãoGoogleAds - Adveronix'!C:C)," ")</f>
        <v> </v>
      </c>
      <c r="T287" s="155" t="str">
        <f t="array" ref="T287">IFERROR(XLOOKUP(B287,'ImportaçãoGoogleAds - Adveronix'!$F:$F,'ImportaçãoGoogleAds - Adveronix'!D:D)," ")</f>
        <v> </v>
      </c>
      <c r="U287" s="155" t="str">
        <f t="array" ref="U287">IFERROR(XLOOKUP(B287,'ImportaçãoGoogleAds - Adveronix'!$F:$F,'ImportaçãoGoogleAds - Adveronix'!E:E)," ")</f>
        <v> </v>
      </c>
      <c r="V287" s="156"/>
      <c r="W287" s="157"/>
      <c r="X287" s="157"/>
      <c r="Y287" s="158"/>
      <c r="Z287" s="158">
        <f>IFERROR(COUNTIFS(Leads!$L:$L,$B287,Leads!$F:$F,"*google*"),0)</f>
        <v>0</v>
      </c>
      <c r="AA287" s="158">
        <f>IFERROR(COUNTIFS(Leads!$L:$L,$B287,Leads!$F:$F,"*google*",Leads!$N:$N,"Sim"),0)</f>
        <v>0</v>
      </c>
      <c r="AB287" s="152" t="str">
        <f t="array" ref="AB287">IFERROR(XLOOKUP(B287,'ImportaçãoMeta - Adveronix'!F:F,'ImportaçãoMeta - Adveronix'!B:B),"")</f>
        <v/>
      </c>
      <c r="AC287" s="154"/>
      <c r="AD287" s="154"/>
      <c r="AE287" s="159" t="str">
        <f t="array" ref="AE287">IFERROR(XLOOKUP(B287,'ImportaçãoMeta - Adveronix'!$F:$F,'ImportaçãoMeta - Adveronix'!C:C),"")</f>
        <v/>
      </c>
      <c r="AF287" s="159" t="str">
        <f t="array" ref="AF287">IFERROR(XLOOKUP(B287,'ImportaçãoMeta - Adveronix'!$F:$F,'ImportaçãoMeta - Adveronix'!D:D),"")</f>
        <v/>
      </c>
      <c r="AG287" s="159" t="str">
        <f t="array" ref="AG287">IFERROR(XLOOKUP(B287,'ImportaçãoMeta - Adveronix'!$F:$F,'ImportaçãoMeta - Adveronix'!E:E),"")</f>
        <v/>
      </c>
      <c r="AH287" s="157"/>
      <c r="AI287" s="157"/>
      <c r="AJ287" s="156"/>
      <c r="AK287" s="160">
        <f>IFERROR(COUNTIFS(Leads!$L:$L,$B287,Leads!$F:$F,"*MetaAds"),0)</f>
        <v>0</v>
      </c>
      <c r="AL287" s="160">
        <f>IFERROR(COUNTIFS(Leads!$L:$L,$B287,Leads!$F:$F,"*MetaAds*",Leads!$N:$N,"Sim"),0)</f>
        <v>0</v>
      </c>
    </row>
    <row r="288" ht="15.75" customHeight="1">
      <c r="A288" s="149" t="str">
        <f t="array" ref="A288">XLOOKUP(MONTH(B288),BASE!$F$16:$F$27,BASE!$G$16:$G$27)</f>
        <v>Outubro</v>
      </c>
      <c r="B288" s="150">
        <v>46309.0</v>
      </c>
      <c r="C288" s="151"/>
      <c r="D288" s="149" t="str">
        <f t="shared" si="4"/>
        <v>quarta-feira</v>
      </c>
      <c r="E288" s="152">
        <f t="shared" ref="E288:J288" si="575">IFERROR(SUM(P288,AB288)," ")</f>
        <v>0</v>
      </c>
      <c r="F288" s="152">
        <f t="shared" si="575"/>
        <v>0</v>
      </c>
      <c r="G288" s="152">
        <f t="shared" si="575"/>
        <v>0</v>
      </c>
      <c r="H288" s="153">
        <f t="shared" si="575"/>
        <v>0</v>
      </c>
      <c r="I288" s="153">
        <f t="shared" si="575"/>
        <v>0</v>
      </c>
      <c r="J288" s="153">
        <f t="shared" si="575"/>
        <v>0</v>
      </c>
      <c r="K288" s="153">
        <f t="shared" ref="K288:O288" si="576">IFERROR(SUM(W288,AH288)," ")</f>
        <v>0</v>
      </c>
      <c r="L288" s="153">
        <f t="shared" si="576"/>
        <v>0</v>
      </c>
      <c r="M288" s="153">
        <f t="shared" si="576"/>
        <v>0</v>
      </c>
      <c r="N288" s="153">
        <f t="shared" si="576"/>
        <v>0</v>
      </c>
      <c r="O288" s="153">
        <f t="shared" si="576"/>
        <v>0</v>
      </c>
      <c r="P288" s="152" t="str">
        <f t="array" ref="P288">IFERROR(XLOOKUP(B288,'ImportaçãoGoogleAds - Adveronix'!$F:$F,'ImportaçãoGoogleAds - Adveronix'!$B:$B)," ")</f>
        <v> </v>
      </c>
      <c r="Q288" s="154"/>
      <c r="R288" s="154"/>
      <c r="S288" s="155" t="str">
        <f t="array" ref="S288">IFERROR(XLOOKUP(B288,'ImportaçãoGoogleAds - Adveronix'!$F:$F,'ImportaçãoGoogleAds - Adveronix'!C:C)," ")</f>
        <v> </v>
      </c>
      <c r="T288" s="155" t="str">
        <f t="array" ref="T288">IFERROR(XLOOKUP(B288,'ImportaçãoGoogleAds - Adveronix'!$F:$F,'ImportaçãoGoogleAds - Adveronix'!D:D)," ")</f>
        <v> </v>
      </c>
      <c r="U288" s="155" t="str">
        <f t="array" ref="U288">IFERROR(XLOOKUP(B288,'ImportaçãoGoogleAds - Adveronix'!$F:$F,'ImportaçãoGoogleAds - Adveronix'!E:E)," ")</f>
        <v> </v>
      </c>
      <c r="V288" s="156"/>
      <c r="W288" s="157"/>
      <c r="X288" s="157"/>
      <c r="Y288" s="158"/>
      <c r="Z288" s="158">
        <f>IFERROR(COUNTIFS(Leads!$L:$L,$B288,Leads!$F:$F,"*google*"),0)</f>
        <v>0</v>
      </c>
      <c r="AA288" s="158">
        <f>IFERROR(COUNTIFS(Leads!$L:$L,$B288,Leads!$F:$F,"*google*",Leads!$N:$N,"Sim"),0)</f>
        <v>0</v>
      </c>
      <c r="AB288" s="152" t="str">
        <f t="array" ref="AB288">IFERROR(XLOOKUP(B288,'ImportaçãoMeta - Adveronix'!F:F,'ImportaçãoMeta - Adveronix'!B:B),"")</f>
        <v/>
      </c>
      <c r="AC288" s="154"/>
      <c r="AD288" s="154"/>
      <c r="AE288" s="159" t="str">
        <f t="array" ref="AE288">IFERROR(XLOOKUP(B288,'ImportaçãoMeta - Adveronix'!$F:$F,'ImportaçãoMeta - Adveronix'!C:C),"")</f>
        <v/>
      </c>
      <c r="AF288" s="159" t="str">
        <f t="array" ref="AF288">IFERROR(XLOOKUP(B288,'ImportaçãoMeta - Adveronix'!$F:$F,'ImportaçãoMeta - Adveronix'!D:D),"")</f>
        <v/>
      </c>
      <c r="AG288" s="159" t="str">
        <f t="array" ref="AG288">IFERROR(XLOOKUP(B288,'ImportaçãoMeta - Adveronix'!$F:$F,'ImportaçãoMeta - Adveronix'!E:E),"")</f>
        <v/>
      </c>
      <c r="AH288" s="157"/>
      <c r="AI288" s="157"/>
      <c r="AJ288" s="156"/>
      <c r="AK288" s="160">
        <f>IFERROR(COUNTIFS(Leads!$L:$L,$B288,Leads!$F:$F,"*MetaAds"),0)</f>
        <v>0</v>
      </c>
      <c r="AL288" s="160">
        <f>IFERROR(COUNTIFS(Leads!$L:$L,$B288,Leads!$F:$F,"*MetaAds*",Leads!$N:$N,"Sim"),0)</f>
        <v>0</v>
      </c>
    </row>
    <row r="289" ht="15.75" customHeight="1">
      <c r="A289" s="149" t="str">
        <f t="array" ref="A289">XLOOKUP(MONTH(B289),BASE!$F$16:$F$27,BASE!$G$16:$G$27)</f>
        <v>Outubro</v>
      </c>
      <c r="B289" s="150">
        <v>46310.0</v>
      </c>
      <c r="C289" s="151"/>
      <c r="D289" s="149" t="str">
        <f t="shared" si="4"/>
        <v>quinta-feira</v>
      </c>
      <c r="E289" s="152">
        <f t="shared" ref="E289:J289" si="577">IFERROR(SUM(P289,AB289)," ")</f>
        <v>0</v>
      </c>
      <c r="F289" s="152">
        <f t="shared" si="577"/>
        <v>0</v>
      </c>
      <c r="G289" s="152">
        <f t="shared" si="577"/>
        <v>0</v>
      </c>
      <c r="H289" s="153">
        <f t="shared" si="577"/>
        <v>0</v>
      </c>
      <c r="I289" s="153">
        <f t="shared" si="577"/>
        <v>0</v>
      </c>
      <c r="J289" s="153">
        <f t="shared" si="577"/>
        <v>0</v>
      </c>
      <c r="K289" s="153">
        <f t="shared" ref="K289:O289" si="578">IFERROR(SUM(W289,AH289)," ")</f>
        <v>0</v>
      </c>
      <c r="L289" s="153">
        <f t="shared" si="578"/>
        <v>0</v>
      </c>
      <c r="M289" s="153">
        <f t="shared" si="578"/>
        <v>0</v>
      </c>
      <c r="N289" s="153">
        <f t="shared" si="578"/>
        <v>0</v>
      </c>
      <c r="O289" s="153">
        <f t="shared" si="578"/>
        <v>0</v>
      </c>
      <c r="P289" s="152" t="str">
        <f t="array" ref="P289">IFERROR(XLOOKUP(B289,'ImportaçãoGoogleAds - Adveronix'!$F:$F,'ImportaçãoGoogleAds - Adveronix'!$B:$B)," ")</f>
        <v> </v>
      </c>
      <c r="Q289" s="154"/>
      <c r="R289" s="154"/>
      <c r="S289" s="155" t="str">
        <f t="array" ref="S289">IFERROR(XLOOKUP(B289,'ImportaçãoGoogleAds - Adveronix'!$F:$F,'ImportaçãoGoogleAds - Adveronix'!C:C)," ")</f>
        <v> </v>
      </c>
      <c r="T289" s="155" t="str">
        <f t="array" ref="T289">IFERROR(XLOOKUP(B289,'ImportaçãoGoogleAds - Adveronix'!$F:$F,'ImportaçãoGoogleAds - Adveronix'!D:D)," ")</f>
        <v> </v>
      </c>
      <c r="U289" s="155" t="str">
        <f t="array" ref="U289">IFERROR(XLOOKUP(B289,'ImportaçãoGoogleAds - Adveronix'!$F:$F,'ImportaçãoGoogleAds - Adveronix'!E:E)," ")</f>
        <v> </v>
      </c>
      <c r="V289" s="156"/>
      <c r="W289" s="157"/>
      <c r="X289" s="157"/>
      <c r="Y289" s="158"/>
      <c r="Z289" s="158">
        <f>IFERROR(COUNTIFS(Leads!$L:$L,$B289,Leads!$F:$F,"*google*"),0)</f>
        <v>0</v>
      </c>
      <c r="AA289" s="158">
        <f>IFERROR(COUNTIFS(Leads!$L:$L,$B289,Leads!$F:$F,"*google*",Leads!$N:$N,"Sim"),0)</f>
        <v>0</v>
      </c>
      <c r="AB289" s="152" t="str">
        <f t="array" ref="AB289">IFERROR(XLOOKUP(B289,'ImportaçãoMeta - Adveronix'!F:F,'ImportaçãoMeta - Adveronix'!B:B),"")</f>
        <v/>
      </c>
      <c r="AC289" s="154"/>
      <c r="AD289" s="154"/>
      <c r="AE289" s="159" t="str">
        <f t="array" ref="AE289">IFERROR(XLOOKUP(B289,'ImportaçãoMeta - Adveronix'!$F:$F,'ImportaçãoMeta - Adveronix'!C:C),"")</f>
        <v/>
      </c>
      <c r="AF289" s="159" t="str">
        <f t="array" ref="AF289">IFERROR(XLOOKUP(B289,'ImportaçãoMeta - Adveronix'!$F:$F,'ImportaçãoMeta - Adveronix'!D:D),"")</f>
        <v/>
      </c>
      <c r="AG289" s="159" t="str">
        <f t="array" ref="AG289">IFERROR(XLOOKUP(B289,'ImportaçãoMeta - Adveronix'!$F:$F,'ImportaçãoMeta - Adveronix'!E:E),"")</f>
        <v/>
      </c>
      <c r="AH289" s="157"/>
      <c r="AI289" s="157"/>
      <c r="AJ289" s="156"/>
      <c r="AK289" s="160">
        <f>IFERROR(COUNTIFS(Leads!$L:$L,$B289,Leads!$F:$F,"*MetaAds"),0)</f>
        <v>0</v>
      </c>
      <c r="AL289" s="160">
        <f>IFERROR(COUNTIFS(Leads!$L:$L,$B289,Leads!$F:$F,"*MetaAds*",Leads!$N:$N,"Sim"),0)</f>
        <v>0</v>
      </c>
    </row>
    <row r="290" ht="15.75" customHeight="1">
      <c r="A290" s="149" t="str">
        <f t="array" ref="A290">XLOOKUP(MONTH(B290),BASE!$F$16:$F$27,BASE!$G$16:$G$27)</f>
        <v>Outubro</v>
      </c>
      <c r="B290" s="150">
        <v>46311.0</v>
      </c>
      <c r="C290" s="151"/>
      <c r="D290" s="149" t="str">
        <f t="shared" si="4"/>
        <v>sexta-feira</v>
      </c>
      <c r="E290" s="152">
        <f t="shared" ref="E290:J290" si="579">IFERROR(SUM(P290,AB290)," ")</f>
        <v>0</v>
      </c>
      <c r="F290" s="152">
        <f t="shared" si="579"/>
        <v>0</v>
      </c>
      <c r="G290" s="152">
        <f t="shared" si="579"/>
        <v>0</v>
      </c>
      <c r="H290" s="153">
        <f t="shared" si="579"/>
        <v>0</v>
      </c>
      <c r="I290" s="153">
        <f t="shared" si="579"/>
        <v>0</v>
      </c>
      <c r="J290" s="153">
        <f t="shared" si="579"/>
        <v>0</v>
      </c>
      <c r="K290" s="153">
        <f t="shared" ref="K290:O290" si="580">IFERROR(SUM(W290,AH290)," ")</f>
        <v>0</v>
      </c>
      <c r="L290" s="153">
        <f t="shared" si="580"/>
        <v>0</v>
      </c>
      <c r="M290" s="153">
        <f t="shared" si="580"/>
        <v>0</v>
      </c>
      <c r="N290" s="153">
        <f t="shared" si="580"/>
        <v>0</v>
      </c>
      <c r="O290" s="153">
        <f t="shared" si="580"/>
        <v>0</v>
      </c>
      <c r="P290" s="152" t="str">
        <f t="array" ref="P290">IFERROR(XLOOKUP(B290,'ImportaçãoGoogleAds - Adveronix'!$F:$F,'ImportaçãoGoogleAds - Adveronix'!$B:$B)," ")</f>
        <v> </v>
      </c>
      <c r="Q290" s="154"/>
      <c r="R290" s="154"/>
      <c r="S290" s="155" t="str">
        <f t="array" ref="S290">IFERROR(XLOOKUP(B290,'ImportaçãoGoogleAds - Adveronix'!$F:$F,'ImportaçãoGoogleAds - Adveronix'!C:C)," ")</f>
        <v> </v>
      </c>
      <c r="T290" s="155" t="str">
        <f t="array" ref="T290">IFERROR(XLOOKUP(B290,'ImportaçãoGoogleAds - Adveronix'!$F:$F,'ImportaçãoGoogleAds - Adveronix'!D:D)," ")</f>
        <v> </v>
      </c>
      <c r="U290" s="155" t="str">
        <f t="array" ref="U290">IFERROR(XLOOKUP(B290,'ImportaçãoGoogleAds - Adveronix'!$F:$F,'ImportaçãoGoogleAds - Adveronix'!E:E)," ")</f>
        <v> </v>
      </c>
      <c r="V290" s="156"/>
      <c r="W290" s="157"/>
      <c r="X290" s="157"/>
      <c r="Y290" s="158"/>
      <c r="Z290" s="158">
        <f>IFERROR(COUNTIFS(Leads!$L:$L,$B290,Leads!$F:$F,"*google*"),0)</f>
        <v>0</v>
      </c>
      <c r="AA290" s="158">
        <f>IFERROR(COUNTIFS(Leads!$L:$L,$B290,Leads!$F:$F,"*google*",Leads!$N:$N,"Sim"),0)</f>
        <v>0</v>
      </c>
      <c r="AB290" s="152" t="str">
        <f t="array" ref="AB290">IFERROR(XLOOKUP(B290,'ImportaçãoMeta - Adveronix'!F:F,'ImportaçãoMeta - Adveronix'!B:B),"")</f>
        <v/>
      </c>
      <c r="AC290" s="154"/>
      <c r="AD290" s="154"/>
      <c r="AE290" s="159" t="str">
        <f t="array" ref="AE290">IFERROR(XLOOKUP(B290,'ImportaçãoMeta - Adveronix'!$F:$F,'ImportaçãoMeta - Adveronix'!C:C),"")</f>
        <v/>
      </c>
      <c r="AF290" s="159" t="str">
        <f t="array" ref="AF290">IFERROR(XLOOKUP(B290,'ImportaçãoMeta - Adveronix'!$F:$F,'ImportaçãoMeta - Adveronix'!D:D),"")</f>
        <v/>
      </c>
      <c r="AG290" s="159" t="str">
        <f t="array" ref="AG290">IFERROR(XLOOKUP(B290,'ImportaçãoMeta - Adveronix'!$F:$F,'ImportaçãoMeta - Adveronix'!E:E),"")</f>
        <v/>
      </c>
      <c r="AH290" s="157"/>
      <c r="AI290" s="157"/>
      <c r="AJ290" s="156"/>
      <c r="AK290" s="160">
        <f>IFERROR(COUNTIFS(Leads!$L:$L,$B290,Leads!$F:$F,"*MetaAds"),0)</f>
        <v>0</v>
      </c>
      <c r="AL290" s="160">
        <f>IFERROR(COUNTIFS(Leads!$L:$L,$B290,Leads!$F:$F,"*MetaAds*",Leads!$N:$N,"Sim"),0)</f>
        <v>0</v>
      </c>
    </row>
    <row r="291" ht="15.75" customHeight="1">
      <c r="A291" s="149" t="str">
        <f t="array" ref="A291">XLOOKUP(MONTH(B291),BASE!$F$16:$F$27,BASE!$G$16:$G$27)</f>
        <v>Outubro</v>
      </c>
      <c r="B291" s="150">
        <v>46312.0</v>
      </c>
      <c r="C291" s="151"/>
      <c r="D291" s="149" t="str">
        <f t="shared" si="4"/>
        <v>sábado</v>
      </c>
      <c r="E291" s="152">
        <f t="shared" ref="E291:J291" si="581">IFERROR(SUM(P291,AB291)," ")</f>
        <v>0</v>
      </c>
      <c r="F291" s="152">
        <f t="shared" si="581"/>
        <v>0</v>
      </c>
      <c r="G291" s="152">
        <f t="shared" si="581"/>
        <v>0</v>
      </c>
      <c r="H291" s="153">
        <f t="shared" si="581"/>
        <v>0</v>
      </c>
      <c r="I291" s="153">
        <f t="shared" si="581"/>
        <v>0</v>
      </c>
      <c r="J291" s="153">
        <f t="shared" si="581"/>
        <v>0</v>
      </c>
      <c r="K291" s="153">
        <f t="shared" ref="K291:O291" si="582">IFERROR(SUM(W291,AH291)," ")</f>
        <v>0</v>
      </c>
      <c r="L291" s="153">
        <f t="shared" si="582"/>
        <v>0</v>
      </c>
      <c r="M291" s="153">
        <f t="shared" si="582"/>
        <v>0</v>
      </c>
      <c r="N291" s="153">
        <f t="shared" si="582"/>
        <v>0</v>
      </c>
      <c r="O291" s="153">
        <f t="shared" si="582"/>
        <v>0</v>
      </c>
      <c r="P291" s="152" t="str">
        <f t="array" ref="P291">IFERROR(XLOOKUP(B291,'ImportaçãoGoogleAds - Adveronix'!$F:$F,'ImportaçãoGoogleAds - Adveronix'!$B:$B)," ")</f>
        <v> </v>
      </c>
      <c r="Q291" s="154"/>
      <c r="R291" s="154"/>
      <c r="S291" s="155" t="str">
        <f t="array" ref="S291">IFERROR(XLOOKUP(B291,'ImportaçãoGoogleAds - Adveronix'!$F:$F,'ImportaçãoGoogleAds - Adveronix'!C:C)," ")</f>
        <v> </v>
      </c>
      <c r="T291" s="155" t="str">
        <f t="array" ref="T291">IFERROR(XLOOKUP(B291,'ImportaçãoGoogleAds - Adveronix'!$F:$F,'ImportaçãoGoogleAds - Adveronix'!D:D)," ")</f>
        <v> </v>
      </c>
      <c r="U291" s="155" t="str">
        <f t="array" ref="U291">IFERROR(XLOOKUP(B291,'ImportaçãoGoogleAds - Adveronix'!$F:$F,'ImportaçãoGoogleAds - Adveronix'!E:E)," ")</f>
        <v> </v>
      </c>
      <c r="V291" s="156"/>
      <c r="W291" s="157"/>
      <c r="X291" s="157"/>
      <c r="Y291" s="158"/>
      <c r="Z291" s="158">
        <f>IFERROR(COUNTIFS(Leads!$L:$L,$B291,Leads!$F:$F,"*google*"),0)</f>
        <v>0</v>
      </c>
      <c r="AA291" s="158">
        <f>IFERROR(COUNTIFS(Leads!$L:$L,$B291,Leads!$F:$F,"*google*",Leads!$N:$N,"Sim"),0)</f>
        <v>0</v>
      </c>
      <c r="AB291" s="152" t="str">
        <f t="array" ref="AB291">IFERROR(XLOOKUP(B291,'ImportaçãoMeta - Adveronix'!F:F,'ImportaçãoMeta - Adveronix'!B:B),"")</f>
        <v/>
      </c>
      <c r="AC291" s="154"/>
      <c r="AD291" s="154"/>
      <c r="AE291" s="159" t="str">
        <f t="array" ref="AE291">IFERROR(XLOOKUP(B291,'ImportaçãoMeta - Adveronix'!$F:$F,'ImportaçãoMeta - Adveronix'!C:C),"")</f>
        <v/>
      </c>
      <c r="AF291" s="159" t="str">
        <f t="array" ref="AF291">IFERROR(XLOOKUP(B291,'ImportaçãoMeta - Adveronix'!$F:$F,'ImportaçãoMeta - Adveronix'!D:D),"")</f>
        <v/>
      </c>
      <c r="AG291" s="159" t="str">
        <f t="array" ref="AG291">IFERROR(XLOOKUP(B291,'ImportaçãoMeta - Adveronix'!$F:$F,'ImportaçãoMeta - Adveronix'!E:E),"")</f>
        <v/>
      </c>
      <c r="AH291" s="157"/>
      <c r="AI291" s="157"/>
      <c r="AJ291" s="156"/>
      <c r="AK291" s="160">
        <f>IFERROR(COUNTIFS(Leads!$L:$L,$B291,Leads!$F:$F,"*MetaAds"),0)</f>
        <v>0</v>
      </c>
      <c r="AL291" s="160">
        <f>IFERROR(COUNTIFS(Leads!$L:$L,$B291,Leads!$F:$F,"*MetaAds*",Leads!$N:$N,"Sim"),0)</f>
        <v>0</v>
      </c>
    </row>
    <row r="292" ht="15.75" customHeight="1">
      <c r="A292" s="149" t="str">
        <f t="array" ref="A292">XLOOKUP(MONTH(B292),BASE!$F$16:$F$27,BASE!$G$16:$G$27)</f>
        <v>Outubro</v>
      </c>
      <c r="B292" s="150">
        <v>46313.0</v>
      </c>
      <c r="C292" s="151"/>
      <c r="D292" s="149" t="str">
        <f t="shared" si="4"/>
        <v>domingo</v>
      </c>
      <c r="E292" s="152">
        <f t="shared" ref="E292:J292" si="583">IFERROR(SUM(P292,AB292)," ")</f>
        <v>0</v>
      </c>
      <c r="F292" s="152">
        <f t="shared" si="583"/>
        <v>0</v>
      </c>
      <c r="G292" s="152">
        <f t="shared" si="583"/>
        <v>0</v>
      </c>
      <c r="H292" s="153">
        <f t="shared" si="583"/>
        <v>0</v>
      </c>
      <c r="I292" s="153">
        <f t="shared" si="583"/>
        <v>0</v>
      </c>
      <c r="J292" s="153">
        <f t="shared" si="583"/>
        <v>0</v>
      </c>
      <c r="K292" s="153">
        <f t="shared" ref="K292:O292" si="584">IFERROR(SUM(W292,AH292)," ")</f>
        <v>0</v>
      </c>
      <c r="L292" s="153">
        <f t="shared" si="584"/>
        <v>0</v>
      </c>
      <c r="M292" s="153">
        <f t="shared" si="584"/>
        <v>0</v>
      </c>
      <c r="N292" s="153">
        <f t="shared" si="584"/>
        <v>0</v>
      </c>
      <c r="O292" s="153">
        <f t="shared" si="584"/>
        <v>0</v>
      </c>
      <c r="P292" s="152" t="str">
        <f t="array" ref="P292">IFERROR(XLOOKUP(B292,'ImportaçãoGoogleAds - Adveronix'!$F:$F,'ImportaçãoGoogleAds - Adveronix'!$B:$B)," ")</f>
        <v> </v>
      </c>
      <c r="Q292" s="154"/>
      <c r="R292" s="154"/>
      <c r="S292" s="155" t="str">
        <f t="array" ref="S292">IFERROR(XLOOKUP(B292,'ImportaçãoGoogleAds - Adveronix'!$F:$F,'ImportaçãoGoogleAds - Adveronix'!C:C)," ")</f>
        <v> </v>
      </c>
      <c r="T292" s="155" t="str">
        <f t="array" ref="T292">IFERROR(XLOOKUP(B292,'ImportaçãoGoogleAds - Adveronix'!$F:$F,'ImportaçãoGoogleAds - Adveronix'!D:D)," ")</f>
        <v> </v>
      </c>
      <c r="U292" s="155" t="str">
        <f t="array" ref="U292">IFERROR(XLOOKUP(B292,'ImportaçãoGoogleAds - Adveronix'!$F:$F,'ImportaçãoGoogleAds - Adveronix'!E:E)," ")</f>
        <v> </v>
      </c>
      <c r="V292" s="156"/>
      <c r="W292" s="157"/>
      <c r="X292" s="157"/>
      <c r="Y292" s="158"/>
      <c r="Z292" s="158">
        <f>IFERROR(COUNTIFS(Leads!$L:$L,$B292,Leads!$F:$F,"*google*"),0)</f>
        <v>0</v>
      </c>
      <c r="AA292" s="158">
        <f>IFERROR(COUNTIFS(Leads!$L:$L,$B292,Leads!$F:$F,"*google*",Leads!$N:$N,"Sim"),0)</f>
        <v>0</v>
      </c>
      <c r="AB292" s="152" t="str">
        <f t="array" ref="AB292">IFERROR(XLOOKUP(B292,'ImportaçãoMeta - Adveronix'!F:F,'ImportaçãoMeta - Adveronix'!B:B),"")</f>
        <v/>
      </c>
      <c r="AC292" s="154"/>
      <c r="AD292" s="154"/>
      <c r="AE292" s="159" t="str">
        <f t="array" ref="AE292">IFERROR(XLOOKUP(B292,'ImportaçãoMeta - Adveronix'!$F:$F,'ImportaçãoMeta - Adveronix'!C:C),"")</f>
        <v/>
      </c>
      <c r="AF292" s="159" t="str">
        <f t="array" ref="AF292">IFERROR(XLOOKUP(B292,'ImportaçãoMeta - Adveronix'!$F:$F,'ImportaçãoMeta - Adveronix'!D:D),"")</f>
        <v/>
      </c>
      <c r="AG292" s="159" t="str">
        <f t="array" ref="AG292">IFERROR(XLOOKUP(B292,'ImportaçãoMeta - Adveronix'!$F:$F,'ImportaçãoMeta - Adveronix'!E:E),"")</f>
        <v/>
      </c>
      <c r="AH292" s="157"/>
      <c r="AI292" s="157"/>
      <c r="AJ292" s="156"/>
      <c r="AK292" s="160">
        <f>IFERROR(COUNTIFS(Leads!$L:$L,$B292,Leads!$F:$F,"*MetaAds"),0)</f>
        <v>0</v>
      </c>
      <c r="AL292" s="160">
        <f>IFERROR(COUNTIFS(Leads!$L:$L,$B292,Leads!$F:$F,"*MetaAds*",Leads!$N:$N,"Sim"),0)</f>
        <v>0</v>
      </c>
    </row>
    <row r="293" ht="15.75" customHeight="1">
      <c r="A293" s="149" t="str">
        <f t="array" ref="A293">XLOOKUP(MONTH(B293),BASE!$F$16:$F$27,BASE!$G$16:$G$27)</f>
        <v>Outubro</v>
      </c>
      <c r="B293" s="150">
        <v>46314.0</v>
      </c>
      <c r="C293" s="151"/>
      <c r="D293" s="149" t="str">
        <f t="shared" si="4"/>
        <v>segunda-feira</v>
      </c>
      <c r="E293" s="152">
        <f t="shared" ref="E293:J293" si="585">IFERROR(SUM(P293,AB293)," ")</f>
        <v>0</v>
      </c>
      <c r="F293" s="152">
        <f t="shared" si="585"/>
        <v>0</v>
      </c>
      <c r="G293" s="152">
        <f t="shared" si="585"/>
        <v>0</v>
      </c>
      <c r="H293" s="153">
        <f t="shared" si="585"/>
        <v>0</v>
      </c>
      <c r="I293" s="153">
        <f t="shared" si="585"/>
        <v>0</v>
      </c>
      <c r="J293" s="153">
        <f t="shared" si="585"/>
        <v>0</v>
      </c>
      <c r="K293" s="153">
        <f t="shared" ref="K293:O293" si="586">IFERROR(SUM(W293,AH293)," ")</f>
        <v>0</v>
      </c>
      <c r="L293" s="153">
        <f t="shared" si="586"/>
        <v>0</v>
      </c>
      <c r="M293" s="153">
        <f t="shared" si="586"/>
        <v>0</v>
      </c>
      <c r="N293" s="153">
        <f t="shared" si="586"/>
        <v>0</v>
      </c>
      <c r="O293" s="153">
        <f t="shared" si="586"/>
        <v>0</v>
      </c>
      <c r="P293" s="152" t="str">
        <f t="array" ref="P293">IFERROR(XLOOKUP(B293,'ImportaçãoGoogleAds - Adveronix'!$F:$F,'ImportaçãoGoogleAds - Adveronix'!$B:$B)," ")</f>
        <v> </v>
      </c>
      <c r="Q293" s="154"/>
      <c r="R293" s="154"/>
      <c r="S293" s="155" t="str">
        <f t="array" ref="S293">IFERROR(XLOOKUP(B293,'ImportaçãoGoogleAds - Adveronix'!$F:$F,'ImportaçãoGoogleAds - Adveronix'!C:C)," ")</f>
        <v> </v>
      </c>
      <c r="T293" s="155" t="str">
        <f t="array" ref="T293">IFERROR(XLOOKUP(B293,'ImportaçãoGoogleAds - Adveronix'!$F:$F,'ImportaçãoGoogleAds - Adveronix'!D:D)," ")</f>
        <v> </v>
      </c>
      <c r="U293" s="155" t="str">
        <f t="array" ref="U293">IFERROR(XLOOKUP(B293,'ImportaçãoGoogleAds - Adveronix'!$F:$F,'ImportaçãoGoogleAds - Adveronix'!E:E)," ")</f>
        <v> </v>
      </c>
      <c r="V293" s="156"/>
      <c r="W293" s="157"/>
      <c r="X293" s="157"/>
      <c r="Y293" s="158"/>
      <c r="Z293" s="158">
        <f>IFERROR(COUNTIFS(Leads!$L:$L,$B293,Leads!$F:$F,"*google*"),0)</f>
        <v>0</v>
      </c>
      <c r="AA293" s="158">
        <f>IFERROR(COUNTIFS(Leads!$L:$L,$B293,Leads!$F:$F,"*google*",Leads!$N:$N,"Sim"),0)</f>
        <v>0</v>
      </c>
      <c r="AB293" s="152" t="str">
        <f t="array" ref="AB293">IFERROR(XLOOKUP(B293,'ImportaçãoMeta - Adveronix'!F:F,'ImportaçãoMeta - Adveronix'!B:B),"")</f>
        <v/>
      </c>
      <c r="AC293" s="154"/>
      <c r="AD293" s="154"/>
      <c r="AE293" s="159" t="str">
        <f t="array" ref="AE293">IFERROR(XLOOKUP(B293,'ImportaçãoMeta - Adveronix'!$F:$F,'ImportaçãoMeta - Adveronix'!C:C),"")</f>
        <v/>
      </c>
      <c r="AF293" s="159" t="str">
        <f t="array" ref="AF293">IFERROR(XLOOKUP(B293,'ImportaçãoMeta - Adveronix'!$F:$F,'ImportaçãoMeta - Adveronix'!D:D),"")</f>
        <v/>
      </c>
      <c r="AG293" s="159" t="str">
        <f t="array" ref="AG293">IFERROR(XLOOKUP(B293,'ImportaçãoMeta - Adveronix'!$F:$F,'ImportaçãoMeta - Adveronix'!E:E),"")</f>
        <v/>
      </c>
      <c r="AH293" s="157"/>
      <c r="AI293" s="157"/>
      <c r="AJ293" s="156"/>
      <c r="AK293" s="160">
        <f>IFERROR(COUNTIFS(Leads!$L:$L,$B293,Leads!$F:$F,"*MetaAds"),0)</f>
        <v>0</v>
      </c>
      <c r="AL293" s="160">
        <f>IFERROR(COUNTIFS(Leads!$L:$L,$B293,Leads!$F:$F,"*MetaAds*",Leads!$N:$N,"Sim"),0)</f>
        <v>0</v>
      </c>
    </row>
    <row r="294" ht="15.75" customHeight="1">
      <c r="A294" s="149" t="str">
        <f t="array" ref="A294">XLOOKUP(MONTH(B294),BASE!$F$16:$F$27,BASE!$G$16:$G$27)</f>
        <v>Outubro</v>
      </c>
      <c r="B294" s="150">
        <v>46315.0</v>
      </c>
      <c r="C294" s="151"/>
      <c r="D294" s="149" t="str">
        <f t="shared" si="4"/>
        <v>terça-feira</v>
      </c>
      <c r="E294" s="152">
        <f t="shared" ref="E294:J294" si="587">IFERROR(SUM(P294,AB294)," ")</f>
        <v>0</v>
      </c>
      <c r="F294" s="152">
        <f t="shared" si="587"/>
        <v>0</v>
      </c>
      <c r="G294" s="152">
        <f t="shared" si="587"/>
        <v>0</v>
      </c>
      <c r="H294" s="153">
        <f t="shared" si="587"/>
        <v>0</v>
      </c>
      <c r="I294" s="153">
        <f t="shared" si="587"/>
        <v>0</v>
      </c>
      <c r="J294" s="153">
        <f t="shared" si="587"/>
        <v>0</v>
      </c>
      <c r="K294" s="153">
        <f t="shared" ref="K294:O294" si="588">IFERROR(SUM(W294,AH294)," ")</f>
        <v>0</v>
      </c>
      <c r="L294" s="153">
        <f t="shared" si="588"/>
        <v>0</v>
      </c>
      <c r="M294" s="153">
        <f t="shared" si="588"/>
        <v>0</v>
      </c>
      <c r="N294" s="153">
        <f t="shared" si="588"/>
        <v>0</v>
      </c>
      <c r="O294" s="153">
        <f t="shared" si="588"/>
        <v>0</v>
      </c>
      <c r="P294" s="152" t="str">
        <f t="array" ref="P294">IFERROR(XLOOKUP(B294,'ImportaçãoGoogleAds - Adveronix'!$F:$F,'ImportaçãoGoogleAds - Adveronix'!$B:$B)," ")</f>
        <v> </v>
      </c>
      <c r="Q294" s="154"/>
      <c r="R294" s="154"/>
      <c r="S294" s="155" t="str">
        <f t="array" ref="S294">IFERROR(XLOOKUP(B294,'ImportaçãoGoogleAds - Adveronix'!$F:$F,'ImportaçãoGoogleAds - Adveronix'!C:C)," ")</f>
        <v> </v>
      </c>
      <c r="T294" s="155" t="str">
        <f t="array" ref="T294">IFERROR(XLOOKUP(B294,'ImportaçãoGoogleAds - Adveronix'!$F:$F,'ImportaçãoGoogleAds - Adveronix'!D:D)," ")</f>
        <v> </v>
      </c>
      <c r="U294" s="155" t="str">
        <f t="array" ref="U294">IFERROR(XLOOKUP(B294,'ImportaçãoGoogleAds - Adveronix'!$F:$F,'ImportaçãoGoogleAds - Adveronix'!E:E)," ")</f>
        <v> </v>
      </c>
      <c r="V294" s="156"/>
      <c r="W294" s="157"/>
      <c r="X294" s="157"/>
      <c r="Y294" s="158"/>
      <c r="Z294" s="158">
        <f>IFERROR(COUNTIFS(Leads!$L:$L,$B294,Leads!$F:$F,"*google*"),0)</f>
        <v>0</v>
      </c>
      <c r="AA294" s="158">
        <f>IFERROR(COUNTIFS(Leads!$L:$L,$B294,Leads!$F:$F,"*google*",Leads!$N:$N,"Sim"),0)</f>
        <v>0</v>
      </c>
      <c r="AB294" s="152" t="str">
        <f t="array" ref="AB294">IFERROR(XLOOKUP(B294,'ImportaçãoMeta - Adveronix'!F:F,'ImportaçãoMeta - Adveronix'!B:B),"")</f>
        <v/>
      </c>
      <c r="AC294" s="154"/>
      <c r="AD294" s="154"/>
      <c r="AE294" s="159" t="str">
        <f t="array" ref="AE294">IFERROR(XLOOKUP(B294,'ImportaçãoMeta - Adveronix'!$F:$F,'ImportaçãoMeta - Adveronix'!C:C),"")</f>
        <v/>
      </c>
      <c r="AF294" s="159" t="str">
        <f t="array" ref="AF294">IFERROR(XLOOKUP(B294,'ImportaçãoMeta - Adveronix'!$F:$F,'ImportaçãoMeta - Adveronix'!D:D),"")</f>
        <v/>
      </c>
      <c r="AG294" s="159" t="str">
        <f t="array" ref="AG294">IFERROR(XLOOKUP(B294,'ImportaçãoMeta - Adveronix'!$F:$F,'ImportaçãoMeta - Adveronix'!E:E),"")</f>
        <v/>
      </c>
      <c r="AH294" s="157"/>
      <c r="AI294" s="157"/>
      <c r="AJ294" s="156"/>
      <c r="AK294" s="160">
        <f>IFERROR(COUNTIFS(Leads!$L:$L,$B294,Leads!$F:$F,"*MetaAds"),0)</f>
        <v>0</v>
      </c>
      <c r="AL294" s="160">
        <f>IFERROR(COUNTIFS(Leads!$L:$L,$B294,Leads!$F:$F,"*MetaAds*",Leads!$N:$N,"Sim"),0)</f>
        <v>0</v>
      </c>
    </row>
    <row r="295" ht="15.75" customHeight="1">
      <c r="A295" s="149" t="str">
        <f t="array" ref="A295">XLOOKUP(MONTH(B295),BASE!$F$16:$F$27,BASE!$G$16:$G$27)</f>
        <v>Outubro</v>
      </c>
      <c r="B295" s="150">
        <v>46316.0</v>
      </c>
      <c r="C295" s="151"/>
      <c r="D295" s="149" t="str">
        <f t="shared" si="4"/>
        <v>quarta-feira</v>
      </c>
      <c r="E295" s="152">
        <f t="shared" ref="E295:J295" si="589">IFERROR(SUM(P295,AB295)," ")</f>
        <v>0</v>
      </c>
      <c r="F295" s="152">
        <f t="shared" si="589"/>
        <v>0</v>
      </c>
      <c r="G295" s="152">
        <f t="shared" si="589"/>
        <v>0</v>
      </c>
      <c r="H295" s="153">
        <f t="shared" si="589"/>
        <v>0</v>
      </c>
      <c r="I295" s="153">
        <f t="shared" si="589"/>
        <v>0</v>
      </c>
      <c r="J295" s="153">
        <f t="shared" si="589"/>
        <v>0</v>
      </c>
      <c r="K295" s="153">
        <f t="shared" ref="K295:O295" si="590">IFERROR(SUM(W295,AH295)," ")</f>
        <v>0</v>
      </c>
      <c r="L295" s="153">
        <f t="shared" si="590"/>
        <v>0</v>
      </c>
      <c r="M295" s="153">
        <f t="shared" si="590"/>
        <v>0</v>
      </c>
      <c r="N295" s="153">
        <f t="shared" si="590"/>
        <v>0</v>
      </c>
      <c r="O295" s="153">
        <f t="shared" si="590"/>
        <v>0</v>
      </c>
      <c r="P295" s="152" t="str">
        <f t="array" ref="P295">IFERROR(XLOOKUP(B295,'ImportaçãoGoogleAds - Adveronix'!$F:$F,'ImportaçãoGoogleAds - Adveronix'!$B:$B)," ")</f>
        <v> </v>
      </c>
      <c r="Q295" s="154"/>
      <c r="R295" s="154"/>
      <c r="S295" s="155" t="str">
        <f t="array" ref="S295">IFERROR(XLOOKUP(B295,'ImportaçãoGoogleAds - Adveronix'!$F:$F,'ImportaçãoGoogleAds - Adveronix'!C:C)," ")</f>
        <v> </v>
      </c>
      <c r="T295" s="155" t="str">
        <f t="array" ref="T295">IFERROR(XLOOKUP(B295,'ImportaçãoGoogleAds - Adveronix'!$F:$F,'ImportaçãoGoogleAds - Adveronix'!D:D)," ")</f>
        <v> </v>
      </c>
      <c r="U295" s="155" t="str">
        <f t="array" ref="U295">IFERROR(XLOOKUP(B295,'ImportaçãoGoogleAds - Adveronix'!$F:$F,'ImportaçãoGoogleAds - Adveronix'!E:E)," ")</f>
        <v> </v>
      </c>
      <c r="V295" s="156"/>
      <c r="W295" s="157"/>
      <c r="X295" s="157"/>
      <c r="Y295" s="158"/>
      <c r="Z295" s="158">
        <f>IFERROR(COUNTIFS(Leads!$L:$L,$B295,Leads!$F:$F,"*google*"),0)</f>
        <v>0</v>
      </c>
      <c r="AA295" s="158">
        <f>IFERROR(COUNTIFS(Leads!$L:$L,$B295,Leads!$F:$F,"*google*",Leads!$N:$N,"Sim"),0)</f>
        <v>0</v>
      </c>
      <c r="AB295" s="152" t="str">
        <f t="array" ref="AB295">IFERROR(XLOOKUP(B295,'ImportaçãoMeta - Adveronix'!F:F,'ImportaçãoMeta - Adveronix'!B:B),"")</f>
        <v/>
      </c>
      <c r="AC295" s="154"/>
      <c r="AD295" s="154"/>
      <c r="AE295" s="159" t="str">
        <f t="array" ref="AE295">IFERROR(XLOOKUP(B295,'ImportaçãoMeta - Adveronix'!$F:$F,'ImportaçãoMeta - Adveronix'!C:C),"")</f>
        <v/>
      </c>
      <c r="AF295" s="159" t="str">
        <f t="array" ref="AF295">IFERROR(XLOOKUP(B295,'ImportaçãoMeta - Adveronix'!$F:$F,'ImportaçãoMeta - Adveronix'!D:D),"")</f>
        <v/>
      </c>
      <c r="AG295" s="159" t="str">
        <f t="array" ref="AG295">IFERROR(XLOOKUP(B295,'ImportaçãoMeta - Adveronix'!$F:$F,'ImportaçãoMeta - Adveronix'!E:E),"")</f>
        <v/>
      </c>
      <c r="AH295" s="157"/>
      <c r="AI295" s="157"/>
      <c r="AJ295" s="156"/>
      <c r="AK295" s="160">
        <f>IFERROR(COUNTIFS(Leads!$L:$L,$B295,Leads!$F:$F,"*MetaAds"),0)</f>
        <v>0</v>
      </c>
      <c r="AL295" s="160">
        <f>IFERROR(COUNTIFS(Leads!$L:$L,$B295,Leads!$F:$F,"*MetaAds*",Leads!$N:$N,"Sim"),0)</f>
        <v>0</v>
      </c>
    </row>
    <row r="296" ht="15.75" customHeight="1">
      <c r="A296" s="149" t="str">
        <f t="array" ref="A296">XLOOKUP(MONTH(B296),BASE!$F$16:$F$27,BASE!$G$16:$G$27)</f>
        <v>Outubro</v>
      </c>
      <c r="B296" s="150">
        <v>46317.0</v>
      </c>
      <c r="C296" s="151"/>
      <c r="D296" s="149" t="str">
        <f t="shared" si="4"/>
        <v>quinta-feira</v>
      </c>
      <c r="E296" s="152">
        <f t="shared" ref="E296:J296" si="591">IFERROR(SUM(P296,AB296)," ")</f>
        <v>0</v>
      </c>
      <c r="F296" s="152">
        <f t="shared" si="591"/>
        <v>0</v>
      </c>
      <c r="G296" s="152">
        <f t="shared" si="591"/>
        <v>0</v>
      </c>
      <c r="H296" s="153">
        <f t="shared" si="591"/>
        <v>0</v>
      </c>
      <c r="I296" s="153">
        <f t="shared" si="591"/>
        <v>0</v>
      </c>
      <c r="J296" s="153">
        <f t="shared" si="591"/>
        <v>0</v>
      </c>
      <c r="K296" s="153">
        <f t="shared" ref="K296:O296" si="592">IFERROR(SUM(W296,AH296)," ")</f>
        <v>0</v>
      </c>
      <c r="L296" s="153">
        <f t="shared" si="592"/>
        <v>0</v>
      </c>
      <c r="M296" s="153">
        <f t="shared" si="592"/>
        <v>0</v>
      </c>
      <c r="N296" s="153">
        <f t="shared" si="592"/>
        <v>0</v>
      </c>
      <c r="O296" s="153">
        <f t="shared" si="592"/>
        <v>0</v>
      </c>
      <c r="P296" s="152" t="str">
        <f t="array" ref="P296">IFERROR(XLOOKUP(B296,'ImportaçãoGoogleAds - Adveronix'!$F:$F,'ImportaçãoGoogleAds - Adveronix'!$B:$B)," ")</f>
        <v> </v>
      </c>
      <c r="Q296" s="154"/>
      <c r="R296" s="154"/>
      <c r="S296" s="155" t="str">
        <f t="array" ref="S296">IFERROR(XLOOKUP(B296,'ImportaçãoGoogleAds - Adveronix'!$F:$F,'ImportaçãoGoogleAds - Adveronix'!C:C)," ")</f>
        <v> </v>
      </c>
      <c r="T296" s="155" t="str">
        <f t="array" ref="T296">IFERROR(XLOOKUP(B296,'ImportaçãoGoogleAds - Adveronix'!$F:$F,'ImportaçãoGoogleAds - Adveronix'!D:D)," ")</f>
        <v> </v>
      </c>
      <c r="U296" s="155" t="str">
        <f t="array" ref="U296">IFERROR(XLOOKUP(B296,'ImportaçãoGoogleAds - Adveronix'!$F:$F,'ImportaçãoGoogleAds - Adveronix'!E:E)," ")</f>
        <v> </v>
      </c>
      <c r="V296" s="156"/>
      <c r="W296" s="157"/>
      <c r="X296" s="157"/>
      <c r="Y296" s="158"/>
      <c r="Z296" s="158">
        <f>IFERROR(COUNTIFS(Leads!$L:$L,$B296,Leads!$F:$F,"*google*"),0)</f>
        <v>0</v>
      </c>
      <c r="AA296" s="158">
        <f>IFERROR(COUNTIFS(Leads!$L:$L,$B296,Leads!$F:$F,"*google*",Leads!$N:$N,"Sim"),0)</f>
        <v>0</v>
      </c>
      <c r="AB296" s="152" t="str">
        <f t="array" ref="AB296">IFERROR(XLOOKUP(B296,'ImportaçãoMeta - Adveronix'!F:F,'ImportaçãoMeta - Adveronix'!B:B),"")</f>
        <v/>
      </c>
      <c r="AC296" s="154"/>
      <c r="AD296" s="154"/>
      <c r="AE296" s="159" t="str">
        <f t="array" ref="AE296">IFERROR(XLOOKUP(B296,'ImportaçãoMeta - Adveronix'!$F:$F,'ImportaçãoMeta - Adveronix'!C:C),"")</f>
        <v/>
      </c>
      <c r="AF296" s="159" t="str">
        <f t="array" ref="AF296">IFERROR(XLOOKUP(B296,'ImportaçãoMeta - Adveronix'!$F:$F,'ImportaçãoMeta - Adveronix'!D:D),"")</f>
        <v/>
      </c>
      <c r="AG296" s="159" t="str">
        <f t="array" ref="AG296">IFERROR(XLOOKUP(B296,'ImportaçãoMeta - Adveronix'!$F:$F,'ImportaçãoMeta - Adveronix'!E:E),"")</f>
        <v/>
      </c>
      <c r="AH296" s="157"/>
      <c r="AI296" s="157"/>
      <c r="AJ296" s="156"/>
      <c r="AK296" s="160">
        <f>IFERROR(COUNTIFS(Leads!$L:$L,$B296,Leads!$F:$F,"*MetaAds"),0)</f>
        <v>0</v>
      </c>
      <c r="AL296" s="160">
        <f>IFERROR(COUNTIFS(Leads!$L:$L,$B296,Leads!$F:$F,"*MetaAds*",Leads!$N:$N,"Sim"),0)</f>
        <v>0</v>
      </c>
    </row>
    <row r="297" ht="15.75" customHeight="1">
      <c r="A297" s="149" t="str">
        <f t="array" ref="A297">XLOOKUP(MONTH(B297),BASE!$F$16:$F$27,BASE!$G$16:$G$27)</f>
        <v>Outubro</v>
      </c>
      <c r="B297" s="150">
        <v>46318.0</v>
      </c>
      <c r="C297" s="151"/>
      <c r="D297" s="149" t="str">
        <f t="shared" si="4"/>
        <v>sexta-feira</v>
      </c>
      <c r="E297" s="152">
        <f t="shared" ref="E297:J297" si="593">IFERROR(SUM(P297,AB297)," ")</f>
        <v>0</v>
      </c>
      <c r="F297" s="152">
        <f t="shared" si="593"/>
        <v>0</v>
      </c>
      <c r="G297" s="152">
        <f t="shared" si="593"/>
        <v>0</v>
      </c>
      <c r="H297" s="153">
        <f t="shared" si="593"/>
        <v>0</v>
      </c>
      <c r="I297" s="153">
        <f t="shared" si="593"/>
        <v>0</v>
      </c>
      <c r="J297" s="153">
        <f t="shared" si="593"/>
        <v>0</v>
      </c>
      <c r="K297" s="153">
        <f t="shared" ref="K297:O297" si="594">IFERROR(SUM(W297,AH297)," ")</f>
        <v>0</v>
      </c>
      <c r="L297" s="153">
        <f t="shared" si="594"/>
        <v>0</v>
      </c>
      <c r="M297" s="153">
        <f t="shared" si="594"/>
        <v>0</v>
      </c>
      <c r="N297" s="153">
        <f t="shared" si="594"/>
        <v>0</v>
      </c>
      <c r="O297" s="153">
        <f t="shared" si="594"/>
        <v>0</v>
      </c>
      <c r="P297" s="152" t="str">
        <f t="array" ref="P297">IFERROR(XLOOKUP(B297,'ImportaçãoGoogleAds - Adveronix'!$F:$F,'ImportaçãoGoogleAds - Adveronix'!$B:$B)," ")</f>
        <v> </v>
      </c>
      <c r="Q297" s="154"/>
      <c r="R297" s="154"/>
      <c r="S297" s="155" t="str">
        <f t="array" ref="S297">IFERROR(XLOOKUP(B297,'ImportaçãoGoogleAds - Adveronix'!$F:$F,'ImportaçãoGoogleAds - Adveronix'!C:C)," ")</f>
        <v> </v>
      </c>
      <c r="T297" s="155" t="str">
        <f t="array" ref="T297">IFERROR(XLOOKUP(B297,'ImportaçãoGoogleAds - Adveronix'!$F:$F,'ImportaçãoGoogleAds - Adveronix'!D:D)," ")</f>
        <v> </v>
      </c>
      <c r="U297" s="155" t="str">
        <f t="array" ref="U297">IFERROR(XLOOKUP(B297,'ImportaçãoGoogleAds - Adveronix'!$F:$F,'ImportaçãoGoogleAds - Adveronix'!E:E)," ")</f>
        <v> </v>
      </c>
      <c r="V297" s="156"/>
      <c r="W297" s="157"/>
      <c r="X297" s="157"/>
      <c r="Y297" s="158"/>
      <c r="Z297" s="158">
        <f>IFERROR(COUNTIFS(Leads!$L:$L,$B297,Leads!$F:$F,"*google*"),0)</f>
        <v>0</v>
      </c>
      <c r="AA297" s="158">
        <f>IFERROR(COUNTIFS(Leads!$L:$L,$B297,Leads!$F:$F,"*google*",Leads!$N:$N,"Sim"),0)</f>
        <v>0</v>
      </c>
      <c r="AB297" s="152" t="str">
        <f t="array" ref="AB297">IFERROR(XLOOKUP(B297,'ImportaçãoMeta - Adveronix'!F:F,'ImportaçãoMeta - Adveronix'!B:B),"")</f>
        <v/>
      </c>
      <c r="AC297" s="154"/>
      <c r="AD297" s="154"/>
      <c r="AE297" s="159" t="str">
        <f t="array" ref="AE297">IFERROR(XLOOKUP(B297,'ImportaçãoMeta - Adveronix'!$F:$F,'ImportaçãoMeta - Adveronix'!C:C),"")</f>
        <v/>
      </c>
      <c r="AF297" s="159" t="str">
        <f t="array" ref="AF297">IFERROR(XLOOKUP(B297,'ImportaçãoMeta - Adveronix'!$F:$F,'ImportaçãoMeta - Adveronix'!D:D),"")</f>
        <v/>
      </c>
      <c r="AG297" s="159" t="str">
        <f t="array" ref="AG297">IFERROR(XLOOKUP(B297,'ImportaçãoMeta - Adveronix'!$F:$F,'ImportaçãoMeta - Adveronix'!E:E),"")</f>
        <v/>
      </c>
      <c r="AH297" s="157"/>
      <c r="AI297" s="157"/>
      <c r="AJ297" s="156"/>
      <c r="AK297" s="160">
        <f>IFERROR(COUNTIFS(Leads!$L:$L,$B297,Leads!$F:$F,"*MetaAds"),0)</f>
        <v>0</v>
      </c>
      <c r="AL297" s="160">
        <f>IFERROR(COUNTIFS(Leads!$L:$L,$B297,Leads!$F:$F,"*MetaAds*",Leads!$N:$N,"Sim"),0)</f>
        <v>0</v>
      </c>
    </row>
    <row r="298" ht="15.75" customHeight="1">
      <c r="A298" s="149" t="str">
        <f t="array" ref="A298">XLOOKUP(MONTH(B298),BASE!$F$16:$F$27,BASE!$G$16:$G$27)</f>
        <v>Outubro</v>
      </c>
      <c r="B298" s="150">
        <v>46319.0</v>
      </c>
      <c r="C298" s="151"/>
      <c r="D298" s="149" t="str">
        <f t="shared" si="4"/>
        <v>sábado</v>
      </c>
      <c r="E298" s="152">
        <f t="shared" ref="E298:J298" si="595">IFERROR(SUM(P298,AB298)," ")</f>
        <v>0</v>
      </c>
      <c r="F298" s="152">
        <f t="shared" si="595"/>
        <v>0</v>
      </c>
      <c r="G298" s="152">
        <f t="shared" si="595"/>
        <v>0</v>
      </c>
      <c r="H298" s="153">
        <f t="shared" si="595"/>
        <v>0</v>
      </c>
      <c r="I298" s="153">
        <f t="shared" si="595"/>
        <v>0</v>
      </c>
      <c r="J298" s="153">
        <f t="shared" si="595"/>
        <v>0</v>
      </c>
      <c r="K298" s="153">
        <f t="shared" ref="K298:O298" si="596">IFERROR(SUM(W298,AH298)," ")</f>
        <v>0</v>
      </c>
      <c r="L298" s="153">
        <f t="shared" si="596"/>
        <v>0</v>
      </c>
      <c r="M298" s="153">
        <f t="shared" si="596"/>
        <v>0</v>
      </c>
      <c r="N298" s="153">
        <f t="shared" si="596"/>
        <v>0</v>
      </c>
      <c r="O298" s="153">
        <f t="shared" si="596"/>
        <v>0</v>
      </c>
      <c r="P298" s="152" t="str">
        <f t="array" ref="P298">IFERROR(XLOOKUP(B298,'ImportaçãoGoogleAds - Adveronix'!$F:$F,'ImportaçãoGoogleAds - Adveronix'!$B:$B)," ")</f>
        <v> </v>
      </c>
      <c r="Q298" s="154"/>
      <c r="R298" s="154"/>
      <c r="S298" s="155" t="str">
        <f t="array" ref="S298">IFERROR(XLOOKUP(B298,'ImportaçãoGoogleAds - Adveronix'!$F:$F,'ImportaçãoGoogleAds - Adveronix'!C:C)," ")</f>
        <v> </v>
      </c>
      <c r="T298" s="155" t="str">
        <f t="array" ref="T298">IFERROR(XLOOKUP(B298,'ImportaçãoGoogleAds - Adveronix'!$F:$F,'ImportaçãoGoogleAds - Adveronix'!D:D)," ")</f>
        <v> </v>
      </c>
      <c r="U298" s="155" t="str">
        <f t="array" ref="U298">IFERROR(XLOOKUP(B298,'ImportaçãoGoogleAds - Adveronix'!$F:$F,'ImportaçãoGoogleAds - Adveronix'!E:E)," ")</f>
        <v> </v>
      </c>
      <c r="V298" s="156"/>
      <c r="W298" s="157"/>
      <c r="X298" s="157"/>
      <c r="Y298" s="158"/>
      <c r="Z298" s="158">
        <f>IFERROR(COUNTIFS(Leads!$L:$L,$B298,Leads!$F:$F,"*google*"),0)</f>
        <v>0</v>
      </c>
      <c r="AA298" s="158">
        <f>IFERROR(COUNTIFS(Leads!$L:$L,$B298,Leads!$F:$F,"*google*",Leads!$N:$N,"Sim"),0)</f>
        <v>0</v>
      </c>
      <c r="AB298" s="152" t="str">
        <f t="array" ref="AB298">IFERROR(XLOOKUP(B298,'ImportaçãoMeta - Adveronix'!F:F,'ImportaçãoMeta - Adveronix'!B:B),"")</f>
        <v/>
      </c>
      <c r="AC298" s="154"/>
      <c r="AD298" s="154"/>
      <c r="AE298" s="159" t="str">
        <f t="array" ref="AE298">IFERROR(XLOOKUP(B298,'ImportaçãoMeta - Adveronix'!$F:$F,'ImportaçãoMeta - Adveronix'!C:C),"")</f>
        <v/>
      </c>
      <c r="AF298" s="159" t="str">
        <f t="array" ref="AF298">IFERROR(XLOOKUP(B298,'ImportaçãoMeta - Adveronix'!$F:$F,'ImportaçãoMeta - Adveronix'!D:D),"")</f>
        <v/>
      </c>
      <c r="AG298" s="159" t="str">
        <f t="array" ref="AG298">IFERROR(XLOOKUP(B298,'ImportaçãoMeta - Adveronix'!$F:$F,'ImportaçãoMeta - Adveronix'!E:E),"")</f>
        <v/>
      </c>
      <c r="AH298" s="157"/>
      <c r="AI298" s="157"/>
      <c r="AJ298" s="156"/>
      <c r="AK298" s="160">
        <f>IFERROR(COUNTIFS(Leads!$L:$L,$B298,Leads!$F:$F,"*MetaAds"),0)</f>
        <v>0</v>
      </c>
      <c r="AL298" s="160">
        <f>IFERROR(COUNTIFS(Leads!$L:$L,$B298,Leads!$F:$F,"*MetaAds*",Leads!$N:$N,"Sim"),0)</f>
        <v>0</v>
      </c>
    </row>
    <row r="299" ht="15.75" customHeight="1">
      <c r="A299" s="149" t="str">
        <f t="array" ref="A299">XLOOKUP(MONTH(B299),BASE!$F$16:$F$27,BASE!$G$16:$G$27)</f>
        <v>Outubro</v>
      </c>
      <c r="B299" s="150">
        <v>46320.0</v>
      </c>
      <c r="C299" s="151"/>
      <c r="D299" s="149" t="str">
        <f t="shared" si="4"/>
        <v>domingo</v>
      </c>
      <c r="E299" s="152">
        <f t="shared" ref="E299:J299" si="597">IFERROR(SUM(P299,AB299)," ")</f>
        <v>0</v>
      </c>
      <c r="F299" s="152">
        <f t="shared" si="597"/>
        <v>0</v>
      </c>
      <c r="G299" s="152">
        <f t="shared" si="597"/>
        <v>0</v>
      </c>
      <c r="H299" s="153">
        <f t="shared" si="597"/>
        <v>0</v>
      </c>
      <c r="I299" s="153">
        <f t="shared" si="597"/>
        <v>0</v>
      </c>
      <c r="J299" s="153">
        <f t="shared" si="597"/>
        <v>0</v>
      </c>
      <c r="K299" s="153">
        <f t="shared" ref="K299:O299" si="598">IFERROR(SUM(W299,AH299)," ")</f>
        <v>0</v>
      </c>
      <c r="L299" s="153">
        <f t="shared" si="598"/>
        <v>0</v>
      </c>
      <c r="M299" s="153">
        <f t="shared" si="598"/>
        <v>0</v>
      </c>
      <c r="N299" s="153">
        <f t="shared" si="598"/>
        <v>0</v>
      </c>
      <c r="O299" s="153">
        <f t="shared" si="598"/>
        <v>0</v>
      </c>
      <c r="P299" s="152" t="str">
        <f t="array" ref="P299">IFERROR(XLOOKUP(B299,'ImportaçãoGoogleAds - Adveronix'!$F:$F,'ImportaçãoGoogleAds - Adveronix'!$B:$B)," ")</f>
        <v> </v>
      </c>
      <c r="Q299" s="154"/>
      <c r="R299" s="154"/>
      <c r="S299" s="155" t="str">
        <f t="array" ref="S299">IFERROR(XLOOKUP(B299,'ImportaçãoGoogleAds - Adveronix'!$F:$F,'ImportaçãoGoogleAds - Adveronix'!C:C)," ")</f>
        <v> </v>
      </c>
      <c r="T299" s="155" t="str">
        <f t="array" ref="T299">IFERROR(XLOOKUP(B299,'ImportaçãoGoogleAds - Adveronix'!$F:$F,'ImportaçãoGoogleAds - Adveronix'!D:D)," ")</f>
        <v> </v>
      </c>
      <c r="U299" s="155" t="str">
        <f t="array" ref="U299">IFERROR(XLOOKUP(B299,'ImportaçãoGoogleAds - Adveronix'!$F:$F,'ImportaçãoGoogleAds - Adveronix'!E:E)," ")</f>
        <v> </v>
      </c>
      <c r="V299" s="156"/>
      <c r="W299" s="157"/>
      <c r="X299" s="157"/>
      <c r="Y299" s="158"/>
      <c r="Z299" s="158">
        <f>IFERROR(COUNTIFS(Leads!$L:$L,$B299,Leads!$F:$F,"*google*"),0)</f>
        <v>0</v>
      </c>
      <c r="AA299" s="158">
        <f>IFERROR(COUNTIFS(Leads!$L:$L,$B299,Leads!$F:$F,"*google*",Leads!$N:$N,"Sim"),0)</f>
        <v>0</v>
      </c>
      <c r="AB299" s="152" t="str">
        <f t="array" ref="AB299">IFERROR(XLOOKUP(B299,'ImportaçãoMeta - Adveronix'!F:F,'ImportaçãoMeta - Adveronix'!B:B),"")</f>
        <v/>
      </c>
      <c r="AC299" s="154"/>
      <c r="AD299" s="154"/>
      <c r="AE299" s="159" t="str">
        <f t="array" ref="AE299">IFERROR(XLOOKUP(B299,'ImportaçãoMeta - Adveronix'!$F:$F,'ImportaçãoMeta - Adveronix'!C:C),"")</f>
        <v/>
      </c>
      <c r="AF299" s="159" t="str">
        <f t="array" ref="AF299">IFERROR(XLOOKUP(B299,'ImportaçãoMeta - Adveronix'!$F:$F,'ImportaçãoMeta - Adveronix'!D:D),"")</f>
        <v/>
      </c>
      <c r="AG299" s="159" t="str">
        <f t="array" ref="AG299">IFERROR(XLOOKUP(B299,'ImportaçãoMeta - Adveronix'!$F:$F,'ImportaçãoMeta - Adveronix'!E:E),"")</f>
        <v/>
      </c>
      <c r="AH299" s="157"/>
      <c r="AI299" s="157"/>
      <c r="AJ299" s="156"/>
      <c r="AK299" s="160">
        <f>IFERROR(COUNTIFS(Leads!$L:$L,$B299,Leads!$F:$F,"*MetaAds"),0)</f>
        <v>0</v>
      </c>
      <c r="AL299" s="160">
        <f>IFERROR(COUNTIFS(Leads!$L:$L,$B299,Leads!$F:$F,"*MetaAds*",Leads!$N:$N,"Sim"),0)</f>
        <v>0</v>
      </c>
    </row>
    <row r="300" ht="15.75" customHeight="1">
      <c r="A300" s="149" t="str">
        <f t="array" ref="A300">XLOOKUP(MONTH(B300),BASE!$F$16:$F$27,BASE!$G$16:$G$27)</f>
        <v>Outubro</v>
      </c>
      <c r="B300" s="150">
        <v>46321.0</v>
      </c>
      <c r="C300" s="151"/>
      <c r="D300" s="149" t="str">
        <f t="shared" si="4"/>
        <v>segunda-feira</v>
      </c>
      <c r="E300" s="152">
        <f t="shared" ref="E300:J300" si="599">IFERROR(SUM(P300,AB300)," ")</f>
        <v>0</v>
      </c>
      <c r="F300" s="152">
        <f t="shared" si="599"/>
        <v>0</v>
      </c>
      <c r="G300" s="152">
        <f t="shared" si="599"/>
        <v>0</v>
      </c>
      <c r="H300" s="153">
        <f t="shared" si="599"/>
        <v>0</v>
      </c>
      <c r="I300" s="153">
        <f t="shared" si="599"/>
        <v>0</v>
      </c>
      <c r="J300" s="153">
        <f t="shared" si="599"/>
        <v>0</v>
      </c>
      <c r="K300" s="153">
        <f t="shared" ref="K300:O300" si="600">IFERROR(SUM(W300,AH300)," ")</f>
        <v>0</v>
      </c>
      <c r="L300" s="153">
        <f t="shared" si="600"/>
        <v>0</v>
      </c>
      <c r="M300" s="153">
        <f t="shared" si="600"/>
        <v>0</v>
      </c>
      <c r="N300" s="153">
        <f t="shared" si="600"/>
        <v>0</v>
      </c>
      <c r="O300" s="153">
        <f t="shared" si="600"/>
        <v>0</v>
      </c>
      <c r="P300" s="152" t="str">
        <f t="array" ref="P300">IFERROR(XLOOKUP(B300,'ImportaçãoGoogleAds - Adveronix'!$F:$F,'ImportaçãoGoogleAds - Adveronix'!$B:$B)," ")</f>
        <v> </v>
      </c>
      <c r="Q300" s="154"/>
      <c r="R300" s="154"/>
      <c r="S300" s="155" t="str">
        <f t="array" ref="S300">IFERROR(XLOOKUP(B300,'ImportaçãoGoogleAds - Adveronix'!$F:$F,'ImportaçãoGoogleAds - Adveronix'!C:C)," ")</f>
        <v> </v>
      </c>
      <c r="T300" s="155" t="str">
        <f t="array" ref="T300">IFERROR(XLOOKUP(B300,'ImportaçãoGoogleAds - Adveronix'!$F:$F,'ImportaçãoGoogleAds - Adveronix'!D:D)," ")</f>
        <v> </v>
      </c>
      <c r="U300" s="155" t="str">
        <f t="array" ref="U300">IFERROR(XLOOKUP(B300,'ImportaçãoGoogleAds - Adveronix'!$F:$F,'ImportaçãoGoogleAds - Adveronix'!E:E)," ")</f>
        <v> </v>
      </c>
      <c r="V300" s="156"/>
      <c r="W300" s="157"/>
      <c r="X300" s="157"/>
      <c r="Y300" s="158"/>
      <c r="Z300" s="158">
        <f>IFERROR(COUNTIFS(Leads!$L:$L,$B300,Leads!$F:$F,"*google*"),0)</f>
        <v>0</v>
      </c>
      <c r="AA300" s="158">
        <f>IFERROR(COUNTIFS(Leads!$L:$L,$B300,Leads!$F:$F,"*google*",Leads!$N:$N,"Sim"),0)</f>
        <v>0</v>
      </c>
      <c r="AB300" s="152" t="str">
        <f t="array" ref="AB300">IFERROR(XLOOKUP(B300,'ImportaçãoMeta - Adveronix'!F:F,'ImportaçãoMeta - Adveronix'!B:B),"")</f>
        <v/>
      </c>
      <c r="AC300" s="154"/>
      <c r="AD300" s="154"/>
      <c r="AE300" s="159" t="str">
        <f t="array" ref="AE300">IFERROR(XLOOKUP(B300,'ImportaçãoMeta - Adveronix'!$F:$F,'ImportaçãoMeta - Adveronix'!C:C),"")</f>
        <v/>
      </c>
      <c r="AF300" s="159" t="str">
        <f t="array" ref="AF300">IFERROR(XLOOKUP(B300,'ImportaçãoMeta - Adveronix'!$F:$F,'ImportaçãoMeta - Adveronix'!D:D),"")</f>
        <v/>
      </c>
      <c r="AG300" s="159" t="str">
        <f t="array" ref="AG300">IFERROR(XLOOKUP(B300,'ImportaçãoMeta - Adveronix'!$F:$F,'ImportaçãoMeta - Adveronix'!E:E),"")</f>
        <v/>
      </c>
      <c r="AH300" s="157"/>
      <c r="AI300" s="157"/>
      <c r="AJ300" s="156"/>
      <c r="AK300" s="160">
        <f>IFERROR(COUNTIFS(Leads!$L:$L,$B300,Leads!$F:$F,"*MetaAds"),0)</f>
        <v>0</v>
      </c>
      <c r="AL300" s="160">
        <f>IFERROR(COUNTIFS(Leads!$L:$L,$B300,Leads!$F:$F,"*MetaAds*",Leads!$N:$N,"Sim"),0)</f>
        <v>0</v>
      </c>
    </row>
    <row r="301" ht="15.75" customHeight="1">
      <c r="A301" s="149" t="str">
        <f t="array" ref="A301">XLOOKUP(MONTH(B301),BASE!$F$16:$F$27,BASE!$G$16:$G$27)</f>
        <v>Outubro</v>
      </c>
      <c r="B301" s="150">
        <v>46322.0</v>
      </c>
      <c r="C301" s="151"/>
      <c r="D301" s="149" t="str">
        <f t="shared" si="4"/>
        <v>terça-feira</v>
      </c>
      <c r="E301" s="152">
        <f t="shared" ref="E301:J301" si="601">IFERROR(SUM(P301,AB301)," ")</f>
        <v>0</v>
      </c>
      <c r="F301" s="152">
        <f t="shared" si="601"/>
        <v>0</v>
      </c>
      <c r="G301" s="152">
        <f t="shared" si="601"/>
        <v>0</v>
      </c>
      <c r="H301" s="153">
        <f t="shared" si="601"/>
        <v>0</v>
      </c>
      <c r="I301" s="153">
        <f t="shared" si="601"/>
        <v>0</v>
      </c>
      <c r="J301" s="153">
        <f t="shared" si="601"/>
        <v>0</v>
      </c>
      <c r="K301" s="153">
        <f t="shared" ref="K301:O301" si="602">IFERROR(SUM(W301,AH301)," ")</f>
        <v>0</v>
      </c>
      <c r="L301" s="153">
        <f t="shared" si="602"/>
        <v>0</v>
      </c>
      <c r="M301" s="153">
        <f t="shared" si="602"/>
        <v>0</v>
      </c>
      <c r="N301" s="153">
        <f t="shared" si="602"/>
        <v>0</v>
      </c>
      <c r="O301" s="153">
        <f t="shared" si="602"/>
        <v>0</v>
      </c>
      <c r="P301" s="152" t="str">
        <f t="array" ref="P301">IFERROR(XLOOKUP(B301,'ImportaçãoGoogleAds - Adveronix'!$F:$F,'ImportaçãoGoogleAds - Adveronix'!$B:$B)," ")</f>
        <v> </v>
      </c>
      <c r="Q301" s="154"/>
      <c r="R301" s="154"/>
      <c r="S301" s="155" t="str">
        <f t="array" ref="S301">IFERROR(XLOOKUP(B301,'ImportaçãoGoogleAds - Adveronix'!$F:$F,'ImportaçãoGoogleAds - Adveronix'!C:C)," ")</f>
        <v> </v>
      </c>
      <c r="T301" s="155" t="str">
        <f t="array" ref="T301">IFERROR(XLOOKUP(B301,'ImportaçãoGoogleAds - Adveronix'!$F:$F,'ImportaçãoGoogleAds - Adveronix'!D:D)," ")</f>
        <v> </v>
      </c>
      <c r="U301" s="155" t="str">
        <f t="array" ref="U301">IFERROR(XLOOKUP(B301,'ImportaçãoGoogleAds - Adveronix'!$F:$F,'ImportaçãoGoogleAds - Adveronix'!E:E)," ")</f>
        <v> </v>
      </c>
      <c r="V301" s="156"/>
      <c r="W301" s="157"/>
      <c r="X301" s="157"/>
      <c r="Y301" s="158"/>
      <c r="Z301" s="158">
        <f>IFERROR(COUNTIFS(Leads!$L:$L,$B301,Leads!$F:$F,"*google*"),0)</f>
        <v>0</v>
      </c>
      <c r="AA301" s="158">
        <f>IFERROR(COUNTIFS(Leads!$L:$L,$B301,Leads!$F:$F,"*google*",Leads!$N:$N,"Sim"),0)</f>
        <v>0</v>
      </c>
      <c r="AB301" s="152" t="str">
        <f t="array" ref="AB301">IFERROR(XLOOKUP(B301,'ImportaçãoMeta - Adveronix'!F:F,'ImportaçãoMeta - Adveronix'!B:B),"")</f>
        <v/>
      </c>
      <c r="AC301" s="154"/>
      <c r="AD301" s="154"/>
      <c r="AE301" s="159" t="str">
        <f t="array" ref="AE301">IFERROR(XLOOKUP(B301,'ImportaçãoMeta - Adveronix'!$F:$F,'ImportaçãoMeta - Adveronix'!C:C),"")</f>
        <v/>
      </c>
      <c r="AF301" s="159" t="str">
        <f t="array" ref="AF301">IFERROR(XLOOKUP(B301,'ImportaçãoMeta - Adveronix'!$F:$F,'ImportaçãoMeta - Adveronix'!D:D),"")</f>
        <v/>
      </c>
      <c r="AG301" s="159" t="str">
        <f t="array" ref="AG301">IFERROR(XLOOKUP(B301,'ImportaçãoMeta - Adveronix'!$F:$F,'ImportaçãoMeta - Adveronix'!E:E),"")</f>
        <v/>
      </c>
      <c r="AH301" s="157"/>
      <c r="AI301" s="157"/>
      <c r="AJ301" s="156"/>
      <c r="AK301" s="160">
        <f>IFERROR(COUNTIFS(Leads!$L:$L,$B301,Leads!$F:$F,"*MetaAds"),0)</f>
        <v>0</v>
      </c>
      <c r="AL301" s="160">
        <f>IFERROR(COUNTIFS(Leads!$L:$L,$B301,Leads!$F:$F,"*MetaAds*",Leads!$N:$N,"Sim"),0)</f>
        <v>0</v>
      </c>
    </row>
    <row r="302" ht="15.75" customHeight="1">
      <c r="A302" s="149" t="str">
        <f t="array" ref="A302">XLOOKUP(MONTH(B302),BASE!$F$16:$F$27,BASE!$G$16:$G$27)</f>
        <v>Outubro</v>
      </c>
      <c r="B302" s="150">
        <v>46323.0</v>
      </c>
      <c r="C302" s="151"/>
      <c r="D302" s="149" t="str">
        <f t="shared" si="4"/>
        <v>quarta-feira</v>
      </c>
      <c r="E302" s="152">
        <f t="shared" ref="E302:J302" si="603">IFERROR(SUM(P302,AB302)," ")</f>
        <v>0</v>
      </c>
      <c r="F302" s="152">
        <f t="shared" si="603"/>
        <v>0</v>
      </c>
      <c r="G302" s="152">
        <f t="shared" si="603"/>
        <v>0</v>
      </c>
      <c r="H302" s="153">
        <f t="shared" si="603"/>
        <v>0</v>
      </c>
      <c r="I302" s="153">
        <f t="shared" si="603"/>
        <v>0</v>
      </c>
      <c r="J302" s="153">
        <f t="shared" si="603"/>
        <v>0</v>
      </c>
      <c r="K302" s="153">
        <f t="shared" ref="K302:O302" si="604">IFERROR(SUM(W302,AH302)," ")</f>
        <v>0</v>
      </c>
      <c r="L302" s="153">
        <f t="shared" si="604"/>
        <v>0</v>
      </c>
      <c r="M302" s="153">
        <f t="shared" si="604"/>
        <v>0</v>
      </c>
      <c r="N302" s="153">
        <f t="shared" si="604"/>
        <v>0</v>
      </c>
      <c r="O302" s="153">
        <f t="shared" si="604"/>
        <v>0</v>
      </c>
      <c r="P302" s="152" t="str">
        <f t="array" ref="P302">IFERROR(XLOOKUP(B302,'ImportaçãoGoogleAds - Adveronix'!$F:$F,'ImportaçãoGoogleAds - Adveronix'!$B:$B)," ")</f>
        <v> </v>
      </c>
      <c r="Q302" s="154"/>
      <c r="R302" s="154"/>
      <c r="S302" s="155" t="str">
        <f t="array" ref="S302">IFERROR(XLOOKUP(B302,'ImportaçãoGoogleAds - Adveronix'!$F:$F,'ImportaçãoGoogleAds - Adveronix'!C:C)," ")</f>
        <v> </v>
      </c>
      <c r="T302" s="155" t="str">
        <f t="array" ref="T302">IFERROR(XLOOKUP(B302,'ImportaçãoGoogleAds - Adveronix'!$F:$F,'ImportaçãoGoogleAds - Adveronix'!D:D)," ")</f>
        <v> </v>
      </c>
      <c r="U302" s="155" t="str">
        <f t="array" ref="U302">IFERROR(XLOOKUP(B302,'ImportaçãoGoogleAds - Adveronix'!$F:$F,'ImportaçãoGoogleAds - Adveronix'!E:E)," ")</f>
        <v> </v>
      </c>
      <c r="V302" s="156"/>
      <c r="W302" s="157"/>
      <c r="X302" s="157"/>
      <c r="Y302" s="158"/>
      <c r="Z302" s="158">
        <f>IFERROR(COUNTIFS(Leads!$L:$L,$B302,Leads!$F:$F,"*google*"),0)</f>
        <v>0</v>
      </c>
      <c r="AA302" s="158">
        <f>IFERROR(COUNTIFS(Leads!$L:$L,$B302,Leads!$F:$F,"*google*",Leads!$N:$N,"Sim"),0)</f>
        <v>0</v>
      </c>
      <c r="AB302" s="152" t="str">
        <f t="array" ref="AB302">IFERROR(XLOOKUP(B302,'ImportaçãoMeta - Adveronix'!F:F,'ImportaçãoMeta - Adveronix'!B:B),"")</f>
        <v/>
      </c>
      <c r="AC302" s="154"/>
      <c r="AD302" s="154"/>
      <c r="AE302" s="159" t="str">
        <f t="array" ref="AE302">IFERROR(XLOOKUP(B302,'ImportaçãoMeta - Adveronix'!$F:$F,'ImportaçãoMeta - Adveronix'!C:C),"")</f>
        <v/>
      </c>
      <c r="AF302" s="159" t="str">
        <f t="array" ref="AF302">IFERROR(XLOOKUP(B302,'ImportaçãoMeta - Adveronix'!$F:$F,'ImportaçãoMeta - Adveronix'!D:D),"")</f>
        <v/>
      </c>
      <c r="AG302" s="159" t="str">
        <f t="array" ref="AG302">IFERROR(XLOOKUP(B302,'ImportaçãoMeta - Adveronix'!$F:$F,'ImportaçãoMeta - Adveronix'!E:E),"")</f>
        <v/>
      </c>
      <c r="AH302" s="157"/>
      <c r="AI302" s="157"/>
      <c r="AJ302" s="156"/>
      <c r="AK302" s="160">
        <f>IFERROR(COUNTIFS(Leads!$L:$L,$B302,Leads!$F:$F,"*MetaAds"),0)</f>
        <v>0</v>
      </c>
      <c r="AL302" s="160">
        <f>IFERROR(COUNTIFS(Leads!$L:$L,$B302,Leads!$F:$F,"*MetaAds*",Leads!$N:$N,"Sim"),0)</f>
        <v>0</v>
      </c>
    </row>
    <row r="303" ht="15.75" customHeight="1">
      <c r="A303" s="149" t="str">
        <f t="array" ref="A303">XLOOKUP(MONTH(B303),BASE!$F$16:$F$27,BASE!$G$16:$G$27)</f>
        <v>Outubro</v>
      </c>
      <c r="B303" s="150">
        <v>46324.0</v>
      </c>
      <c r="C303" s="151"/>
      <c r="D303" s="149" t="str">
        <f t="shared" si="4"/>
        <v>quinta-feira</v>
      </c>
      <c r="E303" s="152">
        <f t="shared" ref="E303:J303" si="605">IFERROR(SUM(P303,AB303)," ")</f>
        <v>0</v>
      </c>
      <c r="F303" s="152">
        <f t="shared" si="605"/>
        <v>0</v>
      </c>
      <c r="G303" s="152">
        <f t="shared" si="605"/>
        <v>0</v>
      </c>
      <c r="H303" s="153">
        <f t="shared" si="605"/>
        <v>0</v>
      </c>
      <c r="I303" s="153">
        <f t="shared" si="605"/>
        <v>0</v>
      </c>
      <c r="J303" s="153">
        <f t="shared" si="605"/>
        <v>0</v>
      </c>
      <c r="K303" s="153">
        <f t="shared" ref="K303:O303" si="606">IFERROR(SUM(W303,AH303)," ")</f>
        <v>0</v>
      </c>
      <c r="L303" s="153">
        <f t="shared" si="606"/>
        <v>0</v>
      </c>
      <c r="M303" s="153">
        <f t="shared" si="606"/>
        <v>0</v>
      </c>
      <c r="N303" s="153">
        <f t="shared" si="606"/>
        <v>0</v>
      </c>
      <c r="O303" s="153">
        <f t="shared" si="606"/>
        <v>0</v>
      </c>
      <c r="P303" s="152" t="str">
        <f t="array" ref="P303">IFERROR(XLOOKUP(B303,'ImportaçãoGoogleAds - Adveronix'!$F:$F,'ImportaçãoGoogleAds - Adveronix'!$B:$B)," ")</f>
        <v> </v>
      </c>
      <c r="Q303" s="154"/>
      <c r="R303" s="154"/>
      <c r="S303" s="155" t="str">
        <f t="array" ref="S303">IFERROR(XLOOKUP(B303,'ImportaçãoGoogleAds - Adveronix'!$F:$F,'ImportaçãoGoogleAds - Adveronix'!C:C)," ")</f>
        <v> </v>
      </c>
      <c r="T303" s="155" t="str">
        <f t="array" ref="T303">IFERROR(XLOOKUP(B303,'ImportaçãoGoogleAds - Adveronix'!$F:$F,'ImportaçãoGoogleAds - Adveronix'!D:D)," ")</f>
        <v> </v>
      </c>
      <c r="U303" s="155" t="str">
        <f t="array" ref="U303">IFERROR(XLOOKUP(B303,'ImportaçãoGoogleAds - Adveronix'!$F:$F,'ImportaçãoGoogleAds - Adveronix'!E:E)," ")</f>
        <v> </v>
      </c>
      <c r="V303" s="156"/>
      <c r="W303" s="157"/>
      <c r="X303" s="157"/>
      <c r="Y303" s="158"/>
      <c r="Z303" s="158">
        <f>IFERROR(COUNTIFS(Leads!$L:$L,$B303,Leads!$F:$F,"*google*"),0)</f>
        <v>0</v>
      </c>
      <c r="AA303" s="158">
        <f>IFERROR(COUNTIFS(Leads!$L:$L,$B303,Leads!$F:$F,"*google*",Leads!$N:$N,"Sim"),0)</f>
        <v>0</v>
      </c>
      <c r="AB303" s="152" t="str">
        <f t="array" ref="AB303">IFERROR(XLOOKUP(B303,'ImportaçãoMeta - Adveronix'!F:F,'ImportaçãoMeta - Adveronix'!B:B),"")</f>
        <v/>
      </c>
      <c r="AC303" s="154"/>
      <c r="AD303" s="154"/>
      <c r="AE303" s="159" t="str">
        <f t="array" ref="AE303">IFERROR(XLOOKUP(B303,'ImportaçãoMeta - Adveronix'!$F:$F,'ImportaçãoMeta - Adveronix'!C:C),"")</f>
        <v/>
      </c>
      <c r="AF303" s="159" t="str">
        <f t="array" ref="AF303">IFERROR(XLOOKUP(B303,'ImportaçãoMeta - Adveronix'!$F:$F,'ImportaçãoMeta - Adveronix'!D:D),"")</f>
        <v/>
      </c>
      <c r="AG303" s="159" t="str">
        <f t="array" ref="AG303">IFERROR(XLOOKUP(B303,'ImportaçãoMeta - Adveronix'!$F:$F,'ImportaçãoMeta - Adveronix'!E:E),"")</f>
        <v/>
      </c>
      <c r="AH303" s="157"/>
      <c r="AI303" s="157"/>
      <c r="AJ303" s="156"/>
      <c r="AK303" s="160">
        <f>IFERROR(COUNTIFS(Leads!$L:$L,$B303,Leads!$F:$F,"*MetaAds"),0)</f>
        <v>0</v>
      </c>
      <c r="AL303" s="160">
        <f>IFERROR(COUNTIFS(Leads!$L:$L,$B303,Leads!$F:$F,"*MetaAds*",Leads!$N:$N,"Sim"),0)</f>
        <v>0</v>
      </c>
    </row>
    <row r="304" ht="15.75" customHeight="1">
      <c r="A304" s="149" t="str">
        <f t="array" ref="A304">XLOOKUP(MONTH(B304),BASE!$F$16:$F$27,BASE!$G$16:$G$27)</f>
        <v>Outubro</v>
      </c>
      <c r="B304" s="150">
        <v>46325.0</v>
      </c>
      <c r="C304" s="151"/>
      <c r="D304" s="149" t="str">
        <f t="shared" si="4"/>
        <v>sexta-feira</v>
      </c>
      <c r="E304" s="152">
        <f t="shared" ref="E304:J304" si="607">IFERROR(SUM(P304,AB304)," ")</f>
        <v>0</v>
      </c>
      <c r="F304" s="152">
        <f t="shared" si="607"/>
        <v>0</v>
      </c>
      <c r="G304" s="152">
        <f t="shared" si="607"/>
        <v>0</v>
      </c>
      <c r="H304" s="153">
        <f t="shared" si="607"/>
        <v>0</v>
      </c>
      <c r="I304" s="153">
        <f t="shared" si="607"/>
        <v>0</v>
      </c>
      <c r="J304" s="153">
        <f t="shared" si="607"/>
        <v>0</v>
      </c>
      <c r="K304" s="153">
        <f t="shared" ref="K304:O304" si="608">IFERROR(SUM(W304,AH304)," ")</f>
        <v>0</v>
      </c>
      <c r="L304" s="153">
        <f t="shared" si="608"/>
        <v>0</v>
      </c>
      <c r="M304" s="153">
        <f t="shared" si="608"/>
        <v>0</v>
      </c>
      <c r="N304" s="153">
        <f t="shared" si="608"/>
        <v>0</v>
      </c>
      <c r="O304" s="153">
        <f t="shared" si="608"/>
        <v>0</v>
      </c>
      <c r="P304" s="152" t="str">
        <f t="array" ref="P304">IFERROR(XLOOKUP(B304,'ImportaçãoGoogleAds - Adveronix'!$F:$F,'ImportaçãoGoogleAds - Adveronix'!$B:$B)," ")</f>
        <v> </v>
      </c>
      <c r="Q304" s="154"/>
      <c r="R304" s="154"/>
      <c r="S304" s="155" t="str">
        <f t="array" ref="S304">IFERROR(XLOOKUP(B304,'ImportaçãoGoogleAds - Adveronix'!$F:$F,'ImportaçãoGoogleAds - Adveronix'!C:C)," ")</f>
        <v> </v>
      </c>
      <c r="T304" s="155" t="str">
        <f t="array" ref="T304">IFERROR(XLOOKUP(B304,'ImportaçãoGoogleAds - Adveronix'!$F:$F,'ImportaçãoGoogleAds - Adveronix'!D:D)," ")</f>
        <v> </v>
      </c>
      <c r="U304" s="155" t="str">
        <f t="array" ref="U304">IFERROR(XLOOKUP(B304,'ImportaçãoGoogleAds - Adveronix'!$F:$F,'ImportaçãoGoogleAds - Adveronix'!E:E)," ")</f>
        <v> </v>
      </c>
      <c r="V304" s="156"/>
      <c r="W304" s="157"/>
      <c r="X304" s="157"/>
      <c r="Y304" s="158"/>
      <c r="Z304" s="158">
        <f>IFERROR(COUNTIFS(Leads!$L:$L,$B304,Leads!$F:$F,"*google*"),0)</f>
        <v>0</v>
      </c>
      <c r="AA304" s="158">
        <f>IFERROR(COUNTIFS(Leads!$L:$L,$B304,Leads!$F:$F,"*google*",Leads!$N:$N,"Sim"),0)</f>
        <v>0</v>
      </c>
      <c r="AB304" s="152" t="str">
        <f t="array" ref="AB304">IFERROR(XLOOKUP(B304,'ImportaçãoMeta - Adveronix'!F:F,'ImportaçãoMeta - Adveronix'!B:B),"")</f>
        <v/>
      </c>
      <c r="AC304" s="154"/>
      <c r="AD304" s="154"/>
      <c r="AE304" s="159" t="str">
        <f t="array" ref="AE304">IFERROR(XLOOKUP(B304,'ImportaçãoMeta - Adveronix'!$F:$F,'ImportaçãoMeta - Adveronix'!C:C),"")</f>
        <v/>
      </c>
      <c r="AF304" s="159" t="str">
        <f t="array" ref="AF304">IFERROR(XLOOKUP(B304,'ImportaçãoMeta - Adveronix'!$F:$F,'ImportaçãoMeta - Adveronix'!D:D),"")</f>
        <v/>
      </c>
      <c r="AG304" s="159" t="str">
        <f t="array" ref="AG304">IFERROR(XLOOKUP(B304,'ImportaçãoMeta - Adveronix'!$F:$F,'ImportaçãoMeta - Adveronix'!E:E),"")</f>
        <v/>
      </c>
      <c r="AH304" s="157"/>
      <c r="AI304" s="157"/>
      <c r="AJ304" s="156"/>
      <c r="AK304" s="160">
        <f>IFERROR(COUNTIFS(Leads!$L:$L,$B304,Leads!$F:$F,"*MetaAds"),0)</f>
        <v>0</v>
      </c>
      <c r="AL304" s="160">
        <f>IFERROR(COUNTIFS(Leads!$L:$L,$B304,Leads!$F:$F,"*MetaAds*",Leads!$N:$N,"Sim"),0)</f>
        <v>0</v>
      </c>
    </row>
    <row r="305" ht="15.75" customHeight="1">
      <c r="A305" s="149" t="str">
        <f t="array" ref="A305">XLOOKUP(MONTH(B305),BASE!$F$16:$F$27,BASE!$G$16:$G$27)</f>
        <v>Outubro</v>
      </c>
      <c r="B305" s="150">
        <v>46326.0</v>
      </c>
      <c r="C305" s="151"/>
      <c r="D305" s="149" t="str">
        <f t="shared" si="4"/>
        <v>sábado</v>
      </c>
      <c r="E305" s="152">
        <f t="shared" ref="E305:J305" si="609">IFERROR(SUM(P305,AB305)," ")</f>
        <v>0</v>
      </c>
      <c r="F305" s="152">
        <f t="shared" si="609"/>
        <v>0</v>
      </c>
      <c r="G305" s="152">
        <f t="shared" si="609"/>
        <v>0</v>
      </c>
      <c r="H305" s="153">
        <f t="shared" si="609"/>
        <v>0</v>
      </c>
      <c r="I305" s="153">
        <f t="shared" si="609"/>
        <v>0</v>
      </c>
      <c r="J305" s="153">
        <f t="shared" si="609"/>
        <v>0</v>
      </c>
      <c r="K305" s="153">
        <f t="shared" ref="K305:O305" si="610">IFERROR(SUM(W305,AH305)," ")</f>
        <v>0</v>
      </c>
      <c r="L305" s="153">
        <f t="shared" si="610"/>
        <v>0</v>
      </c>
      <c r="M305" s="153">
        <f t="shared" si="610"/>
        <v>0</v>
      </c>
      <c r="N305" s="153">
        <f t="shared" si="610"/>
        <v>0</v>
      </c>
      <c r="O305" s="153">
        <f t="shared" si="610"/>
        <v>0</v>
      </c>
      <c r="P305" s="152" t="str">
        <f t="array" ref="P305">IFERROR(XLOOKUP(B305,'ImportaçãoGoogleAds - Adveronix'!$F:$F,'ImportaçãoGoogleAds - Adveronix'!$B:$B)," ")</f>
        <v> </v>
      </c>
      <c r="Q305" s="154"/>
      <c r="R305" s="154"/>
      <c r="S305" s="155" t="str">
        <f t="array" ref="S305">IFERROR(XLOOKUP(B305,'ImportaçãoGoogleAds - Adveronix'!$F:$F,'ImportaçãoGoogleAds - Adveronix'!C:C)," ")</f>
        <v> </v>
      </c>
      <c r="T305" s="155" t="str">
        <f t="array" ref="T305">IFERROR(XLOOKUP(B305,'ImportaçãoGoogleAds - Adveronix'!$F:$F,'ImportaçãoGoogleAds - Adveronix'!D:D)," ")</f>
        <v> </v>
      </c>
      <c r="U305" s="155" t="str">
        <f t="array" ref="U305">IFERROR(XLOOKUP(B305,'ImportaçãoGoogleAds - Adveronix'!$F:$F,'ImportaçãoGoogleAds - Adveronix'!E:E)," ")</f>
        <v> </v>
      </c>
      <c r="V305" s="156"/>
      <c r="W305" s="157"/>
      <c r="X305" s="157"/>
      <c r="Y305" s="158"/>
      <c r="Z305" s="158">
        <f>IFERROR(COUNTIFS(Leads!$L:$L,$B305,Leads!$F:$F,"*google*"),0)</f>
        <v>0</v>
      </c>
      <c r="AA305" s="158">
        <f>IFERROR(COUNTIFS(Leads!$L:$L,$B305,Leads!$F:$F,"*google*",Leads!$N:$N,"Sim"),0)</f>
        <v>0</v>
      </c>
      <c r="AB305" s="152" t="str">
        <f t="array" ref="AB305">IFERROR(XLOOKUP(B305,'ImportaçãoMeta - Adveronix'!F:F,'ImportaçãoMeta - Adveronix'!B:B),"")</f>
        <v/>
      </c>
      <c r="AC305" s="154"/>
      <c r="AD305" s="154"/>
      <c r="AE305" s="159" t="str">
        <f t="array" ref="AE305">IFERROR(XLOOKUP(B305,'ImportaçãoMeta - Adveronix'!$F:$F,'ImportaçãoMeta - Adveronix'!C:C),"")</f>
        <v/>
      </c>
      <c r="AF305" s="159" t="str">
        <f t="array" ref="AF305">IFERROR(XLOOKUP(B305,'ImportaçãoMeta - Adveronix'!$F:$F,'ImportaçãoMeta - Adveronix'!D:D),"")</f>
        <v/>
      </c>
      <c r="AG305" s="159" t="str">
        <f t="array" ref="AG305">IFERROR(XLOOKUP(B305,'ImportaçãoMeta - Adveronix'!$F:$F,'ImportaçãoMeta - Adveronix'!E:E),"")</f>
        <v/>
      </c>
      <c r="AH305" s="157"/>
      <c r="AI305" s="157"/>
      <c r="AJ305" s="156"/>
      <c r="AK305" s="160">
        <f>IFERROR(COUNTIFS(Leads!$L:$L,$B305,Leads!$F:$F,"*MetaAds"),0)</f>
        <v>0</v>
      </c>
      <c r="AL305" s="160">
        <f>IFERROR(COUNTIFS(Leads!$L:$L,$B305,Leads!$F:$F,"*MetaAds*",Leads!$N:$N,"Sim"),0)</f>
        <v>0</v>
      </c>
    </row>
    <row r="306" ht="15.75" customHeight="1">
      <c r="A306" s="149" t="str">
        <f t="array" ref="A306">XLOOKUP(MONTH(B306),BASE!$F$16:$F$27,BASE!$G$16:$G$27)</f>
        <v>Novembro</v>
      </c>
      <c r="B306" s="150">
        <v>46327.0</v>
      </c>
      <c r="C306" s="151"/>
      <c r="D306" s="149" t="str">
        <f t="shared" si="4"/>
        <v>domingo</v>
      </c>
      <c r="E306" s="152">
        <f t="shared" ref="E306:J306" si="611">IFERROR(SUM(P306,AB306)," ")</f>
        <v>0</v>
      </c>
      <c r="F306" s="152">
        <f t="shared" si="611"/>
        <v>0</v>
      </c>
      <c r="G306" s="152">
        <f t="shared" si="611"/>
        <v>0</v>
      </c>
      <c r="H306" s="153">
        <f t="shared" si="611"/>
        <v>0</v>
      </c>
      <c r="I306" s="153">
        <f t="shared" si="611"/>
        <v>0</v>
      </c>
      <c r="J306" s="153">
        <f t="shared" si="611"/>
        <v>0</v>
      </c>
      <c r="K306" s="153">
        <f t="shared" ref="K306:O306" si="612">IFERROR(SUM(W306,AH306)," ")</f>
        <v>0</v>
      </c>
      <c r="L306" s="153">
        <f t="shared" si="612"/>
        <v>0</v>
      </c>
      <c r="M306" s="153">
        <f t="shared" si="612"/>
        <v>0</v>
      </c>
      <c r="N306" s="153">
        <f t="shared" si="612"/>
        <v>0</v>
      </c>
      <c r="O306" s="153">
        <f t="shared" si="612"/>
        <v>0</v>
      </c>
      <c r="P306" s="152" t="str">
        <f t="array" ref="P306">IFERROR(XLOOKUP(B306,'ImportaçãoGoogleAds - Adveronix'!$F:$F,'ImportaçãoGoogleAds - Adveronix'!$B:$B)," ")</f>
        <v> </v>
      </c>
      <c r="Q306" s="154"/>
      <c r="R306" s="154"/>
      <c r="S306" s="155" t="str">
        <f t="array" ref="S306">IFERROR(XLOOKUP(B306,'ImportaçãoGoogleAds - Adveronix'!$F:$F,'ImportaçãoGoogleAds - Adveronix'!C:C)," ")</f>
        <v> </v>
      </c>
      <c r="T306" s="155" t="str">
        <f t="array" ref="T306">IFERROR(XLOOKUP(B306,'ImportaçãoGoogleAds - Adveronix'!$F:$F,'ImportaçãoGoogleAds - Adveronix'!D:D)," ")</f>
        <v> </v>
      </c>
      <c r="U306" s="155" t="str">
        <f t="array" ref="U306">IFERROR(XLOOKUP(B306,'ImportaçãoGoogleAds - Adveronix'!$F:$F,'ImportaçãoGoogleAds - Adveronix'!E:E)," ")</f>
        <v> </v>
      </c>
      <c r="V306" s="156"/>
      <c r="W306" s="157"/>
      <c r="X306" s="157"/>
      <c r="Y306" s="158"/>
      <c r="Z306" s="158">
        <f>IFERROR(COUNTIFS(Leads!$L:$L,$B306,Leads!$F:$F,"*google*"),0)</f>
        <v>0</v>
      </c>
      <c r="AA306" s="158">
        <f>IFERROR(COUNTIFS(Leads!$L:$L,$B306,Leads!$F:$F,"*google*",Leads!$N:$N,"Sim"),0)</f>
        <v>0</v>
      </c>
      <c r="AB306" s="152" t="str">
        <f t="array" ref="AB306">IFERROR(XLOOKUP(B306,'ImportaçãoMeta - Adveronix'!F:F,'ImportaçãoMeta - Adveronix'!B:B),"")</f>
        <v/>
      </c>
      <c r="AC306" s="154"/>
      <c r="AD306" s="154"/>
      <c r="AE306" s="159" t="str">
        <f t="array" ref="AE306">IFERROR(XLOOKUP(B306,'ImportaçãoMeta - Adveronix'!$F:$F,'ImportaçãoMeta - Adveronix'!C:C),"")</f>
        <v/>
      </c>
      <c r="AF306" s="159" t="str">
        <f t="array" ref="AF306">IFERROR(XLOOKUP(B306,'ImportaçãoMeta - Adveronix'!$F:$F,'ImportaçãoMeta - Adveronix'!D:D),"")</f>
        <v/>
      </c>
      <c r="AG306" s="159" t="str">
        <f t="array" ref="AG306">IFERROR(XLOOKUP(B306,'ImportaçãoMeta - Adveronix'!$F:$F,'ImportaçãoMeta - Adveronix'!E:E),"")</f>
        <v/>
      </c>
      <c r="AH306" s="157"/>
      <c r="AI306" s="157"/>
      <c r="AJ306" s="156"/>
      <c r="AK306" s="160">
        <f>IFERROR(COUNTIFS(Leads!$L:$L,$B306,Leads!$F:$F,"*MetaAds"),0)</f>
        <v>0</v>
      </c>
      <c r="AL306" s="160">
        <f>IFERROR(COUNTIFS(Leads!$L:$L,$B306,Leads!$F:$F,"*MetaAds*",Leads!$N:$N,"Sim"),0)</f>
        <v>0</v>
      </c>
    </row>
    <row r="307" ht="15.75" customHeight="1">
      <c r="A307" s="149" t="str">
        <f t="array" ref="A307">XLOOKUP(MONTH(B307),BASE!$F$16:$F$27,BASE!$G$16:$G$27)</f>
        <v>Novembro</v>
      </c>
      <c r="B307" s="150">
        <v>46328.0</v>
      </c>
      <c r="C307" s="151"/>
      <c r="D307" s="149" t="str">
        <f t="shared" si="4"/>
        <v>segunda-feira</v>
      </c>
      <c r="E307" s="152">
        <f t="shared" ref="E307:J307" si="613">IFERROR(SUM(P307,AB307)," ")</f>
        <v>0</v>
      </c>
      <c r="F307" s="152">
        <f t="shared" si="613"/>
        <v>0</v>
      </c>
      <c r="G307" s="152">
        <f t="shared" si="613"/>
        <v>0</v>
      </c>
      <c r="H307" s="153">
        <f t="shared" si="613"/>
        <v>0</v>
      </c>
      <c r="I307" s="153">
        <f t="shared" si="613"/>
        <v>0</v>
      </c>
      <c r="J307" s="153">
        <f t="shared" si="613"/>
        <v>0</v>
      </c>
      <c r="K307" s="153">
        <f t="shared" ref="K307:O307" si="614">IFERROR(SUM(W307,AH307)," ")</f>
        <v>0</v>
      </c>
      <c r="L307" s="153">
        <f t="shared" si="614"/>
        <v>0</v>
      </c>
      <c r="M307" s="153">
        <f t="shared" si="614"/>
        <v>0</v>
      </c>
      <c r="N307" s="153">
        <f t="shared" si="614"/>
        <v>0</v>
      </c>
      <c r="O307" s="153">
        <f t="shared" si="614"/>
        <v>0</v>
      </c>
      <c r="P307" s="152" t="str">
        <f t="array" ref="P307">IFERROR(XLOOKUP(B307,'ImportaçãoGoogleAds - Adveronix'!$F:$F,'ImportaçãoGoogleAds - Adveronix'!$B:$B)," ")</f>
        <v> </v>
      </c>
      <c r="Q307" s="154"/>
      <c r="R307" s="154"/>
      <c r="S307" s="155" t="str">
        <f t="array" ref="S307">IFERROR(XLOOKUP(B307,'ImportaçãoGoogleAds - Adveronix'!$F:$F,'ImportaçãoGoogleAds - Adveronix'!C:C)," ")</f>
        <v> </v>
      </c>
      <c r="T307" s="155" t="str">
        <f t="array" ref="T307">IFERROR(XLOOKUP(B307,'ImportaçãoGoogleAds - Adveronix'!$F:$F,'ImportaçãoGoogleAds - Adveronix'!D:D)," ")</f>
        <v> </v>
      </c>
      <c r="U307" s="155" t="str">
        <f t="array" ref="U307">IFERROR(XLOOKUP(B307,'ImportaçãoGoogleAds - Adveronix'!$F:$F,'ImportaçãoGoogleAds - Adveronix'!E:E)," ")</f>
        <v> </v>
      </c>
      <c r="V307" s="156"/>
      <c r="W307" s="157"/>
      <c r="X307" s="157"/>
      <c r="Y307" s="158"/>
      <c r="Z307" s="158">
        <f>IFERROR(COUNTIFS(Leads!$L:$L,$B307,Leads!$F:$F,"*google*"),0)</f>
        <v>0</v>
      </c>
      <c r="AA307" s="158">
        <f>IFERROR(COUNTIFS(Leads!$L:$L,$B307,Leads!$F:$F,"*google*",Leads!$N:$N,"Sim"),0)</f>
        <v>0</v>
      </c>
      <c r="AB307" s="152" t="str">
        <f t="array" ref="AB307">IFERROR(XLOOKUP(B307,'ImportaçãoMeta - Adveronix'!F:F,'ImportaçãoMeta - Adveronix'!B:B),"")</f>
        <v/>
      </c>
      <c r="AC307" s="154"/>
      <c r="AD307" s="154"/>
      <c r="AE307" s="159" t="str">
        <f t="array" ref="AE307">IFERROR(XLOOKUP(B307,'ImportaçãoMeta - Adveronix'!$F:$F,'ImportaçãoMeta - Adveronix'!C:C),"")</f>
        <v/>
      </c>
      <c r="AF307" s="159" t="str">
        <f t="array" ref="AF307">IFERROR(XLOOKUP(B307,'ImportaçãoMeta - Adveronix'!$F:$F,'ImportaçãoMeta - Adveronix'!D:D),"")</f>
        <v/>
      </c>
      <c r="AG307" s="159" t="str">
        <f t="array" ref="AG307">IFERROR(XLOOKUP(B307,'ImportaçãoMeta - Adveronix'!$F:$F,'ImportaçãoMeta - Adveronix'!E:E),"")</f>
        <v/>
      </c>
      <c r="AH307" s="157"/>
      <c r="AI307" s="157"/>
      <c r="AJ307" s="156"/>
      <c r="AK307" s="160">
        <f>IFERROR(COUNTIFS(Leads!$L:$L,$B307,Leads!$F:$F,"*MetaAds"),0)</f>
        <v>0</v>
      </c>
      <c r="AL307" s="160">
        <f>IFERROR(COUNTIFS(Leads!$L:$L,$B307,Leads!$F:$F,"*MetaAds*",Leads!$N:$N,"Sim"),0)</f>
        <v>0</v>
      </c>
    </row>
    <row r="308" ht="15.75" customHeight="1">
      <c r="A308" s="149" t="str">
        <f t="array" ref="A308">XLOOKUP(MONTH(B308),BASE!$F$16:$F$27,BASE!$G$16:$G$27)</f>
        <v>Novembro</v>
      </c>
      <c r="B308" s="150">
        <v>46329.0</v>
      </c>
      <c r="C308" s="151"/>
      <c r="D308" s="149" t="str">
        <f t="shared" si="4"/>
        <v>terça-feira</v>
      </c>
      <c r="E308" s="152">
        <f t="shared" ref="E308:J308" si="615">IFERROR(SUM(P308,AB308)," ")</f>
        <v>0</v>
      </c>
      <c r="F308" s="152">
        <f t="shared" si="615"/>
        <v>0</v>
      </c>
      <c r="G308" s="152">
        <f t="shared" si="615"/>
        <v>0</v>
      </c>
      <c r="H308" s="153">
        <f t="shared" si="615"/>
        <v>0</v>
      </c>
      <c r="I308" s="153">
        <f t="shared" si="615"/>
        <v>0</v>
      </c>
      <c r="J308" s="153">
        <f t="shared" si="615"/>
        <v>0</v>
      </c>
      <c r="K308" s="153">
        <f t="shared" ref="K308:O308" si="616">IFERROR(SUM(W308,AH308)," ")</f>
        <v>0</v>
      </c>
      <c r="L308" s="153">
        <f t="shared" si="616"/>
        <v>0</v>
      </c>
      <c r="M308" s="153">
        <f t="shared" si="616"/>
        <v>0</v>
      </c>
      <c r="N308" s="153">
        <f t="shared" si="616"/>
        <v>0</v>
      </c>
      <c r="O308" s="153">
        <f t="shared" si="616"/>
        <v>0</v>
      </c>
      <c r="P308" s="152" t="str">
        <f t="array" ref="P308">IFERROR(XLOOKUP(B308,'ImportaçãoGoogleAds - Adveronix'!$F:$F,'ImportaçãoGoogleAds - Adveronix'!$B:$B)," ")</f>
        <v> </v>
      </c>
      <c r="Q308" s="154"/>
      <c r="R308" s="154"/>
      <c r="S308" s="155" t="str">
        <f t="array" ref="S308">IFERROR(XLOOKUP(B308,'ImportaçãoGoogleAds - Adveronix'!$F:$F,'ImportaçãoGoogleAds - Adveronix'!C:C)," ")</f>
        <v> </v>
      </c>
      <c r="T308" s="155" t="str">
        <f t="array" ref="T308">IFERROR(XLOOKUP(B308,'ImportaçãoGoogleAds - Adveronix'!$F:$F,'ImportaçãoGoogleAds - Adveronix'!D:D)," ")</f>
        <v> </v>
      </c>
      <c r="U308" s="155" t="str">
        <f t="array" ref="U308">IFERROR(XLOOKUP(B308,'ImportaçãoGoogleAds - Adveronix'!$F:$F,'ImportaçãoGoogleAds - Adveronix'!E:E)," ")</f>
        <v> </v>
      </c>
      <c r="V308" s="156"/>
      <c r="W308" s="157"/>
      <c r="X308" s="157"/>
      <c r="Y308" s="158"/>
      <c r="Z308" s="158">
        <f>IFERROR(COUNTIFS(Leads!$L:$L,$B308,Leads!$F:$F,"*google*"),0)</f>
        <v>0</v>
      </c>
      <c r="AA308" s="158">
        <f>IFERROR(COUNTIFS(Leads!$L:$L,$B308,Leads!$F:$F,"*google*",Leads!$N:$N,"Sim"),0)</f>
        <v>0</v>
      </c>
      <c r="AB308" s="152" t="str">
        <f t="array" ref="AB308">IFERROR(XLOOKUP(B308,'ImportaçãoMeta - Adveronix'!F:F,'ImportaçãoMeta - Adveronix'!B:B),"")</f>
        <v/>
      </c>
      <c r="AC308" s="154"/>
      <c r="AD308" s="154"/>
      <c r="AE308" s="159" t="str">
        <f t="array" ref="AE308">IFERROR(XLOOKUP(B308,'ImportaçãoMeta - Adveronix'!$F:$F,'ImportaçãoMeta - Adveronix'!C:C),"")</f>
        <v/>
      </c>
      <c r="AF308" s="159" t="str">
        <f t="array" ref="AF308">IFERROR(XLOOKUP(B308,'ImportaçãoMeta - Adveronix'!$F:$F,'ImportaçãoMeta - Adveronix'!D:D),"")</f>
        <v/>
      </c>
      <c r="AG308" s="159" t="str">
        <f t="array" ref="AG308">IFERROR(XLOOKUP(B308,'ImportaçãoMeta - Adveronix'!$F:$F,'ImportaçãoMeta - Adveronix'!E:E),"")</f>
        <v/>
      </c>
      <c r="AH308" s="157"/>
      <c r="AI308" s="157"/>
      <c r="AJ308" s="156"/>
      <c r="AK308" s="160">
        <f>IFERROR(COUNTIFS(Leads!$L:$L,$B308,Leads!$F:$F,"*MetaAds"),0)</f>
        <v>0</v>
      </c>
      <c r="AL308" s="160">
        <f>IFERROR(COUNTIFS(Leads!$L:$L,$B308,Leads!$F:$F,"*MetaAds*",Leads!$N:$N,"Sim"),0)</f>
        <v>0</v>
      </c>
    </row>
    <row r="309" ht="15.75" customHeight="1">
      <c r="A309" s="149" t="str">
        <f t="array" ref="A309">XLOOKUP(MONTH(B309),BASE!$F$16:$F$27,BASE!$G$16:$G$27)</f>
        <v>Novembro</v>
      </c>
      <c r="B309" s="150">
        <v>46330.0</v>
      </c>
      <c r="C309" s="151"/>
      <c r="D309" s="149" t="str">
        <f t="shared" si="4"/>
        <v>quarta-feira</v>
      </c>
      <c r="E309" s="152">
        <f t="shared" ref="E309:J309" si="617">IFERROR(SUM(P309,AB309)," ")</f>
        <v>0</v>
      </c>
      <c r="F309" s="152">
        <f t="shared" si="617"/>
        <v>0</v>
      </c>
      <c r="G309" s="152">
        <f t="shared" si="617"/>
        <v>0</v>
      </c>
      <c r="H309" s="153">
        <f t="shared" si="617"/>
        <v>0</v>
      </c>
      <c r="I309" s="153">
        <f t="shared" si="617"/>
        <v>0</v>
      </c>
      <c r="J309" s="153">
        <f t="shared" si="617"/>
        <v>0</v>
      </c>
      <c r="K309" s="153">
        <f t="shared" ref="K309:O309" si="618">IFERROR(SUM(W309,AH309)," ")</f>
        <v>0</v>
      </c>
      <c r="L309" s="153">
        <f t="shared" si="618"/>
        <v>0</v>
      </c>
      <c r="M309" s="153">
        <f t="shared" si="618"/>
        <v>0</v>
      </c>
      <c r="N309" s="153">
        <f t="shared" si="618"/>
        <v>0</v>
      </c>
      <c r="O309" s="153">
        <f t="shared" si="618"/>
        <v>0</v>
      </c>
      <c r="P309" s="152" t="str">
        <f t="array" ref="P309">IFERROR(XLOOKUP(B309,'ImportaçãoGoogleAds - Adveronix'!$F:$F,'ImportaçãoGoogleAds - Adveronix'!$B:$B)," ")</f>
        <v> </v>
      </c>
      <c r="Q309" s="154"/>
      <c r="R309" s="154"/>
      <c r="S309" s="155" t="str">
        <f t="array" ref="S309">IFERROR(XLOOKUP(B309,'ImportaçãoGoogleAds - Adveronix'!$F:$F,'ImportaçãoGoogleAds - Adveronix'!C:C)," ")</f>
        <v> </v>
      </c>
      <c r="T309" s="155" t="str">
        <f t="array" ref="T309">IFERROR(XLOOKUP(B309,'ImportaçãoGoogleAds - Adveronix'!$F:$F,'ImportaçãoGoogleAds - Adveronix'!D:D)," ")</f>
        <v> </v>
      </c>
      <c r="U309" s="155" t="str">
        <f t="array" ref="U309">IFERROR(XLOOKUP(B309,'ImportaçãoGoogleAds - Adveronix'!$F:$F,'ImportaçãoGoogleAds - Adveronix'!E:E)," ")</f>
        <v> </v>
      </c>
      <c r="V309" s="156"/>
      <c r="W309" s="157"/>
      <c r="X309" s="157"/>
      <c r="Y309" s="158"/>
      <c r="Z309" s="158">
        <f>IFERROR(COUNTIFS(Leads!$L:$L,$B309,Leads!$F:$F,"*google*"),0)</f>
        <v>0</v>
      </c>
      <c r="AA309" s="158">
        <f>IFERROR(COUNTIFS(Leads!$L:$L,$B309,Leads!$F:$F,"*google*",Leads!$N:$N,"Sim"),0)</f>
        <v>0</v>
      </c>
      <c r="AB309" s="152" t="str">
        <f t="array" ref="AB309">IFERROR(XLOOKUP(B309,'ImportaçãoMeta - Adveronix'!F:F,'ImportaçãoMeta - Adveronix'!B:B),"")</f>
        <v/>
      </c>
      <c r="AC309" s="154"/>
      <c r="AD309" s="154"/>
      <c r="AE309" s="159" t="str">
        <f t="array" ref="AE309">IFERROR(XLOOKUP(B309,'ImportaçãoMeta - Adveronix'!$F:$F,'ImportaçãoMeta - Adveronix'!C:C),"")</f>
        <v/>
      </c>
      <c r="AF309" s="159" t="str">
        <f t="array" ref="AF309">IFERROR(XLOOKUP(B309,'ImportaçãoMeta - Adveronix'!$F:$F,'ImportaçãoMeta - Adveronix'!D:D),"")</f>
        <v/>
      </c>
      <c r="AG309" s="159" t="str">
        <f t="array" ref="AG309">IFERROR(XLOOKUP(B309,'ImportaçãoMeta - Adveronix'!$F:$F,'ImportaçãoMeta - Adveronix'!E:E),"")</f>
        <v/>
      </c>
      <c r="AH309" s="157"/>
      <c r="AI309" s="157"/>
      <c r="AJ309" s="156"/>
      <c r="AK309" s="160">
        <f>IFERROR(COUNTIFS(Leads!$L:$L,$B309,Leads!$F:$F,"*MetaAds"),0)</f>
        <v>0</v>
      </c>
      <c r="AL309" s="160">
        <f>IFERROR(COUNTIFS(Leads!$L:$L,$B309,Leads!$F:$F,"*MetaAds*",Leads!$N:$N,"Sim"),0)</f>
        <v>0</v>
      </c>
    </row>
    <row r="310" ht="15.75" customHeight="1">
      <c r="A310" s="149" t="str">
        <f t="array" ref="A310">XLOOKUP(MONTH(B310),BASE!$F$16:$F$27,BASE!$G$16:$G$27)</f>
        <v>Novembro</v>
      </c>
      <c r="B310" s="150">
        <v>46331.0</v>
      </c>
      <c r="C310" s="151"/>
      <c r="D310" s="149" t="str">
        <f t="shared" si="4"/>
        <v>quinta-feira</v>
      </c>
      <c r="E310" s="152">
        <f t="shared" ref="E310:J310" si="619">IFERROR(SUM(P310,AB310)," ")</f>
        <v>0</v>
      </c>
      <c r="F310" s="152">
        <f t="shared" si="619"/>
        <v>0</v>
      </c>
      <c r="G310" s="152">
        <f t="shared" si="619"/>
        <v>0</v>
      </c>
      <c r="H310" s="153">
        <f t="shared" si="619"/>
        <v>0</v>
      </c>
      <c r="I310" s="153">
        <f t="shared" si="619"/>
        <v>0</v>
      </c>
      <c r="J310" s="153">
        <f t="shared" si="619"/>
        <v>0</v>
      </c>
      <c r="K310" s="153">
        <f t="shared" ref="K310:O310" si="620">IFERROR(SUM(W310,AH310)," ")</f>
        <v>0</v>
      </c>
      <c r="L310" s="153">
        <f t="shared" si="620"/>
        <v>0</v>
      </c>
      <c r="M310" s="153">
        <f t="shared" si="620"/>
        <v>0</v>
      </c>
      <c r="N310" s="153">
        <f t="shared" si="620"/>
        <v>0</v>
      </c>
      <c r="O310" s="153">
        <f t="shared" si="620"/>
        <v>0</v>
      </c>
      <c r="P310" s="152" t="str">
        <f t="array" ref="P310">IFERROR(XLOOKUP(B310,'ImportaçãoGoogleAds - Adveronix'!$F:$F,'ImportaçãoGoogleAds - Adveronix'!$B:$B)," ")</f>
        <v> </v>
      </c>
      <c r="Q310" s="154"/>
      <c r="R310" s="154"/>
      <c r="S310" s="155" t="str">
        <f t="array" ref="S310">IFERROR(XLOOKUP(B310,'ImportaçãoGoogleAds - Adveronix'!$F:$F,'ImportaçãoGoogleAds - Adveronix'!C:C)," ")</f>
        <v> </v>
      </c>
      <c r="T310" s="155" t="str">
        <f t="array" ref="T310">IFERROR(XLOOKUP(B310,'ImportaçãoGoogleAds - Adveronix'!$F:$F,'ImportaçãoGoogleAds - Adveronix'!D:D)," ")</f>
        <v> </v>
      </c>
      <c r="U310" s="155" t="str">
        <f t="array" ref="U310">IFERROR(XLOOKUP(B310,'ImportaçãoGoogleAds - Adveronix'!$F:$F,'ImportaçãoGoogleAds - Adveronix'!E:E)," ")</f>
        <v> </v>
      </c>
      <c r="V310" s="156"/>
      <c r="W310" s="157"/>
      <c r="X310" s="157"/>
      <c r="Y310" s="158"/>
      <c r="Z310" s="158">
        <f>IFERROR(COUNTIFS(Leads!$L:$L,$B310,Leads!$F:$F,"*google*"),0)</f>
        <v>0</v>
      </c>
      <c r="AA310" s="158">
        <f>IFERROR(COUNTIFS(Leads!$L:$L,$B310,Leads!$F:$F,"*google*",Leads!$N:$N,"Sim"),0)</f>
        <v>0</v>
      </c>
      <c r="AB310" s="152" t="str">
        <f t="array" ref="AB310">IFERROR(XLOOKUP(B310,'ImportaçãoMeta - Adveronix'!F:F,'ImportaçãoMeta - Adveronix'!B:B),"")</f>
        <v/>
      </c>
      <c r="AC310" s="154"/>
      <c r="AD310" s="154"/>
      <c r="AE310" s="159" t="str">
        <f t="array" ref="AE310">IFERROR(XLOOKUP(B310,'ImportaçãoMeta - Adveronix'!$F:$F,'ImportaçãoMeta - Adveronix'!C:C),"")</f>
        <v/>
      </c>
      <c r="AF310" s="159" t="str">
        <f t="array" ref="AF310">IFERROR(XLOOKUP(B310,'ImportaçãoMeta - Adveronix'!$F:$F,'ImportaçãoMeta - Adveronix'!D:D),"")</f>
        <v/>
      </c>
      <c r="AG310" s="159" t="str">
        <f t="array" ref="AG310">IFERROR(XLOOKUP(B310,'ImportaçãoMeta - Adveronix'!$F:$F,'ImportaçãoMeta - Adveronix'!E:E),"")</f>
        <v/>
      </c>
      <c r="AH310" s="157"/>
      <c r="AI310" s="157"/>
      <c r="AJ310" s="156"/>
      <c r="AK310" s="160">
        <f>IFERROR(COUNTIFS(Leads!$L:$L,$B310,Leads!$F:$F,"*MetaAds"),0)</f>
        <v>0</v>
      </c>
      <c r="AL310" s="160">
        <f>IFERROR(COUNTIFS(Leads!$L:$L,$B310,Leads!$F:$F,"*MetaAds*",Leads!$N:$N,"Sim"),0)</f>
        <v>0</v>
      </c>
    </row>
    <row r="311" ht="15.75" customHeight="1">
      <c r="A311" s="149" t="str">
        <f t="array" ref="A311">XLOOKUP(MONTH(B311),BASE!$F$16:$F$27,BASE!$G$16:$G$27)</f>
        <v>Novembro</v>
      </c>
      <c r="B311" s="150">
        <v>46332.0</v>
      </c>
      <c r="C311" s="151"/>
      <c r="D311" s="149" t="str">
        <f t="shared" si="4"/>
        <v>sexta-feira</v>
      </c>
      <c r="E311" s="152">
        <f t="shared" ref="E311:J311" si="621">IFERROR(SUM(P311,AB311)," ")</f>
        <v>0</v>
      </c>
      <c r="F311" s="152">
        <f t="shared" si="621"/>
        <v>0</v>
      </c>
      <c r="G311" s="152">
        <f t="shared" si="621"/>
        <v>0</v>
      </c>
      <c r="H311" s="153">
        <f t="shared" si="621"/>
        <v>0</v>
      </c>
      <c r="I311" s="153">
        <f t="shared" si="621"/>
        <v>0</v>
      </c>
      <c r="J311" s="153">
        <f t="shared" si="621"/>
        <v>0</v>
      </c>
      <c r="K311" s="153">
        <f t="shared" ref="K311:O311" si="622">IFERROR(SUM(W311,AH311)," ")</f>
        <v>0</v>
      </c>
      <c r="L311" s="153">
        <f t="shared" si="622"/>
        <v>0</v>
      </c>
      <c r="M311" s="153">
        <f t="shared" si="622"/>
        <v>0</v>
      </c>
      <c r="N311" s="153">
        <f t="shared" si="622"/>
        <v>0</v>
      </c>
      <c r="O311" s="153">
        <f t="shared" si="622"/>
        <v>0</v>
      </c>
      <c r="P311" s="152" t="str">
        <f t="array" ref="P311">IFERROR(XLOOKUP(B311,'ImportaçãoGoogleAds - Adveronix'!$F:$F,'ImportaçãoGoogleAds - Adveronix'!$B:$B)," ")</f>
        <v> </v>
      </c>
      <c r="Q311" s="154"/>
      <c r="R311" s="154"/>
      <c r="S311" s="155" t="str">
        <f t="array" ref="S311">IFERROR(XLOOKUP(B311,'ImportaçãoGoogleAds - Adveronix'!$F:$F,'ImportaçãoGoogleAds - Adveronix'!C:C)," ")</f>
        <v> </v>
      </c>
      <c r="T311" s="155" t="str">
        <f t="array" ref="T311">IFERROR(XLOOKUP(B311,'ImportaçãoGoogleAds - Adveronix'!$F:$F,'ImportaçãoGoogleAds - Adveronix'!D:D)," ")</f>
        <v> </v>
      </c>
      <c r="U311" s="155" t="str">
        <f t="array" ref="U311">IFERROR(XLOOKUP(B311,'ImportaçãoGoogleAds - Adveronix'!$F:$F,'ImportaçãoGoogleAds - Adveronix'!E:E)," ")</f>
        <v> </v>
      </c>
      <c r="V311" s="156"/>
      <c r="W311" s="157"/>
      <c r="X311" s="157"/>
      <c r="Y311" s="158"/>
      <c r="Z311" s="158">
        <f>IFERROR(COUNTIFS(Leads!$L:$L,$B311,Leads!$F:$F,"*google*"),0)</f>
        <v>0</v>
      </c>
      <c r="AA311" s="158">
        <f>IFERROR(COUNTIFS(Leads!$L:$L,$B311,Leads!$F:$F,"*google*",Leads!$N:$N,"Sim"),0)</f>
        <v>0</v>
      </c>
      <c r="AB311" s="152" t="str">
        <f t="array" ref="AB311">IFERROR(XLOOKUP(B311,'ImportaçãoMeta - Adveronix'!F:F,'ImportaçãoMeta - Adveronix'!B:B),"")</f>
        <v/>
      </c>
      <c r="AC311" s="154"/>
      <c r="AD311" s="154"/>
      <c r="AE311" s="159" t="str">
        <f t="array" ref="AE311">IFERROR(XLOOKUP(B311,'ImportaçãoMeta - Adveronix'!$F:$F,'ImportaçãoMeta - Adveronix'!C:C),"")</f>
        <v/>
      </c>
      <c r="AF311" s="159" t="str">
        <f t="array" ref="AF311">IFERROR(XLOOKUP(B311,'ImportaçãoMeta - Adveronix'!$F:$F,'ImportaçãoMeta - Adveronix'!D:D),"")</f>
        <v/>
      </c>
      <c r="AG311" s="159" t="str">
        <f t="array" ref="AG311">IFERROR(XLOOKUP(B311,'ImportaçãoMeta - Adveronix'!$F:$F,'ImportaçãoMeta - Adveronix'!E:E),"")</f>
        <v/>
      </c>
      <c r="AH311" s="157"/>
      <c r="AI311" s="157"/>
      <c r="AJ311" s="156"/>
      <c r="AK311" s="160">
        <f>IFERROR(COUNTIFS(Leads!$L:$L,$B311,Leads!$F:$F,"*MetaAds"),0)</f>
        <v>0</v>
      </c>
      <c r="AL311" s="160">
        <f>IFERROR(COUNTIFS(Leads!$L:$L,$B311,Leads!$F:$F,"*MetaAds*",Leads!$N:$N,"Sim"),0)</f>
        <v>0</v>
      </c>
    </row>
    <row r="312" ht="15.75" customHeight="1">
      <c r="A312" s="149" t="str">
        <f t="array" ref="A312">XLOOKUP(MONTH(B312),BASE!$F$16:$F$27,BASE!$G$16:$G$27)</f>
        <v>Novembro</v>
      </c>
      <c r="B312" s="150">
        <v>46333.0</v>
      </c>
      <c r="C312" s="151"/>
      <c r="D312" s="149" t="str">
        <f t="shared" si="4"/>
        <v>sábado</v>
      </c>
      <c r="E312" s="152">
        <f t="shared" ref="E312:J312" si="623">IFERROR(SUM(P312,AB312)," ")</f>
        <v>0</v>
      </c>
      <c r="F312" s="152">
        <f t="shared" si="623"/>
        <v>0</v>
      </c>
      <c r="G312" s="152">
        <f t="shared" si="623"/>
        <v>0</v>
      </c>
      <c r="H312" s="153">
        <f t="shared" si="623"/>
        <v>0</v>
      </c>
      <c r="I312" s="153">
        <f t="shared" si="623"/>
        <v>0</v>
      </c>
      <c r="J312" s="153">
        <f t="shared" si="623"/>
        <v>0</v>
      </c>
      <c r="K312" s="153">
        <f t="shared" ref="K312:O312" si="624">IFERROR(SUM(W312,AH312)," ")</f>
        <v>0</v>
      </c>
      <c r="L312" s="153">
        <f t="shared" si="624"/>
        <v>0</v>
      </c>
      <c r="M312" s="153">
        <f t="shared" si="624"/>
        <v>0</v>
      </c>
      <c r="N312" s="153">
        <f t="shared" si="624"/>
        <v>0</v>
      </c>
      <c r="O312" s="153">
        <f t="shared" si="624"/>
        <v>0</v>
      </c>
      <c r="P312" s="152" t="str">
        <f t="array" ref="P312">IFERROR(XLOOKUP(B312,'ImportaçãoGoogleAds - Adveronix'!$F:$F,'ImportaçãoGoogleAds - Adveronix'!$B:$B)," ")</f>
        <v> </v>
      </c>
      <c r="Q312" s="154"/>
      <c r="R312" s="154"/>
      <c r="S312" s="155" t="str">
        <f t="array" ref="S312">IFERROR(XLOOKUP(B312,'ImportaçãoGoogleAds - Adveronix'!$F:$F,'ImportaçãoGoogleAds - Adveronix'!C:C)," ")</f>
        <v> </v>
      </c>
      <c r="T312" s="155" t="str">
        <f t="array" ref="T312">IFERROR(XLOOKUP(B312,'ImportaçãoGoogleAds - Adveronix'!$F:$F,'ImportaçãoGoogleAds - Adveronix'!D:D)," ")</f>
        <v> </v>
      </c>
      <c r="U312" s="155" t="str">
        <f t="array" ref="U312">IFERROR(XLOOKUP(B312,'ImportaçãoGoogleAds - Adveronix'!$F:$F,'ImportaçãoGoogleAds - Adveronix'!E:E)," ")</f>
        <v> </v>
      </c>
      <c r="V312" s="156"/>
      <c r="W312" s="157"/>
      <c r="X312" s="157"/>
      <c r="Y312" s="158"/>
      <c r="Z312" s="158">
        <f>IFERROR(COUNTIFS(Leads!$L:$L,$B312,Leads!$F:$F,"*google*"),0)</f>
        <v>0</v>
      </c>
      <c r="AA312" s="158">
        <f>IFERROR(COUNTIFS(Leads!$L:$L,$B312,Leads!$F:$F,"*google*",Leads!$N:$N,"Sim"),0)</f>
        <v>0</v>
      </c>
      <c r="AB312" s="152" t="str">
        <f t="array" ref="AB312">IFERROR(XLOOKUP(B312,'ImportaçãoMeta - Adveronix'!F:F,'ImportaçãoMeta - Adveronix'!B:B),"")</f>
        <v/>
      </c>
      <c r="AC312" s="154"/>
      <c r="AD312" s="154"/>
      <c r="AE312" s="159" t="str">
        <f t="array" ref="AE312">IFERROR(XLOOKUP(B312,'ImportaçãoMeta - Adveronix'!$F:$F,'ImportaçãoMeta - Adveronix'!C:C),"")</f>
        <v/>
      </c>
      <c r="AF312" s="159" t="str">
        <f t="array" ref="AF312">IFERROR(XLOOKUP(B312,'ImportaçãoMeta - Adveronix'!$F:$F,'ImportaçãoMeta - Adveronix'!D:D),"")</f>
        <v/>
      </c>
      <c r="AG312" s="159" t="str">
        <f t="array" ref="AG312">IFERROR(XLOOKUP(B312,'ImportaçãoMeta - Adveronix'!$F:$F,'ImportaçãoMeta - Adveronix'!E:E),"")</f>
        <v/>
      </c>
      <c r="AH312" s="157"/>
      <c r="AI312" s="157"/>
      <c r="AJ312" s="156"/>
      <c r="AK312" s="160">
        <f>IFERROR(COUNTIFS(Leads!$L:$L,$B312,Leads!$F:$F,"*MetaAds"),0)</f>
        <v>0</v>
      </c>
      <c r="AL312" s="160">
        <f>IFERROR(COUNTIFS(Leads!$L:$L,$B312,Leads!$F:$F,"*MetaAds*",Leads!$N:$N,"Sim"),0)</f>
        <v>0</v>
      </c>
    </row>
    <row r="313" ht="15.75" customHeight="1">
      <c r="A313" s="149" t="str">
        <f t="array" ref="A313">XLOOKUP(MONTH(B313),BASE!$F$16:$F$27,BASE!$G$16:$G$27)</f>
        <v>Novembro</v>
      </c>
      <c r="B313" s="150">
        <v>46334.0</v>
      </c>
      <c r="C313" s="151"/>
      <c r="D313" s="149" t="str">
        <f t="shared" si="4"/>
        <v>domingo</v>
      </c>
      <c r="E313" s="152">
        <f t="shared" ref="E313:J313" si="625">IFERROR(SUM(P313,AB313)," ")</f>
        <v>0</v>
      </c>
      <c r="F313" s="152">
        <f t="shared" si="625"/>
        <v>0</v>
      </c>
      <c r="G313" s="152">
        <f t="shared" si="625"/>
        <v>0</v>
      </c>
      <c r="H313" s="153">
        <f t="shared" si="625"/>
        <v>0</v>
      </c>
      <c r="I313" s="153">
        <f t="shared" si="625"/>
        <v>0</v>
      </c>
      <c r="J313" s="153">
        <f t="shared" si="625"/>
        <v>0</v>
      </c>
      <c r="K313" s="153">
        <f t="shared" ref="K313:O313" si="626">IFERROR(SUM(W313,AH313)," ")</f>
        <v>0</v>
      </c>
      <c r="L313" s="153">
        <f t="shared" si="626"/>
        <v>0</v>
      </c>
      <c r="M313" s="153">
        <f t="shared" si="626"/>
        <v>0</v>
      </c>
      <c r="N313" s="153">
        <f t="shared" si="626"/>
        <v>0</v>
      </c>
      <c r="O313" s="153">
        <f t="shared" si="626"/>
        <v>0</v>
      </c>
      <c r="P313" s="152" t="str">
        <f t="array" ref="P313">IFERROR(XLOOKUP(B313,'ImportaçãoGoogleAds - Adveronix'!$F:$F,'ImportaçãoGoogleAds - Adveronix'!$B:$B)," ")</f>
        <v> </v>
      </c>
      <c r="Q313" s="154"/>
      <c r="R313" s="154"/>
      <c r="S313" s="155" t="str">
        <f t="array" ref="S313">IFERROR(XLOOKUP(B313,'ImportaçãoGoogleAds - Adveronix'!$F:$F,'ImportaçãoGoogleAds - Adveronix'!C:C)," ")</f>
        <v> </v>
      </c>
      <c r="T313" s="155" t="str">
        <f t="array" ref="T313">IFERROR(XLOOKUP(B313,'ImportaçãoGoogleAds - Adveronix'!$F:$F,'ImportaçãoGoogleAds - Adveronix'!D:D)," ")</f>
        <v> </v>
      </c>
      <c r="U313" s="155" t="str">
        <f t="array" ref="U313">IFERROR(XLOOKUP(B313,'ImportaçãoGoogleAds - Adveronix'!$F:$F,'ImportaçãoGoogleAds - Adveronix'!E:E)," ")</f>
        <v> </v>
      </c>
      <c r="V313" s="156"/>
      <c r="W313" s="157"/>
      <c r="X313" s="157"/>
      <c r="Y313" s="158"/>
      <c r="Z313" s="158">
        <f>IFERROR(COUNTIFS(Leads!$L:$L,$B313,Leads!$F:$F,"*google*"),0)</f>
        <v>0</v>
      </c>
      <c r="AA313" s="158">
        <f>IFERROR(COUNTIFS(Leads!$L:$L,$B313,Leads!$F:$F,"*google*",Leads!$N:$N,"Sim"),0)</f>
        <v>0</v>
      </c>
      <c r="AB313" s="152" t="str">
        <f t="array" ref="AB313">IFERROR(XLOOKUP(B313,'ImportaçãoMeta - Adveronix'!F:F,'ImportaçãoMeta - Adveronix'!B:B),"")</f>
        <v/>
      </c>
      <c r="AC313" s="154"/>
      <c r="AD313" s="154"/>
      <c r="AE313" s="159" t="str">
        <f t="array" ref="AE313">IFERROR(XLOOKUP(B313,'ImportaçãoMeta - Adveronix'!$F:$F,'ImportaçãoMeta - Adveronix'!C:C),"")</f>
        <v/>
      </c>
      <c r="AF313" s="159" t="str">
        <f t="array" ref="AF313">IFERROR(XLOOKUP(B313,'ImportaçãoMeta - Adveronix'!$F:$F,'ImportaçãoMeta - Adveronix'!D:D),"")</f>
        <v/>
      </c>
      <c r="AG313" s="159" t="str">
        <f t="array" ref="AG313">IFERROR(XLOOKUP(B313,'ImportaçãoMeta - Adveronix'!$F:$F,'ImportaçãoMeta - Adveronix'!E:E),"")</f>
        <v/>
      </c>
      <c r="AH313" s="157"/>
      <c r="AI313" s="157"/>
      <c r="AJ313" s="156"/>
      <c r="AK313" s="160">
        <f>IFERROR(COUNTIFS(Leads!$L:$L,$B313,Leads!$F:$F,"*MetaAds"),0)</f>
        <v>0</v>
      </c>
      <c r="AL313" s="160">
        <f>IFERROR(COUNTIFS(Leads!$L:$L,$B313,Leads!$F:$F,"*MetaAds*",Leads!$N:$N,"Sim"),0)</f>
        <v>0</v>
      </c>
    </row>
    <row r="314" ht="15.75" customHeight="1">
      <c r="A314" s="149" t="str">
        <f t="array" ref="A314">XLOOKUP(MONTH(B314),BASE!$F$16:$F$27,BASE!$G$16:$G$27)</f>
        <v>Novembro</v>
      </c>
      <c r="B314" s="150">
        <v>46335.0</v>
      </c>
      <c r="C314" s="151"/>
      <c r="D314" s="149" t="str">
        <f t="shared" si="4"/>
        <v>segunda-feira</v>
      </c>
      <c r="E314" s="152">
        <f t="shared" ref="E314:J314" si="627">IFERROR(SUM(P314,AB314)," ")</f>
        <v>0</v>
      </c>
      <c r="F314" s="152">
        <f t="shared" si="627"/>
        <v>0</v>
      </c>
      <c r="G314" s="152">
        <f t="shared" si="627"/>
        <v>0</v>
      </c>
      <c r="H314" s="153">
        <f t="shared" si="627"/>
        <v>0</v>
      </c>
      <c r="I314" s="153">
        <f t="shared" si="627"/>
        <v>0</v>
      </c>
      <c r="J314" s="153">
        <f t="shared" si="627"/>
        <v>0</v>
      </c>
      <c r="K314" s="153">
        <f t="shared" ref="K314:O314" si="628">IFERROR(SUM(W314,AH314)," ")</f>
        <v>0</v>
      </c>
      <c r="L314" s="153">
        <f t="shared" si="628"/>
        <v>0</v>
      </c>
      <c r="M314" s="153">
        <f t="shared" si="628"/>
        <v>0</v>
      </c>
      <c r="N314" s="153">
        <f t="shared" si="628"/>
        <v>0</v>
      </c>
      <c r="O314" s="153">
        <f t="shared" si="628"/>
        <v>0</v>
      </c>
      <c r="P314" s="152" t="str">
        <f t="array" ref="P314">IFERROR(XLOOKUP(B314,'ImportaçãoGoogleAds - Adveronix'!$F:$F,'ImportaçãoGoogleAds - Adveronix'!$B:$B)," ")</f>
        <v> </v>
      </c>
      <c r="Q314" s="154"/>
      <c r="R314" s="154"/>
      <c r="S314" s="155" t="str">
        <f t="array" ref="S314">IFERROR(XLOOKUP(B314,'ImportaçãoGoogleAds - Adveronix'!$F:$F,'ImportaçãoGoogleAds - Adveronix'!C:C)," ")</f>
        <v> </v>
      </c>
      <c r="T314" s="155" t="str">
        <f t="array" ref="T314">IFERROR(XLOOKUP(B314,'ImportaçãoGoogleAds - Adveronix'!$F:$F,'ImportaçãoGoogleAds - Adveronix'!D:D)," ")</f>
        <v> </v>
      </c>
      <c r="U314" s="155" t="str">
        <f t="array" ref="U314">IFERROR(XLOOKUP(B314,'ImportaçãoGoogleAds - Adveronix'!$F:$F,'ImportaçãoGoogleAds - Adveronix'!E:E)," ")</f>
        <v> </v>
      </c>
      <c r="V314" s="156"/>
      <c r="W314" s="157"/>
      <c r="X314" s="157"/>
      <c r="Y314" s="158"/>
      <c r="Z314" s="158">
        <f>IFERROR(COUNTIFS(Leads!$L:$L,$B314,Leads!$F:$F,"*google*"),0)</f>
        <v>0</v>
      </c>
      <c r="AA314" s="158">
        <f>IFERROR(COUNTIFS(Leads!$L:$L,$B314,Leads!$F:$F,"*google*",Leads!$N:$N,"Sim"),0)</f>
        <v>0</v>
      </c>
      <c r="AB314" s="152" t="str">
        <f t="array" ref="AB314">IFERROR(XLOOKUP(B314,'ImportaçãoMeta - Adveronix'!F:F,'ImportaçãoMeta - Adveronix'!B:B),"")</f>
        <v/>
      </c>
      <c r="AC314" s="154"/>
      <c r="AD314" s="154"/>
      <c r="AE314" s="159" t="str">
        <f t="array" ref="AE314">IFERROR(XLOOKUP(B314,'ImportaçãoMeta - Adveronix'!$F:$F,'ImportaçãoMeta - Adveronix'!C:C),"")</f>
        <v/>
      </c>
      <c r="AF314" s="159" t="str">
        <f t="array" ref="AF314">IFERROR(XLOOKUP(B314,'ImportaçãoMeta - Adveronix'!$F:$F,'ImportaçãoMeta - Adveronix'!D:D),"")</f>
        <v/>
      </c>
      <c r="AG314" s="159" t="str">
        <f t="array" ref="AG314">IFERROR(XLOOKUP(B314,'ImportaçãoMeta - Adveronix'!$F:$F,'ImportaçãoMeta - Adveronix'!E:E),"")</f>
        <v/>
      </c>
      <c r="AH314" s="157"/>
      <c r="AI314" s="157"/>
      <c r="AJ314" s="156"/>
      <c r="AK314" s="160">
        <f>IFERROR(COUNTIFS(Leads!$L:$L,$B314,Leads!$F:$F,"*MetaAds"),0)</f>
        <v>0</v>
      </c>
      <c r="AL314" s="160">
        <f>IFERROR(COUNTIFS(Leads!$L:$L,$B314,Leads!$F:$F,"*MetaAds*",Leads!$N:$N,"Sim"),0)</f>
        <v>0</v>
      </c>
    </row>
    <row r="315" ht="15.75" customHeight="1">
      <c r="A315" s="149" t="str">
        <f t="array" ref="A315">XLOOKUP(MONTH(B315),BASE!$F$16:$F$27,BASE!$G$16:$G$27)</f>
        <v>Novembro</v>
      </c>
      <c r="B315" s="150">
        <v>46336.0</v>
      </c>
      <c r="C315" s="151"/>
      <c r="D315" s="149" t="str">
        <f t="shared" si="4"/>
        <v>terça-feira</v>
      </c>
      <c r="E315" s="152">
        <f t="shared" ref="E315:J315" si="629">IFERROR(SUM(P315,AB315)," ")</f>
        <v>0</v>
      </c>
      <c r="F315" s="152">
        <f t="shared" si="629"/>
        <v>0</v>
      </c>
      <c r="G315" s="152">
        <f t="shared" si="629"/>
        <v>0</v>
      </c>
      <c r="H315" s="153">
        <f t="shared" si="629"/>
        <v>0</v>
      </c>
      <c r="I315" s="153">
        <f t="shared" si="629"/>
        <v>0</v>
      </c>
      <c r="J315" s="153">
        <f t="shared" si="629"/>
        <v>0</v>
      </c>
      <c r="K315" s="153">
        <f t="shared" ref="K315:O315" si="630">IFERROR(SUM(W315,AH315)," ")</f>
        <v>0</v>
      </c>
      <c r="L315" s="153">
        <f t="shared" si="630"/>
        <v>0</v>
      </c>
      <c r="M315" s="153">
        <f t="shared" si="630"/>
        <v>0</v>
      </c>
      <c r="N315" s="153">
        <f t="shared" si="630"/>
        <v>0</v>
      </c>
      <c r="O315" s="153">
        <f t="shared" si="630"/>
        <v>0</v>
      </c>
      <c r="P315" s="152" t="str">
        <f t="array" ref="P315">IFERROR(XLOOKUP(B315,'ImportaçãoGoogleAds - Adveronix'!$F:$F,'ImportaçãoGoogleAds - Adveronix'!$B:$B)," ")</f>
        <v> </v>
      </c>
      <c r="Q315" s="154"/>
      <c r="R315" s="154"/>
      <c r="S315" s="155" t="str">
        <f t="array" ref="S315">IFERROR(XLOOKUP(B315,'ImportaçãoGoogleAds - Adveronix'!$F:$F,'ImportaçãoGoogleAds - Adveronix'!C:C)," ")</f>
        <v> </v>
      </c>
      <c r="T315" s="155" t="str">
        <f t="array" ref="T315">IFERROR(XLOOKUP(B315,'ImportaçãoGoogleAds - Adveronix'!$F:$F,'ImportaçãoGoogleAds - Adveronix'!D:D)," ")</f>
        <v> </v>
      </c>
      <c r="U315" s="155" t="str">
        <f t="array" ref="U315">IFERROR(XLOOKUP(B315,'ImportaçãoGoogleAds - Adveronix'!$F:$F,'ImportaçãoGoogleAds - Adveronix'!E:E)," ")</f>
        <v> </v>
      </c>
      <c r="V315" s="156"/>
      <c r="W315" s="157"/>
      <c r="X315" s="157"/>
      <c r="Y315" s="158"/>
      <c r="Z315" s="158">
        <f>IFERROR(COUNTIFS(Leads!$L:$L,$B315,Leads!$F:$F,"*google*"),0)</f>
        <v>0</v>
      </c>
      <c r="AA315" s="158">
        <f>IFERROR(COUNTIFS(Leads!$L:$L,$B315,Leads!$F:$F,"*google*",Leads!$N:$N,"Sim"),0)</f>
        <v>0</v>
      </c>
      <c r="AB315" s="152" t="str">
        <f t="array" ref="AB315">IFERROR(XLOOKUP(B315,'ImportaçãoMeta - Adveronix'!F:F,'ImportaçãoMeta - Adveronix'!B:B),"")</f>
        <v/>
      </c>
      <c r="AC315" s="154"/>
      <c r="AD315" s="154"/>
      <c r="AE315" s="159" t="str">
        <f t="array" ref="AE315">IFERROR(XLOOKUP(B315,'ImportaçãoMeta - Adveronix'!$F:$F,'ImportaçãoMeta - Adveronix'!C:C),"")</f>
        <v/>
      </c>
      <c r="AF315" s="159" t="str">
        <f t="array" ref="AF315">IFERROR(XLOOKUP(B315,'ImportaçãoMeta - Adveronix'!$F:$F,'ImportaçãoMeta - Adveronix'!D:D),"")</f>
        <v/>
      </c>
      <c r="AG315" s="159" t="str">
        <f t="array" ref="AG315">IFERROR(XLOOKUP(B315,'ImportaçãoMeta - Adveronix'!$F:$F,'ImportaçãoMeta - Adveronix'!E:E),"")</f>
        <v/>
      </c>
      <c r="AH315" s="157"/>
      <c r="AI315" s="157"/>
      <c r="AJ315" s="156"/>
      <c r="AK315" s="160">
        <f>IFERROR(COUNTIFS(Leads!$L:$L,$B315,Leads!$F:$F,"*MetaAds"),0)</f>
        <v>0</v>
      </c>
      <c r="AL315" s="160">
        <f>IFERROR(COUNTIFS(Leads!$L:$L,$B315,Leads!$F:$F,"*MetaAds*",Leads!$N:$N,"Sim"),0)</f>
        <v>0</v>
      </c>
    </row>
    <row r="316" ht="15.75" customHeight="1">
      <c r="A316" s="149" t="str">
        <f t="array" ref="A316">XLOOKUP(MONTH(B316),BASE!$F$16:$F$27,BASE!$G$16:$G$27)</f>
        <v>Novembro</v>
      </c>
      <c r="B316" s="150">
        <v>46337.0</v>
      </c>
      <c r="C316" s="151"/>
      <c r="D316" s="149" t="str">
        <f t="shared" si="4"/>
        <v>quarta-feira</v>
      </c>
      <c r="E316" s="152">
        <f t="shared" ref="E316:J316" si="631">IFERROR(SUM(P316,AB316)," ")</f>
        <v>0</v>
      </c>
      <c r="F316" s="152">
        <f t="shared" si="631"/>
        <v>0</v>
      </c>
      <c r="G316" s="152">
        <f t="shared" si="631"/>
        <v>0</v>
      </c>
      <c r="H316" s="153">
        <f t="shared" si="631"/>
        <v>0</v>
      </c>
      <c r="I316" s="153">
        <f t="shared" si="631"/>
        <v>0</v>
      </c>
      <c r="J316" s="153">
        <f t="shared" si="631"/>
        <v>0</v>
      </c>
      <c r="K316" s="153">
        <f t="shared" ref="K316:O316" si="632">IFERROR(SUM(W316,AH316)," ")</f>
        <v>0</v>
      </c>
      <c r="L316" s="153">
        <f t="shared" si="632"/>
        <v>0</v>
      </c>
      <c r="M316" s="153">
        <f t="shared" si="632"/>
        <v>0</v>
      </c>
      <c r="N316" s="153">
        <f t="shared" si="632"/>
        <v>0</v>
      </c>
      <c r="O316" s="153">
        <f t="shared" si="632"/>
        <v>0</v>
      </c>
      <c r="P316" s="152" t="str">
        <f t="array" ref="P316">IFERROR(XLOOKUP(B316,'ImportaçãoGoogleAds - Adveronix'!$F:$F,'ImportaçãoGoogleAds - Adveronix'!$B:$B)," ")</f>
        <v> </v>
      </c>
      <c r="Q316" s="154"/>
      <c r="R316" s="154"/>
      <c r="S316" s="155" t="str">
        <f t="array" ref="S316">IFERROR(XLOOKUP(B316,'ImportaçãoGoogleAds - Adveronix'!$F:$F,'ImportaçãoGoogleAds - Adveronix'!C:C)," ")</f>
        <v> </v>
      </c>
      <c r="T316" s="155" t="str">
        <f t="array" ref="T316">IFERROR(XLOOKUP(B316,'ImportaçãoGoogleAds - Adveronix'!$F:$F,'ImportaçãoGoogleAds - Adveronix'!D:D)," ")</f>
        <v> </v>
      </c>
      <c r="U316" s="155" t="str">
        <f t="array" ref="U316">IFERROR(XLOOKUP(B316,'ImportaçãoGoogleAds - Adveronix'!$F:$F,'ImportaçãoGoogleAds - Adveronix'!E:E)," ")</f>
        <v> </v>
      </c>
      <c r="V316" s="156"/>
      <c r="W316" s="157"/>
      <c r="X316" s="157"/>
      <c r="Y316" s="158"/>
      <c r="Z316" s="158">
        <f>IFERROR(COUNTIFS(Leads!$L:$L,$B316,Leads!$F:$F,"*google*"),0)</f>
        <v>0</v>
      </c>
      <c r="AA316" s="158">
        <f>IFERROR(COUNTIFS(Leads!$L:$L,$B316,Leads!$F:$F,"*google*",Leads!$N:$N,"Sim"),0)</f>
        <v>0</v>
      </c>
      <c r="AB316" s="152" t="str">
        <f t="array" ref="AB316">IFERROR(XLOOKUP(B316,'ImportaçãoMeta - Adveronix'!F:F,'ImportaçãoMeta - Adveronix'!B:B),"")</f>
        <v/>
      </c>
      <c r="AC316" s="154"/>
      <c r="AD316" s="154"/>
      <c r="AE316" s="159" t="str">
        <f t="array" ref="AE316">IFERROR(XLOOKUP(B316,'ImportaçãoMeta - Adveronix'!$F:$F,'ImportaçãoMeta - Adveronix'!C:C),"")</f>
        <v/>
      </c>
      <c r="AF316" s="159" t="str">
        <f t="array" ref="AF316">IFERROR(XLOOKUP(B316,'ImportaçãoMeta - Adveronix'!$F:$F,'ImportaçãoMeta - Adveronix'!D:D),"")</f>
        <v/>
      </c>
      <c r="AG316" s="159" t="str">
        <f t="array" ref="AG316">IFERROR(XLOOKUP(B316,'ImportaçãoMeta - Adveronix'!$F:$F,'ImportaçãoMeta - Adveronix'!E:E),"")</f>
        <v/>
      </c>
      <c r="AH316" s="157"/>
      <c r="AI316" s="157"/>
      <c r="AJ316" s="156"/>
      <c r="AK316" s="160">
        <f>IFERROR(COUNTIFS(Leads!$L:$L,$B316,Leads!$F:$F,"*MetaAds"),0)</f>
        <v>0</v>
      </c>
      <c r="AL316" s="160">
        <f>IFERROR(COUNTIFS(Leads!$L:$L,$B316,Leads!$F:$F,"*MetaAds*",Leads!$N:$N,"Sim"),0)</f>
        <v>0</v>
      </c>
    </row>
    <row r="317" ht="15.75" customHeight="1">
      <c r="A317" s="149" t="str">
        <f t="array" ref="A317">XLOOKUP(MONTH(B317),BASE!$F$16:$F$27,BASE!$G$16:$G$27)</f>
        <v>Novembro</v>
      </c>
      <c r="B317" s="150">
        <v>46338.0</v>
      </c>
      <c r="C317" s="151"/>
      <c r="D317" s="149" t="str">
        <f t="shared" si="4"/>
        <v>quinta-feira</v>
      </c>
      <c r="E317" s="152">
        <f t="shared" ref="E317:J317" si="633">IFERROR(SUM(P317,AB317)," ")</f>
        <v>0</v>
      </c>
      <c r="F317" s="152">
        <f t="shared" si="633"/>
        <v>0</v>
      </c>
      <c r="G317" s="152">
        <f t="shared" si="633"/>
        <v>0</v>
      </c>
      <c r="H317" s="153">
        <f t="shared" si="633"/>
        <v>0</v>
      </c>
      <c r="I317" s="153">
        <f t="shared" si="633"/>
        <v>0</v>
      </c>
      <c r="J317" s="153">
        <f t="shared" si="633"/>
        <v>0</v>
      </c>
      <c r="K317" s="153">
        <f t="shared" ref="K317:O317" si="634">IFERROR(SUM(W317,AH317)," ")</f>
        <v>0</v>
      </c>
      <c r="L317" s="153">
        <f t="shared" si="634"/>
        <v>0</v>
      </c>
      <c r="M317" s="153">
        <f t="shared" si="634"/>
        <v>0</v>
      </c>
      <c r="N317" s="153">
        <f t="shared" si="634"/>
        <v>0</v>
      </c>
      <c r="O317" s="153">
        <f t="shared" si="634"/>
        <v>0</v>
      </c>
      <c r="P317" s="152" t="str">
        <f t="array" ref="P317">IFERROR(XLOOKUP(B317,'ImportaçãoGoogleAds - Adveronix'!$F:$F,'ImportaçãoGoogleAds - Adveronix'!$B:$B)," ")</f>
        <v> </v>
      </c>
      <c r="Q317" s="154"/>
      <c r="R317" s="154"/>
      <c r="S317" s="155" t="str">
        <f t="array" ref="S317">IFERROR(XLOOKUP(B317,'ImportaçãoGoogleAds - Adveronix'!$F:$F,'ImportaçãoGoogleAds - Adveronix'!C:C)," ")</f>
        <v> </v>
      </c>
      <c r="T317" s="155" t="str">
        <f t="array" ref="T317">IFERROR(XLOOKUP(B317,'ImportaçãoGoogleAds - Adveronix'!$F:$F,'ImportaçãoGoogleAds - Adveronix'!D:D)," ")</f>
        <v> </v>
      </c>
      <c r="U317" s="155" t="str">
        <f t="array" ref="U317">IFERROR(XLOOKUP(B317,'ImportaçãoGoogleAds - Adveronix'!$F:$F,'ImportaçãoGoogleAds - Adveronix'!E:E)," ")</f>
        <v> </v>
      </c>
      <c r="V317" s="156"/>
      <c r="W317" s="157"/>
      <c r="X317" s="157"/>
      <c r="Y317" s="158"/>
      <c r="Z317" s="158">
        <f>IFERROR(COUNTIFS(Leads!$L:$L,$B317,Leads!$F:$F,"*google*"),0)</f>
        <v>0</v>
      </c>
      <c r="AA317" s="158">
        <f>IFERROR(COUNTIFS(Leads!$L:$L,$B317,Leads!$F:$F,"*google*",Leads!$N:$N,"Sim"),0)</f>
        <v>0</v>
      </c>
      <c r="AB317" s="152" t="str">
        <f t="array" ref="AB317">IFERROR(XLOOKUP(B317,'ImportaçãoMeta - Adveronix'!F:F,'ImportaçãoMeta - Adveronix'!B:B),"")</f>
        <v/>
      </c>
      <c r="AC317" s="154"/>
      <c r="AD317" s="154"/>
      <c r="AE317" s="159" t="str">
        <f t="array" ref="AE317">IFERROR(XLOOKUP(B317,'ImportaçãoMeta - Adveronix'!$F:$F,'ImportaçãoMeta - Adveronix'!C:C),"")</f>
        <v/>
      </c>
      <c r="AF317" s="159" t="str">
        <f t="array" ref="AF317">IFERROR(XLOOKUP(B317,'ImportaçãoMeta - Adveronix'!$F:$F,'ImportaçãoMeta - Adveronix'!D:D),"")</f>
        <v/>
      </c>
      <c r="AG317" s="159" t="str">
        <f t="array" ref="AG317">IFERROR(XLOOKUP(B317,'ImportaçãoMeta - Adveronix'!$F:$F,'ImportaçãoMeta - Adveronix'!E:E),"")</f>
        <v/>
      </c>
      <c r="AH317" s="157"/>
      <c r="AI317" s="157"/>
      <c r="AJ317" s="156"/>
      <c r="AK317" s="160">
        <f>IFERROR(COUNTIFS(Leads!$L:$L,$B317,Leads!$F:$F,"*MetaAds"),0)</f>
        <v>0</v>
      </c>
      <c r="AL317" s="160">
        <f>IFERROR(COUNTIFS(Leads!$L:$L,$B317,Leads!$F:$F,"*MetaAds*",Leads!$N:$N,"Sim"),0)</f>
        <v>0</v>
      </c>
    </row>
    <row r="318" ht="15.75" customHeight="1">
      <c r="A318" s="149" t="str">
        <f t="array" ref="A318">XLOOKUP(MONTH(B318),BASE!$F$16:$F$27,BASE!$G$16:$G$27)</f>
        <v>Novembro</v>
      </c>
      <c r="B318" s="150">
        <v>46339.0</v>
      </c>
      <c r="C318" s="151"/>
      <c r="D318" s="149" t="str">
        <f t="shared" si="4"/>
        <v>sexta-feira</v>
      </c>
      <c r="E318" s="152">
        <f t="shared" ref="E318:J318" si="635">IFERROR(SUM(P318,AB318)," ")</f>
        <v>0</v>
      </c>
      <c r="F318" s="152">
        <f t="shared" si="635"/>
        <v>0</v>
      </c>
      <c r="G318" s="152">
        <f t="shared" si="635"/>
        <v>0</v>
      </c>
      <c r="H318" s="153">
        <f t="shared" si="635"/>
        <v>0</v>
      </c>
      <c r="I318" s="153">
        <f t="shared" si="635"/>
        <v>0</v>
      </c>
      <c r="J318" s="153">
        <f t="shared" si="635"/>
        <v>0</v>
      </c>
      <c r="K318" s="153">
        <f t="shared" ref="K318:O318" si="636">IFERROR(SUM(W318,AH318)," ")</f>
        <v>0</v>
      </c>
      <c r="L318" s="153">
        <f t="shared" si="636"/>
        <v>0</v>
      </c>
      <c r="M318" s="153">
        <f t="shared" si="636"/>
        <v>0</v>
      </c>
      <c r="N318" s="153">
        <f t="shared" si="636"/>
        <v>0</v>
      </c>
      <c r="O318" s="153">
        <f t="shared" si="636"/>
        <v>0</v>
      </c>
      <c r="P318" s="152" t="str">
        <f t="array" ref="P318">IFERROR(XLOOKUP(B318,'ImportaçãoGoogleAds - Adveronix'!$F:$F,'ImportaçãoGoogleAds - Adveronix'!$B:$B)," ")</f>
        <v> </v>
      </c>
      <c r="Q318" s="154"/>
      <c r="R318" s="154"/>
      <c r="S318" s="155" t="str">
        <f t="array" ref="S318">IFERROR(XLOOKUP(B318,'ImportaçãoGoogleAds - Adveronix'!$F:$F,'ImportaçãoGoogleAds - Adveronix'!C:C)," ")</f>
        <v> </v>
      </c>
      <c r="T318" s="155" t="str">
        <f t="array" ref="T318">IFERROR(XLOOKUP(B318,'ImportaçãoGoogleAds - Adveronix'!$F:$F,'ImportaçãoGoogleAds - Adveronix'!D:D)," ")</f>
        <v> </v>
      </c>
      <c r="U318" s="155" t="str">
        <f t="array" ref="U318">IFERROR(XLOOKUP(B318,'ImportaçãoGoogleAds - Adveronix'!$F:$F,'ImportaçãoGoogleAds - Adveronix'!E:E)," ")</f>
        <v> </v>
      </c>
      <c r="V318" s="156"/>
      <c r="W318" s="157"/>
      <c r="X318" s="157"/>
      <c r="Y318" s="158"/>
      <c r="Z318" s="158">
        <f>IFERROR(COUNTIFS(Leads!$L:$L,$B318,Leads!$F:$F,"*google*"),0)</f>
        <v>0</v>
      </c>
      <c r="AA318" s="158">
        <f>IFERROR(COUNTIFS(Leads!$L:$L,$B318,Leads!$F:$F,"*google*",Leads!$N:$N,"Sim"),0)</f>
        <v>0</v>
      </c>
      <c r="AB318" s="152" t="str">
        <f t="array" ref="AB318">IFERROR(XLOOKUP(B318,'ImportaçãoMeta - Adveronix'!F:F,'ImportaçãoMeta - Adveronix'!B:B),"")</f>
        <v/>
      </c>
      <c r="AC318" s="154"/>
      <c r="AD318" s="154"/>
      <c r="AE318" s="159" t="str">
        <f t="array" ref="AE318">IFERROR(XLOOKUP(B318,'ImportaçãoMeta - Adveronix'!$F:$F,'ImportaçãoMeta - Adveronix'!C:C),"")</f>
        <v/>
      </c>
      <c r="AF318" s="159" t="str">
        <f t="array" ref="AF318">IFERROR(XLOOKUP(B318,'ImportaçãoMeta - Adveronix'!$F:$F,'ImportaçãoMeta - Adveronix'!D:D),"")</f>
        <v/>
      </c>
      <c r="AG318" s="159" t="str">
        <f t="array" ref="AG318">IFERROR(XLOOKUP(B318,'ImportaçãoMeta - Adveronix'!$F:$F,'ImportaçãoMeta - Adveronix'!E:E),"")</f>
        <v/>
      </c>
      <c r="AH318" s="157"/>
      <c r="AI318" s="157"/>
      <c r="AJ318" s="156"/>
      <c r="AK318" s="160">
        <f>IFERROR(COUNTIFS(Leads!$L:$L,$B318,Leads!$F:$F,"*MetaAds"),0)</f>
        <v>0</v>
      </c>
      <c r="AL318" s="160">
        <f>IFERROR(COUNTIFS(Leads!$L:$L,$B318,Leads!$F:$F,"*MetaAds*",Leads!$N:$N,"Sim"),0)</f>
        <v>0</v>
      </c>
    </row>
    <row r="319" ht="15.75" customHeight="1">
      <c r="A319" s="149" t="str">
        <f t="array" ref="A319">XLOOKUP(MONTH(B319),BASE!$F$16:$F$27,BASE!$G$16:$G$27)</f>
        <v>Novembro</v>
      </c>
      <c r="B319" s="150">
        <v>46340.0</v>
      </c>
      <c r="C319" s="151"/>
      <c r="D319" s="149" t="str">
        <f t="shared" si="4"/>
        <v>sábado</v>
      </c>
      <c r="E319" s="152">
        <f t="shared" ref="E319:J319" si="637">IFERROR(SUM(P319,AB319)," ")</f>
        <v>0</v>
      </c>
      <c r="F319" s="152">
        <f t="shared" si="637"/>
        <v>0</v>
      </c>
      <c r="G319" s="152">
        <f t="shared" si="637"/>
        <v>0</v>
      </c>
      <c r="H319" s="153">
        <f t="shared" si="637"/>
        <v>0</v>
      </c>
      <c r="I319" s="153">
        <f t="shared" si="637"/>
        <v>0</v>
      </c>
      <c r="J319" s="153">
        <f t="shared" si="637"/>
        <v>0</v>
      </c>
      <c r="K319" s="153">
        <f t="shared" ref="K319:O319" si="638">IFERROR(SUM(W319,AH319)," ")</f>
        <v>0</v>
      </c>
      <c r="L319" s="153">
        <f t="shared" si="638"/>
        <v>0</v>
      </c>
      <c r="M319" s="153">
        <f t="shared" si="638"/>
        <v>0</v>
      </c>
      <c r="N319" s="153">
        <f t="shared" si="638"/>
        <v>0</v>
      </c>
      <c r="O319" s="153">
        <f t="shared" si="638"/>
        <v>0</v>
      </c>
      <c r="P319" s="152" t="str">
        <f t="array" ref="P319">IFERROR(XLOOKUP(B319,'ImportaçãoGoogleAds - Adveronix'!$F:$F,'ImportaçãoGoogleAds - Adveronix'!$B:$B)," ")</f>
        <v> </v>
      </c>
      <c r="Q319" s="154"/>
      <c r="R319" s="154"/>
      <c r="S319" s="155" t="str">
        <f t="array" ref="S319">IFERROR(XLOOKUP(B319,'ImportaçãoGoogleAds - Adveronix'!$F:$F,'ImportaçãoGoogleAds - Adveronix'!C:C)," ")</f>
        <v> </v>
      </c>
      <c r="T319" s="155" t="str">
        <f t="array" ref="T319">IFERROR(XLOOKUP(B319,'ImportaçãoGoogleAds - Adveronix'!$F:$F,'ImportaçãoGoogleAds - Adveronix'!D:D)," ")</f>
        <v> </v>
      </c>
      <c r="U319" s="155" t="str">
        <f t="array" ref="U319">IFERROR(XLOOKUP(B319,'ImportaçãoGoogleAds - Adveronix'!$F:$F,'ImportaçãoGoogleAds - Adveronix'!E:E)," ")</f>
        <v> </v>
      </c>
      <c r="V319" s="156"/>
      <c r="W319" s="157"/>
      <c r="X319" s="157"/>
      <c r="Y319" s="158"/>
      <c r="Z319" s="158">
        <f>IFERROR(COUNTIFS(Leads!$L:$L,$B319,Leads!$F:$F,"*google*"),0)</f>
        <v>0</v>
      </c>
      <c r="AA319" s="158">
        <f>IFERROR(COUNTIFS(Leads!$L:$L,$B319,Leads!$F:$F,"*google*",Leads!$N:$N,"Sim"),0)</f>
        <v>0</v>
      </c>
      <c r="AB319" s="152" t="str">
        <f t="array" ref="AB319">IFERROR(XLOOKUP(B319,'ImportaçãoMeta - Adveronix'!F:F,'ImportaçãoMeta - Adveronix'!B:B),"")</f>
        <v/>
      </c>
      <c r="AC319" s="154"/>
      <c r="AD319" s="154"/>
      <c r="AE319" s="159" t="str">
        <f t="array" ref="AE319">IFERROR(XLOOKUP(B319,'ImportaçãoMeta - Adveronix'!$F:$F,'ImportaçãoMeta - Adveronix'!C:C),"")</f>
        <v/>
      </c>
      <c r="AF319" s="159" t="str">
        <f t="array" ref="AF319">IFERROR(XLOOKUP(B319,'ImportaçãoMeta - Adveronix'!$F:$F,'ImportaçãoMeta - Adveronix'!D:D),"")</f>
        <v/>
      </c>
      <c r="AG319" s="159" t="str">
        <f t="array" ref="AG319">IFERROR(XLOOKUP(B319,'ImportaçãoMeta - Adveronix'!$F:$F,'ImportaçãoMeta - Adveronix'!E:E),"")</f>
        <v/>
      </c>
      <c r="AH319" s="157"/>
      <c r="AI319" s="157"/>
      <c r="AJ319" s="156"/>
      <c r="AK319" s="160">
        <f>IFERROR(COUNTIFS(Leads!$L:$L,$B319,Leads!$F:$F,"*MetaAds"),0)</f>
        <v>0</v>
      </c>
      <c r="AL319" s="160">
        <f>IFERROR(COUNTIFS(Leads!$L:$L,$B319,Leads!$F:$F,"*MetaAds*",Leads!$N:$N,"Sim"),0)</f>
        <v>0</v>
      </c>
    </row>
    <row r="320" ht="15.75" customHeight="1">
      <c r="A320" s="149" t="str">
        <f t="array" ref="A320">XLOOKUP(MONTH(B320),BASE!$F$16:$F$27,BASE!$G$16:$G$27)</f>
        <v>Novembro</v>
      </c>
      <c r="B320" s="150">
        <v>46341.0</v>
      </c>
      <c r="C320" s="151"/>
      <c r="D320" s="149" t="str">
        <f t="shared" si="4"/>
        <v>domingo</v>
      </c>
      <c r="E320" s="152">
        <f t="shared" ref="E320:J320" si="639">IFERROR(SUM(P320,AB320)," ")</f>
        <v>0</v>
      </c>
      <c r="F320" s="152">
        <f t="shared" si="639"/>
        <v>0</v>
      </c>
      <c r="G320" s="152">
        <f t="shared" si="639"/>
        <v>0</v>
      </c>
      <c r="H320" s="153">
        <f t="shared" si="639"/>
        <v>0</v>
      </c>
      <c r="I320" s="153">
        <f t="shared" si="639"/>
        <v>0</v>
      </c>
      <c r="J320" s="153">
        <f t="shared" si="639"/>
        <v>0</v>
      </c>
      <c r="K320" s="153">
        <f t="shared" ref="K320:O320" si="640">IFERROR(SUM(W320,AH320)," ")</f>
        <v>0</v>
      </c>
      <c r="L320" s="153">
        <f t="shared" si="640"/>
        <v>0</v>
      </c>
      <c r="M320" s="153">
        <f t="shared" si="640"/>
        <v>0</v>
      </c>
      <c r="N320" s="153">
        <f t="shared" si="640"/>
        <v>0</v>
      </c>
      <c r="O320" s="153">
        <f t="shared" si="640"/>
        <v>0</v>
      </c>
      <c r="P320" s="152" t="str">
        <f t="array" ref="P320">IFERROR(XLOOKUP(B320,'ImportaçãoGoogleAds - Adveronix'!$F:$F,'ImportaçãoGoogleAds - Adveronix'!$B:$B)," ")</f>
        <v> </v>
      </c>
      <c r="Q320" s="154"/>
      <c r="R320" s="154"/>
      <c r="S320" s="155" t="str">
        <f t="array" ref="S320">IFERROR(XLOOKUP(B320,'ImportaçãoGoogleAds - Adveronix'!$F:$F,'ImportaçãoGoogleAds - Adveronix'!C:C)," ")</f>
        <v> </v>
      </c>
      <c r="T320" s="155" t="str">
        <f t="array" ref="T320">IFERROR(XLOOKUP(B320,'ImportaçãoGoogleAds - Adveronix'!$F:$F,'ImportaçãoGoogleAds - Adveronix'!D:D)," ")</f>
        <v> </v>
      </c>
      <c r="U320" s="155" t="str">
        <f t="array" ref="U320">IFERROR(XLOOKUP(B320,'ImportaçãoGoogleAds - Adveronix'!$F:$F,'ImportaçãoGoogleAds - Adveronix'!E:E)," ")</f>
        <v> </v>
      </c>
      <c r="V320" s="156"/>
      <c r="W320" s="157"/>
      <c r="X320" s="157"/>
      <c r="Y320" s="158"/>
      <c r="Z320" s="158">
        <f>IFERROR(COUNTIFS(Leads!$L:$L,$B320,Leads!$F:$F,"*google*"),0)</f>
        <v>0</v>
      </c>
      <c r="AA320" s="158">
        <f>IFERROR(COUNTIFS(Leads!$L:$L,$B320,Leads!$F:$F,"*google*",Leads!$N:$N,"Sim"),0)</f>
        <v>0</v>
      </c>
      <c r="AB320" s="152" t="str">
        <f t="array" ref="AB320">IFERROR(XLOOKUP(B320,'ImportaçãoMeta - Adveronix'!F:F,'ImportaçãoMeta - Adveronix'!B:B),"")</f>
        <v/>
      </c>
      <c r="AC320" s="154"/>
      <c r="AD320" s="154"/>
      <c r="AE320" s="159" t="str">
        <f t="array" ref="AE320">IFERROR(XLOOKUP(B320,'ImportaçãoMeta - Adveronix'!$F:$F,'ImportaçãoMeta - Adveronix'!C:C),"")</f>
        <v/>
      </c>
      <c r="AF320" s="159" t="str">
        <f t="array" ref="AF320">IFERROR(XLOOKUP(B320,'ImportaçãoMeta - Adveronix'!$F:$F,'ImportaçãoMeta - Adveronix'!D:D),"")</f>
        <v/>
      </c>
      <c r="AG320" s="159" t="str">
        <f t="array" ref="AG320">IFERROR(XLOOKUP(B320,'ImportaçãoMeta - Adveronix'!$F:$F,'ImportaçãoMeta - Adveronix'!E:E),"")</f>
        <v/>
      </c>
      <c r="AH320" s="157"/>
      <c r="AI320" s="157"/>
      <c r="AJ320" s="156"/>
      <c r="AK320" s="160">
        <f>IFERROR(COUNTIFS(Leads!$L:$L,$B320,Leads!$F:$F,"*MetaAds"),0)</f>
        <v>0</v>
      </c>
      <c r="AL320" s="160">
        <f>IFERROR(COUNTIFS(Leads!$L:$L,$B320,Leads!$F:$F,"*MetaAds*",Leads!$N:$N,"Sim"),0)</f>
        <v>0</v>
      </c>
    </row>
    <row r="321" ht="15.75" customHeight="1">
      <c r="A321" s="149" t="str">
        <f t="array" ref="A321">XLOOKUP(MONTH(B321),BASE!$F$16:$F$27,BASE!$G$16:$G$27)</f>
        <v>Novembro</v>
      </c>
      <c r="B321" s="150">
        <v>46342.0</v>
      </c>
      <c r="C321" s="151"/>
      <c r="D321" s="149" t="str">
        <f t="shared" si="4"/>
        <v>segunda-feira</v>
      </c>
      <c r="E321" s="152">
        <f t="shared" ref="E321:J321" si="641">IFERROR(SUM(P321,AB321)," ")</f>
        <v>0</v>
      </c>
      <c r="F321" s="152">
        <f t="shared" si="641"/>
        <v>0</v>
      </c>
      <c r="G321" s="152">
        <f t="shared" si="641"/>
        <v>0</v>
      </c>
      <c r="H321" s="153">
        <f t="shared" si="641"/>
        <v>0</v>
      </c>
      <c r="I321" s="153">
        <f t="shared" si="641"/>
        <v>0</v>
      </c>
      <c r="J321" s="153">
        <f t="shared" si="641"/>
        <v>0</v>
      </c>
      <c r="K321" s="153">
        <f t="shared" ref="K321:O321" si="642">IFERROR(SUM(W321,AH321)," ")</f>
        <v>0</v>
      </c>
      <c r="L321" s="153">
        <f t="shared" si="642"/>
        <v>0</v>
      </c>
      <c r="M321" s="153">
        <f t="shared" si="642"/>
        <v>0</v>
      </c>
      <c r="N321" s="153">
        <f t="shared" si="642"/>
        <v>0</v>
      </c>
      <c r="O321" s="153">
        <f t="shared" si="642"/>
        <v>0</v>
      </c>
      <c r="P321" s="152" t="str">
        <f t="array" ref="P321">IFERROR(XLOOKUP(B321,'ImportaçãoGoogleAds - Adveronix'!$F:$F,'ImportaçãoGoogleAds - Adveronix'!$B:$B)," ")</f>
        <v> </v>
      </c>
      <c r="Q321" s="154"/>
      <c r="R321" s="154"/>
      <c r="S321" s="155" t="str">
        <f t="array" ref="S321">IFERROR(XLOOKUP(B321,'ImportaçãoGoogleAds - Adveronix'!$F:$F,'ImportaçãoGoogleAds - Adveronix'!C:C)," ")</f>
        <v> </v>
      </c>
      <c r="T321" s="155" t="str">
        <f t="array" ref="T321">IFERROR(XLOOKUP(B321,'ImportaçãoGoogleAds - Adveronix'!$F:$F,'ImportaçãoGoogleAds - Adveronix'!D:D)," ")</f>
        <v> </v>
      </c>
      <c r="U321" s="155" t="str">
        <f t="array" ref="U321">IFERROR(XLOOKUP(B321,'ImportaçãoGoogleAds - Adveronix'!$F:$F,'ImportaçãoGoogleAds - Adveronix'!E:E)," ")</f>
        <v> </v>
      </c>
      <c r="V321" s="156"/>
      <c r="W321" s="157"/>
      <c r="X321" s="157"/>
      <c r="Y321" s="158"/>
      <c r="Z321" s="158">
        <f>IFERROR(COUNTIFS(Leads!$L:$L,$B321,Leads!$F:$F,"*google*"),0)</f>
        <v>0</v>
      </c>
      <c r="AA321" s="158">
        <f>IFERROR(COUNTIFS(Leads!$L:$L,$B321,Leads!$F:$F,"*google*",Leads!$N:$N,"Sim"),0)</f>
        <v>0</v>
      </c>
      <c r="AB321" s="152" t="str">
        <f t="array" ref="AB321">IFERROR(XLOOKUP(B321,'ImportaçãoMeta - Adveronix'!F:F,'ImportaçãoMeta - Adveronix'!B:B),"")</f>
        <v/>
      </c>
      <c r="AC321" s="154"/>
      <c r="AD321" s="154"/>
      <c r="AE321" s="159" t="str">
        <f t="array" ref="AE321">IFERROR(XLOOKUP(B321,'ImportaçãoMeta - Adveronix'!$F:$F,'ImportaçãoMeta - Adveronix'!C:C),"")</f>
        <v/>
      </c>
      <c r="AF321" s="159" t="str">
        <f t="array" ref="AF321">IFERROR(XLOOKUP(B321,'ImportaçãoMeta - Adveronix'!$F:$F,'ImportaçãoMeta - Adveronix'!D:D),"")</f>
        <v/>
      </c>
      <c r="AG321" s="159" t="str">
        <f t="array" ref="AG321">IFERROR(XLOOKUP(B321,'ImportaçãoMeta - Adveronix'!$F:$F,'ImportaçãoMeta - Adveronix'!E:E),"")</f>
        <v/>
      </c>
      <c r="AH321" s="157"/>
      <c r="AI321" s="157"/>
      <c r="AJ321" s="156"/>
      <c r="AK321" s="160">
        <f>IFERROR(COUNTIFS(Leads!$L:$L,$B321,Leads!$F:$F,"*MetaAds"),0)</f>
        <v>0</v>
      </c>
      <c r="AL321" s="160">
        <f>IFERROR(COUNTIFS(Leads!$L:$L,$B321,Leads!$F:$F,"*MetaAds*",Leads!$N:$N,"Sim"),0)</f>
        <v>0</v>
      </c>
    </row>
    <row r="322" ht="15.75" customHeight="1">
      <c r="A322" s="149" t="str">
        <f t="array" ref="A322">XLOOKUP(MONTH(B322),BASE!$F$16:$F$27,BASE!$G$16:$G$27)</f>
        <v>Novembro</v>
      </c>
      <c r="B322" s="150">
        <v>46343.0</v>
      </c>
      <c r="C322" s="151"/>
      <c r="D322" s="149" t="str">
        <f t="shared" si="4"/>
        <v>terça-feira</v>
      </c>
      <c r="E322" s="152">
        <f t="shared" ref="E322:J322" si="643">IFERROR(SUM(P322,AB322)," ")</f>
        <v>0</v>
      </c>
      <c r="F322" s="152">
        <f t="shared" si="643"/>
        <v>0</v>
      </c>
      <c r="G322" s="152">
        <f t="shared" si="643"/>
        <v>0</v>
      </c>
      <c r="H322" s="153">
        <f t="shared" si="643"/>
        <v>0</v>
      </c>
      <c r="I322" s="153">
        <f t="shared" si="643"/>
        <v>0</v>
      </c>
      <c r="J322" s="153">
        <f t="shared" si="643"/>
        <v>0</v>
      </c>
      <c r="K322" s="153">
        <f t="shared" ref="K322:O322" si="644">IFERROR(SUM(W322,AH322)," ")</f>
        <v>0</v>
      </c>
      <c r="L322" s="153">
        <f t="shared" si="644"/>
        <v>0</v>
      </c>
      <c r="M322" s="153">
        <f t="shared" si="644"/>
        <v>0</v>
      </c>
      <c r="N322" s="153">
        <f t="shared" si="644"/>
        <v>0</v>
      </c>
      <c r="O322" s="153">
        <f t="shared" si="644"/>
        <v>0</v>
      </c>
      <c r="P322" s="152" t="str">
        <f t="array" ref="P322">IFERROR(XLOOKUP(B322,'ImportaçãoGoogleAds - Adveronix'!$F:$F,'ImportaçãoGoogleAds - Adveronix'!$B:$B)," ")</f>
        <v> </v>
      </c>
      <c r="Q322" s="154"/>
      <c r="R322" s="154"/>
      <c r="S322" s="155" t="str">
        <f t="array" ref="S322">IFERROR(XLOOKUP(B322,'ImportaçãoGoogleAds - Adveronix'!$F:$F,'ImportaçãoGoogleAds - Adveronix'!C:C)," ")</f>
        <v> </v>
      </c>
      <c r="T322" s="155" t="str">
        <f t="array" ref="T322">IFERROR(XLOOKUP(B322,'ImportaçãoGoogleAds - Adveronix'!$F:$F,'ImportaçãoGoogleAds - Adveronix'!D:D)," ")</f>
        <v> </v>
      </c>
      <c r="U322" s="155" t="str">
        <f t="array" ref="U322">IFERROR(XLOOKUP(B322,'ImportaçãoGoogleAds - Adveronix'!$F:$F,'ImportaçãoGoogleAds - Adveronix'!E:E)," ")</f>
        <v> </v>
      </c>
      <c r="V322" s="156"/>
      <c r="W322" s="157"/>
      <c r="X322" s="157"/>
      <c r="Y322" s="158"/>
      <c r="Z322" s="158">
        <f>IFERROR(COUNTIFS(Leads!$L:$L,$B322,Leads!$F:$F,"*google*"),0)</f>
        <v>0</v>
      </c>
      <c r="AA322" s="158">
        <f>IFERROR(COUNTIFS(Leads!$L:$L,$B322,Leads!$F:$F,"*google*",Leads!$N:$N,"Sim"),0)</f>
        <v>0</v>
      </c>
      <c r="AB322" s="152" t="str">
        <f t="array" ref="AB322">IFERROR(XLOOKUP(B322,'ImportaçãoMeta - Adveronix'!F:F,'ImportaçãoMeta - Adveronix'!B:B),"")</f>
        <v/>
      </c>
      <c r="AC322" s="154"/>
      <c r="AD322" s="154"/>
      <c r="AE322" s="159" t="str">
        <f t="array" ref="AE322">IFERROR(XLOOKUP(B322,'ImportaçãoMeta - Adveronix'!$F:$F,'ImportaçãoMeta - Adveronix'!C:C),"")</f>
        <v/>
      </c>
      <c r="AF322" s="159" t="str">
        <f t="array" ref="AF322">IFERROR(XLOOKUP(B322,'ImportaçãoMeta - Adveronix'!$F:$F,'ImportaçãoMeta - Adveronix'!D:D),"")</f>
        <v/>
      </c>
      <c r="AG322" s="159" t="str">
        <f t="array" ref="AG322">IFERROR(XLOOKUP(B322,'ImportaçãoMeta - Adveronix'!$F:$F,'ImportaçãoMeta - Adveronix'!E:E),"")</f>
        <v/>
      </c>
      <c r="AH322" s="157"/>
      <c r="AI322" s="157"/>
      <c r="AJ322" s="156"/>
      <c r="AK322" s="160">
        <f>IFERROR(COUNTIFS(Leads!$L:$L,$B322,Leads!$F:$F,"*MetaAds"),0)</f>
        <v>0</v>
      </c>
      <c r="AL322" s="160">
        <f>IFERROR(COUNTIFS(Leads!$L:$L,$B322,Leads!$F:$F,"*MetaAds*",Leads!$N:$N,"Sim"),0)</f>
        <v>0</v>
      </c>
    </row>
    <row r="323" ht="15.75" customHeight="1">
      <c r="A323" s="149" t="str">
        <f t="array" ref="A323">XLOOKUP(MONTH(B323),BASE!$F$16:$F$27,BASE!$G$16:$G$27)</f>
        <v>Novembro</v>
      </c>
      <c r="B323" s="150">
        <v>46344.0</v>
      </c>
      <c r="C323" s="151"/>
      <c r="D323" s="149" t="str">
        <f t="shared" si="4"/>
        <v>quarta-feira</v>
      </c>
      <c r="E323" s="152">
        <f t="shared" ref="E323:J323" si="645">IFERROR(SUM(P323,AB323)," ")</f>
        <v>0</v>
      </c>
      <c r="F323" s="152">
        <f t="shared" si="645"/>
        <v>0</v>
      </c>
      <c r="G323" s="152">
        <f t="shared" si="645"/>
        <v>0</v>
      </c>
      <c r="H323" s="153">
        <f t="shared" si="645"/>
        <v>0</v>
      </c>
      <c r="I323" s="153">
        <f t="shared" si="645"/>
        <v>0</v>
      </c>
      <c r="J323" s="153">
        <f t="shared" si="645"/>
        <v>0</v>
      </c>
      <c r="K323" s="153">
        <f t="shared" ref="K323:O323" si="646">IFERROR(SUM(W323,AH323)," ")</f>
        <v>0</v>
      </c>
      <c r="L323" s="153">
        <f t="shared" si="646"/>
        <v>0</v>
      </c>
      <c r="M323" s="153">
        <f t="shared" si="646"/>
        <v>0</v>
      </c>
      <c r="N323" s="153">
        <f t="shared" si="646"/>
        <v>0</v>
      </c>
      <c r="O323" s="153">
        <f t="shared" si="646"/>
        <v>0</v>
      </c>
      <c r="P323" s="152" t="str">
        <f t="array" ref="P323">IFERROR(XLOOKUP(B323,'ImportaçãoGoogleAds - Adveronix'!$F:$F,'ImportaçãoGoogleAds - Adveronix'!$B:$B)," ")</f>
        <v> </v>
      </c>
      <c r="Q323" s="154"/>
      <c r="R323" s="154"/>
      <c r="S323" s="155" t="str">
        <f t="array" ref="S323">IFERROR(XLOOKUP(B323,'ImportaçãoGoogleAds - Adveronix'!$F:$F,'ImportaçãoGoogleAds - Adveronix'!C:C)," ")</f>
        <v> </v>
      </c>
      <c r="T323" s="155" t="str">
        <f t="array" ref="T323">IFERROR(XLOOKUP(B323,'ImportaçãoGoogleAds - Adveronix'!$F:$F,'ImportaçãoGoogleAds - Adveronix'!D:D)," ")</f>
        <v> </v>
      </c>
      <c r="U323" s="155" t="str">
        <f t="array" ref="U323">IFERROR(XLOOKUP(B323,'ImportaçãoGoogleAds - Adveronix'!$F:$F,'ImportaçãoGoogleAds - Adveronix'!E:E)," ")</f>
        <v> </v>
      </c>
      <c r="V323" s="156"/>
      <c r="W323" s="157"/>
      <c r="X323" s="157"/>
      <c r="Y323" s="158"/>
      <c r="Z323" s="158">
        <f>IFERROR(COUNTIFS(Leads!$L:$L,$B323,Leads!$F:$F,"*google*"),0)</f>
        <v>0</v>
      </c>
      <c r="AA323" s="158">
        <f>IFERROR(COUNTIFS(Leads!$L:$L,$B323,Leads!$F:$F,"*google*",Leads!$N:$N,"Sim"),0)</f>
        <v>0</v>
      </c>
      <c r="AB323" s="152" t="str">
        <f t="array" ref="AB323">IFERROR(XLOOKUP(B323,'ImportaçãoMeta - Adveronix'!F:F,'ImportaçãoMeta - Adveronix'!B:B),"")</f>
        <v/>
      </c>
      <c r="AC323" s="154"/>
      <c r="AD323" s="154"/>
      <c r="AE323" s="159" t="str">
        <f t="array" ref="AE323">IFERROR(XLOOKUP(B323,'ImportaçãoMeta - Adveronix'!$F:$F,'ImportaçãoMeta - Adveronix'!C:C),"")</f>
        <v/>
      </c>
      <c r="AF323" s="159" t="str">
        <f t="array" ref="AF323">IFERROR(XLOOKUP(B323,'ImportaçãoMeta - Adveronix'!$F:$F,'ImportaçãoMeta - Adveronix'!D:D),"")</f>
        <v/>
      </c>
      <c r="AG323" s="159" t="str">
        <f t="array" ref="AG323">IFERROR(XLOOKUP(B323,'ImportaçãoMeta - Adveronix'!$F:$F,'ImportaçãoMeta - Adveronix'!E:E),"")</f>
        <v/>
      </c>
      <c r="AH323" s="157"/>
      <c r="AI323" s="157"/>
      <c r="AJ323" s="156"/>
      <c r="AK323" s="160">
        <f>IFERROR(COUNTIFS(Leads!$L:$L,$B323,Leads!$F:$F,"*MetaAds"),0)</f>
        <v>0</v>
      </c>
      <c r="AL323" s="160">
        <f>IFERROR(COUNTIFS(Leads!$L:$L,$B323,Leads!$F:$F,"*MetaAds*",Leads!$N:$N,"Sim"),0)</f>
        <v>0</v>
      </c>
    </row>
    <row r="324" ht="15.75" customHeight="1">
      <c r="A324" s="149" t="str">
        <f t="array" ref="A324">XLOOKUP(MONTH(B324),BASE!$F$16:$F$27,BASE!$G$16:$G$27)</f>
        <v>Novembro</v>
      </c>
      <c r="B324" s="150">
        <v>46345.0</v>
      </c>
      <c r="C324" s="151"/>
      <c r="D324" s="149" t="str">
        <f t="shared" si="4"/>
        <v>quinta-feira</v>
      </c>
      <c r="E324" s="152">
        <f t="shared" ref="E324:J324" si="647">IFERROR(SUM(P324,AB324)," ")</f>
        <v>0</v>
      </c>
      <c r="F324" s="152">
        <f t="shared" si="647"/>
        <v>0</v>
      </c>
      <c r="G324" s="152">
        <f t="shared" si="647"/>
        <v>0</v>
      </c>
      <c r="H324" s="153">
        <f t="shared" si="647"/>
        <v>0</v>
      </c>
      <c r="I324" s="153">
        <f t="shared" si="647"/>
        <v>0</v>
      </c>
      <c r="J324" s="153">
        <f t="shared" si="647"/>
        <v>0</v>
      </c>
      <c r="K324" s="153">
        <f t="shared" ref="K324:O324" si="648">IFERROR(SUM(W324,AH324)," ")</f>
        <v>0</v>
      </c>
      <c r="L324" s="153">
        <f t="shared" si="648"/>
        <v>0</v>
      </c>
      <c r="M324" s="153">
        <f t="shared" si="648"/>
        <v>0</v>
      </c>
      <c r="N324" s="153">
        <f t="shared" si="648"/>
        <v>0</v>
      </c>
      <c r="O324" s="153">
        <f t="shared" si="648"/>
        <v>0</v>
      </c>
      <c r="P324" s="152" t="str">
        <f t="array" ref="P324">IFERROR(XLOOKUP(B324,'ImportaçãoGoogleAds - Adveronix'!$F:$F,'ImportaçãoGoogleAds - Adveronix'!$B:$B)," ")</f>
        <v> </v>
      </c>
      <c r="Q324" s="154"/>
      <c r="R324" s="154"/>
      <c r="S324" s="155" t="str">
        <f t="array" ref="S324">IFERROR(XLOOKUP(B324,'ImportaçãoGoogleAds - Adveronix'!$F:$F,'ImportaçãoGoogleAds - Adveronix'!C:C)," ")</f>
        <v> </v>
      </c>
      <c r="T324" s="155" t="str">
        <f t="array" ref="T324">IFERROR(XLOOKUP(B324,'ImportaçãoGoogleAds - Adveronix'!$F:$F,'ImportaçãoGoogleAds - Adveronix'!D:D)," ")</f>
        <v> </v>
      </c>
      <c r="U324" s="155" t="str">
        <f t="array" ref="U324">IFERROR(XLOOKUP(B324,'ImportaçãoGoogleAds - Adveronix'!$F:$F,'ImportaçãoGoogleAds - Adveronix'!E:E)," ")</f>
        <v> </v>
      </c>
      <c r="V324" s="156"/>
      <c r="W324" s="157"/>
      <c r="X324" s="157"/>
      <c r="Y324" s="158"/>
      <c r="Z324" s="158">
        <f>IFERROR(COUNTIFS(Leads!$L:$L,$B324,Leads!$F:$F,"*google*"),0)</f>
        <v>0</v>
      </c>
      <c r="AA324" s="158">
        <f>IFERROR(COUNTIFS(Leads!$L:$L,$B324,Leads!$F:$F,"*google*",Leads!$N:$N,"Sim"),0)</f>
        <v>0</v>
      </c>
      <c r="AB324" s="152" t="str">
        <f t="array" ref="AB324">IFERROR(XLOOKUP(B324,'ImportaçãoMeta - Adveronix'!F:F,'ImportaçãoMeta - Adveronix'!B:B),"")</f>
        <v/>
      </c>
      <c r="AC324" s="154"/>
      <c r="AD324" s="154"/>
      <c r="AE324" s="159" t="str">
        <f t="array" ref="AE324">IFERROR(XLOOKUP(B324,'ImportaçãoMeta - Adveronix'!$F:$F,'ImportaçãoMeta - Adveronix'!C:C),"")</f>
        <v/>
      </c>
      <c r="AF324" s="159" t="str">
        <f t="array" ref="AF324">IFERROR(XLOOKUP(B324,'ImportaçãoMeta - Adveronix'!$F:$F,'ImportaçãoMeta - Adveronix'!D:D),"")</f>
        <v/>
      </c>
      <c r="AG324" s="159" t="str">
        <f t="array" ref="AG324">IFERROR(XLOOKUP(B324,'ImportaçãoMeta - Adveronix'!$F:$F,'ImportaçãoMeta - Adveronix'!E:E),"")</f>
        <v/>
      </c>
      <c r="AH324" s="157"/>
      <c r="AI324" s="157"/>
      <c r="AJ324" s="156"/>
      <c r="AK324" s="160">
        <f>IFERROR(COUNTIFS(Leads!$L:$L,$B324,Leads!$F:$F,"*MetaAds"),0)</f>
        <v>0</v>
      </c>
      <c r="AL324" s="160">
        <f>IFERROR(COUNTIFS(Leads!$L:$L,$B324,Leads!$F:$F,"*MetaAds*",Leads!$N:$N,"Sim"),0)</f>
        <v>0</v>
      </c>
    </row>
    <row r="325" ht="15.75" customHeight="1">
      <c r="A325" s="149" t="str">
        <f t="array" ref="A325">XLOOKUP(MONTH(B325),BASE!$F$16:$F$27,BASE!$G$16:$G$27)</f>
        <v>Novembro</v>
      </c>
      <c r="B325" s="150">
        <v>46346.0</v>
      </c>
      <c r="C325" s="151"/>
      <c r="D325" s="149" t="str">
        <f t="shared" si="4"/>
        <v>sexta-feira</v>
      </c>
      <c r="E325" s="152">
        <f t="shared" ref="E325:J325" si="649">IFERROR(SUM(P325,AB325)," ")</f>
        <v>0</v>
      </c>
      <c r="F325" s="152">
        <f t="shared" si="649"/>
        <v>0</v>
      </c>
      <c r="G325" s="152">
        <f t="shared" si="649"/>
        <v>0</v>
      </c>
      <c r="H325" s="153">
        <f t="shared" si="649"/>
        <v>0</v>
      </c>
      <c r="I325" s="153">
        <f t="shared" si="649"/>
        <v>0</v>
      </c>
      <c r="J325" s="153">
        <f t="shared" si="649"/>
        <v>0</v>
      </c>
      <c r="K325" s="153">
        <f t="shared" ref="K325:O325" si="650">IFERROR(SUM(W325,AH325)," ")</f>
        <v>0</v>
      </c>
      <c r="L325" s="153">
        <f t="shared" si="650"/>
        <v>0</v>
      </c>
      <c r="M325" s="153">
        <f t="shared" si="650"/>
        <v>0</v>
      </c>
      <c r="N325" s="153">
        <f t="shared" si="650"/>
        <v>0</v>
      </c>
      <c r="O325" s="153">
        <f t="shared" si="650"/>
        <v>0</v>
      </c>
      <c r="P325" s="152" t="str">
        <f t="array" ref="P325">IFERROR(XLOOKUP(B325,'ImportaçãoGoogleAds - Adveronix'!$F:$F,'ImportaçãoGoogleAds - Adveronix'!$B:$B)," ")</f>
        <v> </v>
      </c>
      <c r="Q325" s="154"/>
      <c r="R325" s="154"/>
      <c r="S325" s="155" t="str">
        <f t="array" ref="S325">IFERROR(XLOOKUP(B325,'ImportaçãoGoogleAds - Adveronix'!$F:$F,'ImportaçãoGoogleAds - Adveronix'!C:C)," ")</f>
        <v> </v>
      </c>
      <c r="T325" s="155" t="str">
        <f t="array" ref="T325">IFERROR(XLOOKUP(B325,'ImportaçãoGoogleAds - Adveronix'!$F:$F,'ImportaçãoGoogleAds - Adveronix'!D:D)," ")</f>
        <v> </v>
      </c>
      <c r="U325" s="155" t="str">
        <f t="array" ref="U325">IFERROR(XLOOKUP(B325,'ImportaçãoGoogleAds - Adveronix'!$F:$F,'ImportaçãoGoogleAds - Adveronix'!E:E)," ")</f>
        <v> </v>
      </c>
      <c r="V325" s="156"/>
      <c r="W325" s="157"/>
      <c r="X325" s="157"/>
      <c r="Y325" s="158"/>
      <c r="Z325" s="158">
        <f>IFERROR(COUNTIFS(Leads!$L:$L,$B325,Leads!$F:$F,"*google*"),0)</f>
        <v>0</v>
      </c>
      <c r="AA325" s="158">
        <f>IFERROR(COUNTIFS(Leads!$L:$L,$B325,Leads!$F:$F,"*google*",Leads!$N:$N,"Sim"),0)</f>
        <v>0</v>
      </c>
      <c r="AB325" s="152" t="str">
        <f t="array" ref="AB325">IFERROR(XLOOKUP(B325,'ImportaçãoMeta - Adveronix'!F:F,'ImportaçãoMeta - Adveronix'!B:B),"")</f>
        <v/>
      </c>
      <c r="AC325" s="154"/>
      <c r="AD325" s="154"/>
      <c r="AE325" s="159" t="str">
        <f t="array" ref="AE325">IFERROR(XLOOKUP(B325,'ImportaçãoMeta - Adveronix'!$F:$F,'ImportaçãoMeta - Adveronix'!C:C),"")</f>
        <v/>
      </c>
      <c r="AF325" s="159" t="str">
        <f t="array" ref="AF325">IFERROR(XLOOKUP(B325,'ImportaçãoMeta - Adveronix'!$F:$F,'ImportaçãoMeta - Adveronix'!D:D),"")</f>
        <v/>
      </c>
      <c r="AG325" s="159" t="str">
        <f t="array" ref="AG325">IFERROR(XLOOKUP(B325,'ImportaçãoMeta - Adveronix'!$F:$F,'ImportaçãoMeta - Adveronix'!E:E),"")</f>
        <v/>
      </c>
      <c r="AH325" s="157"/>
      <c r="AI325" s="157"/>
      <c r="AJ325" s="156"/>
      <c r="AK325" s="160">
        <f>IFERROR(COUNTIFS(Leads!$L:$L,$B325,Leads!$F:$F,"*MetaAds"),0)</f>
        <v>0</v>
      </c>
      <c r="AL325" s="160">
        <f>IFERROR(COUNTIFS(Leads!$L:$L,$B325,Leads!$F:$F,"*MetaAds*",Leads!$N:$N,"Sim"),0)</f>
        <v>0</v>
      </c>
    </row>
    <row r="326" ht="15.75" customHeight="1">
      <c r="A326" s="149" t="str">
        <f t="array" ref="A326">XLOOKUP(MONTH(B326),BASE!$F$16:$F$27,BASE!$G$16:$G$27)</f>
        <v>Novembro</v>
      </c>
      <c r="B326" s="150">
        <v>46347.0</v>
      </c>
      <c r="C326" s="151"/>
      <c r="D326" s="149" t="str">
        <f t="shared" si="4"/>
        <v>sábado</v>
      </c>
      <c r="E326" s="152">
        <f t="shared" ref="E326:J326" si="651">IFERROR(SUM(P326,AB326)," ")</f>
        <v>0</v>
      </c>
      <c r="F326" s="152">
        <f t="shared" si="651"/>
        <v>0</v>
      </c>
      <c r="G326" s="152">
        <f t="shared" si="651"/>
        <v>0</v>
      </c>
      <c r="H326" s="153">
        <f t="shared" si="651"/>
        <v>0</v>
      </c>
      <c r="I326" s="153">
        <f t="shared" si="651"/>
        <v>0</v>
      </c>
      <c r="J326" s="153">
        <f t="shared" si="651"/>
        <v>0</v>
      </c>
      <c r="K326" s="153">
        <f t="shared" ref="K326:O326" si="652">IFERROR(SUM(W326,AH326)," ")</f>
        <v>0</v>
      </c>
      <c r="L326" s="153">
        <f t="shared" si="652"/>
        <v>0</v>
      </c>
      <c r="M326" s="153">
        <f t="shared" si="652"/>
        <v>0</v>
      </c>
      <c r="N326" s="153">
        <f t="shared" si="652"/>
        <v>0</v>
      </c>
      <c r="O326" s="153">
        <f t="shared" si="652"/>
        <v>0</v>
      </c>
      <c r="P326" s="152" t="str">
        <f t="array" ref="P326">IFERROR(XLOOKUP(B326,'ImportaçãoGoogleAds - Adveronix'!$F:$F,'ImportaçãoGoogleAds - Adveronix'!$B:$B)," ")</f>
        <v> </v>
      </c>
      <c r="Q326" s="154"/>
      <c r="R326" s="154"/>
      <c r="S326" s="155" t="str">
        <f t="array" ref="S326">IFERROR(XLOOKUP(B326,'ImportaçãoGoogleAds - Adveronix'!$F:$F,'ImportaçãoGoogleAds - Adveronix'!C:C)," ")</f>
        <v> </v>
      </c>
      <c r="T326" s="155" t="str">
        <f t="array" ref="T326">IFERROR(XLOOKUP(B326,'ImportaçãoGoogleAds - Adveronix'!$F:$F,'ImportaçãoGoogleAds - Adveronix'!D:D)," ")</f>
        <v> </v>
      </c>
      <c r="U326" s="155" t="str">
        <f t="array" ref="U326">IFERROR(XLOOKUP(B326,'ImportaçãoGoogleAds - Adveronix'!$F:$F,'ImportaçãoGoogleAds - Adveronix'!E:E)," ")</f>
        <v> </v>
      </c>
      <c r="V326" s="156"/>
      <c r="W326" s="157"/>
      <c r="X326" s="157"/>
      <c r="Y326" s="158"/>
      <c r="Z326" s="158">
        <f>IFERROR(COUNTIFS(Leads!$L:$L,$B326,Leads!$F:$F,"*google*"),0)</f>
        <v>0</v>
      </c>
      <c r="AA326" s="158">
        <f>IFERROR(COUNTIFS(Leads!$L:$L,$B326,Leads!$F:$F,"*google*",Leads!$N:$N,"Sim"),0)</f>
        <v>0</v>
      </c>
      <c r="AB326" s="152" t="str">
        <f t="array" ref="AB326">IFERROR(XLOOKUP(B326,'ImportaçãoMeta - Adveronix'!F:F,'ImportaçãoMeta - Adveronix'!B:B),"")</f>
        <v/>
      </c>
      <c r="AC326" s="154"/>
      <c r="AD326" s="154"/>
      <c r="AE326" s="159" t="str">
        <f t="array" ref="AE326">IFERROR(XLOOKUP(B326,'ImportaçãoMeta - Adveronix'!$F:$F,'ImportaçãoMeta - Adveronix'!C:C),"")</f>
        <v/>
      </c>
      <c r="AF326" s="159" t="str">
        <f t="array" ref="AF326">IFERROR(XLOOKUP(B326,'ImportaçãoMeta - Adveronix'!$F:$F,'ImportaçãoMeta - Adveronix'!D:D),"")</f>
        <v/>
      </c>
      <c r="AG326" s="159" t="str">
        <f t="array" ref="AG326">IFERROR(XLOOKUP(B326,'ImportaçãoMeta - Adveronix'!$F:$F,'ImportaçãoMeta - Adveronix'!E:E),"")</f>
        <v/>
      </c>
      <c r="AH326" s="157"/>
      <c r="AI326" s="157"/>
      <c r="AJ326" s="156"/>
      <c r="AK326" s="160">
        <f>IFERROR(COUNTIFS(Leads!$L:$L,$B326,Leads!$F:$F,"*MetaAds"),0)</f>
        <v>0</v>
      </c>
      <c r="AL326" s="160">
        <f>IFERROR(COUNTIFS(Leads!$L:$L,$B326,Leads!$F:$F,"*MetaAds*",Leads!$N:$N,"Sim"),0)</f>
        <v>0</v>
      </c>
    </row>
    <row r="327" ht="15.75" customHeight="1">
      <c r="A327" s="149" t="str">
        <f t="array" ref="A327">XLOOKUP(MONTH(B327),BASE!$F$16:$F$27,BASE!$G$16:$G$27)</f>
        <v>Novembro</v>
      </c>
      <c r="B327" s="150">
        <v>46348.0</v>
      </c>
      <c r="C327" s="151"/>
      <c r="D327" s="149" t="str">
        <f t="shared" si="4"/>
        <v>domingo</v>
      </c>
      <c r="E327" s="152">
        <f t="shared" ref="E327:J327" si="653">IFERROR(SUM(P327,AB327)," ")</f>
        <v>0</v>
      </c>
      <c r="F327" s="152">
        <f t="shared" si="653"/>
        <v>0</v>
      </c>
      <c r="G327" s="152">
        <f t="shared" si="653"/>
        <v>0</v>
      </c>
      <c r="H327" s="153">
        <f t="shared" si="653"/>
        <v>0</v>
      </c>
      <c r="I327" s="153">
        <f t="shared" si="653"/>
        <v>0</v>
      </c>
      <c r="J327" s="153">
        <f t="shared" si="653"/>
        <v>0</v>
      </c>
      <c r="K327" s="153">
        <f t="shared" ref="K327:O327" si="654">IFERROR(SUM(W327,AH327)," ")</f>
        <v>0</v>
      </c>
      <c r="L327" s="153">
        <f t="shared" si="654"/>
        <v>0</v>
      </c>
      <c r="M327" s="153">
        <f t="shared" si="654"/>
        <v>0</v>
      </c>
      <c r="N327" s="153">
        <f t="shared" si="654"/>
        <v>0</v>
      </c>
      <c r="O327" s="153">
        <f t="shared" si="654"/>
        <v>0</v>
      </c>
      <c r="P327" s="152" t="str">
        <f t="array" ref="P327">IFERROR(XLOOKUP(B327,'ImportaçãoGoogleAds - Adveronix'!$F:$F,'ImportaçãoGoogleAds - Adveronix'!$B:$B)," ")</f>
        <v> </v>
      </c>
      <c r="Q327" s="154"/>
      <c r="R327" s="154"/>
      <c r="S327" s="155" t="str">
        <f t="array" ref="S327">IFERROR(XLOOKUP(B327,'ImportaçãoGoogleAds - Adveronix'!$F:$F,'ImportaçãoGoogleAds - Adveronix'!C:C)," ")</f>
        <v> </v>
      </c>
      <c r="T327" s="155" t="str">
        <f t="array" ref="T327">IFERROR(XLOOKUP(B327,'ImportaçãoGoogleAds - Adveronix'!$F:$F,'ImportaçãoGoogleAds - Adveronix'!D:D)," ")</f>
        <v> </v>
      </c>
      <c r="U327" s="155" t="str">
        <f t="array" ref="U327">IFERROR(XLOOKUP(B327,'ImportaçãoGoogleAds - Adveronix'!$F:$F,'ImportaçãoGoogleAds - Adveronix'!E:E)," ")</f>
        <v> </v>
      </c>
      <c r="V327" s="156"/>
      <c r="W327" s="157"/>
      <c r="X327" s="157"/>
      <c r="Y327" s="158"/>
      <c r="Z327" s="158">
        <f>IFERROR(COUNTIFS(Leads!$L:$L,$B327,Leads!$F:$F,"*google*"),0)</f>
        <v>0</v>
      </c>
      <c r="AA327" s="158">
        <f>IFERROR(COUNTIFS(Leads!$L:$L,$B327,Leads!$F:$F,"*google*",Leads!$N:$N,"Sim"),0)</f>
        <v>0</v>
      </c>
      <c r="AB327" s="152" t="str">
        <f t="array" ref="AB327">IFERROR(XLOOKUP(B327,'ImportaçãoMeta - Adveronix'!F:F,'ImportaçãoMeta - Adveronix'!B:B),"")</f>
        <v/>
      </c>
      <c r="AC327" s="154"/>
      <c r="AD327" s="154"/>
      <c r="AE327" s="159" t="str">
        <f t="array" ref="AE327">IFERROR(XLOOKUP(B327,'ImportaçãoMeta - Adveronix'!$F:$F,'ImportaçãoMeta - Adveronix'!C:C),"")</f>
        <v/>
      </c>
      <c r="AF327" s="159" t="str">
        <f t="array" ref="AF327">IFERROR(XLOOKUP(B327,'ImportaçãoMeta - Adveronix'!$F:$F,'ImportaçãoMeta - Adveronix'!D:D),"")</f>
        <v/>
      </c>
      <c r="AG327" s="159" t="str">
        <f t="array" ref="AG327">IFERROR(XLOOKUP(B327,'ImportaçãoMeta - Adveronix'!$F:$F,'ImportaçãoMeta - Adveronix'!E:E),"")</f>
        <v/>
      </c>
      <c r="AH327" s="157"/>
      <c r="AI327" s="157"/>
      <c r="AJ327" s="156"/>
      <c r="AK327" s="160">
        <f>IFERROR(COUNTIFS(Leads!$L:$L,$B327,Leads!$F:$F,"*MetaAds"),0)</f>
        <v>0</v>
      </c>
      <c r="AL327" s="160">
        <f>IFERROR(COUNTIFS(Leads!$L:$L,$B327,Leads!$F:$F,"*MetaAds*",Leads!$N:$N,"Sim"),0)</f>
        <v>0</v>
      </c>
    </row>
    <row r="328" ht="15.75" customHeight="1">
      <c r="A328" s="149" t="str">
        <f t="array" ref="A328">XLOOKUP(MONTH(B328),BASE!$F$16:$F$27,BASE!$G$16:$G$27)</f>
        <v>Novembro</v>
      </c>
      <c r="B328" s="150">
        <v>46349.0</v>
      </c>
      <c r="C328" s="151"/>
      <c r="D328" s="149" t="str">
        <f t="shared" si="4"/>
        <v>segunda-feira</v>
      </c>
      <c r="E328" s="152">
        <f t="shared" ref="E328:J328" si="655">IFERROR(SUM(P328,AB328)," ")</f>
        <v>0</v>
      </c>
      <c r="F328" s="152">
        <f t="shared" si="655"/>
        <v>0</v>
      </c>
      <c r="G328" s="152">
        <f t="shared" si="655"/>
        <v>0</v>
      </c>
      <c r="H328" s="153">
        <f t="shared" si="655"/>
        <v>0</v>
      </c>
      <c r="I328" s="153">
        <f t="shared" si="655"/>
        <v>0</v>
      </c>
      <c r="J328" s="153">
        <f t="shared" si="655"/>
        <v>0</v>
      </c>
      <c r="K328" s="153">
        <f t="shared" ref="K328:O328" si="656">IFERROR(SUM(W328,AH328)," ")</f>
        <v>0</v>
      </c>
      <c r="L328" s="153">
        <f t="shared" si="656"/>
        <v>0</v>
      </c>
      <c r="M328" s="153">
        <f t="shared" si="656"/>
        <v>0</v>
      </c>
      <c r="N328" s="153">
        <f t="shared" si="656"/>
        <v>0</v>
      </c>
      <c r="O328" s="153">
        <f t="shared" si="656"/>
        <v>0</v>
      </c>
      <c r="P328" s="152" t="str">
        <f t="array" ref="P328">IFERROR(XLOOKUP(B328,'ImportaçãoGoogleAds - Adveronix'!$F:$F,'ImportaçãoGoogleAds - Adveronix'!$B:$B)," ")</f>
        <v> </v>
      </c>
      <c r="Q328" s="154"/>
      <c r="R328" s="154"/>
      <c r="S328" s="155" t="str">
        <f t="array" ref="S328">IFERROR(XLOOKUP(B328,'ImportaçãoGoogleAds - Adveronix'!$F:$F,'ImportaçãoGoogleAds - Adveronix'!C:C)," ")</f>
        <v> </v>
      </c>
      <c r="T328" s="155" t="str">
        <f t="array" ref="T328">IFERROR(XLOOKUP(B328,'ImportaçãoGoogleAds - Adveronix'!$F:$F,'ImportaçãoGoogleAds - Adveronix'!D:D)," ")</f>
        <v> </v>
      </c>
      <c r="U328" s="155" t="str">
        <f t="array" ref="U328">IFERROR(XLOOKUP(B328,'ImportaçãoGoogleAds - Adveronix'!$F:$F,'ImportaçãoGoogleAds - Adveronix'!E:E)," ")</f>
        <v> </v>
      </c>
      <c r="V328" s="156"/>
      <c r="W328" s="157"/>
      <c r="X328" s="157"/>
      <c r="Y328" s="158"/>
      <c r="Z328" s="158">
        <f>IFERROR(COUNTIFS(Leads!$L:$L,$B328,Leads!$F:$F,"*google*"),0)</f>
        <v>0</v>
      </c>
      <c r="AA328" s="158">
        <f>IFERROR(COUNTIFS(Leads!$L:$L,$B328,Leads!$F:$F,"*google*",Leads!$N:$N,"Sim"),0)</f>
        <v>0</v>
      </c>
      <c r="AB328" s="152" t="str">
        <f t="array" ref="AB328">IFERROR(XLOOKUP(B328,'ImportaçãoMeta - Adveronix'!F:F,'ImportaçãoMeta - Adveronix'!B:B),"")</f>
        <v/>
      </c>
      <c r="AC328" s="154"/>
      <c r="AD328" s="154"/>
      <c r="AE328" s="159" t="str">
        <f t="array" ref="AE328">IFERROR(XLOOKUP(B328,'ImportaçãoMeta - Adveronix'!$F:$F,'ImportaçãoMeta - Adveronix'!C:C),"")</f>
        <v/>
      </c>
      <c r="AF328" s="159" t="str">
        <f t="array" ref="AF328">IFERROR(XLOOKUP(B328,'ImportaçãoMeta - Adveronix'!$F:$F,'ImportaçãoMeta - Adveronix'!D:D),"")</f>
        <v/>
      </c>
      <c r="AG328" s="159" t="str">
        <f t="array" ref="AG328">IFERROR(XLOOKUP(B328,'ImportaçãoMeta - Adveronix'!$F:$F,'ImportaçãoMeta - Adveronix'!E:E),"")</f>
        <v/>
      </c>
      <c r="AH328" s="157"/>
      <c r="AI328" s="157"/>
      <c r="AJ328" s="156"/>
      <c r="AK328" s="160">
        <f>IFERROR(COUNTIFS(Leads!$L:$L,$B328,Leads!$F:$F,"*MetaAds"),0)</f>
        <v>0</v>
      </c>
      <c r="AL328" s="160">
        <f>IFERROR(COUNTIFS(Leads!$L:$L,$B328,Leads!$F:$F,"*MetaAds*",Leads!$N:$N,"Sim"),0)</f>
        <v>0</v>
      </c>
    </row>
    <row r="329" ht="15.75" customHeight="1">
      <c r="A329" s="149" t="str">
        <f t="array" ref="A329">XLOOKUP(MONTH(B329),BASE!$F$16:$F$27,BASE!$G$16:$G$27)</f>
        <v>Novembro</v>
      </c>
      <c r="B329" s="150">
        <v>46350.0</v>
      </c>
      <c r="C329" s="151"/>
      <c r="D329" s="149" t="str">
        <f t="shared" si="4"/>
        <v>terça-feira</v>
      </c>
      <c r="E329" s="152">
        <f t="shared" ref="E329:J329" si="657">IFERROR(SUM(P329,AB329)," ")</f>
        <v>0</v>
      </c>
      <c r="F329" s="152">
        <f t="shared" si="657"/>
        <v>0</v>
      </c>
      <c r="G329" s="152">
        <f t="shared" si="657"/>
        <v>0</v>
      </c>
      <c r="H329" s="153">
        <f t="shared" si="657"/>
        <v>0</v>
      </c>
      <c r="I329" s="153">
        <f t="shared" si="657"/>
        <v>0</v>
      </c>
      <c r="J329" s="153">
        <f t="shared" si="657"/>
        <v>0</v>
      </c>
      <c r="K329" s="153">
        <f t="shared" ref="K329:O329" si="658">IFERROR(SUM(W329,AH329)," ")</f>
        <v>0</v>
      </c>
      <c r="L329" s="153">
        <f t="shared" si="658"/>
        <v>0</v>
      </c>
      <c r="M329" s="153">
        <f t="shared" si="658"/>
        <v>0</v>
      </c>
      <c r="N329" s="153">
        <f t="shared" si="658"/>
        <v>0</v>
      </c>
      <c r="O329" s="153">
        <f t="shared" si="658"/>
        <v>0</v>
      </c>
      <c r="P329" s="152" t="str">
        <f t="array" ref="P329">IFERROR(XLOOKUP(B329,'ImportaçãoGoogleAds - Adveronix'!$F:$F,'ImportaçãoGoogleAds - Adveronix'!$B:$B)," ")</f>
        <v> </v>
      </c>
      <c r="Q329" s="154"/>
      <c r="R329" s="154"/>
      <c r="S329" s="155" t="str">
        <f t="array" ref="S329">IFERROR(XLOOKUP(B329,'ImportaçãoGoogleAds - Adveronix'!$F:$F,'ImportaçãoGoogleAds - Adveronix'!C:C)," ")</f>
        <v> </v>
      </c>
      <c r="T329" s="155" t="str">
        <f t="array" ref="T329">IFERROR(XLOOKUP(B329,'ImportaçãoGoogleAds - Adveronix'!$F:$F,'ImportaçãoGoogleAds - Adveronix'!D:D)," ")</f>
        <v> </v>
      </c>
      <c r="U329" s="155" t="str">
        <f t="array" ref="U329">IFERROR(XLOOKUP(B329,'ImportaçãoGoogleAds - Adveronix'!$F:$F,'ImportaçãoGoogleAds - Adveronix'!E:E)," ")</f>
        <v> </v>
      </c>
      <c r="V329" s="156"/>
      <c r="W329" s="157"/>
      <c r="X329" s="157"/>
      <c r="Y329" s="158"/>
      <c r="Z329" s="158">
        <f>IFERROR(COUNTIFS(Leads!$L:$L,$B329,Leads!$F:$F,"*google*"),0)</f>
        <v>0</v>
      </c>
      <c r="AA329" s="158">
        <f>IFERROR(COUNTIFS(Leads!$L:$L,$B329,Leads!$F:$F,"*google*",Leads!$N:$N,"Sim"),0)</f>
        <v>0</v>
      </c>
      <c r="AB329" s="152" t="str">
        <f t="array" ref="AB329">IFERROR(XLOOKUP(B329,'ImportaçãoMeta - Adveronix'!F:F,'ImportaçãoMeta - Adveronix'!B:B),"")</f>
        <v/>
      </c>
      <c r="AC329" s="154"/>
      <c r="AD329" s="154"/>
      <c r="AE329" s="159" t="str">
        <f t="array" ref="AE329">IFERROR(XLOOKUP(B329,'ImportaçãoMeta - Adveronix'!$F:$F,'ImportaçãoMeta - Adveronix'!C:C),"")</f>
        <v/>
      </c>
      <c r="AF329" s="159" t="str">
        <f t="array" ref="AF329">IFERROR(XLOOKUP(B329,'ImportaçãoMeta - Adveronix'!$F:$F,'ImportaçãoMeta - Adveronix'!D:D),"")</f>
        <v/>
      </c>
      <c r="AG329" s="159" t="str">
        <f t="array" ref="AG329">IFERROR(XLOOKUP(B329,'ImportaçãoMeta - Adveronix'!$F:$F,'ImportaçãoMeta - Adveronix'!E:E),"")</f>
        <v/>
      </c>
      <c r="AH329" s="157"/>
      <c r="AI329" s="157"/>
      <c r="AJ329" s="156"/>
      <c r="AK329" s="160">
        <f>IFERROR(COUNTIFS(Leads!$L:$L,$B329,Leads!$F:$F,"*MetaAds"),0)</f>
        <v>0</v>
      </c>
      <c r="AL329" s="160">
        <f>IFERROR(COUNTIFS(Leads!$L:$L,$B329,Leads!$F:$F,"*MetaAds*",Leads!$N:$N,"Sim"),0)</f>
        <v>0</v>
      </c>
    </row>
    <row r="330" ht="15.75" customHeight="1">
      <c r="A330" s="149" t="str">
        <f t="array" ref="A330">XLOOKUP(MONTH(B330),BASE!$F$16:$F$27,BASE!$G$16:$G$27)</f>
        <v>Novembro</v>
      </c>
      <c r="B330" s="150">
        <v>46351.0</v>
      </c>
      <c r="C330" s="151"/>
      <c r="D330" s="149" t="str">
        <f t="shared" si="4"/>
        <v>quarta-feira</v>
      </c>
      <c r="E330" s="152">
        <f t="shared" ref="E330:J330" si="659">IFERROR(SUM(P330,AB330)," ")</f>
        <v>0</v>
      </c>
      <c r="F330" s="152">
        <f t="shared" si="659"/>
        <v>0</v>
      </c>
      <c r="G330" s="152">
        <f t="shared" si="659"/>
        <v>0</v>
      </c>
      <c r="H330" s="153">
        <f t="shared" si="659"/>
        <v>0</v>
      </c>
      <c r="I330" s="153">
        <f t="shared" si="659"/>
        <v>0</v>
      </c>
      <c r="J330" s="153">
        <f t="shared" si="659"/>
        <v>0</v>
      </c>
      <c r="K330" s="153">
        <f t="shared" ref="K330:O330" si="660">IFERROR(SUM(W330,AH330)," ")</f>
        <v>0</v>
      </c>
      <c r="L330" s="153">
        <f t="shared" si="660"/>
        <v>0</v>
      </c>
      <c r="M330" s="153">
        <f t="shared" si="660"/>
        <v>0</v>
      </c>
      <c r="N330" s="153">
        <f t="shared" si="660"/>
        <v>0</v>
      </c>
      <c r="O330" s="153">
        <f t="shared" si="660"/>
        <v>0</v>
      </c>
      <c r="P330" s="152" t="str">
        <f t="array" ref="P330">IFERROR(XLOOKUP(B330,'ImportaçãoGoogleAds - Adveronix'!$F:$F,'ImportaçãoGoogleAds - Adveronix'!$B:$B)," ")</f>
        <v> </v>
      </c>
      <c r="Q330" s="154"/>
      <c r="R330" s="154"/>
      <c r="S330" s="155" t="str">
        <f t="array" ref="S330">IFERROR(XLOOKUP(B330,'ImportaçãoGoogleAds - Adveronix'!$F:$F,'ImportaçãoGoogleAds - Adveronix'!C:C)," ")</f>
        <v> </v>
      </c>
      <c r="T330" s="155" t="str">
        <f t="array" ref="T330">IFERROR(XLOOKUP(B330,'ImportaçãoGoogleAds - Adveronix'!$F:$F,'ImportaçãoGoogleAds - Adveronix'!D:D)," ")</f>
        <v> </v>
      </c>
      <c r="U330" s="155" t="str">
        <f t="array" ref="U330">IFERROR(XLOOKUP(B330,'ImportaçãoGoogleAds - Adveronix'!$F:$F,'ImportaçãoGoogleAds - Adveronix'!E:E)," ")</f>
        <v> </v>
      </c>
      <c r="V330" s="156"/>
      <c r="W330" s="157"/>
      <c r="X330" s="157"/>
      <c r="Y330" s="158"/>
      <c r="Z330" s="158">
        <f>IFERROR(COUNTIFS(Leads!$L:$L,$B330,Leads!$F:$F,"*google*"),0)</f>
        <v>0</v>
      </c>
      <c r="AA330" s="158">
        <f>IFERROR(COUNTIFS(Leads!$L:$L,$B330,Leads!$F:$F,"*google*",Leads!$N:$N,"Sim"),0)</f>
        <v>0</v>
      </c>
      <c r="AB330" s="152" t="str">
        <f t="array" ref="AB330">IFERROR(XLOOKUP(B330,'ImportaçãoMeta - Adveronix'!F:F,'ImportaçãoMeta - Adveronix'!B:B),"")</f>
        <v/>
      </c>
      <c r="AC330" s="154"/>
      <c r="AD330" s="154"/>
      <c r="AE330" s="159" t="str">
        <f t="array" ref="AE330">IFERROR(XLOOKUP(B330,'ImportaçãoMeta - Adveronix'!$F:$F,'ImportaçãoMeta - Adveronix'!C:C),"")</f>
        <v/>
      </c>
      <c r="AF330" s="159" t="str">
        <f t="array" ref="AF330">IFERROR(XLOOKUP(B330,'ImportaçãoMeta - Adveronix'!$F:$F,'ImportaçãoMeta - Adveronix'!D:D),"")</f>
        <v/>
      </c>
      <c r="AG330" s="159" t="str">
        <f t="array" ref="AG330">IFERROR(XLOOKUP(B330,'ImportaçãoMeta - Adveronix'!$F:$F,'ImportaçãoMeta - Adveronix'!E:E),"")</f>
        <v/>
      </c>
      <c r="AH330" s="157"/>
      <c r="AI330" s="157"/>
      <c r="AJ330" s="156"/>
      <c r="AK330" s="160">
        <f>IFERROR(COUNTIFS(Leads!$L:$L,$B330,Leads!$F:$F,"*MetaAds"),0)</f>
        <v>0</v>
      </c>
      <c r="AL330" s="160">
        <f>IFERROR(COUNTIFS(Leads!$L:$L,$B330,Leads!$F:$F,"*MetaAds*",Leads!$N:$N,"Sim"),0)</f>
        <v>0</v>
      </c>
    </row>
    <row r="331" ht="15.75" customHeight="1">
      <c r="A331" s="149" t="str">
        <f t="array" ref="A331">XLOOKUP(MONTH(B331),BASE!$F$16:$F$27,BASE!$G$16:$G$27)</f>
        <v>Novembro</v>
      </c>
      <c r="B331" s="150">
        <v>46352.0</v>
      </c>
      <c r="C331" s="151"/>
      <c r="D331" s="149" t="str">
        <f t="shared" si="4"/>
        <v>quinta-feira</v>
      </c>
      <c r="E331" s="152">
        <f t="shared" ref="E331:J331" si="661">IFERROR(SUM(P331,AB331)," ")</f>
        <v>0</v>
      </c>
      <c r="F331" s="152">
        <f t="shared" si="661"/>
        <v>0</v>
      </c>
      <c r="G331" s="152">
        <f t="shared" si="661"/>
        <v>0</v>
      </c>
      <c r="H331" s="153">
        <f t="shared" si="661"/>
        <v>0</v>
      </c>
      <c r="I331" s="153">
        <f t="shared" si="661"/>
        <v>0</v>
      </c>
      <c r="J331" s="153">
        <f t="shared" si="661"/>
        <v>0</v>
      </c>
      <c r="K331" s="153">
        <f t="shared" ref="K331:O331" si="662">IFERROR(SUM(W331,AH331)," ")</f>
        <v>0</v>
      </c>
      <c r="L331" s="153">
        <f t="shared" si="662"/>
        <v>0</v>
      </c>
      <c r="M331" s="153">
        <f t="shared" si="662"/>
        <v>0</v>
      </c>
      <c r="N331" s="153">
        <f t="shared" si="662"/>
        <v>0</v>
      </c>
      <c r="O331" s="153">
        <f t="shared" si="662"/>
        <v>0</v>
      </c>
      <c r="P331" s="152" t="str">
        <f t="array" ref="P331">IFERROR(XLOOKUP(B331,'ImportaçãoGoogleAds - Adveronix'!$F:$F,'ImportaçãoGoogleAds - Adveronix'!$B:$B)," ")</f>
        <v> </v>
      </c>
      <c r="Q331" s="154"/>
      <c r="R331" s="154"/>
      <c r="S331" s="155" t="str">
        <f t="array" ref="S331">IFERROR(XLOOKUP(B331,'ImportaçãoGoogleAds - Adveronix'!$F:$F,'ImportaçãoGoogleAds - Adveronix'!C:C)," ")</f>
        <v> </v>
      </c>
      <c r="T331" s="155" t="str">
        <f t="array" ref="T331">IFERROR(XLOOKUP(B331,'ImportaçãoGoogleAds - Adveronix'!$F:$F,'ImportaçãoGoogleAds - Adveronix'!D:D)," ")</f>
        <v> </v>
      </c>
      <c r="U331" s="155" t="str">
        <f t="array" ref="U331">IFERROR(XLOOKUP(B331,'ImportaçãoGoogleAds - Adveronix'!$F:$F,'ImportaçãoGoogleAds - Adveronix'!E:E)," ")</f>
        <v> </v>
      </c>
      <c r="V331" s="156"/>
      <c r="W331" s="157"/>
      <c r="X331" s="157"/>
      <c r="Y331" s="158"/>
      <c r="Z331" s="158">
        <f>IFERROR(COUNTIFS(Leads!$L:$L,$B331,Leads!$F:$F,"*google*"),0)</f>
        <v>0</v>
      </c>
      <c r="AA331" s="158">
        <f>IFERROR(COUNTIFS(Leads!$L:$L,$B331,Leads!$F:$F,"*google*",Leads!$N:$N,"Sim"),0)</f>
        <v>0</v>
      </c>
      <c r="AB331" s="152" t="str">
        <f t="array" ref="AB331">IFERROR(XLOOKUP(B331,'ImportaçãoMeta - Adveronix'!F:F,'ImportaçãoMeta - Adveronix'!B:B),"")</f>
        <v/>
      </c>
      <c r="AC331" s="154"/>
      <c r="AD331" s="154"/>
      <c r="AE331" s="159" t="str">
        <f t="array" ref="AE331">IFERROR(XLOOKUP(B331,'ImportaçãoMeta - Adveronix'!$F:$F,'ImportaçãoMeta - Adveronix'!C:C),"")</f>
        <v/>
      </c>
      <c r="AF331" s="159" t="str">
        <f t="array" ref="AF331">IFERROR(XLOOKUP(B331,'ImportaçãoMeta - Adveronix'!$F:$F,'ImportaçãoMeta - Adveronix'!D:D),"")</f>
        <v/>
      </c>
      <c r="AG331" s="159" t="str">
        <f t="array" ref="AG331">IFERROR(XLOOKUP(B331,'ImportaçãoMeta - Adveronix'!$F:$F,'ImportaçãoMeta - Adveronix'!E:E),"")</f>
        <v/>
      </c>
      <c r="AH331" s="157"/>
      <c r="AI331" s="157"/>
      <c r="AJ331" s="156"/>
      <c r="AK331" s="160">
        <f>IFERROR(COUNTIFS(Leads!$L:$L,$B331,Leads!$F:$F,"*MetaAds"),0)</f>
        <v>0</v>
      </c>
      <c r="AL331" s="160">
        <f>IFERROR(COUNTIFS(Leads!$L:$L,$B331,Leads!$F:$F,"*MetaAds*",Leads!$N:$N,"Sim"),0)</f>
        <v>0</v>
      </c>
    </row>
    <row r="332" ht="15.75" customHeight="1">
      <c r="A332" s="149" t="str">
        <f t="array" ref="A332">XLOOKUP(MONTH(B332),BASE!$F$16:$F$27,BASE!$G$16:$G$27)</f>
        <v>Novembro</v>
      </c>
      <c r="B332" s="150">
        <v>46353.0</v>
      </c>
      <c r="C332" s="151"/>
      <c r="D332" s="149" t="str">
        <f t="shared" si="4"/>
        <v>sexta-feira</v>
      </c>
      <c r="E332" s="152">
        <f t="shared" ref="E332:J332" si="663">IFERROR(SUM(P332,AB332)," ")</f>
        <v>0</v>
      </c>
      <c r="F332" s="152">
        <f t="shared" si="663"/>
        <v>0</v>
      </c>
      <c r="G332" s="152">
        <f t="shared" si="663"/>
        <v>0</v>
      </c>
      <c r="H332" s="153">
        <f t="shared" si="663"/>
        <v>0</v>
      </c>
      <c r="I332" s="153">
        <f t="shared" si="663"/>
        <v>0</v>
      </c>
      <c r="J332" s="153">
        <f t="shared" si="663"/>
        <v>0</v>
      </c>
      <c r="K332" s="153">
        <f t="shared" ref="K332:O332" si="664">IFERROR(SUM(W332,AH332)," ")</f>
        <v>0</v>
      </c>
      <c r="L332" s="153">
        <f t="shared" si="664"/>
        <v>0</v>
      </c>
      <c r="M332" s="153">
        <f t="shared" si="664"/>
        <v>0</v>
      </c>
      <c r="N332" s="153">
        <f t="shared" si="664"/>
        <v>0</v>
      </c>
      <c r="O332" s="153">
        <f t="shared" si="664"/>
        <v>0</v>
      </c>
      <c r="P332" s="152" t="str">
        <f t="array" ref="P332">IFERROR(XLOOKUP(B332,'ImportaçãoGoogleAds - Adveronix'!$F:$F,'ImportaçãoGoogleAds - Adveronix'!$B:$B)," ")</f>
        <v> </v>
      </c>
      <c r="Q332" s="154"/>
      <c r="R332" s="154"/>
      <c r="S332" s="155" t="str">
        <f t="array" ref="S332">IFERROR(XLOOKUP(B332,'ImportaçãoGoogleAds - Adveronix'!$F:$F,'ImportaçãoGoogleAds - Adveronix'!C:C)," ")</f>
        <v> </v>
      </c>
      <c r="T332" s="155" t="str">
        <f t="array" ref="T332">IFERROR(XLOOKUP(B332,'ImportaçãoGoogleAds - Adveronix'!$F:$F,'ImportaçãoGoogleAds - Adveronix'!D:D)," ")</f>
        <v> </v>
      </c>
      <c r="U332" s="155" t="str">
        <f t="array" ref="U332">IFERROR(XLOOKUP(B332,'ImportaçãoGoogleAds - Adveronix'!$F:$F,'ImportaçãoGoogleAds - Adveronix'!E:E)," ")</f>
        <v> </v>
      </c>
      <c r="V332" s="156"/>
      <c r="W332" s="157"/>
      <c r="X332" s="157"/>
      <c r="Y332" s="158"/>
      <c r="Z332" s="158">
        <f>IFERROR(COUNTIFS(Leads!$L:$L,$B332,Leads!$F:$F,"*google*"),0)</f>
        <v>0</v>
      </c>
      <c r="AA332" s="158">
        <f>IFERROR(COUNTIFS(Leads!$L:$L,$B332,Leads!$F:$F,"*google*",Leads!$N:$N,"Sim"),0)</f>
        <v>0</v>
      </c>
      <c r="AB332" s="152" t="str">
        <f t="array" ref="AB332">IFERROR(XLOOKUP(B332,'ImportaçãoMeta - Adveronix'!F:F,'ImportaçãoMeta - Adveronix'!B:B),"")</f>
        <v/>
      </c>
      <c r="AC332" s="154"/>
      <c r="AD332" s="154"/>
      <c r="AE332" s="159" t="str">
        <f t="array" ref="AE332">IFERROR(XLOOKUP(B332,'ImportaçãoMeta - Adveronix'!$F:$F,'ImportaçãoMeta - Adveronix'!C:C),"")</f>
        <v/>
      </c>
      <c r="AF332" s="159" t="str">
        <f t="array" ref="AF332">IFERROR(XLOOKUP(B332,'ImportaçãoMeta - Adveronix'!$F:$F,'ImportaçãoMeta - Adveronix'!D:D),"")</f>
        <v/>
      </c>
      <c r="AG332" s="159" t="str">
        <f t="array" ref="AG332">IFERROR(XLOOKUP(B332,'ImportaçãoMeta - Adveronix'!$F:$F,'ImportaçãoMeta - Adveronix'!E:E),"")</f>
        <v/>
      </c>
      <c r="AH332" s="157"/>
      <c r="AI332" s="157"/>
      <c r="AJ332" s="156"/>
      <c r="AK332" s="160">
        <f>IFERROR(COUNTIFS(Leads!$L:$L,$B332,Leads!$F:$F,"*MetaAds"),0)</f>
        <v>0</v>
      </c>
      <c r="AL332" s="160">
        <f>IFERROR(COUNTIFS(Leads!$L:$L,$B332,Leads!$F:$F,"*MetaAds*",Leads!$N:$N,"Sim"),0)</f>
        <v>0</v>
      </c>
    </row>
    <row r="333" ht="15.75" customHeight="1">
      <c r="A333" s="149" t="str">
        <f t="array" ref="A333">XLOOKUP(MONTH(B333),BASE!$F$16:$F$27,BASE!$G$16:$G$27)</f>
        <v>Novembro</v>
      </c>
      <c r="B333" s="150">
        <v>46354.0</v>
      </c>
      <c r="C333" s="151"/>
      <c r="D333" s="149" t="str">
        <f t="shared" si="4"/>
        <v>sábado</v>
      </c>
      <c r="E333" s="152">
        <f t="shared" ref="E333:J333" si="665">IFERROR(SUM(P333,AB333)," ")</f>
        <v>0</v>
      </c>
      <c r="F333" s="152">
        <f t="shared" si="665"/>
        <v>0</v>
      </c>
      <c r="G333" s="152">
        <f t="shared" si="665"/>
        <v>0</v>
      </c>
      <c r="H333" s="153">
        <f t="shared" si="665"/>
        <v>0</v>
      </c>
      <c r="I333" s="153">
        <f t="shared" si="665"/>
        <v>0</v>
      </c>
      <c r="J333" s="153">
        <f t="shared" si="665"/>
        <v>0</v>
      </c>
      <c r="K333" s="153">
        <f t="shared" ref="K333:O333" si="666">IFERROR(SUM(W333,AH333)," ")</f>
        <v>0</v>
      </c>
      <c r="L333" s="153">
        <f t="shared" si="666"/>
        <v>0</v>
      </c>
      <c r="M333" s="153">
        <f t="shared" si="666"/>
        <v>0</v>
      </c>
      <c r="N333" s="153">
        <f t="shared" si="666"/>
        <v>0</v>
      </c>
      <c r="O333" s="153">
        <f t="shared" si="666"/>
        <v>0</v>
      </c>
      <c r="P333" s="152" t="str">
        <f t="array" ref="P333">IFERROR(XLOOKUP(B333,'ImportaçãoGoogleAds - Adveronix'!$F:$F,'ImportaçãoGoogleAds - Adveronix'!$B:$B)," ")</f>
        <v> </v>
      </c>
      <c r="Q333" s="154"/>
      <c r="R333" s="154"/>
      <c r="S333" s="155" t="str">
        <f t="array" ref="S333">IFERROR(XLOOKUP(B333,'ImportaçãoGoogleAds - Adveronix'!$F:$F,'ImportaçãoGoogleAds - Adveronix'!C:C)," ")</f>
        <v> </v>
      </c>
      <c r="T333" s="155" t="str">
        <f t="array" ref="T333">IFERROR(XLOOKUP(B333,'ImportaçãoGoogleAds - Adveronix'!$F:$F,'ImportaçãoGoogleAds - Adveronix'!D:D)," ")</f>
        <v> </v>
      </c>
      <c r="U333" s="155" t="str">
        <f t="array" ref="U333">IFERROR(XLOOKUP(B333,'ImportaçãoGoogleAds - Adveronix'!$F:$F,'ImportaçãoGoogleAds - Adveronix'!E:E)," ")</f>
        <v> </v>
      </c>
      <c r="V333" s="156"/>
      <c r="W333" s="157"/>
      <c r="X333" s="157"/>
      <c r="Y333" s="158"/>
      <c r="Z333" s="158">
        <f>IFERROR(COUNTIFS(Leads!$L:$L,$B333,Leads!$F:$F,"*google*"),0)</f>
        <v>0</v>
      </c>
      <c r="AA333" s="158">
        <f>IFERROR(COUNTIFS(Leads!$L:$L,$B333,Leads!$F:$F,"*google*",Leads!$N:$N,"Sim"),0)</f>
        <v>0</v>
      </c>
      <c r="AB333" s="152" t="str">
        <f t="array" ref="AB333">IFERROR(XLOOKUP(B333,'ImportaçãoMeta - Adveronix'!F:F,'ImportaçãoMeta - Adveronix'!B:B),"")</f>
        <v/>
      </c>
      <c r="AC333" s="154"/>
      <c r="AD333" s="154"/>
      <c r="AE333" s="159" t="str">
        <f t="array" ref="AE333">IFERROR(XLOOKUP(B333,'ImportaçãoMeta - Adveronix'!$F:$F,'ImportaçãoMeta - Adveronix'!C:C),"")</f>
        <v/>
      </c>
      <c r="AF333" s="159" t="str">
        <f t="array" ref="AF333">IFERROR(XLOOKUP(B333,'ImportaçãoMeta - Adveronix'!$F:$F,'ImportaçãoMeta - Adveronix'!D:D),"")</f>
        <v/>
      </c>
      <c r="AG333" s="159" t="str">
        <f t="array" ref="AG333">IFERROR(XLOOKUP(B333,'ImportaçãoMeta - Adveronix'!$F:$F,'ImportaçãoMeta - Adveronix'!E:E),"")</f>
        <v/>
      </c>
      <c r="AH333" s="157"/>
      <c r="AI333" s="157"/>
      <c r="AJ333" s="156"/>
      <c r="AK333" s="160">
        <f>IFERROR(COUNTIFS(Leads!$L:$L,$B333,Leads!$F:$F,"*MetaAds"),0)</f>
        <v>0</v>
      </c>
      <c r="AL333" s="160">
        <f>IFERROR(COUNTIFS(Leads!$L:$L,$B333,Leads!$F:$F,"*MetaAds*",Leads!$N:$N,"Sim"),0)</f>
        <v>0</v>
      </c>
    </row>
    <row r="334" ht="15.75" customHeight="1">
      <c r="A334" s="149" t="str">
        <f t="array" ref="A334">XLOOKUP(MONTH(B334),BASE!$F$16:$F$27,BASE!$G$16:$G$27)</f>
        <v>Novembro</v>
      </c>
      <c r="B334" s="150">
        <v>46355.0</v>
      </c>
      <c r="C334" s="151"/>
      <c r="D334" s="149" t="str">
        <f t="shared" si="4"/>
        <v>domingo</v>
      </c>
      <c r="E334" s="152">
        <f t="shared" ref="E334:J334" si="667">IFERROR(SUM(P334,AB334)," ")</f>
        <v>0</v>
      </c>
      <c r="F334" s="152">
        <f t="shared" si="667"/>
        <v>0</v>
      </c>
      <c r="G334" s="152">
        <f t="shared" si="667"/>
        <v>0</v>
      </c>
      <c r="H334" s="153">
        <f t="shared" si="667"/>
        <v>0</v>
      </c>
      <c r="I334" s="153">
        <f t="shared" si="667"/>
        <v>0</v>
      </c>
      <c r="J334" s="153">
        <f t="shared" si="667"/>
        <v>0</v>
      </c>
      <c r="K334" s="153">
        <f t="shared" ref="K334:O334" si="668">IFERROR(SUM(W334,AH334)," ")</f>
        <v>0</v>
      </c>
      <c r="L334" s="153">
        <f t="shared" si="668"/>
        <v>0</v>
      </c>
      <c r="M334" s="153">
        <f t="shared" si="668"/>
        <v>0</v>
      </c>
      <c r="N334" s="153">
        <f t="shared" si="668"/>
        <v>0</v>
      </c>
      <c r="O334" s="153">
        <f t="shared" si="668"/>
        <v>0</v>
      </c>
      <c r="P334" s="152" t="str">
        <f t="array" ref="P334">IFERROR(XLOOKUP(B334,'ImportaçãoGoogleAds - Adveronix'!$F:$F,'ImportaçãoGoogleAds - Adveronix'!$B:$B)," ")</f>
        <v> </v>
      </c>
      <c r="Q334" s="154"/>
      <c r="R334" s="154"/>
      <c r="S334" s="155" t="str">
        <f t="array" ref="S334">IFERROR(XLOOKUP(B334,'ImportaçãoGoogleAds - Adveronix'!$F:$F,'ImportaçãoGoogleAds - Adveronix'!C:C)," ")</f>
        <v> </v>
      </c>
      <c r="T334" s="155" t="str">
        <f t="array" ref="T334">IFERROR(XLOOKUP(B334,'ImportaçãoGoogleAds - Adveronix'!$F:$F,'ImportaçãoGoogleAds - Adveronix'!D:D)," ")</f>
        <v> </v>
      </c>
      <c r="U334" s="155" t="str">
        <f t="array" ref="U334">IFERROR(XLOOKUP(B334,'ImportaçãoGoogleAds - Adveronix'!$F:$F,'ImportaçãoGoogleAds - Adveronix'!E:E)," ")</f>
        <v> </v>
      </c>
      <c r="V334" s="156"/>
      <c r="W334" s="157"/>
      <c r="X334" s="157"/>
      <c r="Y334" s="158"/>
      <c r="Z334" s="158">
        <f>IFERROR(COUNTIFS(Leads!$L:$L,$B334,Leads!$F:$F,"*google*"),0)</f>
        <v>0</v>
      </c>
      <c r="AA334" s="158">
        <f>IFERROR(COUNTIFS(Leads!$L:$L,$B334,Leads!$F:$F,"*google*",Leads!$N:$N,"Sim"),0)</f>
        <v>0</v>
      </c>
      <c r="AB334" s="152" t="str">
        <f t="array" ref="AB334">IFERROR(XLOOKUP(B334,'ImportaçãoMeta - Adveronix'!F:F,'ImportaçãoMeta - Adveronix'!B:B),"")</f>
        <v/>
      </c>
      <c r="AC334" s="154"/>
      <c r="AD334" s="154"/>
      <c r="AE334" s="159" t="str">
        <f t="array" ref="AE334">IFERROR(XLOOKUP(B334,'ImportaçãoMeta - Adveronix'!$F:$F,'ImportaçãoMeta - Adveronix'!C:C),"")</f>
        <v/>
      </c>
      <c r="AF334" s="159" t="str">
        <f t="array" ref="AF334">IFERROR(XLOOKUP(B334,'ImportaçãoMeta - Adveronix'!$F:$F,'ImportaçãoMeta - Adveronix'!D:D),"")</f>
        <v/>
      </c>
      <c r="AG334" s="159" t="str">
        <f t="array" ref="AG334">IFERROR(XLOOKUP(B334,'ImportaçãoMeta - Adveronix'!$F:$F,'ImportaçãoMeta - Adveronix'!E:E),"")</f>
        <v/>
      </c>
      <c r="AH334" s="157"/>
      <c r="AI334" s="157"/>
      <c r="AJ334" s="156"/>
      <c r="AK334" s="160">
        <f>IFERROR(COUNTIFS(Leads!$L:$L,$B334,Leads!$F:$F,"*MetaAds"),0)</f>
        <v>0</v>
      </c>
      <c r="AL334" s="160">
        <f>IFERROR(COUNTIFS(Leads!$L:$L,$B334,Leads!$F:$F,"*MetaAds*",Leads!$N:$N,"Sim"),0)</f>
        <v>0</v>
      </c>
    </row>
    <row r="335" ht="15.75" customHeight="1">
      <c r="A335" s="149" t="str">
        <f t="array" ref="A335">XLOOKUP(MONTH(B335),BASE!$F$16:$F$27,BASE!$G$16:$G$27)</f>
        <v>Novembro</v>
      </c>
      <c r="B335" s="150">
        <v>46356.0</v>
      </c>
      <c r="C335" s="151"/>
      <c r="D335" s="149" t="str">
        <f t="shared" si="4"/>
        <v>segunda-feira</v>
      </c>
      <c r="E335" s="152">
        <f t="shared" ref="E335:J335" si="669">IFERROR(SUM(P335,AB335)," ")</f>
        <v>0</v>
      </c>
      <c r="F335" s="152">
        <f t="shared" si="669"/>
        <v>0</v>
      </c>
      <c r="G335" s="152">
        <f t="shared" si="669"/>
        <v>0</v>
      </c>
      <c r="H335" s="153">
        <f t="shared" si="669"/>
        <v>0</v>
      </c>
      <c r="I335" s="153">
        <f t="shared" si="669"/>
        <v>0</v>
      </c>
      <c r="J335" s="153">
        <f t="shared" si="669"/>
        <v>0</v>
      </c>
      <c r="K335" s="153">
        <f t="shared" ref="K335:O335" si="670">IFERROR(SUM(W335,AH335)," ")</f>
        <v>0</v>
      </c>
      <c r="L335" s="153">
        <f t="shared" si="670"/>
        <v>0</v>
      </c>
      <c r="M335" s="153">
        <f t="shared" si="670"/>
        <v>0</v>
      </c>
      <c r="N335" s="153">
        <f t="shared" si="670"/>
        <v>0</v>
      </c>
      <c r="O335" s="153">
        <f t="shared" si="670"/>
        <v>0</v>
      </c>
      <c r="P335" s="152" t="str">
        <f t="array" ref="P335">IFERROR(XLOOKUP(B335,'ImportaçãoGoogleAds - Adveronix'!$F:$F,'ImportaçãoGoogleAds - Adveronix'!$B:$B)," ")</f>
        <v> </v>
      </c>
      <c r="Q335" s="154"/>
      <c r="R335" s="154"/>
      <c r="S335" s="155" t="str">
        <f t="array" ref="S335">IFERROR(XLOOKUP(B335,'ImportaçãoGoogleAds - Adveronix'!$F:$F,'ImportaçãoGoogleAds - Adveronix'!C:C)," ")</f>
        <v> </v>
      </c>
      <c r="T335" s="155" t="str">
        <f t="array" ref="T335">IFERROR(XLOOKUP(B335,'ImportaçãoGoogleAds - Adveronix'!$F:$F,'ImportaçãoGoogleAds - Adveronix'!D:D)," ")</f>
        <v> </v>
      </c>
      <c r="U335" s="155" t="str">
        <f t="array" ref="U335">IFERROR(XLOOKUP(B335,'ImportaçãoGoogleAds - Adveronix'!$F:$F,'ImportaçãoGoogleAds - Adveronix'!E:E)," ")</f>
        <v> </v>
      </c>
      <c r="V335" s="156"/>
      <c r="W335" s="157"/>
      <c r="X335" s="157"/>
      <c r="Y335" s="158"/>
      <c r="Z335" s="158">
        <f>IFERROR(COUNTIFS(Leads!$L:$L,$B335,Leads!$F:$F,"*google*"),0)</f>
        <v>0</v>
      </c>
      <c r="AA335" s="158">
        <f>IFERROR(COUNTIFS(Leads!$L:$L,$B335,Leads!$F:$F,"*google*",Leads!$N:$N,"Sim"),0)</f>
        <v>0</v>
      </c>
      <c r="AB335" s="152" t="str">
        <f t="array" ref="AB335">IFERROR(XLOOKUP(B335,'ImportaçãoMeta - Adveronix'!F:F,'ImportaçãoMeta - Adveronix'!B:B),"")</f>
        <v/>
      </c>
      <c r="AC335" s="154"/>
      <c r="AD335" s="154"/>
      <c r="AE335" s="159" t="str">
        <f t="array" ref="AE335">IFERROR(XLOOKUP(B335,'ImportaçãoMeta - Adveronix'!$F:$F,'ImportaçãoMeta - Adveronix'!C:C),"")</f>
        <v/>
      </c>
      <c r="AF335" s="159" t="str">
        <f t="array" ref="AF335">IFERROR(XLOOKUP(B335,'ImportaçãoMeta - Adveronix'!$F:$F,'ImportaçãoMeta - Adveronix'!D:D),"")</f>
        <v/>
      </c>
      <c r="AG335" s="159" t="str">
        <f t="array" ref="AG335">IFERROR(XLOOKUP(B335,'ImportaçãoMeta - Adveronix'!$F:$F,'ImportaçãoMeta - Adveronix'!E:E),"")</f>
        <v/>
      </c>
      <c r="AH335" s="157"/>
      <c r="AI335" s="157"/>
      <c r="AJ335" s="156"/>
      <c r="AK335" s="160">
        <f>IFERROR(COUNTIFS(Leads!$L:$L,$B335,Leads!$F:$F,"*MetaAds"),0)</f>
        <v>0</v>
      </c>
      <c r="AL335" s="160">
        <f>IFERROR(COUNTIFS(Leads!$L:$L,$B335,Leads!$F:$F,"*MetaAds*",Leads!$N:$N,"Sim"),0)</f>
        <v>0</v>
      </c>
    </row>
    <row r="336" ht="15.75" customHeight="1">
      <c r="A336" s="149" t="str">
        <f t="array" ref="A336">XLOOKUP(MONTH(B336),BASE!$F$16:$F$27,BASE!$G$16:$G$27)</f>
        <v>Dezembro</v>
      </c>
      <c r="B336" s="150">
        <v>46357.0</v>
      </c>
      <c r="C336" s="151"/>
      <c r="D336" s="149" t="str">
        <f t="shared" si="4"/>
        <v>terça-feira</v>
      </c>
      <c r="E336" s="152">
        <f t="shared" ref="E336:J336" si="671">IFERROR(SUM(P336,AB336)," ")</f>
        <v>0</v>
      </c>
      <c r="F336" s="152">
        <f t="shared" si="671"/>
        <v>0</v>
      </c>
      <c r="G336" s="152">
        <f t="shared" si="671"/>
        <v>0</v>
      </c>
      <c r="H336" s="153">
        <f t="shared" si="671"/>
        <v>0</v>
      </c>
      <c r="I336" s="153">
        <f t="shared" si="671"/>
        <v>0</v>
      </c>
      <c r="J336" s="153">
        <f t="shared" si="671"/>
        <v>0</v>
      </c>
      <c r="K336" s="153">
        <f t="shared" ref="K336:O336" si="672">IFERROR(SUM(W336,AH336)," ")</f>
        <v>0</v>
      </c>
      <c r="L336" s="153">
        <f t="shared" si="672"/>
        <v>0</v>
      </c>
      <c r="M336" s="153">
        <f t="shared" si="672"/>
        <v>0</v>
      </c>
      <c r="N336" s="153">
        <f t="shared" si="672"/>
        <v>0</v>
      </c>
      <c r="O336" s="153">
        <f t="shared" si="672"/>
        <v>0</v>
      </c>
      <c r="P336" s="152" t="str">
        <f t="array" ref="P336">IFERROR(XLOOKUP(B336,'ImportaçãoGoogleAds - Adveronix'!$F:$F,'ImportaçãoGoogleAds - Adveronix'!$B:$B)," ")</f>
        <v> </v>
      </c>
      <c r="Q336" s="154"/>
      <c r="R336" s="154"/>
      <c r="S336" s="155" t="str">
        <f t="array" ref="S336">IFERROR(XLOOKUP(B336,'ImportaçãoGoogleAds - Adveronix'!$F:$F,'ImportaçãoGoogleAds - Adveronix'!C:C)," ")</f>
        <v> </v>
      </c>
      <c r="T336" s="155" t="str">
        <f t="array" ref="T336">IFERROR(XLOOKUP(B336,'ImportaçãoGoogleAds - Adveronix'!$F:$F,'ImportaçãoGoogleAds - Adveronix'!D:D)," ")</f>
        <v> </v>
      </c>
      <c r="U336" s="155" t="str">
        <f t="array" ref="U336">IFERROR(XLOOKUP(B336,'ImportaçãoGoogleAds - Adveronix'!$F:$F,'ImportaçãoGoogleAds - Adveronix'!E:E)," ")</f>
        <v> </v>
      </c>
      <c r="V336" s="156"/>
      <c r="W336" s="157"/>
      <c r="X336" s="157"/>
      <c r="Y336" s="158"/>
      <c r="Z336" s="158">
        <f>IFERROR(COUNTIFS(Leads!$L:$L,$B336,Leads!$F:$F,"*google*"),0)</f>
        <v>0</v>
      </c>
      <c r="AA336" s="158">
        <f>IFERROR(COUNTIFS(Leads!$L:$L,$B336,Leads!$F:$F,"*google*",Leads!$N:$N,"Sim"),0)</f>
        <v>0</v>
      </c>
      <c r="AB336" s="152" t="str">
        <f t="array" ref="AB336">IFERROR(XLOOKUP(B336,'ImportaçãoMeta - Adveronix'!F:F,'ImportaçãoMeta - Adveronix'!B:B),"")</f>
        <v/>
      </c>
      <c r="AC336" s="154"/>
      <c r="AD336" s="154"/>
      <c r="AE336" s="159" t="str">
        <f t="array" ref="AE336">IFERROR(XLOOKUP(B336,'ImportaçãoMeta - Adveronix'!$F:$F,'ImportaçãoMeta - Adveronix'!C:C),"")</f>
        <v/>
      </c>
      <c r="AF336" s="159" t="str">
        <f t="array" ref="AF336">IFERROR(XLOOKUP(B336,'ImportaçãoMeta - Adveronix'!$F:$F,'ImportaçãoMeta - Adveronix'!D:D),"")</f>
        <v/>
      </c>
      <c r="AG336" s="159" t="str">
        <f t="array" ref="AG336">IFERROR(XLOOKUP(B336,'ImportaçãoMeta - Adveronix'!$F:$F,'ImportaçãoMeta - Adveronix'!E:E),"")</f>
        <v/>
      </c>
      <c r="AH336" s="157"/>
      <c r="AI336" s="157"/>
      <c r="AJ336" s="156"/>
      <c r="AK336" s="160">
        <f>IFERROR(COUNTIFS(Leads!$L:$L,$B336,Leads!$F:$F,"*MetaAds"),0)</f>
        <v>0</v>
      </c>
      <c r="AL336" s="160">
        <f>IFERROR(COUNTIFS(Leads!$L:$L,$B336,Leads!$F:$F,"*MetaAds*",Leads!$N:$N,"Sim"),0)</f>
        <v>0</v>
      </c>
    </row>
    <row r="337" ht="15.75" customHeight="1">
      <c r="A337" s="149" t="str">
        <f t="array" ref="A337">XLOOKUP(MONTH(B337),BASE!$F$16:$F$27,BASE!$G$16:$G$27)</f>
        <v>Dezembro</v>
      </c>
      <c r="B337" s="150">
        <v>46358.0</v>
      </c>
      <c r="C337" s="151"/>
      <c r="D337" s="149" t="str">
        <f t="shared" si="4"/>
        <v>quarta-feira</v>
      </c>
      <c r="E337" s="152">
        <f t="shared" ref="E337:J337" si="673">IFERROR(SUM(P337,AB337)," ")</f>
        <v>0</v>
      </c>
      <c r="F337" s="152">
        <f t="shared" si="673"/>
        <v>0</v>
      </c>
      <c r="G337" s="152">
        <f t="shared" si="673"/>
        <v>0</v>
      </c>
      <c r="H337" s="153">
        <f t="shared" si="673"/>
        <v>0</v>
      </c>
      <c r="I337" s="153">
        <f t="shared" si="673"/>
        <v>0</v>
      </c>
      <c r="J337" s="153">
        <f t="shared" si="673"/>
        <v>0</v>
      </c>
      <c r="K337" s="153">
        <f t="shared" ref="K337:O337" si="674">IFERROR(SUM(W337,AH337)," ")</f>
        <v>0</v>
      </c>
      <c r="L337" s="153">
        <f t="shared" si="674"/>
        <v>0</v>
      </c>
      <c r="M337" s="153">
        <f t="shared" si="674"/>
        <v>0</v>
      </c>
      <c r="N337" s="153">
        <f t="shared" si="674"/>
        <v>0</v>
      </c>
      <c r="O337" s="153">
        <f t="shared" si="674"/>
        <v>0</v>
      </c>
      <c r="P337" s="152" t="str">
        <f t="array" ref="P337">IFERROR(XLOOKUP(B337,'ImportaçãoGoogleAds - Adveronix'!$F:$F,'ImportaçãoGoogleAds - Adveronix'!$B:$B)," ")</f>
        <v> </v>
      </c>
      <c r="Q337" s="154"/>
      <c r="R337" s="154"/>
      <c r="S337" s="155" t="str">
        <f t="array" ref="S337">IFERROR(XLOOKUP(B337,'ImportaçãoGoogleAds - Adveronix'!$F:$F,'ImportaçãoGoogleAds - Adveronix'!C:C)," ")</f>
        <v> </v>
      </c>
      <c r="T337" s="155" t="str">
        <f t="array" ref="T337">IFERROR(XLOOKUP(B337,'ImportaçãoGoogleAds - Adveronix'!$F:$F,'ImportaçãoGoogleAds - Adveronix'!D:D)," ")</f>
        <v> </v>
      </c>
      <c r="U337" s="155" t="str">
        <f t="array" ref="U337">IFERROR(XLOOKUP(B337,'ImportaçãoGoogleAds - Adveronix'!$F:$F,'ImportaçãoGoogleAds - Adveronix'!E:E)," ")</f>
        <v> </v>
      </c>
      <c r="V337" s="156"/>
      <c r="W337" s="157"/>
      <c r="X337" s="157"/>
      <c r="Y337" s="158"/>
      <c r="Z337" s="158">
        <f>IFERROR(COUNTIFS(Leads!$L:$L,$B337,Leads!$F:$F,"*google*"),0)</f>
        <v>0</v>
      </c>
      <c r="AA337" s="158">
        <f>IFERROR(COUNTIFS(Leads!$L:$L,$B337,Leads!$F:$F,"*google*",Leads!$N:$N,"Sim"),0)</f>
        <v>0</v>
      </c>
      <c r="AB337" s="152" t="str">
        <f t="array" ref="AB337">IFERROR(XLOOKUP(B337,'ImportaçãoMeta - Adveronix'!F:F,'ImportaçãoMeta - Adveronix'!B:B),"")</f>
        <v/>
      </c>
      <c r="AC337" s="154"/>
      <c r="AD337" s="154"/>
      <c r="AE337" s="159" t="str">
        <f t="array" ref="AE337">IFERROR(XLOOKUP(B337,'ImportaçãoMeta - Adveronix'!$F:$F,'ImportaçãoMeta - Adveronix'!C:C),"")</f>
        <v/>
      </c>
      <c r="AF337" s="159" t="str">
        <f t="array" ref="AF337">IFERROR(XLOOKUP(B337,'ImportaçãoMeta - Adveronix'!$F:$F,'ImportaçãoMeta - Adveronix'!D:D),"")</f>
        <v/>
      </c>
      <c r="AG337" s="159" t="str">
        <f t="array" ref="AG337">IFERROR(XLOOKUP(B337,'ImportaçãoMeta - Adveronix'!$F:$F,'ImportaçãoMeta - Adveronix'!E:E),"")</f>
        <v/>
      </c>
      <c r="AH337" s="157"/>
      <c r="AI337" s="157"/>
      <c r="AJ337" s="156"/>
      <c r="AK337" s="160">
        <f>IFERROR(COUNTIFS(Leads!$L:$L,$B337,Leads!$F:$F,"*MetaAds"),0)</f>
        <v>0</v>
      </c>
      <c r="AL337" s="160">
        <f>IFERROR(COUNTIFS(Leads!$L:$L,$B337,Leads!$F:$F,"*MetaAds*",Leads!$N:$N,"Sim"),0)</f>
        <v>0</v>
      </c>
    </row>
    <row r="338" ht="15.75" customHeight="1">
      <c r="A338" s="149" t="str">
        <f t="array" ref="A338">XLOOKUP(MONTH(B338),BASE!$F$16:$F$27,BASE!$G$16:$G$27)</f>
        <v>Dezembro</v>
      </c>
      <c r="B338" s="150">
        <v>46359.0</v>
      </c>
      <c r="C338" s="151"/>
      <c r="D338" s="149" t="str">
        <f t="shared" si="4"/>
        <v>quinta-feira</v>
      </c>
      <c r="E338" s="152">
        <f t="shared" ref="E338:J338" si="675">IFERROR(SUM(P338,AB338)," ")</f>
        <v>0</v>
      </c>
      <c r="F338" s="152">
        <f t="shared" si="675"/>
        <v>0</v>
      </c>
      <c r="G338" s="152">
        <f t="shared" si="675"/>
        <v>0</v>
      </c>
      <c r="H338" s="153">
        <f t="shared" si="675"/>
        <v>0</v>
      </c>
      <c r="I338" s="153">
        <f t="shared" si="675"/>
        <v>0</v>
      </c>
      <c r="J338" s="153">
        <f t="shared" si="675"/>
        <v>0</v>
      </c>
      <c r="K338" s="153">
        <f t="shared" ref="K338:O338" si="676">IFERROR(SUM(W338,AH338)," ")</f>
        <v>0</v>
      </c>
      <c r="L338" s="153">
        <f t="shared" si="676"/>
        <v>0</v>
      </c>
      <c r="M338" s="153">
        <f t="shared" si="676"/>
        <v>0</v>
      </c>
      <c r="N338" s="153">
        <f t="shared" si="676"/>
        <v>0</v>
      </c>
      <c r="O338" s="153">
        <f t="shared" si="676"/>
        <v>0</v>
      </c>
      <c r="P338" s="152" t="str">
        <f t="array" ref="P338">IFERROR(XLOOKUP(B338,'ImportaçãoGoogleAds - Adveronix'!$F:$F,'ImportaçãoGoogleAds - Adveronix'!$B:$B)," ")</f>
        <v> </v>
      </c>
      <c r="Q338" s="154"/>
      <c r="R338" s="154"/>
      <c r="S338" s="155" t="str">
        <f t="array" ref="S338">IFERROR(XLOOKUP(B338,'ImportaçãoGoogleAds - Adveronix'!$F:$F,'ImportaçãoGoogleAds - Adveronix'!C:C)," ")</f>
        <v> </v>
      </c>
      <c r="T338" s="155" t="str">
        <f t="array" ref="T338">IFERROR(XLOOKUP(B338,'ImportaçãoGoogleAds - Adveronix'!$F:$F,'ImportaçãoGoogleAds - Adveronix'!D:D)," ")</f>
        <v> </v>
      </c>
      <c r="U338" s="155" t="str">
        <f t="array" ref="U338">IFERROR(XLOOKUP(B338,'ImportaçãoGoogleAds - Adveronix'!$F:$F,'ImportaçãoGoogleAds - Adveronix'!E:E)," ")</f>
        <v> </v>
      </c>
      <c r="V338" s="156"/>
      <c r="W338" s="157"/>
      <c r="X338" s="157"/>
      <c r="Y338" s="158"/>
      <c r="Z338" s="158">
        <f>IFERROR(COUNTIFS(Leads!$L:$L,$B338,Leads!$F:$F,"*google*"),0)</f>
        <v>0</v>
      </c>
      <c r="AA338" s="158">
        <f>IFERROR(COUNTIFS(Leads!$L:$L,$B338,Leads!$F:$F,"*google*",Leads!$N:$N,"Sim"),0)</f>
        <v>0</v>
      </c>
      <c r="AB338" s="152" t="str">
        <f t="array" ref="AB338">IFERROR(XLOOKUP(B338,'ImportaçãoMeta - Adveronix'!F:F,'ImportaçãoMeta - Adveronix'!B:B),"")</f>
        <v/>
      </c>
      <c r="AC338" s="154"/>
      <c r="AD338" s="154"/>
      <c r="AE338" s="159" t="str">
        <f t="array" ref="AE338">IFERROR(XLOOKUP(B338,'ImportaçãoMeta - Adveronix'!$F:$F,'ImportaçãoMeta - Adveronix'!C:C),"")</f>
        <v/>
      </c>
      <c r="AF338" s="159" t="str">
        <f t="array" ref="AF338">IFERROR(XLOOKUP(B338,'ImportaçãoMeta - Adveronix'!$F:$F,'ImportaçãoMeta - Adveronix'!D:D),"")</f>
        <v/>
      </c>
      <c r="AG338" s="159" t="str">
        <f t="array" ref="AG338">IFERROR(XLOOKUP(B338,'ImportaçãoMeta - Adveronix'!$F:$F,'ImportaçãoMeta - Adveronix'!E:E),"")</f>
        <v/>
      </c>
      <c r="AH338" s="157"/>
      <c r="AI338" s="157"/>
      <c r="AJ338" s="156"/>
      <c r="AK338" s="160">
        <f>IFERROR(COUNTIFS(Leads!$L:$L,$B338,Leads!$F:$F,"*MetaAds"),0)</f>
        <v>0</v>
      </c>
      <c r="AL338" s="160">
        <f>IFERROR(COUNTIFS(Leads!$L:$L,$B338,Leads!$F:$F,"*MetaAds*",Leads!$N:$N,"Sim"),0)</f>
        <v>0</v>
      </c>
    </row>
    <row r="339" ht="15.75" customHeight="1">
      <c r="A339" s="149" t="str">
        <f t="array" ref="A339">XLOOKUP(MONTH(B339),BASE!$F$16:$F$27,BASE!$G$16:$G$27)</f>
        <v>Dezembro</v>
      </c>
      <c r="B339" s="150">
        <v>46360.0</v>
      </c>
      <c r="C339" s="151"/>
      <c r="D339" s="149" t="str">
        <f t="shared" si="4"/>
        <v>sexta-feira</v>
      </c>
      <c r="E339" s="152">
        <f t="shared" ref="E339:J339" si="677">IFERROR(SUM(P339,AB339)," ")</f>
        <v>0</v>
      </c>
      <c r="F339" s="152">
        <f t="shared" si="677"/>
        <v>0</v>
      </c>
      <c r="G339" s="152">
        <f t="shared" si="677"/>
        <v>0</v>
      </c>
      <c r="H339" s="153">
        <f t="shared" si="677"/>
        <v>0</v>
      </c>
      <c r="I339" s="153">
        <f t="shared" si="677"/>
        <v>0</v>
      </c>
      <c r="J339" s="153">
        <f t="shared" si="677"/>
        <v>0</v>
      </c>
      <c r="K339" s="153">
        <f t="shared" ref="K339:O339" si="678">IFERROR(SUM(W339,AH339)," ")</f>
        <v>0</v>
      </c>
      <c r="L339" s="153">
        <f t="shared" si="678"/>
        <v>0</v>
      </c>
      <c r="M339" s="153">
        <f t="shared" si="678"/>
        <v>0</v>
      </c>
      <c r="N339" s="153">
        <f t="shared" si="678"/>
        <v>0</v>
      </c>
      <c r="O339" s="153">
        <f t="shared" si="678"/>
        <v>0</v>
      </c>
      <c r="P339" s="152" t="str">
        <f t="array" ref="P339">IFERROR(XLOOKUP(B339,'ImportaçãoGoogleAds - Adveronix'!$F:$F,'ImportaçãoGoogleAds - Adveronix'!$B:$B)," ")</f>
        <v> </v>
      </c>
      <c r="Q339" s="154"/>
      <c r="R339" s="154"/>
      <c r="S339" s="155" t="str">
        <f t="array" ref="S339">IFERROR(XLOOKUP(B339,'ImportaçãoGoogleAds - Adveronix'!$F:$F,'ImportaçãoGoogleAds - Adveronix'!C:C)," ")</f>
        <v> </v>
      </c>
      <c r="T339" s="155" t="str">
        <f t="array" ref="T339">IFERROR(XLOOKUP(B339,'ImportaçãoGoogleAds - Adveronix'!$F:$F,'ImportaçãoGoogleAds - Adveronix'!D:D)," ")</f>
        <v> </v>
      </c>
      <c r="U339" s="155" t="str">
        <f t="array" ref="U339">IFERROR(XLOOKUP(B339,'ImportaçãoGoogleAds - Adveronix'!$F:$F,'ImportaçãoGoogleAds - Adveronix'!E:E)," ")</f>
        <v> </v>
      </c>
      <c r="V339" s="156"/>
      <c r="W339" s="157"/>
      <c r="X339" s="157"/>
      <c r="Y339" s="158"/>
      <c r="Z339" s="158">
        <f>IFERROR(COUNTIFS(Leads!$L:$L,$B339,Leads!$F:$F,"*google*"),0)</f>
        <v>0</v>
      </c>
      <c r="AA339" s="158">
        <f>IFERROR(COUNTIFS(Leads!$L:$L,$B339,Leads!$F:$F,"*google*",Leads!$N:$N,"Sim"),0)</f>
        <v>0</v>
      </c>
      <c r="AB339" s="152" t="str">
        <f t="array" ref="AB339">IFERROR(XLOOKUP(B339,'ImportaçãoMeta - Adveronix'!F:F,'ImportaçãoMeta - Adveronix'!B:B),"")</f>
        <v/>
      </c>
      <c r="AC339" s="154"/>
      <c r="AD339" s="154"/>
      <c r="AE339" s="159" t="str">
        <f t="array" ref="AE339">IFERROR(XLOOKUP(B339,'ImportaçãoMeta - Adveronix'!$F:$F,'ImportaçãoMeta - Adveronix'!C:C),"")</f>
        <v/>
      </c>
      <c r="AF339" s="159" t="str">
        <f t="array" ref="AF339">IFERROR(XLOOKUP(B339,'ImportaçãoMeta - Adveronix'!$F:$F,'ImportaçãoMeta - Adveronix'!D:D),"")</f>
        <v/>
      </c>
      <c r="AG339" s="159" t="str">
        <f t="array" ref="AG339">IFERROR(XLOOKUP(B339,'ImportaçãoMeta - Adveronix'!$F:$F,'ImportaçãoMeta - Adveronix'!E:E),"")</f>
        <v/>
      </c>
      <c r="AH339" s="157"/>
      <c r="AI339" s="157"/>
      <c r="AJ339" s="156"/>
      <c r="AK339" s="160">
        <f>IFERROR(COUNTIFS(Leads!$L:$L,$B339,Leads!$F:$F,"*MetaAds"),0)</f>
        <v>0</v>
      </c>
      <c r="AL339" s="160">
        <f>IFERROR(COUNTIFS(Leads!$L:$L,$B339,Leads!$F:$F,"*MetaAds*",Leads!$N:$N,"Sim"),0)</f>
        <v>0</v>
      </c>
    </row>
    <row r="340" ht="15.75" customHeight="1">
      <c r="A340" s="149" t="str">
        <f t="array" ref="A340">XLOOKUP(MONTH(B340),BASE!$F$16:$F$27,BASE!$G$16:$G$27)</f>
        <v>Dezembro</v>
      </c>
      <c r="B340" s="150">
        <v>46361.0</v>
      </c>
      <c r="C340" s="151"/>
      <c r="D340" s="149" t="str">
        <f t="shared" si="4"/>
        <v>sábado</v>
      </c>
      <c r="E340" s="152">
        <f t="shared" ref="E340:J340" si="679">IFERROR(SUM(P340,AB340)," ")</f>
        <v>0</v>
      </c>
      <c r="F340" s="152">
        <f t="shared" si="679"/>
        <v>0</v>
      </c>
      <c r="G340" s="152">
        <f t="shared" si="679"/>
        <v>0</v>
      </c>
      <c r="H340" s="153">
        <f t="shared" si="679"/>
        <v>0</v>
      </c>
      <c r="I340" s="153">
        <f t="shared" si="679"/>
        <v>0</v>
      </c>
      <c r="J340" s="153">
        <f t="shared" si="679"/>
        <v>0</v>
      </c>
      <c r="K340" s="153">
        <f t="shared" ref="K340:O340" si="680">IFERROR(SUM(W340,AH340)," ")</f>
        <v>0</v>
      </c>
      <c r="L340" s="153">
        <f t="shared" si="680"/>
        <v>0</v>
      </c>
      <c r="M340" s="153">
        <f t="shared" si="680"/>
        <v>0</v>
      </c>
      <c r="N340" s="153">
        <f t="shared" si="680"/>
        <v>0</v>
      </c>
      <c r="O340" s="153">
        <f t="shared" si="680"/>
        <v>0</v>
      </c>
      <c r="P340" s="152" t="str">
        <f t="array" ref="P340">IFERROR(XLOOKUP(B340,'ImportaçãoGoogleAds - Adveronix'!$F:$F,'ImportaçãoGoogleAds - Adveronix'!$B:$B)," ")</f>
        <v> </v>
      </c>
      <c r="Q340" s="154"/>
      <c r="R340" s="154"/>
      <c r="S340" s="155" t="str">
        <f t="array" ref="S340">IFERROR(XLOOKUP(B340,'ImportaçãoGoogleAds - Adveronix'!$F:$F,'ImportaçãoGoogleAds - Adveronix'!C:C)," ")</f>
        <v> </v>
      </c>
      <c r="T340" s="155" t="str">
        <f t="array" ref="T340">IFERROR(XLOOKUP(B340,'ImportaçãoGoogleAds - Adveronix'!$F:$F,'ImportaçãoGoogleAds - Adveronix'!D:D)," ")</f>
        <v> </v>
      </c>
      <c r="U340" s="155" t="str">
        <f t="array" ref="U340">IFERROR(XLOOKUP(B340,'ImportaçãoGoogleAds - Adveronix'!$F:$F,'ImportaçãoGoogleAds - Adveronix'!E:E)," ")</f>
        <v> </v>
      </c>
      <c r="V340" s="156"/>
      <c r="W340" s="157"/>
      <c r="X340" s="157"/>
      <c r="Y340" s="158"/>
      <c r="Z340" s="158">
        <f>IFERROR(COUNTIFS(Leads!$L:$L,$B340,Leads!$F:$F,"*google*"),0)</f>
        <v>0</v>
      </c>
      <c r="AA340" s="158">
        <f>IFERROR(COUNTIFS(Leads!$L:$L,$B340,Leads!$F:$F,"*google*",Leads!$N:$N,"Sim"),0)</f>
        <v>0</v>
      </c>
      <c r="AB340" s="152" t="str">
        <f t="array" ref="AB340">IFERROR(XLOOKUP(B340,'ImportaçãoMeta - Adveronix'!F:F,'ImportaçãoMeta - Adveronix'!B:B),"")</f>
        <v/>
      </c>
      <c r="AC340" s="154"/>
      <c r="AD340" s="154"/>
      <c r="AE340" s="159" t="str">
        <f t="array" ref="AE340">IFERROR(XLOOKUP(B340,'ImportaçãoMeta - Adveronix'!$F:$F,'ImportaçãoMeta - Adveronix'!C:C),"")</f>
        <v/>
      </c>
      <c r="AF340" s="159" t="str">
        <f t="array" ref="AF340">IFERROR(XLOOKUP(B340,'ImportaçãoMeta - Adveronix'!$F:$F,'ImportaçãoMeta - Adveronix'!D:D),"")</f>
        <v/>
      </c>
      <c r="AG340" s="159" t="str">
        <f t="array" ref="AG340">IFERROR(XLOOKUP(B340,'ImportaçãoMeta - Adveronix'!$F:$F,'ImportaçãoMeta - Adveronix'!E:E),"")</f>
        <v/>
      </c>
      <c r="AH340" s="157"/>
      <c r="AI340" s="157"/>
      <c r="AJ340" s="156"/>
      <c r="AK340" s="160">
        <f>IFERROR(COUNTIFS(Leads!$L:$L,$B340,Leads!$F:$F,"*MetaAds"),0)</f>
        <v>0</v>
      </c>
      <c r="AL340" s="160">
        <f>IFERROR(COUNTIFS(Leads!$L:$L,$B340,Leads!$F:$F,"*MetaAds*",Leads!$N:$N,"Sim"),0)</f>
        <v>0</v>
      </c>
    </row>
    <row r="341" ht="15.75" customHeight="1">
      <c r="A341" s="149" t="str">
        <f t="array" ref="A341">XLOOKUP(MONTH(B341),BASE!$F$16:$F$27,BASE!$G$16:$G$27)</f>
        <v>Dezembro</v>
      </c>
      <c r="B341" s="150">
        <v>46362.0</v>
      </c>
      <c r="C341" s="151"/>
      <c r="D341" s="149" t="str">
        <f t="shared" si="4"/>
        <v>domingo</v>
      </c>
      <c r="E341" s="152">
        <f t="shared" ref="E341:J341" si="681">IFERROR(SUM(P341,AB341)," ")</f>
        <v>0</v>
      </c>
      <c r="F341" s="152">
        <f t="shared" si="681"/>
        <v>0</v>
      </c>
      <c r="G341" s="152">
        <f t="shared" si="681"/>
        <v>0</v>
      </c>
      <c r="H341" s="153">
        <f t="shared" si="681"/>
        <v>0</v>
      </c>
      <c r="I341" s="153">
        <f t="shared" si="681"/>
        <v>0</v>
      </c>
      <c r="J341" s="153">
        <f t="shared" si="681"/>
        <v>0</v>
      </c>
      <c r="K341" s="153">
        <f t="shared" ref="K341:O341" si="682">IFERROR(SUM(W341,AH341)," ")</f>
        <v>0</v>
      </c>
      <c r="L341" s="153">
        <f t="shared" si="682"/>
        <v>0</v>
      </c>
      <c r="M341" s="153">
        <f t="shared" si="682"/>
        <v>0</v>
      </c>
      <c r="N341" s="153">
        <f t="shared" si="682"/>
        <v>0</v>
      </c>
      <c r="O341" s="153">
        <f t="shared" si="682"/>
        <v>0</v>
      </c>
      <c r="P341" s="152" t="str">
        <f t="array" ref="P341">IFERROR(XLOOKUP(B341,'ImportaçãoGoogleAds - Adveronix'!$F:$F,'ImportaçãoGoogleAds - Adveronix'!$B:$B)," ")</f>
        <v> </v>
      </c>
      <c r="Q341" s="154"/>
      <c r="R341" s="154"/>
      <c r="S341" s="155" t="str">
        <f t="array" ref="S341">IFERROR(XLOOKUP(B341,'ImportaçãoGoogleAds - Adveronix'!$F:$F,'ImportaçãoGoogleAds - Adveronix'!C:C)," ")</f>
        <v> </v>
      </c>
      <c r="T341" s="155" t="str">
        <f t="array" ref="T341">IFERROR(XLOOKUP(B341,'ImportaçãoGoogleAds - Adveronix'!$F:$F,'ImportaçãoGoogleAds - Adveronix'!D:D)," ")</f>
        <v> </v>
      </c>
      <c r="U341" s="155" t="str">
        <f t="array" ref="U341">IFERROR(XLOOKUP(B341,'ImportaçãoGoogleAds - Adveronix'!$F:$F,'ImportaçãoGoogleAds - Adveronix'!E:E)," ")</f>
        <v> </v>
      </c>
      <c r="V341" s="156"/>
      <c r="W341" s="157"/>
      <c r="X341" s="157"/>
      <c r="Y341" s="158"/>
      <c r="Z341" s="158">
        <f>IFERROR(COUNTIFS(Leads!$L:$L,$B341,Leads!$F:$F,"*google*"),0)</f>
        <v>0</v>
      </c>
      <c r="AA341" s="158">
        <f>IFERROR(COUNTIFS(Leads!$L:$L,$B341,Leads!$F:$F,"*google*",Leads!$N:$N,"Sim"),0)</f>
        <v>0</v>
      </c>
      <c r="AB341" s="152" t="str">
        <f t="array" ref="AB341">IFERROR(XLOOKUP(B341,'ImportaçãoMeta - Adveronix'!F:F,'ImportaçãoMeta - Adveronix'!B:B),"")</f>
        <v/>
      </c>
      <c r="AC341" s="154"/>
      <c r="AD341" s="154"/>
      <c r="AE341" s="159" t="str">
        <f t="array" ref="AE341">IFERROR(XLOOKUP(B341,'ImportaçãoMeta - Adveronix'!$F:$F,'ImportaçãoMeta - Adveronix'!C:C),"")</f>
        <v/>
      </c>
      <c r="AF341" s="159" t="str">
        <f t="array" ref="AF341">IFERROR(XLOOKUP(B341,'ImportaçãoMeta - Adveronix'!$F:$F,'ImportaçãoMeta - Adveronix'!D:D),"")</f>
        <v/>
      </c>
      <c r="AG341" s="159" t="str">
        <f t="array" ref="AG341">IFERROR(XLOOKUP(B341,'ImportaçãoMeta - Adveronix'!$F:$F,'ImportaçãoMeta - Adveronix'!E:E),"")</f>
        <v/>
      </c>
      <c r="AH341" s="157"/>
      <c r="AI341" s="157"/>
      <c r="AJ341" s="156"/>
      <c r="AK341" s="160">
        <f>IFERROR(COUNTIFS(Leads!$L:$L,$B341,Leads!$F:$F,"*MetaAds"),0)</f>
        <v>0</v>
      </c>
      <c r="AL341" s="160">
        <f>IFERROR(COUNTIFS(Leads!$L:$L,$B341,Leads!$F:$F,"*MetaAds*",Leads!$N:$N,"Sim"),0)</f>
        <v>0</v>
      </c>
    </row>
    <row r="342" ht="15.75" customHeight="1">
      <c r="A342" s="149" t="str">
        <f t="array" ref="A342">XLOOKUP(MONTH(B342),BASE!$F$16:$F$27,BASE!$G$16:$G$27)</f>
        <v>Dezembro</v>
      </c>
      <c r="B342" s="150">
        <v>46363.0</v>
      </c>
      <c r="C342" s="151"/>
      <c r="D342" s="149" t="str">
        <f t="shared" si="4"/>
        <v>segunda-feira</v>
      </c>
      <c r="E342" s="152">
        <f t="shared" ref="E342:J342" si="683">IFERROR(SUM(P342,AB342)," ")</f>
        <v>0</v>
      </c>
      <c r="F342" s="152">
        <f t="shared" si="683"/>
        <v>0</v>
      </c>
      <c r="G342" s="152">
        <f t="shared" si="683"/>
        <v>0</v>
      </c>
      <c r="H342" s="153">
        <f t="shared" si="683"/>
        <v>0</v>
      </c>
      <c r="I342" s="153">
        <f t="shared" si="683"/>
        <v>0</v>
      </c>
      <c r="J342" s="153">
        <f t="shared" si="683"/>
        <v>0</v>
      </c>
      <c r="K342" s="153">
        <f t="shared" ref="K342:O342" si="684">IFERROR(SUM(W342,AH342)," ")</f>
        <v>0</v>
      </c>
      <c r="L342" s="153">
        <f t="shared" si="684"/>
        <v>0</v>
      </c>
      <c r="M342" s="153">
        <f t="shared" si="684"/>
        <v>0</v>
      </c>
      <c r="N342" s="153">
        <f t="shared" si="684"/>
        <v>0</v>
      </c>
      <c r="O342" s="153">
        <f t="shared" si="684"/>
        <v>0</v>
      </c>
      <c r="P342" s="152" t="str">
        <f t="array" ref="P342">IFERROR(XLOOKUP(B342,'ImportaçãoGoogleAds - Adveronix'!$F:$F,'ImportaçãoGoogleAds - Adveronix'!$B:$B)," ")</f>
        <v> </v>
      </c>
      <c r="Q342" s="154"/>
      <c r="R342" s="154"/>
      <c r="S342" s="155" t="str">
        <f t="array" ref="S342">IFERROR(XLOOKUP(B342,'ImportaçãoGoogleAds - Adveronix'!$F:$F,'ImportaçãoGoogleAds - Adveronix'!C:C)," ")</f>
        <v> </v>
      </c>
      <c r="T342" s="155" t="str">
        <f t="array" ref="T342">IFERROR(XLOOKUP(B342,'ImportaçãoGoogleAds - Adveronix'!$F:$F,'ImportaçãoGoogleAds - Adveronix'!D:D)," ")</f>
        <v> </v>
      </c>
      <c r="U342" s="155" t="str">
        <f t="array" ref="U342">IFERROR(XLOOKUP(B342,'ImportaçãoGoogleAds - Adveronix'!$F:$F,'ImportaçãoGoogleAds - Adveronix'!E:E)," ")</f>
        <v> </v>
      </c>
      <c r="V342" s="156"/>
      <c r="W342" s="157"/>
      <c r="X342" s="157"/>
      <c r="Y342" s="158"/>
      <c r="Z342" s="158">
        <f>IFERROR(COUNTIFS(Leads!$L:$L,$B342,Leads!$F:$F,"*google*"),0)</f>
        <v>0</v>
      </c>
      <c r="AA342" s="158">
        <f>IFERROR(COUNTIFS(Leads!$L:$L,$B342,Leads!$F:$F,"*google*",Leads!$N:$N,"Sim"),0)</f>
        <v>0</v>
      </c>
      <c r="AB342" s="152" t="str">
        <f t="array" ref="AB342">IFERROR(XLOOKUP(B342,'ImportaçãoMeta - Adveronix'!F:F,'ImportaçãoMeta - Adveronix'!B:B),"")</f>
        <v/>
      </c>
      <c r="AC342" s="154"/>
      <c r="AD342" s="154"/>
      <c r="AE342" s="159" t="str">
        <f t="array" ref="AE342">IFERROR(XLOOKUP(B342,'ImportaçãoMeta - Adveronix'!$F:$F,'ImportaçãoMeta - Adveronix'!C:C),"")</f>
        <v/>
      </c>
      <c r="AF342" s="159" t="str">
        <f t="array" ref="AF342">IFERROR(XLOOKUP(B342,'ImportaçãoMeta - Adveronix'!$F:$F,'ImportaçãoMeta - Adveronix'!D:D),"")</f>
        <v/>
      </c>
      <c r="AG342" s="159" t="str">
        <f t="array" ref="AG342">IFERROR(XLOOKUP(B342,'ImportaçãoMeta - Adveronix'!$F:$F,'ImportaçãoMeta - Adveronix'!E:E),"")</f>
        <v/>
      </c>
      <c r="AH342" s="157"/>
      <c r="AI342" s="157"/>
      <c r="AJ342" s="156"/>
      <c r="AK342" s="160">
        <f>IFERROR(COUNTIFS(Leads!$L:$L,$B342,Leads!$F:$F,"*MetaAds"),0)</f>
        <v>0</v>
      </c>
      <c r="AL342" s="160">
        <f>IFERROR(COUNTIFS(Leads!$L:$L,$B342,Leads!$F:$F,"*MetaAds*",Leads!$N:$N,"Sim"),0)</f>
        <v>0</v>
      </c>
    </row>
    <row r="343" ht="15.75" customHeight="1">
      <c r="A343" s="149" t="str">
        <f t="array" ref="A343">XLOOKUP(MONTH(B343),BASE!$F$16:$F$27,BASE!$G$16:$G$27)</f>
        <v>Dezembro</v>
      </c>
      <c r="B343" s="150">
        <v>46364.0</v>
      </c>
      <c r="C343" s="151"/>
      <c r="D343" s="149" t="str">
        <f t="shared" si="4"/>
        <v>terça-feira</v>
      </c>
      <c r="E343" s="152">
        <f t="shared" ref="E343:J343" si="685">IFERROR(SUM(P343,AB343)," ")</f>
        <v>0</v>
      </c>
      <c r="F343" s="152">
        <f t="shared" si="685"/>
        <v>0</v>
      </c>
      <c r="G343" s="152">
        <f t="shared" si="685"/>
        <v>0</v>
      </c>
      <c r="H343" s="153">
        <f t="shared" si="685"/>
        <v>0</v>
      </c>
      <c r="I343" s="153">
        <f t="shared" si="685"/>
        <v>0</v>
      </c>
      <c r="J343" s="153">
        <f t="shared" si="685"/>
        <v>0</v>
      </c>
      <c r="K343" s="153">
        <f t="shared" ref="K343:O343" si="686">IFERROR(SUM(W343,AH343)," ")</f>
        <v>0</v>
      </c>
      <c r="L343" s="153">
        <f t="shared" si="686"/>
        <v>0</v>
      </c>
      <c r="M343" s="153">
        <f t="shared" si="686"/>
        <v>0</v>
      </c>
      <c r="N343" s="153">
        <f t="shared" si="686"/>
        <v>0</v>
      </c>
      <c r="O343" s="153">
        <f t="shared" si="686"/>
        <v>0</v>
      </c>
      <c r="P343" s="152" t="str">
        <f t="array" ref="P343">IFERROR(XLOOKUP(B343,'ImportaçãoGoogleAds - Adveronix'!$F:$F,'ImportaçãoGoogleAds - Adveronix'!$B:$B)," ")</f>
        <v> </v>
      </c>
      <c r="Q343" s="154"/>
      <c r="R343" s="154"/>
      <c r="S343" s="155" t="str">
        <f t="array" ref="S343">IFERROR(XLOOKUP(B343,'ImportaçãoGoogleAds - Adveronix'!$F:$F,'ImportaçãoGoogleAds - Adveronix'!C:C)," ")</f>
        <v> </v>
      </c>
      <c r="T343" s="155" t="str">
        <f t="array" ref="T343">IFERROR(XLOOKUP(B343,'ImportaçãoGoogleAds - Adveronix'!$F:$F,'ImportaçãoGoogleAds - Adveronix'!D:D)," ")</f>
        <v> </v>
      </c>
      <c r="U343" s="155" t="str">
        <f t="array" ref="U343">IFERROR(XLOOKUP(B343,'ImportaçãoGoogleAds - Adveronix'!$F:$F,'ImportaçãoGoogleAds - Adveronix'!E:E)," ")</f>
        <v> </v>
      </c>
      <c r="V343" s="156"/>
      <c r="W343" s="157"/>
      <c r="X343" s="157"/>
      <c r="Y343" s="158"/>
      <c r="Z343" s="158">
        <f>IFERROR(COUNTIFS(Leads!$L:$L,$B343,Leads!$F:$F,"*google*"),0)</f>
        <v>0</v>
      </c>
      <c r="AA343" s="158">
        <f>IFERROR(COUNTIFS(Leads!$L:$L,$B343,Leads!$F:$F,"*google*",Leads!$N:$N,"Sim"),0)</f>
        <v>0</v>
      </c>
      <c r="AB343" s="152" t="str">
        <f t="array" ref="AB343">IFERROR(XLOOKUP(B343,'ImportaçãoMeta - Adveronix'!F:F,'ImportaçãoMeta - Adveronix'!B:B),"")</f>
        <v/>
      </c>
      <c r="AC343" s="154"/>
      <c r="AD343" s="154"/>
      <c r="AE343" s="159" t="str">
        <f t="array" ref="AE343">IFERROR(XLOOKUP(B343,'ImportaçãoMeta - Adveronix'!$F:$F,'ImportaçãoMeta - Adveronix'!C:C),"")</f>
        <v/>
      </c>
      <c r="AF343" s="159" t="str">
        <f t="array" ref="AF343">IFERROR(XLOOKUP(B343,'ImportaçãoMeta - Adveronix'!$F:$F,'ImportaçãoMeta - Adveronix'!D:D),"")</f>
        <v/>
      </c>
      <c r="AG343" s="159" t="str">
        <f t="array" ref="AG343">IFERROR(XLOOKUP(B343,'ImportaçãoMeta - Adveronix'!$F:$F,'ImportaçãoMeta - Adveronix'!E:E),"")</f>
        <v/>
      </c>
      <c r="AH343" s="157"/>
      <c r="AI343" s="157"/>
      <c r="AJ343" s="156"/>
      <c r="AK343" s="160">
        <f>IFERROR(COUNTIFS(Leads!$L:$L,$B343,Leads!$F:$F,"*MetaAds"),0)</f>
        <v>0</v>
      </c>
      <c r="AL343" s="160">
        <f>IFERROR(COUNTIFS(Leads!$L:$L,$B343,Leads!$F:$F,"*MetaAds*",Leads!$N:$N,"Sim"),0)</f>
        <v>0</v>
      </c>
    </row>
    <row r="344" ht="15.75" customHeight="1">
      <c r="A344" s="149" t="str">
        <f t="array" ref="A344">XLOOKUP(MONTH(B344),BASE!$F$16:$F$27,BASE!$G$16:$G$27)</f>
        <v>Dezembro</v>
      </c>
      <c r="B344" s="150">
        <v>46365.0</v>
      </c>
      <c r="C344" s="151"/>
      <c r="D344" s="149" t="str">
        <f t="shared" si="4"/>
        <v>quarta-feira</v>
      </c>
      <c r="E344" s="152">
        <f t="shared" ref="E344:J344" si="687">IFERROR(SUM(P344,AB344)," ")</f>
        <v>0</v>
      </c>
      <c r="F344" s="152">
        <f t="shared" si="687"/>
        <v>0</v>
      </c>
      <c r="G344" s="152">
        <f t="shared" si="687"/>
        <v>0</v>
      </c>
      <c r="H344" s="153">
        <f t="shared" si="687"/>
        <v>0</v>
      </c>
      <c r="I344" s="153">
        <f t="shared" si="687"/>
        <v>0</v>
      </c>
      <c r="J344" s="153">
        <f t="shared" si="687"/>
        <v>0</v>
      </c>
      <c r="K344" s="153">
        <f t="shared" ref="K344:O344" si="688">IFERROR(SUM(W344,AH344)," ")</f>
        <v>0</v>
      </c>
      <c r="L344" s="153">
        <f t="shared" si="688"/>
        <v>0</v>
      </c>
      <c r="M344" s="153">
        <f t="shared" si="688"/>
        <v>0</v>
      </c>
      <c r="N344" s="153">
        <f t="shared" si="688"/>
        <v>0</v>
      </c>
      <c r="O344" s="153">
        <f t="shared" si="688"/>
        <v>0</v>
      </c>
      <c r="P344" s="152" t="str">
        <f t="array" ref="P344">IFERROR(XLOOKUP(B344,'ImportaçãoGoogleAds - Adveronix'!$F:$F,'ImportaçãoGoogleAds - Adveronix'!$B:$B)," ")</f>
        <v> </v>
      </c>
      <c r="Q344" s="154"/>
      <c r="R344" s="154"/>
      <c r="S344" s="155" t="str">
        <f t="array" ref="S344">IFERROR(XLOOKUP(B344,'ImportaçãoGoogleAds - Adveronix'!$F:$F,'ImportaçãoGoogleAds - Adveronix'!C:C)," ")</f>
        <v> </v>
      </c>
      <c r="T344" s="155" t="str">
        <f t="array" ref="T344">IFERROR(XLOOKUP(B344,'ImportaçãoGoogleAds - Adveronix'!$F:$F,'ImportaçãoGoogleAds - Adveronix'!D:D)," ")</f>
        <v> </v>
      </c>
      <c r="U344" s="155" t="str">
        <f t="array" ref="U344">IFERROR(XLOOKUP(B344,'ImportaçãoGoogleAds - Adveronix'!$F:$F,'ImportaçãoGoogleAds - Adveronix'!E:E)," ")</f>
        <v> </v>
      </c>
      <c r="V344" s="156"/>
      <c r="W344" s="157"/>
      <c r="X344" s="157"/>
      <c r="Y344" s="158"/>
      <c r="Z344" s="158">
        <f>IFERROR(COUNTIFS(Leads!$L:$L,$B344,Leads!$F:$F,"*google*"),0)</f>
        <v>0</v>
      </c>
      <c r="AA344" s="158">
        <f>IFERROR(COUNTIFS(Leads!$L:$L,$B344,Leads!$F:$F,"*google*",Leads!$N:$N,"Sim"),0)</f>
        <v>0</v>
      </c>
      <c r="AB344" s="152" t="str">
        <f t="array" ref="AB344">IFERROR(XLOOKUP(B344,'ImportaçãoMeta - Adveronix'!F:F,'ImportaçãoMeta - Adveronix'!B:B),"")</f>
        <v/>
      </c>
      <c r="AC344" s="154"/>
      <c r="AD344" s="154"/>
      <c r="AE344" s="159" t="str">
        <f t="array" ref="AE344">IFERROR(XLOOKUP(B344,'ImportaçãoMeta - Adveronix'!$F:$F,'ImportaçãoMeta - Adveronix'!C:C),"")</f>
        <v/>
      </c>
      <c r="AF344" s="159" t="str">
        <f t="array" ref="AF344">IFERROR(XLOOKUP(B344,'ImportaçãoMeta - Adveronix'!$F:$F,'ImportaçãoMeta - Adveronix'!D:D),"")</f>
        <v/>
      </c>
      <c r="AG344" s="159" t="str">
        <f t="array" ref="AG344">IFERROR(XLOOKUP(B344,'ImportaçãoMeta - Adveronix'!$F:$F,'ImportaçãoMeta - Adveronix'!E:E),"")</f>
        <v/>
      </c>
      <c r="AH344" s="157"/>
      <c r="AI344" s="157"/>
      <c r="AJ344" s="156"/>
      <c r="AK344" s="160">
        <f>IFERROR(COUNTIFS(Leads!$L:$L,$B344,Leads!$F:$F,"*MetaAds"),0)</f>
        <v>0</v>
      </c>
      <c r="AL344" s="160">
        <f>IFERROR(COUNTIFS(Leads!$L:$L,$B344,Leads!$F:$F,"*MetaAds*",Leads!$N:$N,"Sim"),0)</f>
        <v>0</v>
      </c>
    </row>
    <row r="345" ht="15.75" customHeight="1">
      <c r="A345" s="149" t="str">
        <f t="array" ref="A345">XLOOKUP(MONTH(B345),BASE!$F$16:$F$27,BASE!$G$16:$G$27)</f>
        <v>Dezembro</v>
      </c>
      <c r="B345" s="150">
        <v>46366.0</v>
      </c>
      <c r="C345" s="151"/>
      <c r="D345" s="149" t="str">
        <f t="shared" si="4"/>
        <v>quinta-feira</v>
      </c>
      <c r="E345" s="152">
        <f t="shared" ref="E345:J345" si="689">IFERROR(SUM(P345,AB345)," ")</f>
        <v>0</v>
      </c>
      <c r="F345" s="152">
        <f t="shared" si="689"/>
        <v>0</v>
      </c>
      <c r="G345" s="152">
        <f t="shared" si="689"/>
        <v>0</v>
      </c>
      <c r="H345" s="153">
        <f t="shared" si="689"/>
        <v>0</v>
      </c>
      <c r="I345" s="153">
        <f t="shared" si="689"/>
        <v>0</v>
      </c>
      <c r="J345" s="153">
        <f t="shared" si="689"/>
        <v>0</v>
      </c>
      <c r="K345" s="153">
        <f t="shared" ref="K345:O345" si="690">IFERROR(SUM(W345,AH345)," ")</f>
        <v>0</v>
      </c>
      <c r="L345" s="153">
        <f t="shared" si="690"/>
        <v>0</v>
      </c>
      <c r="M345" s="153">
        <f t="shared" si="690"/>
        <v>0</v>
      </c>
      <c r="N345" s="153">
        <f t="shared" si="690"/>
        <v>0</v>
      </c>
      <c r="O345" s="153">
        <f t="shared" si="690"/>
        <v>0</v>
      </c>
      <c r="P345" s="152" t="str">
        <f t="array" ref="P345">IFERROR(XLOOKUP(B345,'ImportaçãoGoogleAds - Adveronix'!$F:$F,'ImportaçãoGoogleAds - Adveronix'!$B:$B)," ")</f>
        <v> </v>
      </c>
      <c r="Q345" s="154"/>
      <c r="R345" s="154"/>
      <c r="S345" s="155" t="str">
        <f t="array" ref="S345">IFERROR(XLOOKUP(B345,'ImportaçãoGoogleAds - Adveronix'!$F:$F,'ImportaçãoGoogleAds - Adveronix'!C:C)," ")</f>
        <v> </v>
      </c>
      <c r="T345" s="155" t="str">
        <f t="array" ref="T345">IFERROR(XLOOKUP(B345,'ImportaçãoGoogleAds - Adveronix'!$F:$F,'ImportaçãoGoogleAds - Adveronix'!D:D)," ")</f>
        <v> </v>
      </c>
      <c r="U345" s="155" t="str">
        <f t="array" ref="U345">IFERROR(XLOOKUP(B345,'ImportaçãoGoogleAds - Adveronix'!$F:$F,'ImportaçãoGoogleAds - Adveronix'!E:E)," ")</f>
        <v> </v>
      </c>
      <c r="V345" s="156"/>
      <c r="W345" s="157"/>
      <c r="X345" s="157"/>
      <c r="Y345" s="158"/>
      <c r="Z345" s="158">
        <f>IFERROR(COUNTIFS(Leads!$L:$L,$B345,Leads!$F:$F,"*google*"),0)</f>
        <v>0</v>
      </c>
      <c r="AA345" s="158">
        <f>IFERROR(COUNTIFS(Leads!$L:$L,$B345,Leads!$F:$F,"*google*",Leads!$N:$N,"Sim"),0)</f>
        <v>0</v>
      </c>
      <c r="AB345" s="152" t="str">
        <f t="array" ref="AB345">IFERROR(XLOOKUP(B345,'ImportaçãoMeta - Adveronix'!F:F,'ImportaçãoMeta - Adveronix'!B:B),"")</f>
        <v/>
      </c>
      <c r="AC345" s="154"/>
      <c r="AD345" s="154"/>
      <c r="AE345" s="159" t="str">
        <f t="array" ref="AE345">IFERROR(XLOOKUP(B345,'ImportaçãoMeta - Adveronix'!$F:$F,'ImportaçãoMeta - Adveronix'!C:C),"")</f>
        <v/>
      </c>
      <c r="AF345" s="159" t="str">
        <f t="array" ref="AF345">IFERROR(XLOOKUP(B345,'ImportaçãoMeta - Adveronix'!$F:$F,'ImportaçãoMeta - Adveronix'!D:D),"")</f>
        <v/>
      </c>
      <c r="AG345" s="159" t="str">
        <f t="array" ref="AG345">IFERROR(XLOOKUP(B345,'ImportaçãoMeta - Adveronix'!$F:$F,'ImportaçãoMeta - Adveronix'!E:E),"")</f>
        <v/>
      </c>
      <c r="AH345" s="157"/>
      <c r="AI345" s="157"/>
      <c r="AJ345" s="156"/>
      <c r="AK345" s="160">
        <f>IFERROR(COUNTIFS(Leads!$L:$L,$B345,Leads!$F:$F,"*MetaAds"),0)</f>
        <v>0</v>
      </c>
      <c r="AL345" s="160">
        <f>IFERROR(COUNTIFS(Leads!$L:$L,$B345,Leads!$F:$F,"*MetaAds*",Leads!$N:$N,"Sim"),0)</f>
        <v>0</v>
      </c>
    </row>
    <row r="346" ht="15.75" customHeight="1">
      <c r="A346" s="149" t="str">
        <f t="array" ref="A346">XLOOKUP(MONTH(B346),BASE!$F$16:$F$27,BASE!$G$16:$G$27)</f>
        <v>Dezembro</v>
      </c>
      <c r="B346" s="150">
        <v>46367.0</v>
      </c>
      <c r="C346" s="151"/>
      <c r="D346" s="149" t="str">
        <f t="shared" si="4"/>
        <v>sexta-feira</v>
      </c>
      <c r="E346" s="152">
        <f t="shared" ref="E346:J346" si="691">IFERROR(SUM(P346,AB346)," ")</f>
        <v>0</v>
      </c>
      <c r="F346" s="152">
        <f t="shared" si="691"/>
        <v>0</v>
      </c>
      <c r="G346" s="152">
        <f t="shared" si="691"/>
        <v>0</v>
      </c>
      <c r="H346" s="153">
        <f t="shared" si="691"/>
        <v>0</v>
      </c>
      <c r="I346" s="153">
        <f t="shared" si="691"/>
        <v>0</v>
      </c>
      <c r="J346" s="153">
        <f t="shared" si="691"/>
        <v>0</v>
      </c>
      <c r="K346" s="153">
        <f t="shared" ref="K346:O346" si="692">IFERROR(SUM(W346,AH346)," ")</f>
        <v>0</v>
      </c>
      <c r="L346" s="153">
        <f t="shared" si="692"/>
        <v>0</v>
      </c>
      <c r="M346" s="153">
        <f t="shared" si="692"/>
        <v>0</v>
      </c>
      <c r="N346" s="153">
        <f t="shared" si="692"/>
        <v>0</v>
      </c>
      <c r="O346" s="153">
        <f t="shared" si="692"/>
        <v>0</v>
      </c>
      <c r="P346" s="152" t="str">
        <f t="array" ref="P346">IFERROR(XLOOKUP(B346,'ImportaçãoGoogleAds - Adveronix'!$F:$F,'ImportaçãoGoogleAds - Adveronix'!$B:$B)," ")</f>
        <v> </v>
      </c>
      <c r="Q346" s="154"/>
      <c r="R346" s="154"/>
      <c r="S346" s="155" t="str">
        <f t="array" ref="S346">IFERROR(XLOOKUP(B346,'ImportaçãoGoogleAds - Adveronix'!$F:$F,'ImportaçãoGoogleAds - Adveronix'!C:C)," ")</f>
        <v> </v>
      </c>
      <c r="T346" s="155" t="str">
        <f t="array" ref="T346">IFERROR(XLOOKUP(B346,'ImportaçãoGoogleAds - Adveronix'!$F:$F,'ImportaçãoGoogleAds - Adveronix'!D:D)," ")</f>
        <v> </v>
      </c>
      <c r="U346" s="155" t="str">
        <f t="array" ref="U346">IFERROR(XLOOKUP(B346,'ImportaçãoGoogleAds - Adveronix'!$F:$F,'ImportaçãoGoogleAds - Adveronix'!E:E)," ")</f>
        <v> </v>
      </c>
      <c r="V346" s="156"/>
      <c r="W346" s="157"/>
      <c r="X346" s="157"/>
      <c r="Y346" s="158"/>
      <c r="Z346" s="158">
        <f>IFERROR(COUNTIFS(Leads!$L:$L,$B346,Leads!$F:$F,"*google*"),0)</f>
        <v>0</v>
      </c>
      <c r="AA346" s="158">
        <f>IFERROR(COUNTIFS(Leads!$L:$L,$B346,Leads!$F:$F,"*google*",Leads!$N:$N,"Sim"),0)</f>
        <v>0</v>
      </c>
      <c r="AB346" s="152" t="str">
        <f t="array" ref="AB346">IFERROR(XLOOKUP(B346,'ImportaçãoMeta - Adveronix'!F:F,'ImportaçãoMeta - Adveronix'!B:B),"")</f>
        <v/>
      </c>
      <c r="AC346" s="154"/>
      <c r="AD346" s="154"/>
      <c r="AE346" s="159" t="str">
        <f t="array" ref="AE346">IFERROR(XLOOKUP(B346,'ImportaçãoMeta - Adveronix'!$F:$F,'ImportaçãoMeta - Adveronix'!C:C),"")</f>
        <v/>
      </c>
      <c r="AF346" s="159" t="str">
        <f t="array" ref="AF346">IFERROR(XLOOKUP(B346,'ImportaçãoMeta - Adveronix'!$F:$F,'ImportaçãoMeta - Adveronix'!D:D),"")</f>
        <v/>
      </c>
      <c r="AG346" s="159" t="str">
        <f t="array" ref="AG346">IFERROR(XLOOKUP(B346,'ImportaçãoMeta - Adveronix'!$F:$F,'ImportaçãoMeta - Adveronix'!E:E),"")</f>
        <v/>
      </c>
      <c r="AH346" s="157"/>
      <c r="AI346" s="157"/>
      <c r="AJ346" s="156"/>
      <c r="AK346" s="160">
        <f>IFERROR(COUNTIFS(Leads!$L:$L,$B346,Leads!$F:$F,"*MetaAds"),0)</f>
        <v>0</v>
      </c>
      <c r="AL346" s="160">
        <f>IFERROR(COUNTIFS(Leads!$L:$L,$B346,Leads!$F:$F,"*MetaAds*",Leads!$N:$N,"Sim"),0)</f>
        <v>0</v>
      </c>
    </row>
    <row r="347" ht="15.75" customHeight="1">
      <c r="A347" s="149" t="str">
        <f t="array" ref="A347">XLOOKUP(MONTH(B347),BASE!$F$16:$F$27,BASE!$G$16:$G$27)</f>
        <v>Dezembro</v>
      </c>
      <c r="B347" s="150">
        <v>46368.0</v>
      </c>
      <c r="C347" s="151"/>
      <c r="D347" s="149" t="str">
        <f t="shared" si="4"/>
        <v>sábado</v>
      </c>
      <c r="E347" s="152">
        <f t="shared" ref="E347:J347" si="693">IFERROR(SUM(P347,AB347)," ")</f>
        <v>0</v>
      </c>
      <c r="F347" s="152">
        <f t="shared" si="693"/>
        <v>0</v>
      </c>
      <c r="G347" s="152">
        <f t="shared" si="693"/>
        <v>0</v>
      </c>
      <c r="H347" s="153">
        <f t="shared" si="693"/>
        <v>0</v>
      </c>
      <c r="I347" s="153">
        <f t="shared" si="693"/>
        <v>0</v>
      </c>
      <c r="J347" s="153">
        <f t="shared" si="693"/>
        <v>0</v>
      </c>
      <c r="K347" s="153">
        <f t="shared" ref="K347:O347" si="694">IFERROR(SUM(W347,AH347)," ")</f>
        <v>0</v>
      </c>
      <c r="L347" s="153">
        <f t="shared" si="694"/>
        <v>0</v>
      </c>
      <c r="M347" s="153">
        <f t="shared" si="694"/>
        <v>0</v>
      </c>
      <c r="N347" s="153">
        <f t="shared" si="694"/>
        <v>0</v>
      </c>
      <c r="O347" s="153">
        <f t="shared" si="694"/>
        <v>0</v>
      </c>
      <c r="P347" s="152" t="str">
        <f t="array" ref="P347">IFERROR(XLOOKUP(B347,'ImportaçãoGoogleAds - Adveronix'!$F:$F,'ImportaçãoGoogleAds - Adveronix'!$B:$B)," ")</f>
        <v> </v>
      </c>
      <c r="Q347" s="154"/>
      <c r="R347" s="154"/>
      <c r="S347" s="155" t="str">
        <f t="array" ref="S347">IFERROR(XLOOKUP(B347,'ImportaçãoGoogleAds - Adveronix'!$F:$F,'ImportaçãoGoogleAds - Adveronix'!C:C)," ")</f>
        <v> </v>
      </c>
      <c r="T347" s="155" t="str">
        <f t="array" ref="T347">IFERROR(XLOOKUP(B347,'ImportaçãoGoogleAds - Adveronix'!$F:$F,'ImportaçãoGoogleAds - Adveronix'!D:D)," ")</f>
        <v> </v>
      </c>
      <c r="U347" s="155" t="str">
        <f t="array" ref="U347">IFERROR(XLOOKUP(B347,'ImportaçãoGoogleAds - Adveronix'!$F:$F,'ImportaçãoGoogleAds - Adveronix'!E:E)," ")</f>
        <v> </v>
      </c>
      <c r="V347" s="156"/>
      <c r="W347" s="157"/>
      <c r="X347" s="157"/>
      <c r="Y347" s="158"/>
      <c r="Z347" s="158">
        <f>IFERROR(COUNTIFS(Leads!$L:$L,$B347,Leads!$F:$F,"*google*"),0)</f>
        <v>0</v>
      </c>
      <c r="AA347" s="158">
        <f>IFERROR(COUNTIFS(Leads!$L:$L,$B347,Leads!$F:$F,"*google*",Leads!$N:$N,"Sim"),0)</f>
        <v>0</v>
      </c>
      <c r="AB347" s="152" t="str">
        <f t="array" ref="AB347">IFERROR(XLOOKUP(B347,'ImportaçãoMeta - Adveronix'!F:F,'ImportaçãoMeta - Adveronix'!B:B),"")</f>
        <v/>
      </c>
      <c r="AC347" s="154"/>
      <c r="AD347" s="154"/>
      <c r="AE347" s="159" t="str">
        <f t="array" ref="AE347">IFERROR(XLOOKUP(B347,'ImportaçãoMeta - Adveronix'!$F:$F,'ImportaçãoMeta - Adveronix'!C:C),"")</f>
        <v/>
      </c>
      <c r="AF347" s="159" t="str">
        <f t="array" ref="AF347">IFERROR(XLOOKUP(B347,'ImportaçãoMeta - Adveronix'!$F:$F,'ImportaçãoMeta - Adveronix'!D:D),"")</f>
        <v/>
      </c>
      <c r="AG347" s="159" t="str">
        <f t="array" ref="AG347">IFERROR(XLOOKUP(B347,'ImportaçãoMeta - Adveronix'!$F:$F,'ImportaçãoMeta - Adveronix'!E:E),"")</f>
        <v/>
      </c>
      <c r="AH347" s="157"/>
      <c r="AI347" s="157"/>
      <c r="AJ347" s="156"/>
      <c r="AK347" s="160">
        <f>IFERROR(COUNTIFS(Leads!$L:$L,$B347,Leads!$F:$F,"*MetaAds"),0)</f>
        <v>0</v>
      </c>
      <c r="AL347" s="160">
        <f>IFERROR(COUNTIFS(Leads!$L:$L,$B347,Leads!$F:$F,"*MetaAds*",Leads!$N:$N,"Sim"),0)</f>
        <v>0</v>
      </c>
    </row>
    <row r="348" ht="15.75" customHeight="1">
      <c r="A348" s="149" t="str">
        <f t="array" ref="A348">XLOOKUP(MONTH(B348),BASE!$F$16:$F$27,BASE!$G$16:$G$27)</f>
        <v>Dezembro</v>
      </c>
      <c r="B348" s="150">
        <v>46369.0</v>
      </c>
      <c r="C348" s="151"/>
      <c r="D348" s="149" t="str">
        <f t="shared" si="4"/>
        <v>domingo</v>
      </c>
      <c r="E348" s="152">
        <f t="shared" ref="E348:J348" si="695">IFERROR(SUM(P348,AB348)," ")</f>
        <v>0</v>
      </c>
      <c r="F348" s="152">
        <f t="shared" si="695"/>
        <v>0</v>
      </c>
      <c r="G348" s="152">
        <f t="shared" si="695"/>
        <v>0</v>
      </c>
      <c r="H348" s="153">
        <f t="shared" si="695"/>
        <v>0</v>
      </c>
      <c r="I348" s="153">
        <f t="shared" si="695"/>
        <v>0</v>
      </c>
      <c r="J348" s="153">
        <f t="shared" si="695"/>
        <v>0</v>
      </c>
      <c r="K348" s="153">
        <f t="shared" ref="K348:O348" si="696">IFERROR(SUM(W348,AH348)," ")</f>
        <v>0</v>
      </c>
      <c r="L348" s="153">
        <f t="shared" si="696"/>
        <v>0</v>
      </c>
      <c r="M348" s="153">
        <f t="shared" si="696"/>
        <v>0</v>
      </c>
      <c r="N348" s="153">
        <f t="shared" si="696"/>
        <v>0</v>
      </c>
      <c r="O348" s="153">
        <f t="shared" si="696"/>
        <v>0</v>
      </c>
      <c r="P348" s="152" t="str">
        <f t="array" ref="P348">IFERROR(XLOOKUP(B348,'ImportaçãoGoogleAds - Adveronix'!$F:$F,'ImportaçãoGoogleAds - Adveronix'!$B:$B)," ")</f>
        <v> </v>
      </c>
      <c r="Q348" s="154"/>
      <c r="R348" s="154"/>
      <c r="S348" s="155" t="str">
        <f t="array" ref="S348">IFERROR(XLOOKUP(B348,'ImportaçãoGoogleAds - Adveronix'!$F:$F,'ImportaçãoGoogleAds - Adveronix'!C:C)," ")</f>
        <v> </v>
      </c>
      <c r="T348" s="155" t="str">
        <f t="array" ref="T348">IFERROR(XLOOKUP(B348,'ImportaçãoGoogleAds - Adveronix'!$F:$F,'ImportaçãoGoogleAds - Adveronix'!D:D)," ")</f>
        <v> </v>
      </c>
      <c r="U348" s="155" t="str">
        <f t="array" ref="U348">IFERROR(XLOOKUP(B348,'ImportaçãoGoogleAds - Adveronix'!$F:$F,'ImportaçãoGoogleAds - Adveronix'!E:E)," ")</f>
        <v> </v>
      </c>
      <c r="V348" s="156"/>
      <c r="W348" s="157"/>
      <c r="X348" s="157"/>
      <c r="Y348" s="158"/>
      <c r="Z348" s="158">
        <f>IFERROR(COUNTIFS(Leads!$L:$L,$B348,Leads!$F:$F,"*google*"),0)</f>
        <v>0</v>
      </c>
      <c r="AA348" s="158">
        <f>IFERROR(COUNTIFS(Leads!$L:$L,$B348,Leads!$F:$F,"*google*",Leads!$N:$N,"Sim"),0)</f>
        <v>0</v>
      </c>
      <c r="AB348" s="152" t="str">
        <f t="array" ref="AB348">IFERROR(XLOOKUP(B348,'ImportaçãoMeta - Adveronix'!F:F,'ImportaçãoMeta - Adveronix'!B:B),"")</f>
        <v/>
      </c>
      <c r="AC348" s="154"/>
      <c r="AD348" s="154"/>
      <c r="AE348" s="159" t="str">
        <f t="array" ref="AE348">IFERROR(XLOOKUP(B348,'ImportaçãoMeta - Adveronix'!$F:$F,'ImportaçãoMeta - Adveronix'!C:C),"")</f>
        <v/>
      </c>
      <c r="AF348" s="159" t="str">
        <f t="array" ref="AF348">IFERROR(XLOOKUP(B348,'ImportaçãoMeta - Adveronix'!$F:$F,'ImportaçãoMeta - Adveronix'!D:D),"")</f>
        <v/>
      </c>
      <c r="AG348" s="159" t="str">
        <f t="array" ref="AG348">IFERROR(XLOOKUP(B348,'ImportaçãoMeta - Adveronix'!$F:$F,'ImportaçãoMeta - Adveronix'!E:E),"")</f>
        <v/>
      </c>
      <c r="AH348" s="157"/>
      <c r="AI348" s="157"/>
      <c r="AJ348" s="156"/>
      <c r="AK348" s="160">
        <f>IFERROR(COUNTIFS(Leads!$L:$L,$B348,Leads!$F:$F,"*MetaAds"),0)</f>
        <v>0</v>
      </c>
      <c r="AL348" s="160">
        <f>IFERROR(COUNTIFS(Leads!$L:$L,$B348,Leads!$F:$F,"*MetaAds*",Leads!$N:$N,"Sim"),0)</f>
        <v>0</v>
      </c>
    </row>
    <row r="349" ht="15.75" customHeight="1">
      <c r="A349" s="149" t="str">
        <f t="array" ref="A349">XLOOKUP(MONTH(B349),BASE!$F$16:$F$27,BASE!$G$16:$G$27)</f>
        <v>Dezembro</v>
      </c>
      <c r="B349" s="150">
        <v>46370.0</v>
      </c>
      <c r="C349" s="151"/>
      <c r="D349" s="149" t="str">
        <f t="shared" si="4"/>
        <v>segunda-feira</v>
      </c>
      <c r="E349" s="152">
        <f t="shared" ref="E349:J349" si="697">IFERROR(SUM(P349,AB349)," ")</f>
        <v>0</v>
      </c>
      <c r="F349" s="152">
        <f t="shared" si="697"/>
        <v>0</v>
      </c>
      <c r="G349" s="152">
        <f t="shared" si="697"/>
        <v>0</v>
      </c>
      <c r="H349" s="153">
        <f t="shared" si="697"/>
        <v>0</v>
      </c>
      <c r="I349" s="153">
        <f t="shared" si="697"/>
        <v>0</v>
      </c>
      <c r="J349" s="153">
        <f t="shared" si="697"/>
        <v>0</v>
      </c>
      <c r="K349" s="153">
        <f t="shared" ref="K349:O349" si="698">IFERROR(SUM(W349,AH349)," ")</f>
        <v>0</v>
      </c>
      <c r="L349" s="153">
        <f t="shared" si="698"/>
        <v>0</v>
      </c>
      <c r="M349" s="153">
        <f t="shared" si="698"/>
        <v>0</v>
      </c>
      <c r="N349" s="153">
        <f t="shared" si="698"/>
        <v>0</v>
      </c>
      <c r="O349" s="153">
        <f t="shared" si="698"/>
        <v>0</v>
      </c>
      <c r="P349" s="152" t="str">
        <f t="array" ref="P349">IFERROR(XLOOKUP(B349,'ImportaçãoGoogleAds - Adveronix'!$F:$F,'ImportaçãoGoogleAds - Adveronix'!$B:$B)," ")</f>
        <v> </v>
      </c>
      <c r="Q349" s="154"/>
      <c r="R349" s="154"/>
      <c r="S349" s="155" t="str">
        <f t="array" ref="S349">IFERROR(XLOOKUP(B349,'ImportaçãoGoogleAds - Adveronix'!$F:$F,'ImportaçãoGoogleAds - Adveronix'!C:C)," ")</f>
        <v> </v>
      </c>
      <c r="T349" s="155" t="str">
        <f t="array" ref="T349">IFERROR(XLOOKUP(B349,'ImportaçãoGoogleAds - Adveronix'!$F:$F,'ImportaçãoGoogleAds - Adveronix'!D:D)," ")</f>
        <v> </v>
      </c>
      <c r="U349" s="155" t="str">
        <f t="array" ref="U349">IFERROR(XLOOKUP(B349,'ImportaçãoGoogleAds - Adveronix'!$F:$F,'ImportaçãoGoogleAds - Adveronix'!E:E)," ")</f>
        <v> </v>
      </c>
      <c r="V349" s="156"/>
      <c r="W349" s="157"/>
      <c r="X349" s="157"/>
      <c r="Y349" s="158"/>
      <c r="Z349" s="158">
        <f>IFERROR(COUNTIFS(Leads!$L:$L,$B349,Leads!$F:$F,"*google*"),0)</f>
        <v>0</v>
      </c>
      <c r="AA349" s="158">
        <f>IFERROR(COUNTIFS(Leads!$L:$L,$B349,Leads!$F:$F,"*google*",Leads!$N:$N,"Sim"),0)</f>
        <v>0</v>
      </c>
      <c r="AB349" s="152" t="str">
        <f t="array" ref="AB349">IFERROR(XLOOKUP(B349,'ImportaçãoMeta - Adveronix'!F:F,'ImportaçãoMeta - Adveronix'!B:B),"")</f>
        <v/>
      </c>
      <c r="AC349" s="154"/>
      <c r="AD349" s="154"/>
      <c r="AE349" s="159" t="str">
        <f t="array" ref="AE349">IFERROR(XLOOKUP(B349,'ImportaçãoMeta - Adveronix'!$F:$F,'ImportaçãoMeta - Adveronix'!C:C),"")</f>
        <v/>
      </c>
      <c r="AF349" s="159" t="str">
        <f t="array" ref="AF349">IFERROR(XLOOKUP(B349,'ImportaçãoMeta - Adveronix'!$F:$F,'ImportaçãoMeta - Adveronix'!D:D),"")</f>
        <v/>
      </c>
      <c r="AG349" s="159" t="str">
        <f t="array" ref="AG349">IFERROR(XLOOKUP(B349,'ImportaçãoMeta - Adveronix'!$F:$F,'ImportaçãoMeta - Adveronix'!E:E),"")</f>
        <v/>
      </c>
      <c r="AH349" s="157"/>
      <c r="AI349" s="157"/>
      <c r="AJ349" s="156"/>
      <c r="AK349" s="160">
        <f>IFERROR(COUNTIFS(Leads!$L:$L,$B349,Leads!$F:$F,"*MetaAds"),0)</f>
        <v>0</v>
      </c>
      <c r="AL349" s="160">
        <f>IFERROR(COUNTIFS(Leads!$L:$L,$B349,Leads!$F:$F,"*MetaAds*",Leads!$N:$N,"Sim"),0)</f>
        <v>0</v>
      </c>
    </row>
    <row r="350" ht="15.75" customHeight="1">
      <c r="A350" s="149" t="str">
        <f t="array" ref="A350">XLOOKUP(MONTH(B350),BASE!$F$16:$F$27,BASE!$G$16:$G$27)</f>
        <v>Dezembro</v>
      </c>
      <c r="B350" s="150">
        <v>46371.0</v>
      </c>
      <c r="C350" s="151"/>
      <c r="D350" s="149" t="str">
        <f t="shared" si="4"/>
        <v>terça-feira</v>
      </c>
      <c r="E350" s="152">
        <f t="shared" ref="E350:J350" si="699">IFERROR(SUM(P350,AB350)," ")</f>
        <v>0</v>
      </c>
      <c r="F350" s="152">
        <f t="shared" si="699"/>
        <v>0</v>
      </c>
      <c r="G350" s="152">
        <f t="shared" si="699"/>
        <v>0</v>
      </c>
      <c r="H350" s="153">
        <f t="shared" si="699"/>
        <v>0</v>
      </c>
      <c r="I350" s="153">
        <f t="shared" si="699"/>
        <v>0</v>
      </c>
      <c r="J350" s="153">
        <f t="shared" si="699"/>
        <v>0</v>
      </c>
      <c r="K350" s="153">
        <f t="shared" ref="K350:O350" si="700">IFERROR(SUM(W350,AH350)," ")</f>
        <v>0</v>
      </c>
      <c r="L350" s="153">
        <f t="shared" si="700"/>
        <v>0</v>
      </c>
      <c r="M350" s="153">
        <f t="shared" si="700"/>
        <v>0</v>
      </c>
      <c r="N350" s="153">
        <f t="shared" si="700"/>
        <v>0</v>
      </c>
      <c r="O350" s="153">
        <f t="shared" si="700"/>
        <v>0</v>
      </c>
      <c r="P350" s="152" t="str">
        <f t="array" ref="P350">IFERROR(XLOOKUP(B350,'ImportaçãoGoogleAds - Adveronix'!$F:$F,'ImportaçãoGoogleAds - Adveronix'!$B:$B)," ")</f>
        <v> </v>
      </c>
      <c r="Q350" s="154"/>
      <c r="R350" s="154"/>
      <c r="S350" s="155" t="str">
        <f t="array" ref="S350">IFERROR(XLOOKUP(B350,'ImportaçãoGoogleAds - Adveronix'!$F:$F,'ImportaçãoGoogleAds - Adveronix'!C:C)," ")</f>
        <v> </v>
      </c>
      <c r="T350" s="155" t="str">
        <f t="array" ref="T350">IFERROR(XLOOKUP(B350,'ImportaçãoGoogleAds - Adveronix'!$F:$F,'ImportaçãoGoogleAds - Adveronix'!D:D)," ")</f>
        <v> </v>
      </c>
      <c r="U350" s="155" t="str">
        <f t="array" ref="U350">IFERROR(XLOOKUP(B350,'ImportaçãoGoogleAds - Adveronix'!$F:$F,'ImportaçãoGoogleAds - Adveronix'!E:E)," ")</f>
        <v> </v>
      </c>
      <c r="V350" s="156"/>
      <c r="W350" s="157"/>
      <c r="X350" s="157"/>
      <c r="Y350" s="158"/>
      <c r="Z350" s="158">
        <f>IFERROR(COUNTIFS(Leads!$L:$L,$B350,Leads!$F:$F,"*google*"),0)</f>
        <v>0</v>
      </c>
      <c r="AA350" s="158">
        <f>IFERROR(COUNTIFS(Leads!$L:$L,$B350,Leads!$F:$F,"*google*",Leads!$N:$N,"Sim"),0)</f>
        <v>0</v>
      </c>
      <c r="AB350" s="152" t="str">
        <f t="array" ref="AB350">IFERROR(XLOOKUP(B350,'ImportaçãoMeta - Adveronix'!F:F,'ImportaçãoMeta - Adveronix'!B:B),"")</f>
        <v/>
      </c>
      <c r="AC350" s="154"/>
      <c r="AD350" s="154"/>
      <c r="AE350" s="159" t="str">
        <f t="array" ref="AE350">IFERROR(XLOOKUP(B350,'ImportaçãoMeta - Adveronix'!$F:$F,'ImportaçãoMeta - Adveronix'!C:C),"")</f>
        <v/>
      </c>
      <c r="AF350" s="159" t="str">
        <f t="array" ref="AF350">IFERROR(XLOOKUP(B350,'ImportaçãoMeta - Adveronix'!$F:$F,'ImportaçãoMeta - Adveronix'!D:D),"")</f>
        <v/>
      </c>
      <c r="AG350" s="159" t="str">
        <f t="array" ref="AG350">IFERROR(XLOOKUP(B350,'ImportaçãoMeta - Adveronix'!$F:$F,'ImportaçãoMeta - Adveronix'!E:E),"")</f>
        <v/>
      </c>
      <c r="AH350" s="157"/>
      <c r="AI350" s="157"/>
      <c r="AJ350" s="156"/>
      <c r="AK350" s="160">
        <f>IFERROR(COUNTIFS(Leads!$L:$L,$B350,Leads!$F:$F,"*MetaAds"),0)</f>
        <v>0</v>
      </c>
      <c r="AL350" s="160">
        <f>IFERROR(COUNTIFS(Leads!$L:$L,$B350,Leads!$F:$F,"*MetaAds*",Leads!$N:$N,"Sim"),0)</f>
        <v>0</v>
      </c>
    </row>
    <row r="351" ht="15.75" customHeight="1">
      <c r="A351" s="149" t="str">
        <f t="array" ref="A351">XLOOKUP(MONTH(B351),BASE!$F$16:$F$27,BASE!$G$16:$G$27)</f>
        <v>Dezembro</v>
      </c>
      <c r="B351" s="150">
        <v>46372.0</v>
      </c>
      <c r="C351" s="151"/>
      <c r="D351" s="149" t="str">
        <f t="shared" si="4"/>
        <v>quarta-feira</v>
      </c>
      <c r="E351" s="152">
        <f t="shared" ref="E351:J351" si="701">IFERROR(SUM(P351,AB351)," ")</f>
        <v>0</v>
      </c>
      <c r="F351" s="152">
        <f t="shared" si="701"/>
        <v>0</v>
      </c>
      <c r="G351" s="152">
        <f t="shared" si="701"/>
        <v>0</v>
      </c>
      <c r="H351" s="153">
        <f t="shared" si="701"/>
        <v>0</v>
      </c>
      <c r="I351" s="153">
        <f t="shared" si="701"/>
        <v>0</v>
      </c>
      <c r="J351" s="153">
        <f t="shared" si="701"/>
        <v>0</v>
      </c>
      <c r="K351" s="153">
        <f t="shared" ref="K351:O351" si="702">IFERROR(SUM(W351,AH351)," ")</f>
        <v>0</v>
      </c>
      <c r="L351" s="153">
        <f t="shared" si="702"/>
        <v>0</v>
      </c>
      <c r="M351" s="153">
        <f t="shared" si="702"/>
        <v>0</v>
      </c>
      <c r="N351" s="153">
        <f t="shared" si="702"/>
        <v>0</v>
      </c>
      <c r="O351" s="153">
        <f t="shared" si="702"/>
        <v>0</v>
      </c>
      <c r="P351" s="152" t="str">
        <f t="array" ref="P351">IFERROR(XLOOKUP(B351,'ImportaçãoGoogleAds - Adveronix'!$F:$F,'ImportaçãoGoogleAds - Adveronix'!$B:$B)," ")</f>
        <v> </v>
      </c>
      <c r="Q351" s="154"/>
      <c r="R351" s="154"/>
      <c r="S351" s="155" t="str">
        <f t="array" ref="S351">IFERROR(XLOOKUP(B351,'ImportaçãoGoogleAds - Adveronix'!$F:$F,'ImportaçãoGoogleAds - Adveronix'!C:C)," ")</f>
        <v> </v>
      </c>
      <c r="T351" s="155" t="str">
        <f t="array" ref="T351">IFERROR(XLOOKUP(B351,'ImportaçãoGoogleAds - Adveronix'!$F:$F,'ImportaçãoGoogleAds - Adveronix'!D:D)," ")</f>
        <v> </v>
      </c>
      <c r="U351" s="155" t="str">
        <f t="array" ref="U351">IFERROR(XLOOKUP(B351,'ImportaçãoGoogleAds - Adveronix'!$F:$F,'ImportaçãoGoogleAds - Adveronix'!E:E)," ")</f>
        <v> </v>
      </c>
      <c r="V351" s="156"/>
      <c r="W351" s="157"/>
      <c r="X351" s="157"/>
      <c r="Y351" s="158"/>
      <c r="Z351" s="158">
        <f>IFERROR(COUNTIFS(Leads!$L:$L,$B351,Leads!$F:$F,"*google*"),0)</f>
        <v>0</v>
      </c>
      <c r="AA351" s="158">
        <f>IFERROR(COUNTIFS(Leads!$L:$L,$B351,Leads!$F:$F,"*google*",Leads!$N:$N,"Sim"),0)</f>
        <v>0</v>
      </c>
      <c r="AB351" s="152" t="str">
        <f t="array" ref="AB351">IFERROR(XLOOKUP(B351,'ImportaçãoMeta - Adveronix'!F:F,'ImportaçãoMeta - Adveronix'!B:B),"")</f>
        <v/>
      </c>
      <c r="AC351" s="154"/>
      <c r="AD351" s="154"/>
      <c r="AE351" s="159" t="str">
        <f t="array" ref="AE351">IFERROR(XLOOKUP(B351,'ImportaçãoMeta - Adveronix'!$F:$F,'ImportaçãoMeta - Adveronix'!C:C),"")</f>
        <v/>
      </c>
      <c r="AF351" s="159" t="str">
        <f t="array" ref="AF351">IFERROR(XLOOKUP(B351,'ImportaçãoMeta - Adveronix'!$F:$F,'ImportaçãoMeta - Adveronix'!D:D),"")</f>
        <v/>
      </c>
      <c r="AG351" s="159" t="str">
        <f t="array" ref="AG351">IFERROR(XLOOKUP(B351,'ImportaçãoMeta - Adveronix'!$F:$F,'ImportaçãoMeta - Adveronix'!E:E),"")</f>
        <v/>
      </c>
      <c r="AH351" s="157"/>
      <c r="AI351" s="157"/>
      <c r="AJ351" s="156"/>
      <c r="AK351" s="160">
        <f>IFERROR(COUNTIFS(Leads!$L:$L,$B351,Leads!$F:$F,"*MetaAds"),0)</f>
        <v>0</v>
      </c>
      <c r="AL351" s="160">
        <f>IFERROR(COUNTIFS(Leads!$L:$L,$B351,Leads!$F:$F,"*MetaAds*",Leads!$N:$N,"Sim"),0)</f>
        <v>0</v>
      </c>
    </row>
    <row r="352" ht="15.75" customHeight="1">
      <c r="A352" s="149" t="str">
        <f t="array" ref="A352">XLOOKUP(MONTH(B352),BASE!$F$16:$F$27,BASE!$G$16:$G$27)</f>
        <v>Dezembro</v>
      </c>
      <c r="B352" s="150">
        <v>46373.0</v>
      </c>
      <c r="C352" s="151"/>
      <c r="D352" s="149" t="str">
        <f t="shared" si="4"/>
        <v>quinta-feira</v>
      </c>
      <c r="E352" s="152">
        <f t="shared" ref="E352:J352" si="703">IFERROR(SUM(P352,AB352)," ")</f>
        <v>0</v>
      </c>
      <c r="F352" s="152">
        <f t="shared" si="703"/>
        <v>0</v>
      </c>
      <c r="G352" s="152">
        <f t="shared" si="703"/>
        <v>0</v>
      </c>
      <c r="H352" s="153">
        <f t="shared" si="703"/>
        <v>0</v>
      </c>
      <c r="I352" s="153">
        <f t="shared" si="703"/>
        <v>0</v>
      </c>
      <c r="J352" s="153">
        <f t="shared" si="703"/>
        <v>0</v>
      </c>
      <c r="K352" s="153">
        <f t="shared" ref="K352:O352" si="704">IFERROR(SUM(W352,AH352)," ")</f>
        <v>0</v>
      </c>
      <c r="L352" s="153">
        <f t="shared" si="704"/>
        <v>0</v>
      </c>
      <c r="M352" s="153">
        <f t="shared" si="704"/>
        <v>0</v>
      </c>
      <c r="N352" s="153">
        <f t="shared" si="704"/>
        <v>0</v>
      </c>
      <c r="O352" s="153">
        <f t="shared" si="704"/>
        <v>0</v>
      </c>
      <c r="P352" s="152" t="str">
        <f t="array" ref="P352">IFERROR(XLOOKUP(B352,'ImportaçãoGoogleAds - Adveronix'!$F:$F,'ImportaçãoGoogleAds - Adveronix'!$B:$B)," ")</f>
        <v> </v>
      </c>
      <c r="Q352" s="154"/>
      <c r="R352" s="154"/>
      <c r="S352" s="155" t="str">
        <f t="array" ref="S352">IFERROR(XLOOKUP(B352,'ImportaçãoGoogleAds - Adveronix'!$F:$F,'ImportaçãoGoogleAds - Adveronix'!C:C)," ")</f>
        <v> </v>
      </c>
      <c r="T352" s="155" t="str">
        <f t="array" ref="T352">IFERROR(XLOOKUP(B352,'ImportaçãoGoogleAds - Adveronix'!$F:$F,'ImportaçãoGoogleAds - Adveronix'!D:D)," ")</f>
        <v> </v>
      </c>
      <c r="U352" s="155" t="str">
        <f t="array" ref="U352">IFERROR(XLOOKUP(B352,'ImportaçãoGoogleAds - Adveronix'!$F:$F,'ImportaçãoGoogleAds - Adveronix'!E:E)," ")</f>
        <v> </v>
      </c>
      <c r="V352" s="156"/>
      <c r="W352" s="157"/>
      <c r="X352" s="157"/>
      <c r="Y352" s="158"/>
      <c r="Z352" s="158">
        <f>IFERROR(COUNTIFS(Leads!$L:$L,$B352,Leads!$F:$F,"*google*"),0)</f>
        <v>0</v>
      </c>
      <c r="AA352" s="158">
        <f>IFERROR(COUNTIFS(Leads!$L:$L,$B352,Leads!$F:$F,"*google*",Leads!$N:$N,"Sim"),0)</f>
        <v>0</v>
      </c>
      <c r="AB352" s="152" t="str">
        <f t="array" ref="AB352">IFERROR(XLOOKUP(B352,'ImportaçãoMeta - Adveronix'!F:F,'ImportaçãoMeta - Adveronix'!B:B),"")</f>
        <v/>
      </c>
      <c r="AC352" s="154"/>
      <c r="AD352" s="154"/>
      <c r="AE352" s="159" t="str">
        <f t="array" ref="AE352">IFERROR(XLOOKUP(B352,'ImportaçãoMeta - Adveronix'!$F:$F,'ImportaçãoMeta - Adveronix'!C:C),"")</f>
        <v/>
      </c>
      <c r="AF352" s="159" t="str">
        <f t="array" ref="AF352">IFERROR(XLOOKUP(B352,'ImportaçãoMeta - Adveronix'!$F:$F,'ImportaçãoMeta - Adveronix'!D:D),"")</f>
        <v/>
      </c>
      <c r="AG352" s="159" t="str">
        <f t="array" ref="AG352">IFERROR(XLOOKUP(B352,'ImportaçãoMeta - Adveronix'!$F:$F,'ImportaçãoMeta - Adveronix'!E:E),"")</f>
        <v/>
      </c>
      <c r="AH352" s="157"/>
      <c r="AI352" s="157"/>
      <c r="AJ352" s="156"/>
      <c r="AK352" s="160">
        <f>IFERROR(COUNTIFS(Leads!$L:$L,$B352,Leads!$F:$F,"*MetaAds"),0)</f>
        <v>0</v>
      </c>
      <c r="AL352" s="160">
        <f>IFERROR(COUNTIFS(Leads!$L:$L,$B352,Leads!$F:$F,"*MetaAds*",Leads!$N:$N,"Sim"),0)</f>
        <v>0</v>
      </c>
    </row>
    <row r="353" ht="15.75" customHeight="1">
      <c r="A353" s="149" t="str">
        <f t="array" ref="A353">XLOOKUP(MONTH(B353),BASE!$F$16:$F$27,BASE!$G$16:$G$27)</f>
        <v>Dezembro</v>
      </c>
      <c r="B353" s="150">
        <v>46374.0</v>
      </c>
      <c r="C353" s="151"/>
      <c r="D353" s="149" t="str">
        <f t="shared" si="4"/>
        <v>sexta-feira</v>
      </c>
      <c r="E353" s="152">
        <f t="shared" ref="E353:J353" si="705">IFERROR(SUM(P353,AB353)," ")</f>
        <v>0</v>
      </c>
      <c r="F353" s="152">
        <f t="shared" si="705"/>
        <v>0</v>
      </c>
      <c r="G353" s="152">
        <f t="shared" si="705"/>
        <v>0</v>
      </c>
      <c r="H353" s="153">
        <f t="shared" si="705"/>
        <v>0</v>
      </c>
      <c r="I353" s="153">
        <f t="shared" si="705"/>
        <v>0</v>
      </c>
      <c r="J353" s="153">
        <f t="shared" si="705"/>
        <v>0</v>
      </c>
      <c r="K353" s="153">
        <f t="shared" ref="K353:O353" si="706">IFERROR(SUM(W353,AH353)," ")</f>
        <v>0</v>
      </c>
      <c r="L353" s="153">
        <f t="shared" si="706"/>
        <v>0</v>
      </c>
      <c r="M353" s="153">
        <f t="shared" si="706"/>
        <v>0</v>
      </c>
      <c r="N353" s="153">
        <f t="shared" si="706"/>
        <v>0</v>
      </c>
      <c r="O353" s="153">
        <f t="shared" si="706"/>
        <v>0</v>
      </c>
      <c r="P353" s="152" t="str">
        <f t="array" ref="P353">IFERROR(XLOOKUP(B353,'ImportaçãoGoogleAds - Adveronix'!$F:$F,'ImportaçãoGoogleAds - Adveronix'!$B:$B)," ")</f>
        <v> </v>
      </c>
      <c r="Q353" s="154"/>
      <c r="R353" s="154"/>
      <c r="S353" s="155" t="str">
        <f t="array" ref="S353">IFERROR(XLOOKUP(B353,'ImportaçãoGoogleAds - Adveronix'!$F:$F,'ImportaçãoGoogleAds - Adveronix'!C:C)," ")</f>
        <v> </v>
      </c>
      <c r="T353" s="155" t="str">
        <f t="array" ref="T353">IFERROR(XLOOKUP(B353,'ImportaçãoGoogleAds - Adveronix'!$F:$F,'ImportaçãoGoogleAds - Adveronix'!D:D)," ")</f>
        <v> </v>
      </c>
      <c r="U353" s="155" t="str">
        <f t="array" ref="U353">IFERROR(XLOOKUP(B353,'ImportaçãoGoogleAds - Adveronix'!$F:$F,'ImportaçãoGoogleAds - Adveronix'!E:E)," ")</f>
        <v> </v>
      </c>
      <c r="V353" s="156"/>
      <c r="W353" s="157"/>
      <c r="X353" s="157"/>
      <c r="Y353" s="158"/>
      <c r="Z353" s="158">
        <f>IFERROR(COUNTIFS(Leads!$L:$L,$B353,Leads!$F:$F,"*google*"),0)</f>
        <v>0</v>
      </c>
      <c r="AA353" s="158">
        <f>IFERROR(COUNTIFS(Leads!$L:$L,$B353,Leads!$F:$F,"*google*",Leads!$N:$N,"Sim"),0)</f>
        <v>0</v>
      </c>
      <c r="AB353" s="152" t="str">
        <f t="array" ref="AB353">IFERROR(XLOOKUP(B353,'ImportaçãoMeta - Adveronix'!F:F,'ImportaçãoMeta - Adveronix'!B:B),"")</f>
        <v/>
      </c>
      <c r="AC353" s="154"/>
      <c r="AD353" s="154"/>
      <c r="AE353" s="159" t="str">
        <f t="array" ref="AE353">IFERROR(XLOOKUP(B353,'ImportaçãoMeta - Adveronix'!$F:$F,'ImportaçãoMeta - Adveronix'!C:C),"")</f>
        <v/>
      </c>
      <c r="AF353" s="159" t="str">
        <f t="array" ref="AF353">IFERROR(XLOOKUP(B353,'ImportaçãoMeta - Adveronix'!$F:$F,'ImportaçãoMeta - Adveronix'!D:D),"")</f>
        <v/>
      </c>
      <c r="AG353" s="159" t="str">
        <f t="array" ref="AG353">IFERROR(XLOOKUP(B353,'ImportaçãoMeta - Adveronix'!$F:$F,'ImportaçãoMeta - Adveronix'!E:E),"")</f>
        <v/>
      </c>
      <c r="AH353" s="157"/>
      <c r="AI353" s="157"/>
      <c r="AJ353" s="156"/>
      <c r="AK353" s="160">
        <f>IFERROR(COUNTIFS(Leads!$L:$L,$B353,Leads!$F:$F,"*MetaAds"),0)</f>
        <v>0</v>
      </c>
      <c r="AL353" s="160">
        <f>IFERROR(COUNTIFS(Leads!$L:$L,$B353,Leads!$F:$F,"*MetaAds*",Leads!$N:$N,"Sim"),0)</f>
        <v>0</v>
      </c>
    </row>
    <row r="354" ht="15.75" customHeight="1">
      <c r="A354" s="149" t="str">
        <f t="array" ref="A354">XLOOKUP(MONTH(B354),BASE!$F$16:$F$27,BASE!$G$16:$G$27)</f>
        <v>Dezembro</v>
      </c>
      <c r="B354" s="150">
        <v>46375.0</v>
      </c>
      <c r="C354" s="151"/>
      <c r="D354" s="149" t="str">
        <f t="shared" si="4"/>
        <v>sábado</v>
      </c>
      <c r="E354" s="152">
        <f t="shared" ref="E354:J354" si="707">IFERROR(SUM(P354,AB354)," ")</f>
        <v>0</v>
      </c>
      <c r="F354" s="152">
        <f t="shared" si="707"/>
        <v>0</v>
      </c>
      <c r="G354" s="152">
        <f t="shared" si="707"/>
        <v>0</v>
      </c>
      <c r="H354" s="153">
        <f t="shared" si="707"/>
        <v>0</v>
      </c>
      <c r="I354" s="153">
        <f t="shared" si="707"/>
        <v>0</v>
      </c>
      <c r="J354" s="153">
        <f t="shared" si="707"/>
        <v>0</v>
      </c>
      <c r="K354" s="153">
        <f t="shared" ref="K354:O354" si="708">IFERROR(SUM(W354,AH354)," ")</f>
        <v>0</v>
      </c>
      <c r="L354" s="153">
        <f t="shared" si="708"/>
        <v>0</v>
      </c>
      <c r="M354" s="153">
        <f t="shared" si="708"/>
        <v>0</v>
      </c>
      <c r="N354" s="153">
        <f t="shared" si="708"/>
        <v>0</v>
      </c>
      <c r="O354" s="153">
        <f t="shared" si="708"/>
        <v>0</v>
      </c>
      <c r="P354" s="152" t="str">
        <f t="array" ref="P354">IFERROR(XLOOKUP(B354,'ImportaçãoGoogleAds - Adveronix'!$F:$F,'ImportaçãoGoogleAds - Adveronix'!$B:$B)," ")</f>
        <v> </v>
      </c>
      <c r="Q354" s="154"/>
      <c r="R354" s="154"/>
      <c r="S354" s="155" t="str">
        <f t="array" ref="S354">IFERROR(XLOOKUP(B354,'ImportaçãoGoogleAds - Adveronix'!$F:$F,'ImportaçãoGoogleAds - Adveronix'!C:C)," ")</f>
        <v> </v>
      </c>
      <c r="T354" s="155" t="str">
        <f t="array" ref="T354">IFERROR(XLOOKUP(B354,'ImportaçãoGoogleAds - Adveronix'!$F:$F,'ImportaçãoGoogleAds - Adveronix'!D:D)," ")</f>
        <v> </v>
      </c>
      <c r="U354" s="155" t="str">
        <f t="array" ref="U354">IFERROR(XLOOKUP(B354,'ImportaçãoGoogleAds - Adveronix'!$F:$F,'ImportaçãoGoogleAds - Adveronix'!E:E)," ")</f>
        <v> </v>
      </c>
      <c r="V354" s="156"/>
      <c r="W354" s="157"/>
      <c r="X354" s="157"/>
      <c r="Y354" s="158"/>
      <c r="Z354" s="158">
        <f>IFERROR(COUNTIFS(Leads!$L:$L,$B354,Leads!$F:$F,"*google*"),0)</f>
        <v>0</v>
      </c>
      <c r="AA354" s="158">
        <f>IFERROR(COUNTIFS(Leads!$L:$L,$B354,Leads!$F:$F,"*google*",Leads!$N:$N,"Sim"),0)</f>
        <v>0</v>
      </c>
      <c r="AB354" s="152" t="str">
        <f t="array" ref="AB354">IFERROR(XLOOKUP(B354,'ImportaçãoMeta - Adveronix'!F:F,'ImportaçãoMeta - Adveronix'!B:B),"")</f>
        <v/>
      </c>
      <c r="AC354" s="154"/>
      <c r="AD354" s="154"/>
      <c r="AE354" s="159" t="str">
        <f t="array" ref="AE354">IFERROR(XLOOKUP(B354,'ImportaçãoMeta - Adveronix'!$F:$F,'ImportaçãoMeta - Adveronix'!C:C),"")</f>
        <v/>
      </c>
      <c r="AF354" s="159" t="str">
        <f t="array" ref="AF354">IFERROR(XLOOKUP(B354,'ImportaçãoMeta - Adveronix'!$F:$F,'ImportaçãoMeta - Adveronix'!D:D),"")</f>
        <v/>
      </c>
      <c r="AG354" s="159" t="str">
        <f t="array" ref="AG354">IFERROR(XLOOKUP(B354,'ImportaçãoMeta - Adveronix'!$F:$F,'ImportaçãoMeta - Adveronix'!E:E),"")</f>
        <v/>
      </c>
      <c r="AH354" s="157"/>
      <c r="AI354" s="157"/>
      <c r="AJ354" s="156"/>
      <c r="AK354" s="160">
        <f>IFERROR(COUNTIFS(Leads!$L:$L,$B354,Leads!$F:$F,"*MetaAds"),0)</f>
        <v>0</v>
      </c>
      <c r="AL354" s="160">
        <f>IFERROR(COUNTIFS(Leads!$L:$L,$B354,Leads!$F:$F,"*MetaAds*",Leads!$N:$N,"Sim"),0)</f>
        <v>0</v>
      </c>
    </row>
    <row r="355" ht="15.75" customHeight="1">
      <c r="A355" s="149" t="str">
        <f t="array" ref="A355">XLOOKUP(MONTH(B355),BASE!$F$16:$F$27,BASE!$G$16:$G$27)</f>
        <v>Dezembro</v>
      </c>
      <c r="B355" s="150">
        <v>46376.0</v>
      </c>
      <c r="C355" s="151"/>
      <c r="D355" s="149" t="str">
        <f t="shared" si="4"/>
        <v>domingo</v>
      </c>
      <c r="E355" s="152">
        <f t="shared" ref="E355:J355" si="709">IFERROR(SUM(P355,AB355)," ")</f>
        <v>0</v>
      </c>
      <c r="F355" s="152">
        <f t="shared" si="709"/>
        <v>0</v>
      </c>
      <c r="G355" s="152">
        <f t="shared" si="709"/>
        <v>0</v>
      </c>
      <c r="H355" s="153">
        <f t="shared" si="709"/>
        <v>0</v>
      </c>
      <c r="I355" s="153">
        <f t="shared" si="709"/>
        <v>0</v>
      </c>
      <c r="J355" s="153">
        <f t="shared" si="709"/>
        <v>0</v>
      </c>
      <c r="K355" s="153">
        <f t="shared" ref="K355:O355" si="710">IFERROR(SUM(W355,AH355)," ")</f>
        <v>0</v>
      </c>
      <c r="L355" s="153">
        <f t="shared" si="710"/>
        <v>0</v>
      </c>
      <c r="M355" s="153">
        <f t="shared" si="710"/>
        <v>0</v>
      </c>
      <c r="N355" s="153">
        <f t="shared" si="710"/>
        <v>0</v>
      </c>
      <c r="O355" s="153">
        <f t="shared" si="710"/>
        <v>0</v>
      </c>
      <c r="P355" s="152" t="str">
        <f t="array" ref="P355">IFERROR(XLOOKUP(B355,'ImportaçãoGoogleAds - Adveronix'!$F:$F,'ImportaçãoGoogleAds - Adveronix'!$B:$B)," ")</f>
        <v> </v>
      </c>
      <c r="Q355" s="154"/>
      <c r="R355" s="154"/>
      <c r="S355" s="155" t="str">
        <f t="array" ref="S355">IFERROR(XLOOKUP(B355,'ImportaçãoGoogleAds - Adveronix'!$F:$F,'ImportaçãoGoogleAds - Adveronix'!C:C)," ")</f>
        <v> </v>
      </c>
      <c r="T355" s="155" t="str">
        <f t="array" ref="T355">IFERROR(XLOOKUP(B355,'ImportaçãoGoogleAds - Adveronix'!$F:$F,'ImportaçãoGoogleAds - Adveronix'!D:D)," ")</f>
        <v> </v>
      </c>
      <c r="U355" s="155" t="str">
        <f t="array" ref="U355">IFERROR(XLOOKUP(B355,'ImportaçãoGoogleAds - Adveronix'!$F:$F,'ImportaçãoGoogleAds - Adveronix'!E:E)," ")</f>
        <v> </v>
      </c>
      <c r="V355" s="156"/>
      <c r="W355" s="157"/>
      <c r="X355" s="157"/>
      <c r="Y355" s="158"/>
      <c r="Z355" s="158">
        <f>IFERROR(COUNTIFS(Leads!$L:$L,$B355,Leads!$F:$F,"*google*"),0)</f>
        <v>0</v>
      </c>
      <c r="AA355" s="158">
        <f>IFERROR(COUNTIFS(Leads!$L:$L,$B355,Leads!$F:$F,"*google*",Leads!$N:$N,"Sim"),0)</f>
        <v>0</v>
      </c>
      <c r="AB355" s="152" t="str">
        <f t="array" ref="AB355">IFERROR(XLOOKUP(B355,'ImportaçãoMeta - Adveronix'!F:F,'ImportaçãoMeta - Adveronix'!B:B),"")</f>
        <v/>
      </c>
      <c r="AC355" s="154"/>
      <c r="AD355" s="154"/>
      <c r="AE355" s="159" t="str">
        <f t="array" ref="AE355">IFERROR(XLOOKUP(B355,'ImportaçãoMeta - Adveronix'!$F:$F,'ImportaçãoMeta - Adveronix'!C:C),"")</f>
        <v/>
      </c>
      <c r="AF355" s="159" t="str">
        <f t="array" ref="AF355">IFERROR(XLOOKUP(B355,'ImportaçãoMeta - Adveronix'!$F:$F,'ImportaçãoMeta - Adveronix'!D:D),"")</f>
        <v/>
      </c>
      <c r="AG355" s="159" t="str">
        <f t="array" ref="AG355">IFERROR(XLOOKUP(B355,'ImportaçãoMeta - Adveronix'!$F:$F,'ImportaçãoMeta - Adveronix'!E:E),"")</f>
        <v/>
      </c>
      <c r="AH355" s="157"/>
      <c r="AI355" s="157"/>
      <c r="AJ355" s="156"/>
      <c r="AK355" s="160">
        <f>IFERROR(COUNTIFS(Leads!$L:$L,$B355,Leads!$F:$F,"*MetaAds"),0)</f>
        <v>0</v>
      </c>
      <c r="AL355" s="160">
        <f>IFERROR(COUNTIFS(Leads!$L:$L,$B355,Leads!$F:$F,"*MetaAds*",Leads!$N:$N,"Sim"),0)</f>
        <v>0</v>
      </c>
    </row>
    <row r="356" ht="15.75" customHeight="1">
      <c r="A356" s="149" t="str">
        <f t="array" ref="A356">XLOOKUP(MONTH(B356),BASE!$F$16:$F$27,BASE!$G$16:$G$27)</f>
        <v>Dezembro</v>
      </c>
      <c r="B356" s="150">
        <v>46377.0</v>
      </c>
      <c r="C356" s="151"/>
      <c r="D356" s="149" t="str">
        <f t="shared" si="4"/>
        <v>segunda-feira</v>
      </c>
      <c r="E356" s="152">
        <f t="shared" ref="E356:J356" si="711">IFERROR(SUM(P356,AB356)," ")</f>
        <v>0</v>
      </c>
      <c r="F356" s="152">
        <f t="shared" si="711"/>
        <v>0</v>
      </c>
      <c r="G356" s="152">
        <f t="shared" si="711"/>
        <v>0</v>
      </c>
      <c r="H356" s="153">
        <f t="shared" si="711"/>
        <v>0</v>
      </c>
      <c r="I356" s="153">
        <f t="shared" si="711"/>
        <v>0</v>
      </c>
      <c r="J356" s="153">
        <f t="shared" si="711"/>
        <v>0</v>
      </c>
      <c r="K356" s="153">
        <f t="shared" ref="K356:O356" si="712">IFERROR(SUM(W356,AH356)," ")</f>
        <v>0</v>
      </c>
      <c r="L356" s="153">
        <f t="shared" si="712"/>
        <v>0</v>
      </c>
      <c r="M356" s="153">
        <f t="shared" si="712"/>
        <v>0</v>
      </c>
      <c r="N356" s="153">
        <f t="shared" si="712"/>
        <v>0</v>
      </c>
      <c r="O356" s="153">
        <f t="shared" si="712"/>
        <v>0</v>
      </c>
      <c r="P356" s="152" t="str">
        <f t="array" ref="P356">IFERROR(XLOOKUP(B356,'ImportaçãoGoogleAds - Adveronix'!$F:$F,'ImportaçãoGoogleAds - Adveronix'!$B:$B)," ")</f>
        <v> </v>
      </c>
      <c r="Q356" s="154"/>
      <c r="R356" s="154"/>
      <c r="S356" s="155" t="str">
        <f t="array" ref="S356">IFERROR(XLOOKUP(B356,'ImportaçãoGoogleAds - Adveronix'!$F:$F,'ImportaçãoGoogleAds - Adveronix'!C:C)," ")</f>
        <v> </v>
      </c>
      <c r="T356" s="155" t="str">
        <f t="array" ref="T356">IFERROR(XLOOKUP(B356,'ImportaçãoGoogleAds - Adveronix'!$F:$F,'ImportaçãoGoogleAds - Adveronix'!D:D)," ")</f>
        <v> </v>
      </c>
      <c r="U356" s="155" t="str">
        <f t="array" ref="U356">IFERROR(XLOOKUP(B356,'ImportaçãoGoogleAds - Adveronix'!$F:$F,'ImportaçãoGoogleAds - Adveronix'!E:E)," ")</f>
        <v> </v>
      </c>
      <c r="V356" s="156"/>
      <c r="W356" s="157"/>
      <c r="X356" s="157"/>
      <c r="Y356" s="158"/>
      <c r="Z356" s="158">
        <f>IFERROR(COUNTIFS(Leads!$L:$L,$B356,Leads!$F:$F,"*google*"),0)</f>
        <v>0</v>
      </c>
      <c r="AA356" s="158">
        <f>IFERROR(COUNTIFS(Leads!$L:$L,$B356,Leads!$F:$F,"*google*",Leads!$N:$N,"Sim"),0)</f>
        <v>0</v>
      </c>
      <c r="AB356" s="152" t="str">
        <f t="array" ref="AB356">IFERROR(XLOOKUP(B356,'ImportaçãoMeta - Adveronix'!F:F,'ImportaçãoMeta - Adveronix'!B:B),"")</f>
        <v/>
      </c>
      <c r="AC356" s="154"/>
      <c r="AD356" s="154"/>
      <c r="AE356" s="159" t="str">
        <f t="array" ref="AE356">IFERROR(XLOOKUP(B356,'ImportaçãoMeta - Adveronix'!$F:$F,'ImportaçãoMeta - Adveronix'!C:C),"")</f>
        <v/>
      </c>
      <c r="AF356" s="159" t="str">
        <f t="array" ref="AF356">IFERROR(XLOOKUP(B356,'ImportaçãoMeta - Adveronix'!$F:$F,'ImportaçãoMeta - Adveronix'!D:D),"")</f>
        <v/>
      </c>
      <c r="AG356" s="159" t="str">
        <f t="array" ref="AG356">IFERROR(XLOOKUP(B356,'ImportaçãoMeta - Adveronix'!$F:$F,'ImportaçãoMeta - Adveronix'!E:E),"")</f>
        <v/>
      </c>
      <c r="AH356" s="157"/>
      <c r="AI356" s="157"/>
      <c r="AJ356" s="156"/>
      <c r="AK356" s="160">
        <f>IFERROR(COUNTIFS(Leads!$L:$L,$B356,Leads!$F:$F,"*MetaAds"),0)</f>
        <v>0</v>
      </c>
      <c r="AL356" s="160">
        <f>IFERROR(COUNTIFS(Leads!$L:$L,$B356,Leads!$F:$F,"*MetaAds*",Leads!$N:$N,"Sim"),0)</f>
        <v>0</v>
      </c>
    </row>
    <row r="357" ht="15.75" customHeight="1">
      <c r="A357" s="149" t="str">
        <f t="array" ref="A357">XLOOKUP(MONTH(B357),BASE!$F$16:$F$27,BASE!$G$16:$G$27)</f>
        <v>Dezembro</v>
      </c>
      <c r="B357" s="150">
        <v>46378.0</v>
      </c>
      <c r="C357" s="151"/>
      <c r="D357" s="149" t="str">
        <f t="shared" si="4"/>
        <v>terça-feira</v>
      </c>
      <c r="E357" s="152">
        <f t="shared" ref="E357:J357" si="713">IFERROR(SUM(P357,AB357)," ")</f>
        <v>0</v>
      </c>
      <c r="F357" s="152">
        <f t="shared" si="713"/>
        <v>0</v>
      </c>
      <c r="G357" s="152">
        <f t="shared" si="713"/>
        <v>0</v>
      </c>
      <c r="H357" s="153">
        <f t="shared" si="713"/>
        <v>0</v>
      </c>
      <c r="I357" s="153">
        <f t="shared" si="713"/>
        <v>0</v>
      </c>
      <c r="J357" s="153">
        <f t="shared" si="713"/>
        <v>0</v>
      </c>
      <c r="K357" s="153">
        <f t="shared" ref="K357:O357" si="714">IFERROR(SUM(W357,AH357)," ")</f>
        <v>0</v>
      </c>
      <c r="L357" s="153">
        <f t="shared" si="714"/>
        <v>0</v>
      </c>
      <c r="M357" s="153">
        <f t="shared" si="714"/>
        <v>0</v>
      </c>
      <c r="N357" s="153">
        <f t="shared" si="714"/>
        <v>0</v>
      </c>
      <c r="O357" s="153">
        <f t="shared" si="714"/>
        <v>0</v>
      </c>
      <c r="P357" s="152" t="str">
        <f t="array" ref="P357">IFERROR(XLOOKUP(B357,'ImportaçãoGoogleAds - Adveronix'!$F:$F,'ImportaçãoGoogleAds - Adveronix'!$B:$B)," ")</f>
        <v> </v>
      </c>
      <c r="Q357" s="154"/>
      <c r="R357" s="154"/>
      <c r="S357" s="155" t="str">
        <f t="array" ref="S357">IFERROR(XLOOKUP(B357,'ImportaçãoGoogleAds - Adveronix'!$F:$F,'ImportaçãoGoogleAds - Adveronix'!C:C)," ")</f>
        <v> </v>
      </c>
      <c r="T357" s="155" t="str">
        <f t="array" ref="T357">IFERROR(XLOOKUP(B357,'ImportaçãoGoogleAds - Adveronix'!$F:$F,'ImportaçãoGoogleAds - Adveronix'!D:D)," ")</f>
        <v> </v>
      </c>
      <c r="U357" s="155" t="str">
        <f t="array" ref="U357">IFERROR(XLOOKUP(B357,'ImportaçãoGoogleAds - Adveronix'!$F:$F,'ImportaçãoGoogleAds - Adveronix'!E:E)," ")</f>
        <v> </v>
      </c>
      <c r="V357" s="156"/>
      <c r="W357" s="157"/>
      <c r="X357" s="157"/>
      <c r="Y357" s="158"/>
      <c r="Z357" s="158">
        <f>IFERROR(COUNTIFS(Leads!$L:$L,$B357,Leads!$F:$F,"*google*"),0)</f>
        <v>0</v>
      </c>
      <c r="AA357" s="158">
        <f>IFERROR(COUNTIFS(Leads!$L:$L,$B357,Leads!$F:$F,"*google*",Leads!$N:$N,"Sim"),0)</f>
        <v>0</v>
      </c>
      <c r="AB357" s="152" t="str">
        <f t="array" ref="AB357">IFERROR(XLOOKUP(B357,'ImportaçãoMeta - Adveronix'!F:F,'ImportaçãoMeta - Adveronix'!B:B),"")</f>
        <v/>
      </c>
      <c r="AC357" s="154"/>
      <c r="AD357" s="154"/>
      <c r="AE357" s="159" t="str">
        <f t="array" ref="AE357">IFERROR(XLOOKUP(B357,'ImportaçãoMeta - Adveronix'!$F:$F,'ImportaçãoMeta - Adveronix'!C:C),"")</f>
        <v/>
      </c>
      <c r="AF357" s="159" t="str">
        <f t="array" ref="AF357">IFERROR(XLOOKUP(B357,'ImportaçãoMeta - Adveronix'!$F:$F,'ImportaçãoMeta - Adveronix'!D:D),"")</f>
        <v/>
      </c>
      <c r="AG357" s="159" t="str">
        <f t="array" ref="AG357">IFERROR(XLOOKUP(B357,'ImportaçãoMeta - Adveronix'!$F:$F,'ImportaçãoMeta - Adveronix'!E:E),"")</f>
        <v/>
      </c>
      <c r="AH357" s="157"/>
      <c r="AI357" s="157"/>
      <c r="AJ357" s="156"/>
      <c r="AK357" s="160">
        <f>IFERROR(COUNTIFS(Leads!$L:$L,$B357,Leads!$F:$F,"*MetaAds"),0)</f>
        <v>0</v>
      </c>
      <c r="AL357" s="160">
        <f>IFERROR(COUNTIFS(Leads!$L:$L,$B357,Leads!$F:$F,"*MetaAds*",Leads!$N:$N,"Sim"),0)</f>
        <v>0</v>
      </c>
    </row>
    <row r="358" ht="15.75" customHeight="1">
      <c r="A358" s="149" t="str">
        <f t="array" ref="A358">XLOOKUP(MONTH(B358),BASE!$F$16:$F$27,BASE!$G$16:$G$27)</f>
        <v>Dezembro</v>
      </c>
      <c r="B358" s="150">
        <v>46379.0</v>
      </c>
      <c r="C358" s="151"/>
      <c r="D358" s="149" t="str">
        <f t="shared" si="4"/>
        <v>quarta-feira</v>
      </c>
      <c r="E358" s="152">
        <f t="shared" ref="E358:J358" si="715">IFERROR(SUM(P358,AB358)," ")</f>
        <v>0</v>
      </c>
      <c r="F358" s="152">
        <f t="shared" si="715"/>
        <v>0</v>
      </c>
      <c r="G358" s="152">
        <f t="shared" si="715"/>
        <v>0</v>
      </c>
      <c r="H358" s="153">
        <f t="shared" si="715"/>
        <v>0</v>
      </c>
      <c r="I358" s="153">
        <f t="shared" si="715"/>
        <v>0</v>
      </c>
      <c r="J358" s="153">
        <f t="shared" si="715"/>
        <v>0</v>
      </c>
      <c r="K358" s="153">
        <f t="shared" ref="K358:O358" si="716">IFERROR(SUM(W358,AH358)," ")</f>
        <v>0</v>
      </c>
      <c r="L358" s="153">
        <f t="shared" si="716"/>
        <v>0</v>
      </c>
      <c r="M358" s="153">
        <f t="shared" si="716"/>
        <v>0</v>
      </c>
      <c r="N358" s="153">
        <f t="shared" si="716"/>
        <v>0</v>
      </c>
      <c r="O358" s="153">
        <f t="shared" si="716"/>
        <v>0</v>
      </c>
      <c r="P358" s="152" t="str">
        <f t="array" ref="P358">IFERROR(XLOOKUP(B358,'ImportaçãoGoogleAds - Adveronix'!$F:$F,'ImportaçãoGoogleAds - Adveronix'!$B:$B)," ")</f>
        <v> </v>
      </c>
      <c r="Q358" s="154"/>
      <c r="R358" s="154"/>
      <c r="S358" s="155" t="str">
        <f t="array" ref="S358">IFERROR(XLOOKUP(B358,'ImportaçãoGoogleAds - Adveronix'!$F:$F,'ImportaçãoGoogleAds - Adveronix'!C:C)," ")</f>
        <v> </v>
      </c>
      <c r="T358" s="155" t="str">
        <f t="array" ref="T358">IFERROR(XLOOKUP(B358,'ImportaçãoGoogleAds - Adveronix'!$F:$F,'ImportaçãoGoogleAds - Adveronix'!D:D)," ")</f>
        <v> </v>
      </c>
      <c r="U358" s="155" t="str">
        <f t="array" ref="U358">IFERROR(XLOOKUP(B358,'ImportaçãoGoogleAds - Adveronix'!$F:$F,'ImportaçãoGoogleAds - Adveronix'!E:E)," ")</f>
        <v> </v>
      </c>
      <c r="V358" s="156"/>
      <c r="W358" s="157"/>
      <c r="X358" s="157"/>
      <c r="Y358" s="158"/>
      <c r="Z358" s="158">
        <f>IFERROR(COUNTIFS(Leads!$L:$L,$B358,Leads!$F:$F,"*google*"),0)</f>
        <v>0</v>
      </c>
      <c r="AA358" s="158">
        <f>IFERROR(COUNTIFS(Leads!$L:$L,$B358,Leads!$F:$F,"*google*",Leads!$N:$N,"Sim"),0)</f>
        <v>0</v>
      </c>
      <c r="AB358" s="152" t="str">
        <f t="array" ref="AB358">IFERROR(XLOOKUP(B358,'ImportaçãoMeta - Adveronix'!F:F,'ImportaçãoMeta - Adveronix'!B:B),"")</f>
        <v/>
      </c>
      <c r="AC358" s="154"/>
      <c r="AD358" s="154"/>
      <c r="AE358" s="159" t="str">
        <f t="array" ref="AE358">IFERROR(XLOOKUP(B358,'ImportaçãoMeta - Adveronix'!$F:$F,'ImportaçãoMeta - Adveronix'!C:C),"")</f>
        <v/>
      </c>
      <c r="AF358" s="159" t="str">
        <f t="array" ref="AF358">IFERROR(XLOOKUP(B358,'ImportaçãoMeta - Adveronix'!$F:$F,'ImportaçãoMeta - Adveronix'!D:D),"")</f>
        <v/>
      </c>
      <c r="AG358" s="159" t="str">
        <f t="array" ref="AG358">IFERROR(XLOOKUP(B358,'ImportaçãoMeta - Adveronix'!$F:$F,'ImportaçãoMeta - Adveronix'!E:E),"")</f>
        <v/>
      </c>
      <c r="AH358" s="157"/>
      <c r="AI358" s="157"/>
      <c r="AJ358" s="156"/>
      <c r="AK358" s="160">
        <f>IFERROR(COUNTIFS(Leads!$L:$L,$B358,Leads!$F:$F,"*MetaAds"),0)</f>
        <v>0</v>
      </c>
      <c r="AL358" s="160">
        <f>IFERROR(COUNTIFS(Leads!$L:$L,$B358,Leads!$F:$F,"*MetaAds*",Leads!$N:$N,"Sim"),0)</f>
        <v>0</v>
      </c>
    </row>
    <row r="359" ht="15.75" customHeight="1">
      <c r="A359" s="149" t="str">
        <f t="array" ref="A359">XLOOKUP(MONTH(B359),BASE!$F$16:$F$27,BASE!$G$16:$G$27)</f>
        <v>Dezembro</v>
      </c>
      <c r="B359" s="150">
        <v>46380.0</v>
      </c>
      <c r="C359" s="151"/>
      <c r="D359" s="149" t="str">
        <f t="shared" si="4"/>
        <v>quinta-feira</v>
      </c>
      <c r="E359" s="152">
        <f t="shared" ref="E359:J359" si="717">IFERROR(SUM(P359,AB359)," ")</f>
        <v>0</v>
      </c>
      <c r="F359" s="152">
        <f t="shared" si="717"/>
        <v>0</v>
      </c>
      <c r="G359" s="152">
        <f t="shared" si="717"/>
        <v>0</v>
      </c>
      <c r="H359" s="153">
        <f t="shared" si="717"/>
        <v>0</v>
      </c>
      <c r="I359" s="153">
        <f t="shared" si="717"/>
        <v>0</v>
      </c>
      <c r="J359" s="153">
        <f t="shared" si="717"/>
        <v>0</v>
      </c>
      <c r="K359" s="153">
        <f t="shared" ref="K359:O359" si="718">IFERROR(SUM(W359,AH359)," ")</f>
        <v>0</v>
      </c>
      <c r="L359" s="153">
        <f t="shared" si="718"/>
        <v>0</v>
      </c>
      <c r="M359" s="153">
        <f t="shared" si="718"/>
        <v>0</v>
      </c>
      <c r="N359" s="153">
        <f t="shared" si="718"/>
        <v>0</v>
      </c>
      <c r="O359" s="153">
        <f t="shared" si="718"/>
        <v>0</v>
      </c>
      <c r="P359" s="152" t="str">
        <f t="array" ref="P359">IFERROR(XLOOKUP(B359,'ImportaçãoGoogleAds - Adveronix'!$F:$F,'ImportaçãoGoogleAds - Adveronix'!$B:$B)," ")</f>
        <v> </v>
      </c>
      <c r="Q359" s="154"/>
      <c r="R359" s="154"/>
      <c r="S359" s="155" t="str">
        <f t="array" ref="S359">IFERROR(XLOOKUP(B359,'ImportaçãoGoogleAds - Adveronix'!$F:$F,'ImportaçãoGoogleAds - Adveronix'!C:C)," ")</f>
        <v> </v>
      </c>
      <c r="T359" s="155" t="str">
        <f t="array" ref="T359">IFERROR(XLOOKUP(B359,'ImportaçãoGoogleAds - Adveronix'!$F:$F,'ImportaçãoGoogleAds - Adveronix'!D:D)," ")</f>
        <v> </v>
      </c>
      <c r="U359" s="155" t="str">
        <f t="array" ref="U359">IFERROR(XLOOKUP(B359,'ImportaçãoGoogleAds - Adveronix'!$F:$F,'ImportaçãoGoogleAds - Adveronix'!E:E)," ")</f>
        <v> </v>
      </c>
      <c r="V359" s="156"/>
      <c r="W359" s="157"/>
      <c r="X359" s="157"/>
      <c r="Y359" s="158"/>
      <c r="Z359" s="158">
        <f>IFERROR(COUNTIFS(Leads!$L:$L,$B359,Leads!$F:$F,"*google*"),0)</f>
        <v>0</v>
      </c>
      <c r="AA359" s="158">
        <f>IFERROR(COUNTIFS(Leads!$L:$L,$B359,Leads!$F:$F,"*google*",Leads!$N:$N,"Sim"),0)</f>
        <v>0</v>
      </c>
      <c r="AB359" s="152" t="str">
        <f t="array" ref="AB359">IFERROR(XLOOKUP(B359,'ImportaçãoMeta - Adveronix'!F:F,'ImportaçãoMeta - Adveronix'!B:B),"")</f>
        <v/>
      </c>
      <c r="AC359" s="154"/>
      <c r="AD359" s="154"/>
      <c r="AE359" s="159" t="str">
        <f t="array" ref="AE359">IFERROR(XLOOKUP(B359,'ImportaçãoMeta - Adveronix'!$F:$F,'ImportaçãoMeta - Adveronix'!C:C),"")</f>
        <v/>
      </c>
      <c r="AF359" s="159" t="str">
        <f t="array" ref="AF359">IFERROR(XLOOKUP(B359,'ImportaçãoMeta - Adveronix'!$F:$F,'ImportaçãoMeta - Adveronix'!D:D),"")</f>
        <v/>
      </c>
      <c r="AG359" s="159" t="str">
        <f t="array" ref="AG359">IFERROR(XLOOKUP(B359,'ImportaçãoMeta - Adveronix'!$F:$F,'ImportaçãoMeta - Adveronix'!E:E),"")</f>
        <v/>
      </c>
      <c r="AH359" s="157"/>
      <c r="AI359" s="157"/>
      <c r="AJ359" s="156"/>
      <c r="AK359" s="160">
        <f>IFERROR(COUNTIFS(Leads!$L:$L,$B359,Leads!$F:$F,"*MetaAds"),0)</f>
        <v>0</v>
      </c>
      <c r="AL359" s="160">
        <f>IFERROR(COUNTIFS(Leads!$L:$L,$B359,Leads!$F:$F,"*MetaAds*",Leads!$N:$N,"Sim"),0)</f>
        <v>0</v>
      </c>
    </row>
    <row r="360" ht="15.75" customHeight="1">
      <c r="A360" s="149" t="str">
        <f t="array" ref="A360">XLOOKUP(MONTH(B360),BASE!$F$16:$F$27,BASE!$G$16:$G$27)</f>
        <v>Dezembro</v>
      </c>
      <c r="B360" s="150">
        <v>46381.0</v>
      </c>
      <c r="C360" s="151"/>
      <c r="D360" s="149" t="str">
        <f t="shared" si="4"/>
        <v>sexta-feira</v>
      </c>
      <c r="E360" s="152">
        <f t="shared" ref="E360:J360" si="719">IFERROR(SUM(P360,AB360)," ")</f>
        <v>0</v>
      </c>
      <c r="F360" s="152">
        <f t="shared" si="719"/>
        <v>0</v>
      </c>
      <c r="G360" s="152">
        <f t="shared" si="719"/>
        <v>0</v>
      </c>
      <c r="H360" s="153">
        <f t="shared" si="719"/>
        <v>0</v>
      </c>
      <c r="I360" s="153">
        <f t="shared" si="719"/>
        <v>0</v>
      </c>
      <c r="J360" s="153">
        <f t="shared" si="719"/>
        <v>0</v>
      </c>
      <c r="K360" s="153">
        <f t="shared" ref="K360:O360" si="720">IFERROR(SUM(W360,AH360)," ")</f>
        <v>0</v>
      </c>
      <c r="L360" s="153">
        <f t="shared" si="720"/>
        <v>0</v>
      </c>
      <c r="M360" s="153">
        <f t="shared" si="720"/>
        <v>0</v>
      </c>
      <c r="N360" s="153">
        <f t="shared" si="720"/>
        <v>0</v>
      </c>
      <c r="O360" s="153">
        <f t="shared" si="720"/>
        <v>0</v>
      </c>
      <c r="P360" s="152" t="str">
        <f t="array" ref="P360">IFERROR(XLOOKUP(B360,'ImportaçãoGoogleAds - Adveronix'!$F:$F,'ImportaçãoGoogleAds - Adveronix'!$B:$B)," ")</f>
        <v> </v>
      </c>
      <c r="Q360" s="154"/>
      <c r="R360" s="154"/>
      <c r="S360" s="155" t="str">
        <f t="array" ref="S360">IFERROR(XLOOKUP(B360,'ImportaçãoGoogleAds - Adveronix'!$F:$F,'ImportaçãoGoogleAds - Adveronix'!C:C)," ")</f>
        <v> </v>
      </c>
      <c r="T360" s="155" t="str">
        <f t="array" ref="T360">IFERROR(XLOOKUP(B360,'ImportaçãoGoogleAds - Adveronix'!$F:$F,'ImportaçãoGoogleAds - Adveronix'!D:D)," ")</f>
        <v> </v>
      </c>
      <c r="U360" s="155" t="str">
        <f t="array" ref="U360">IFERROR(XLOOKUP(B360,'ImportaçãoGoogleAds - Adveronix'!$F:$F,'ImportaçãoGoogleAds - Adveronix'!E:E)," ")</f>
        <v> </v>
      </c>
      <c r="V360" s="156"/>
      <c r="W360" s="157"/>
      <c r="X360" s="157"/>
      <c r="Y360" s="158"/>
      <c r="Z360" s="158">
        <f>IFERROR(COUNTIFS(Leads!$L:$L,$B360,Leads!$F:$F,"*google*"),0)</f>
        <v>0</v>
      </c>
      <c r="AA360" s="158">
        <f>IFERROR(COUNTIFS(Leads!$L:$L,$B360,Leads!$F:$F,"*google*",Leads!$N:$N,"Sim"),0)</f>
        <v>0</v>
      </c>
      <c r="AB360" s="152" t="str">
        <f t="array" ref="AB360">IFERROR(XLOOKUP(B360,'ImportaçãoMeta - Adveronix'!F:F,'ImportaçãoMeta - Adveronix'!B:B),"")</f>
        <v/>
      </c>
      <c r="AC360" s="154"/>
      <c r="AD360" s="154"/>
      <c r="AE360" s="159" t="str">
        <f t="array" ref="AE360">IFERROR(XLOOKUP(B360,'ImportaçãoMeta - Adveronix'!$F:$F,'ImportaçãoMeta - Adveronix'!C:C),"")</f>
        <v/>
      </c>
      <c r="AF360" s="159" t="str">
        <f t="array" ref="AF360">IFERROR(XLOOKUP(B360,'ImportaçãoMeta - Adveronix'!$F:$F,'ImportaçãoMeta - Adveronix'!D:D),"")</f>
        <v/>
      </c>
      <c r="AG360" s="159" t="str">
        <f t="array" ref="AG360">IFERROR(XLOOKUP(B360,'ImportaçãoMeta - Adveronix'!$F:$F,'ImportaçãoMeta - Adveronix'!E:E),"")</f>
        <v/>
      </c>
      <c r="AH360" s="157"/>
      <c r="AI360" s="157"/>
      <c r="AJ360" s="156"/>
      <c r="AK360" s="160">
        <f>IFERROR(COUNTIFS(Leads!$L:$L,$B360,Leads!$F:$F,"*MetaAds"),0)</f>
        <v>0</v>
      </c>
      <c r="AL360" s="160">
        <f>IFERROR(COUNTIFS(Leads!$L:$L,$B360,Leads!$F:$F,"*MetaAds*",Leads!$N:$N,"Sim"),0)</f>
        <v>0</v>
      </c>
    </row>
    <row r="361" ht="15.75" customHeight="1">
      <c r="A361" s="149" t="str">
        <f t="array" ref="A361">XLOOKUP(MONTH(B361),BASE!$F$16:$F$27,BASE!$G$16:$G$27)</f>
        <v>Dezembro</v>
      </c>
      <c r="B361" s="150">
        <v>46382.0</v>
      </c>
      <c r="C361" s="151"/>
      <c r="D361" s="149" t="str">
        <f t="shared" si="4"/>
        <v>sábado</v>
      </c>
      <c r="E361" s="152">
        <f t="shared" ref="E361:J361" si="721">IFERROR(SUM(P361,AB361)," ")</f>
        <v>0</v>
      </c>
      <c r="F361" s="152">
        <f t="shared" si="721"/>
        <v>0</v>
      </c>
      <c r="G361" s="152">
        <f t="shared" si="721"/>
        <v>0</v>
      </c>
      <c r="H361" s="153">
        <f t="shared" si="721"/>
        <v>0</v>
      </c>
      <c r="I361" s="153">
        <f t="shared" si="721"/>
        <v>0</v>
      </c>
      <c r="J361" s="153">
        <f t="shared" si="721"/>
        <v>0</v>
      </c>
      <c r="K361" s="153">
        <f t="shared" ref="K361:O361" si="722">IFERROR(SUM(W361,AH361)," ")</f>
        <v>0</v>
      </c>
      <c r="L361" s="153">
        <f t="shared" si="722"/>
        <v>0</v>
      </c>
      <c r="M361" s="153">
        <f t="shared" si="722"/>
        <v>0</v>
      </c>
      <c r="N361" s="153">
        <f t="shared" si="722"/>
        <v>0</v>
      </c>
      <c r="O361" s="153">
        <f t="shared" si="722"/>
        <v>0</v>
      </c>
      <c r="P361" s="152" t="str">
        <f t="array" ref="P361">IFERROR(XLOOKUP(B361,'ImportaçãoGoogleAds - Adveronix'!$F:$F,'ImportaçãoGoogleAds - Adveronix'!$B:$B)," ")</f>
        <v> </v>
      </c>
      <c r="Q361" s="154"/>
      <c r="R361" s="154"/>
      <c r="S361" s="155" t="str">
        <f t="array" ref="S361">IFERROR(XLOOKUP(B361,'ImportaçãoGoogleAds - Adveronix'!$F:$F,'ImportaçãoGoogleAds - Adveronix'!C:C)," ")</f>
        <v> </v>
      </c>
      <c r="T361" s="155" t="str">
        <f t="array" ref="T361">IFERROR(XLOOKUP(B361,'ImportaçãoGoogleAds - Adveronix'!$F:$F,'ImportaçãoGoogleAds - Adveronix'!D:D)," ")</f>
        <v> </v>
      </c>
      <c r="U361" s="155" t="str">
        <f t="array" ref="U361">IFERROR(XLOOKUP(B361,'ImportaçãoGoogleAds - Adveronix'!$F:$F,'ImportaçãoGoogleAds - Adveronix'!E:E)," ")</f>
        <v> </v>
      </c>
      <c r="V361" s="156"/>
      <c r="W361" s="157"/>
      <c r="X361" s="157"/>
      <c r="Y361" s="158"/>
      <c r="Z361" s="158">
        <f>IFERROR(COUNTIFS(Leads!$L:$L,$B361,Leads!$F:$F,"*google*"),0)</f>
        <v>0</v>
      </c>
      <c r="AA361" s="158">
        <f>IFERROR(COUNTIFS(Leads!$L:$L,$B361,Leads!$F:$F,"*google*",Leads!$N:$N,"Sim"),0)</f>
        <v>0</v>
      </c>
      <c r="AB361" s="152" t="str">
        <f t="array" ref="AB361">IFERROR(XLOOKUP(B361,'ImportaçãoMeta - Adveronix'!F:F,'ImportaçãoMeta - Adveronix'!B:B),"")</f>
        <v/>
      </c>
      <c r="AC361" s="154"/>
      <c r="AD361" s="154"/>
      <c r="AE361" s="159" t="str">
        <f t="array" ref="AE361">IFERROR(XLOOKUP(B361,'ImportaçãoMeta - Adveronix'!$F:$F,'ImportaçãoMeta - Adveronix'!C:C),"")</f>
        <v/>
      </c>
      <c r="AF361" s="159" t="str">
        <f t="array" ref="AF361">IFERROR(XLOOKUP(B361,'ImportaçãoMeta - Adveronix'!$F:$F,'ImportaçãoMeta - Adveronix'!D:D),"")</f>
        <v/>
      </c>
      <c r="AG361" s="159" t="str">
        <f t="array" ref="AG361">IFERROR(XLOOKUP(B361,'ImportaçãoMeta - Adveronix'!$F:$F,'ImportaçãoMeta - Adveronix'!E:E),"")</f>
        <v/>
      </c>
      <c r="AH361" s="157"/>
      <c r="AI361" s="157"/>
      <c r="AJ361" s="156"/>
      <c r="AK361" s="160">
        <f>IFERROR(COUNTIFS(Leads!$L:$L,$B361,Leads!$F:$F,"*MetaAds"),0)</f>
        <v>0</v>
      </c>
      <c r="AL361" s="160">
        <f>IFERROR(COUNTIFS(Leads!$L:$L,$B361,Leads!$F:$F,"*MetaAds*",Leads!$N:$N,"Sim"),0)</f>
        <v>0</v>
      </c>
    </row>
    <row r="362" ht="15.75" customHeight="1">
      <c r="A362" s="149" t="str">
        <f t="array" ref="A362">XLOOKUP(MONTH(B362),BASE!$F$16:$F$27,BASE!$G$16:$G$27)</f>
        <v>Dezembro</v>
      </c>
      <c r="B362" s="150">
        <v>46383.0</v>
      </c>
      <c r="C362" s="151"/>
      <c r="D362" s="149" t="str">
        <f t="shared" si="4"/>
        <v>domingo</v>
      </c>
      <c r="E362" s="152">
        <f t="shared" ref="E362:J362" si="723">IFERROR(SUM(P362,AB362)," ")</f>
        <v>0</v>
      </c>
      <c r="F362" s="152">
        <f t="shared" si="723"/>
        <v>0</v>
      </c>
      <c r="G362" s="152">
        <f t="shared" si="723"/>
        <v>0</v>
      </c>
      <c r="H362" s="153">
        <f t="shared" si="723"/>
        <v>0</v>
      </c>
      <c r="I362" s="153">
        <f t="shared" si="723"/>
        <v>0</v>
      </c>
      <c r="J362" s="153">
        <f t="shared" si="723"/>
        <v>0</v>
      </c>
      <c r="K362" s="153">
        <f t="shared" ref="K362:O362" si="724">IFERROR(SUM(W362,AH362)," ")</f>
        <v>0</v>
      </c>
      <c r="L362" s="153">
        <f t="shared" si="724"/>
        <v>0</v>
      </c>
      <c r="M362" s="153">
        <f t="shared" si="724"/>
        <v>0</v>
      </c>
      <c r="N362" s="153">
        <f t="shared" si="724"/>
        <v>0</v>
      </c>
      <c r="O362" s="153">
        <f t="shared" si="724"/>
        <v>0</v>
      </c>
      <c r="P362" s="152" t="str">
        <f t="array" ref="P362">IFERROR(XLOOKUP(B362,'ImportaçãoGoogleAds - Adveronix'!$F:$F,'ImportaçãoGoogleAds - Adveronix'!$B:$B)," ")</f>
        <v> </v>
      </c>
      <c r="Q362" s="154"/>
      <c r="R362" s="154"/>
      <c r="S362" s="155" t="str">
        <f t="array" ref="S362">IFERROR(XLOOKUP(B362,'ImportaçãoGoogleAds - Adveronix'!$F:$F,'ImportaçãoGoogleAds - Adveronix'!C:C)," ")</f>
        <v> </v>
      </c>
      <c r="T362" s="155" t="str">
        <f t="array" ref="T362">IFERROR(XLOOKUP(B362,'ImportaçãoGoogleAds - Adveronix'!$F:$F,'ImportaçãoGoogleAds - Adveronix'!D:D)," ")</f>
        <v> </v>
      </c>
      <c r="U362" s="155" t="str">
        <f t="array" ref="U362">IFERROR(XLOOKUP(B362,'ImportaçãoGoogleAds - Adveronix'!$F:$F,'ImportaçãoGoogleAds - Adveronix'!E:E)," ")</f>
        <v> </v>
      </c>
      <c r="V362" s="156"/>
      <c r="W362" s="157"/>
      <c r="X362" s="157"/>
      <c r="Y362" s="158"/>
      <c r="Z362" s="158">
        <f>IFERROR(COUNTIFS(Leads!$L:$L,$B362,Leads!$F:$F,"*google*"),0)</f>
        <v>0</v>
      </c>
      <c r="AA362" s="158">
        <f>IFERROR(COUNTIFS(Leads!$L:$L,$B362,Leads!$F:$F,"*google*",Leads!$N:$N,"Sim"),0)</f>
        <v>0</v>
      </c>
      <c r="AB362" s="152" t="str">
        <f t="array" ref="AB362">IFERROR(XLOOKUP(B362,'ImportaçãoMeta - Adveronix'!F:F,'ImportaçãoMeta - Adveronix'!B:B),"")</f>
        <v/>
      </c>
      <c r="AC362" s="154"/>
      <c r="AD362" s="154"/>
      <c r="AE362" s="159" t="str">
        <f t="array" ref="AE362">IFERROR(XLOOKUP(B362,'ImportaçãoMeta - Adveronix'!$F:$F,'ImportaçãoMeta - Adveronix'!C:C),"")</f>
        <v/>
      </c>
      <c r="AF362" s="159" t="str">
        <f t="array" ref="AF362">IFERROR(XLOOKUP(B362,'ImportaçãoMeta - Adveronix'!$F:$F,'ImportaçãoMeta - Adveronix'!D:D),"")</f>
        <v/>
      </c>
      <c r="AG362" s="159" t="str">
        <f t="array" ref="AG362">IFERROR(XLOOKUP(B362,'ImportaçãoMeta - Adveronix'!$F:$F,'ImportaçãoMeta - Adveronix'!E:E),"")</f>
        <v/>
      </c>
      <c r="AH362" s="157"/>
      <c r="AI362" s="157"/>
      <c r="AJ362" s="156"/>
      <c r="AK362" s="160">
        <f>IFERROR(COUNTIFS(Leads!$L:$L,$B362,Leads!$F:$F,"*MetaAds"),0)</f>
        <v>0</v>
      </c>
      <c r="AL362" s="160">
        <f>IFERROR(COUNTIFS(Leads!$L:$L,$B362,Leads!$F:$F,"*MetaAds*",Leads!$N:$N,"Sim"),0)</f>
        <v>0</v>
      </c>
    </row>
    <row r="363" ht="15.75" customHeight="1">
      <c r="A363" s="149" t="str">
        <f t="array" ref="A363">XLOOKUP(MONTH(B363),BASE!$F$16:$F$27,BASE!$G$16:$G$27)</f>
        <v>Dezembro</v>
      </c>
      <c r="B363" s="150">
        <v>46384.0</v>
      </c>
      <c r="C363" s="151"/>
      <c r="D363" s="149" t="str">
        <f t="shared" si="4"/>
        <v>segunda-feira</v>
      </c>
      <c r="E363" s="152">
        <f t="shared" ref="E363:J363" si="725">IFERROR(SUM(P363,AB363)," ")</f>
        <v>0</v>
      </c>
      <c r="F363" s="152">
        <f t="shared" si="725"/>
        <v>0</v>
      </c>
      <c r="G363" s="152">
        <f t="shared" si="725"/>
        <v>0</v>
      </c>
      <c r="H363" s="153">
        <f t="shared" si="725"/>
        <v>0</v>
      </c>
      <c r="I363" s="153">
        <f t="shared" si="725"/>
        <v>0</v>
      </c>
      <c r="J363" s="153">
        <f t="shared" si="725"/>
        <v>0</v>
      </c>
      <c r="K363" s="153">
        <f t="shared" ref="K363:O363" si="726">IFERROR(SUM(W363,AH363)," ")</f>
        <v>0</v>
      </c>
      <c r="L363" s="153">
        <f t="shared" si="726"/>
        <v>0</v>
      </c>
      <c r="M363" s="153">
        <f t="shared" si="726"/>
        <v>0</v>
      </c>
      <c r="N363" s="153">
        <f t="shared" si="726"/>
        <v>0</v>
      </c>
      <c r="O363" s="153">
        <f t="shared" si="726"/>
        <v>0</v>
      </c>
      <c r="P363" s="152" t="str">
        <f t="array" ref="P363">IFERROR(XLOOKUP(B363,'ImportaçãoGoogleAds - Adveronix'!$F:$F,'ImportaçãoGoogleAds - Adveronix'!$B:$B)," ")</f>
        <v> </v>
      </c>
      <c r="Q363" s="154"/>
      <c r="R363" s="154"/>
      <c r="S363" s="155" t="str">
        <f t="array" ref="S363">IFERROR(XLOOKUP(B363,'ImportaçãoGoogleAds - Adveronix'!$F:$F,'ImportaçãoGoogleAds - Adveronix'!C:C)," ")</f>
        <v> </v>
      </c>
      <c r="T363" s="155" t="str">
        <f t="array" ref="T363">IFERROR(XLOOKUP(B363,'ImportaçãoGoogleAds - Adveronix'!$F:$F,'ImportaçãoGoogleAds - Adveronix'!D:D)," ")</f>
        <v> </v>
      </c>
      <c r="U363" s="155" t="str">
        <f t="array" ref="U363">IFERROR(XLOOKUP(B363,'ImportaçãoGoogleAds - Adveronix'!$F:$F,'ImportaçãoGoogleAds - Adveronix'!E:E)," ")</f>
        <v> </v>
      </c>
      <c r="V363" s="156"/>
      <c r="W363" s="157"/>
      <c r="X363" s="157"/>
      <c r="Y363" s="158"/>
      <c r="Z363" s="158">
        <f>IFERROR(COUNTIFS(Leads!$L:$L,$B363,Leads!$F:$F,"*google*"),0)</f>
        <v>0</v>
      </c>
      <c r="AA363" s="158">
        <f>IFERROR(COUNTIFS(Leads!$L:$L,$B363,Leads!$F:$F,"*google*",Leads!$N:$N,"Sim"),0)</f>
        <v>0</v>
      </c>
      <c r="AB363" s="152" t="str">
        <f t="array" ref="AB363">IFERROR(XLOOKUP(B363,'ImportaçãoMeta - Adveronix'!F:F,'ImportaçãoMeta - Adveronix'!B:B),"")</f>
        <v/>
      </c>
      <c r="AC363" s="154"/>
      <c r="AD363" s="154"/>
      <c r="AE363" s="159" t="str">
        <f t="array" ref="AE363">IFERROR(XLOOKUP(B363,'ImportaçãoMeta - Adveronix'!$F:$F,'ImportaçãoMeta - Adveronix'!C:C),"")</f>
        <v/>
      </c>
      <c r="AF363" s="159" t="str">
        <f t="array" ref="AF363">IFERROR(XLOOKUP(B363,'ImportaçãoMeta - Adveronix'!$F:$F,'ImportaçãoMeta - Adveronix'!D:D),"")</f>
        <v/>
      </c>
      <c r="AG363" s="159" t="str">
        <f t="array" ref="AG363">IFERROR(XLOOKUP(B363,'ImportaçãoMeta - Adveronix'!$F:$F,'ImportaçãoMeta - Adveronix'!E:E),"")</f>
        <v/>
      </c>
      <c r="AH363" s="157"/>
      <c r="AI363" s="157"/>
      <c r="AJ363" s="156"/>
      <c r="AK363" s="160">
        <f>IFERROR(COUNTIFS(Leads!$L:$L,$B363,Leads!$F:$F,"*MetaAds"),0)</f>
        <v>0</v>
      </c>
      <c r="AL363" s="160">
        <f>IFERROR(COUNTIFS(Leads!$L:$L,$B363,Leads!$F:$F,"*MetaAds*",Leads!$N:$N,"Sim"),0)</f>
        <v>0</v>
      </c>
    </row>
    <row r="364" ht="15.75" customHeight="1">
      <c r="A364" s="149" t="str">
        <f t="array" ref="A364">XLOOKUP(MONTH(B364),BASE!$F$16:$F$27,BASE!$G$16:$G$27)</f>
        <v>Dezembro</v>
      </c>
      <c r="B364" s="150">
        <v>46385.0</v>
      </c>
      <c r="C364" s="151"/>
      <c r="D364" s="149" t="str">
        <f t="shared" si="4"/>
        <v>terça-feira</v>
      </c>
      <c r="E364" s="152">
        <f t="shared" ref="E364:J364" si="727">IFERROR(SUM(P364,AB364)," ")</f>
        <v>0</v>
      </c>
      <c r="F364" s="152">
        <f t="shared" si="727"/>
        <v>0</v>
      </c>
      <c r="G364" s="152">
        <f t="shared" si="727"/>
        <v>0</v>
      </c>
      <c r="H364" s="153">
        <f t="shared" si="727"/>
        <v>0</v>
      </c>
      <c r="I364" s="153">
        <f t="shared" si="727"/>
        <v>0</v>
      </c>
      <c r="J364" s="153">
        <f t="shared" si="727"/>
        <v>0</v>
      </c>
      <c r="K364" s="153">
        <f t="shared" ref="K364:O364" si="728">IFERROR(SUM(W364,AH364)," ")</f>
        <v>0</v>
      </c>
      <c r="L364" s="153">
        <f t="shared" si="728"/>
        <v>0</v>
      </c>
      <c r="M364" s="153">
        <f t="shared" si="728"/>
        <v>0</v>
      </c>
      <c r="N364" s="153">
        <f t="shared" si="728"/>
        <v>0</v>
      </c>
      <c r="O364" s="153">
        <f t="shared" si="728"/>
        <v>0</v>
      </c>
      <c r="P364" s="152" t="str">
        <f t="array" ref="P364">IFERROR(XLOOKUP(B364,'ImportaçãoGoogleAds - Adveronix'!$F:$F,'ImportaçãoGoogleAds - Adveronix'!$B:$B)," ")</f>
        <v> </v>
      </c>
      <c r="Q364" s="154"/>
      <c r="R364" s="154"/>
      <c r="S364" s="155" t="str">
        <f t="array" ref="S364">IFERROR(XLOOKUP(B364,'ImportaçãoGoogleAds - Adveronix'!$F:$F,'ImportaçãoGoogleAds - Adveronix'!C:C)," ")</f>
        <v> </v>
      </c>
      <c r="T364" s="155" t="str">
        <f t="array" ref="T364">IFERROR(XLOOKUP(B364,'ImportaçãoGoogleAds - Adveronix'!$F:$F,'ImportaçãoGoogleAds - Adveronix'!D:D)," ")</f>
        <v> </v>
      </c>
      <c r="U364" s="155" t="str">
        <f t="array" ref="U364">IFERROR(XLOOKUP(B364,'ImportaçãoGoogleAds - Adveronix'!$F:$F,'ImportaçãoGoogleAds - Adveronix'!E:E)," ")</f>
        <v> </v>
      </c>
      <c r="V364" s="156"/>
      <c r="W364" s="157"/>
      <c r="X364" s="157"/>
      <c r="Y364" s="158"/>
      <c r="Z364" s="158">
        <f>IFERROR(COUNTIFS(Leads!$L:$L,$B364,Leads!$F:$F,"*google*"),0)</f>
        <v>0</v>
      </c>
      <c r="AA364" s="158">
        <f>IFERROR(COUNTIFS(Leads!$L:$L,$B364,Leads!$F:$F,"*google*",Leads!$N:$N,"Sim"),0)</f>
        <v>0</v>
      </c>
      <c r="AB364" s="152" t="str">
        <f t="array" ref="AB364">IFERROR(XLOOKUP(B364,'ImportaçãoMeta - Adveronix'!F:F,'ImportaçãoMeta - Adveronix'!B:B),"")</f>
        <v/>
      </c>
      <c r="AC364" s="154"/>
      <c r="AD364" s="154"/>
      <c r="AE364" s="159" t="str">
        <f t="array" ref="AE364">IFERROR(XLOOKUP(B364,'ImportaçãoMeta - Adveronix'!$F:$F,'ImportaçãoMeta - Adveronix'!C:C),"")</f>
        <v/>
      </c>
      <c r="AF364" s="159" t="str">
        <f t="array" ref="AF364">IFERROR(XLOOKUP(B364,'ImportaçãoMeta - Adveronix'!$F:$F,'ImportaçãoMeta - Adveronix'!D:D),"")</f>
        <v/>
      </c>
      <c r="AG364" s="159" t="str">
        <f t="array" ref="AG364">IFERROR(XLOOKUP(B364,'ImportaçãoMeta - Adveronix'!$F:$F,'ImportaçãoMeta - Adveronix'!E:E),"")</f>
        <v/>
      </c>
      <c r="AH364" s="157"/>
      <c r="AI364" s="157"/>
      <c r="AJ364" s="156"/>
      <c r="AK364" s="160">
        <f>IFERROR(COUNTIFS(Leads!$L:$L,$B364,Leads!$F:$F,"*MetaAds"),0)</f>
        <v>0</v>
      </c>
      <c r="AL364" s="160">
        <f>IFERROR(COUNTIFS(Leads!$L:$L,$B364,Leads!$F:$F,"*MetaAds*",Leads!$N:$N,"Sim"),0)</f>
        <v>0</v>
      </c>
    </row>
    <row r="365" ht="15.75" customHeight="1">
      <c r="A365" s="149" t="str">
        <f t="array" ref="A365">XLOOKUP(MONTH(B365),BASE!$F$16:$F$27,BASE!$G$16:$G$27)</f>
        <v>Dezembro</v>
      </c>
      <c r="B365" s="150">
        <v>46386.0</v>
      </c>
      <c r="C365" s="151"/>
      <c r="D365" s="149" t="str">
        <f t="shared" si="4"/>
        <v>quarta-feira</v>
      </c>
      <c r="E365" s="152">
        <f t="shared" ref="E365:J365" si="729">IFERROR(SUM(P365,AB365)," ")</f>
        <v>0</v>
      </c>
      <c r="F365" s="152">
        <f t="shared" si="729"/>
        <v>0</v>
      </c>
      <c r="G365" s="152">
        <f t="shared" si="729"/>
        <v>0</v>
      </c>
      <c r="H365" s="153">
        <f t="shared" si="729"/>
        <v>0</v>
      </c>
      <c r="I365" s="153">
        <f t="shared" si="729"/>
        <v>0</v>
      </c>
      <c r="J365" s="153">
        <f t="shared" si="729"/>
        <v>0</v>
      </c>
      <c r="K365" s="153">
        <f t="shared" ref="K365:O365" si="730">IFERROR(SUM(W365,AH365)," ")</f>
        <v>0</v>
      </c>
      <c r="L365" s="153">
        <f t="shared" si="730"/>
        <v>0</v>
      </c>
      <c r="M365" s="153">
        <f t="shared" si="730"/>
        <v>0</v>
      </c>
      <c r="N365" s="153">
        <f t="shared" si="730"/>
        <v>0</v>
      </c>
      <c r="O365" s="153">
        <f t="shared" si="730"/>
        <v>0</v>
      </c>
      <c r="P365" s="152" t="str">
        <f t="array" ref="P365">IFERROR(XLOOKUP(B365,'ImportaçãoGoogleAds - Adveronix'!$F:$F,'ImportaçãoGoogleAds - Adveronix'!$B:$B)," ")</f>
        <v> </v>
      </c>
      <c r="Q365" s="154"/>
      <c r="R365" s="154"/>
      <c r="S365" s="155" t="str">
        <f t="array" ref="S365">IFERROR(XLOOKUP(B365,'ImportaçãoGoogleAds - Adveronix'!$F:$F,'ImportaçãoGoogleAds - Adveronix'!C:C)," ")</f>
        <v> </v>
      </c>
      <c r="T365" s="155" t="str">
        <f t="array" ref="T365">IFERROR(XLOOKUP(B365,'ImportaçãoGoogleAds - Adveronix'!$F:$F,'ImportaçãoGoogleAds - Adveronix'!D:D)," ")</f>
        <v> </v>
      </c>
      <c r="U365" s="155" t="str">
        <f t="array" ref="U365">IFERROR(XLOOKUP(B365,'ImportaçãoGoogleAds - Adveronix'!$F:$F,'ImportaçãoGoogleAds - Adveronix'!E:E)," ")</f>
        <v> </v>
      </c>
      <c r="V365" s="156"/>
      <c r="W365" s="157"/>
      <c r="X365" s="157"/>
      <c r="Y365" s="158"/>
      <c r="Z365" s="158">
        <f>IFERROR(COUNTIFS(Leads!$L:$L,$B365,Leads!$F:$F,"*google*"),0)</f>
        <v>0</v>
      </c>
      <c r="AA365" s="158">
        <f>IFERROR(COUNTIFS(Leads!$L:$L,$B365,Leads!$F:$F,"*google*",Leads!$N:$N,"Sim"),0)</f>
        <v>0</v>
      </c>
      <c r="AB365" s="152" t="str">
        <f t="array" ref="AB365">IFERROR(XLOOKUP(B365,'ImportaçãoMeta - Adveronix'!F:F,'ImportaçãoMeta - Adveronix'!B:B),"")</f>
        <v/>
      </c>
      <c r="AC365" s="154"/>
      <c r="AD365" s="154"/>
      <c r="AE365" s="159" t="str">
        <f t="array" ref="AE365">IFERROR(XLOOKUP(B365,'ImportaçãoMeta - Adveronix'!$F:$F,'ImportaçãoMeta - Adveronix'!C:C),"")</f>
        <v/>
      </c>
      <c r="AF365" s="159" t="str">
        <f t="array" ref="AF365">IFERROR(XLOOKUP(B365,'ImportaçãoMeta - Adveronix'!$F:$F,'ImportaçãoMeta - Adveronix'!D:D),"")</f>
        <v/>
      </c>
      <c r="AG365" s="159" t="str">
        <f t="array" ref="AG365">IFERROR(XLOOKUP(B365,'ImportaçãoMeta - Adveronix'!$F:$F,'ImportaçãoMeta - Adveronix'!E:E),"")</f>
        <v/>
      </c>
      <c r="AH365" s="157"/>
      <c r="AI365" s="157"/>
      <c r="AJ365" s="156"/>
      <c r="AK365" s="160">
        <f>IFERROR(COUNTIFS(Leads!$L:$L,$B365,Leads!$F:$F,"*MetaAds"),0)</f>
        <v>0</v>
      </c>
      <c r="AL365" s="160">
        <f>IFERROR(COUNTIFS(Leads!$L:$L,$B365,Leads!$F:$F,"*MetaAds*",Leads!$N:$N,"Sim"),0)</f>
        <v>0</v>
      </c>
    </row>
    <row r="366" ht="15.75" customHeight="1">
      <c r="A366" s="149" t="str">
        <f t="array" ref="A366">XLOOKUP(MONTH(B366),BASE!$F$16:$F$27,BASE!$G$16:$G$27)</f>
        <v>Dezembro</v>
      </c>
      <c r="B366" s="150">
        <v>46387.0</v>
      </c>
      <c r="C366" s="151"/>
      <c r="D366" s="149" t="str">
        <f t="shared" si="4"/>
        <v>quinta-feira</v>
      </c>
      <c r="E366" s="152">
        <f t="shared" ref="E366:J366" si="731">IFERROR(SUM(P366,AB366)," ")</f>
        <v>0</v>
      </c>
      <c r="F366" s="152">
        <f t="shared" si="731"/>
        <v>0</v>
      </c>
      <c r="G366" s="152">
        <f t="shared" si="731"/>
        <v>0</v>
      </c>
      <c r="H366" s="153">
        <f t="shared" si="731"/>
        <v>0</v>
      </c>
      <c r="I366" s="153">
        <f t="shared" si="731"/>
        <v>0</v>
      </c>
      <c r="J366" s="153">
        <f t="shared" si="731"/>
        <v>0</v>
      </c>
      <c r="K366" s="153">
        <f t="shared" ref="K366:O366" si="732">IFERROR(SUM(W366,AH366)," ")</f>
        <v>0</v>
      </c>
      <c r="L366" s="153">
        <f t="shared" si="732"/>
        <v>0</v>
      </c>
      <c r="M366" s="153">
        <f t="shared" si="732"/>
        <v>0</v>
      </c>
      <c r="N366" s="153">
        <f t="shared" si="732"/>
        <v>0</v>
      </c>
      <c r="O366" s="153">
        <f t="shared" si="732"/>
        <v>0</v>
      </c>
      <c r="P366" s="152" t="str">
        <f t="array" ref="P366">IFERROR(XLOOKUP(B366,'ImportaçãoGoogleAds - Adveronix'!$F:$F,'ImportaçãoGoogleAds - Adveronix'!$B:$B)," ")</f>
        <v> </v>
      </c>
      <c r="Q366" s="154"/>
      <c r="R366" s="154"/>
      <c r="S366" s="155" t="str">
        <f t="array" ref="S366">IFERROR(XLOOKUP(B366,'ImportaçãoGoogleAds - Adveronix'!$F:$F,'ImportaçãoGoogleAds - Adveronix'!C:C)," ")</f>
        <v> </v>
      </c>
      <c r="T366" s="155" t="str">
        <f t="array" ref="T366">IFERROR(XLOOKUP(B366,'ImportaçãoGoogleAds - Adveronix'!$F:$F,'ImportaçãoGoogleAds - Adveronix'!D:D)," ")</f>
        <v> </v>
      </c>
      <c r="U366" s="155" t="str">
        <f t="array" ref="U366">IFERROR(XLOOKUP(B366,'ImportaçãoGoogleAds - Adveronix'!$F:$F,'ImportaçãoGoogleAds - Adveronix'!E:E)," ")</f>
        <v> </v>
      </c>
      <c r="V366" s="156"/>
      <c r="W366" s="157"/>
      <c r="X366" s="157"/>
      <c r="Y366" s="158"/>
      <c r="Z366" s="158">
        <f>IFERROR(COUNTIFS(Leads!$L:$L,$B366,Leads!$F:$F,"*google*"),0)</f>
        <v>0</v>
      </c>
      <c r="AA366" s="158">
        <f>IFERROR(COUNTIFS(Leads!$L:$L,$B366,Leads!$F:$F,"*google*",Leads!$N:$N,"Sim"),0)</f>
        <v>0</v>
      </c>
      <c r="AB366" s="152" t="str">
        <f t="array" ref="AB366">IFERROR(XLOOKUP(B366,'ImportaçãoMeta - Adveronix'!F:F,'ImportaçãoMeta - Adveronix'!B:B),"")</f>
        <v/>
      </c>
      <c r="AC366" s="154"/>
      <c r="AD366" s="154"/>
      <c r="AE366" s="159" t="str">
        <f t="array" ref="AE366">IFERROR(XLOOKUP(B366,'ImportaçãoMeta - Adveronix'!$F:$F,'ImportaçãoMeta - Adveronix'!C:C),"")</f>
        <v/>
      </c>
      <c r="AF366" s="159" t="str">
        <f t="array" ref="AF366">IFERROR(XLOOKUP(B366,'ImportaçãoMeta - Adveronix'!$F:$F,'ImportaçãoMeta - Adveronix'!D:D),"")</f>
        <v/>
      </c>
      <c r="AG366" s="159" t="str">
        <f t="array" ref="AG366">IFERROR(XLOOKUP(B366,'ImportaçãoMeta - Adveronix'!$F:$F,'ImportaçãoMeta - Adveronix'!E:E),"")</f>
        <v/>
      </c>
      <c r="AH366" s="157"/>
      <c r="AI366" s="157"/>
      <c r="AJ366" s="156"/>
      <c r="AK366" s="160">
        <f>IFERROR(COUNTIFS(Leads!$L:$L,$B366,Leads!$F:$F,"*MetaAds"),0)</f>
        <v>0</v>
      </c>
      <c r="AL366" s="160">
        <f>IFERROR(COUNTIFS(Leads!$L:$L,$B366,Leads!$F:$F,"*MetaAds*",Leads!$N:$N,"Sim"),0)</f>
        <v>0</v>
      </c>
    </row>
    <row r="367" ht="15.75" customHeight="1">
      <c r="A367" s="161"/>
      <c r="B367" s="161"/>
      <c r="C367" s="162"/>
      <c r="D367" s="163"/>
      <c r="E367" s="164"/>
      <c r="F367" s="165"/>
      <c r="G367" s="166"/>
      <c r="H367" s="167"/>
      <c r="I367" s="167"/>
      <c r="J367" s="167"/>
      <c r="K367" s="167"/>
      <c r="L367" s="167"/>
      <c r="M367" s="167"/>
      <c r="N367" s="167"/>
      <c r="O367" s="167"/>
      <c r="P367" s="164"/>
      <c r="Q367" s="165"/>
      <c r="R367" s="165"/>
      <c r="S367" s="167"/>
      <c r="T367" s="167"/>
      <c r="U367" s="167"/>
      <c r="V367" s="168"/>
      <c r="W367" s="168"/>
      <c r="X367" s="168"/>
      <c r="Y367" s="168"/>
      <c r="Z367" s="168"/>
      <c r="AA367" s="168"/>
      <c r="AB367" s="164"/>
      <c r="AC367" s="165"/>
      <c r="AD367" s="165"/>
      <c r="AE367" s="169"/>
      <c r="AF367" s="169"/>
      <c r="AG367" s="169"/>
      <c r="AH367" s="168"/>
      <c r="AI367" s="168"/>
      <c r="AJ367" s="168"/>
      <c r="AK367" s="160">
        <f>IFERROR(COUNTIFS(Leads!$L:$L,$B367,Leads!$F:$F,"*MetaAds"),0)</f>
        <v>0</v>
      </c>
      <c r="AL367" s="160">
        <f>IFERROR(COUNTIFS(Leads!$L:$L,$B367,Leads!$F:$F,"*MetaAds*",Leads!$N:$N,"Sim"),0)</f>
        <v>0</v>
      </c>
    </row>
    <row r="368" ht="15.75" customHeight="1">
      <c r="A368" s="161"/>
      <c r="B368" s="161"/>
      <c r="C368" s="162"/>
      <c r="D368" s="163"/>
      <c r="E368" s="164"/>
      <c r="F368" s="165"/>
      <c r="G368" s="166"/>
      <c r="H368" s="167"/>
      <c r="I368" s="167"/>
      <c r="J368" s="167"/>
      <c r="K368" s="167"/>
      <c r="L368" s="167"/>
      <c r="M368" s="167"/>
      <c r="N368" s="167"/>
      <c r="O368" s="167"/>
      <c r="P368" s="164"/>
      <c r="Q368" s="165"/>
      <c r="R368" s="165"/>
      <c r="S368" s="167"/>
      <c r="T368" s="167"/>
      <c r="U368" s="167"/>
      <c r="V368" s="168"/>
      <c r="W368" s="168"/>
      <c r="X368" s="168"/>
      <c r="Y368" s="168"/>
      <c r="Z368" s="168"/>
      <c r="AA368" s="168"/>
      <c r="AB368" s="164"/>
      <c r="AC368" s="165"/>
      <c r="AD368" s="165"/>
      <c r="AE368" s="169"/>
      <c r="AF368" s="169"/>
      <c r="AG368" s="169"/>
      <c r="AH368" s="168"/>
      <c r="AI368" s="168"/>
      <c r="AJ368" s="168"/>
      <c r="AK368" s="170"/>
      <c r="AL368" s="170"/>
    </row>
    <row r="369" ht="15.75" customHeight="1">
      <c r="A369" s="161"/>
      <c r="B369" s="161"/>
      <c r="C369" s="162"/>
      <c r="D369" s="163"/>
      <c r="E369" s="164"/>
      <c r="F369" s="165"/>
      <c r="G369" s="166"/>
      <c r="H369" s="167"/>
      <c r="I369" s="167"/>
      <c r="J369" s="167"/>
      <c r="K369" s="167"/>
      <c r="L369" s="167"/>
      <c r="M369" s="167"/>
      <c r="N369" s="167"/>
      <c r="O369" s="167"/>
      <c r="P369" s="164"/>
      <c r="Q369" s="165"/>
      <c r="R369" s="165"/>
      <c r="S369" s="167"/>
      <c r="T369" s="167"/>
      <c r="U369" s="167"/>
      <c r="V369" s="168"/>
      <c r="W369" s="168"/>
      <c r="X369" s="168"/>
      <c r="Y369" s="168"/>
      <c r="Z369" s="168"/>
      <c r="AA369" s="168"/>
      <c r="AB369" s="164"/>
      <c r="AC369" s="165"/>
      <c r="AD369" s="165"/>
      <c r="AE369" s="169"/>
      <c r="AF369" s="169"/>
      <c r="AG369" s="169"/>
      <c r="AH369" s="168"/>
      <c r="AI369" s="168"/>
      <c r="AJ369" s="168"/>
      <c r="AK369" s="170"/>
      <c r="AL369" s="170"/>
    </row>
    <row r="370" ht="15.75" customHeight="1">
      <c r="A370" s="161"/>
      <c r="B370" s="161"/>
      <c r="C370" s="162"/>
      <c r="D370" s="163"/>
      <c r="E370" s="164"/>
      <c r="F370" s="165"/>
      <c r="G370" s="166"/>
      <c r="H370" s="167"/>
      <c r="I370" s="167"/>
      <c r="J370" s="167"/>
      <c r="K370" s="167"/>
      <c r="L370" s="167"/>
      <c r="M370" s="167"/>
      <c r="N370" s="167"/>
      <c r="O370" s="167"/>
      <c r="P370" s="164"/>
      <c r="Q370" s="165"/>
      <c r="R370" s="165"/>
      <c r="S370" s="167"/>
      <c r="T370" s="167"/>
      <c r="U370" s="167"/>
      <c r="V370" s="168"/>
      <c r="W370" s="168"/>
      <c r="X370" s="168"/>
      <c r="Y370" s="168"/>
      <c r="Z370" s="168"/>
      <c r="AA370" s="168"/>
      <c r="AB370" s="164"/>
      <c r="AC370" s="165"/>
      <c r="AD370" s="165"/>
      <c r="AE370" s="169"/>
      <c r="AF370" s="169"/>
      <c r="AG370" s="169"/>
      <c r="AH370" s="168"/>
      <c r="AI370" s="168"/>
      <c r="AJ370" s="168"/>
      <c r="AK370" s="170"/>
      <c r="AL370" s="170"/>
    </row>
    <row r="371" ht="15.75" customHeight="1">
      <c r="A371" s="161"/>
      <c r="B371" s="161"/>
      <c r="C371" s="162"/>
      <c r="D371" s="163"/>
      <c r="E371" s="164"/>
      <c r="F371" s="165"/>
      <c r="G371" s="166"/>
      <c r="H371" s="167"/>
      <c r="I371" s="167"/>
      <c r="J371" s="167"/>
      <c r="K371" s="167"/>
      <c r="L371" s="167"/>
      <c r="M371" s="167"/>
      <c r="N371" s="167"/>
      <c r="O371" s="167"/>
      <c r="P371" s="164"/>
      <c r="Q371" s="165"/>
      <c r="R371" s="165"/>
      <c r="S371" s="167"/>
      <c r="T371" s="167"/>
      <c r="U371" s="167"/>
      <c r="V371" s="168"/>
      <c r="W371" s="168"/>
      <c r="X371" s="168"/>
      <c r="Y371" s="168"/>
      <c r="Z371" s="168"/>
      <c r="AA371" s="168"/>
      <c r="AB371" s="164"/>
      <c r="AC371" s="165"/>
      <c r="AD371" s="165"/>
      <c r="AE371" s="169"/>
      <c r="AF371" s="169"/>
      <c r="AG371" s="169"/>
      <c r="AH371" s="168"/>
      <c r="AI371" s="168"/>
      <c r="AJ371" s="168"/>
      <c r="AK371" s="170"/>
      <c r="AL371" s="170"/>
    </row>
    <row r="372" ht="15.75" customHeight="1">
      <c r="A372" s="161"/>
      <c r="B372" s="161"/>
      <c r="C372" s="162"/>
      <c r="D372" s="163"/>
      <c r="E372" s="164"/>
      <c r="F372" s="165"/>
      <c r="G372" s="166"/>
      <c r="H372" s="167"/>
      <c r="I372" s="167"/>
      <c r="J372" s="167"/>
      <c r="K372" s="167"/>
      <c r="L372" s="167"/>
      <c r="M372" s="167"/>
      <c r="N372" s="167"/>
      <c r="O372" s="167"/>
      <c r="P372" s="164"/>
      <c r="Q372" s="165"/>
      <c r="R372" s="165"/>
      <c r="S372" s="167"/>
      <c r="T372" s="167"/>
      <c r="U372" s="167"/>
      <c r="V372" s="168"/>
      <c r="W372" s="168"/>
      <c r="X372" s="168"/>
      <c r="Y372" s="168"/>
      <c r="Z372" s="168"/>
      <c r="AA372" s="168"/>
      <c r="AB372" s="164"/>
      <c r="AC372" s="165"/>
      <c r="AD372" s="165"/>
      <c r="AE372" s="169"/>
      <c r="AF372" s="169"/>
      <c r="AG372" s="169"/>
      <c r="AH372" s="168"/>
      <c r="AI372" s="168"/>
      <c r="AJ372" s="168"/>
      <c r="AK372" s="170"/>
      <c r="AL372" s="170"/>
    </row>
    <row r="373" ht="15.75" customHeight="1">
      <c r="A373" s="161"/>
      <c r="B373" s="161"/>
      <c r="C373" s="162"/>
      <c r="D373" s="163"/>
      <c r="E373" s="164"/>
      <c r="F373" s="165"/>
      <c r="G373" s="166"/>
      <c r="H373" s="167"/>
      <c r="I373" s="167"/>
      <c r="J373" s="167"/>
      <c r="K373" s="167"/>
      <c r="L373" s="167"/>
      <c r="M373" s="167"/>
      <c r="N373" s="167"/>
      <c r="O373" s="167"/>
      <c r="P373" s="164"/>
      <c r="Q373" s="165"/>
      <c r="R373" s="165"/>
      <c r="S373" s="167"/>
      <c r="T373" s="167"/>
      <c r="U373" s="167"/>
      <c r="V373" s="168"/>
      <c r="W373" s="168"/>
      <c r="X373" s="168"/>
      <c r="Y373" s="168"/>
      <c r="Z373" s="168"/>
      <c r="AA373" s="168"/>
      <c r="AB373" s="164"/>
      <c r="AC373" s="165"/>
      <c r="AD373" s="165"/>
      <c r="AE373" s="169"/>
      <c r="AF373" s="169"/>
      <c r="AG373" s="169"/>
      <c r="AH373" s="168"/>
      <c r="AI373" s="168"/>
      <c r="AJ373" s="168"/>
      <c r="AK373" s="170"/>
      <c r="AL373" s="170"/>
    </row>
    <row r="374" ht="15.75" customHeight="1">
      <c r="A374" s="161"/>
      <c r="B374" s="161"/>
      <c r="C374" s="162"/>
      <c r="D374" s="163"/>
      <c r="E374" s="164"/>
      <c r="F374" s="165"/>
      <c r="G374" s="166"/>
      <c r="H374" s="167"/>
      <c r="I374" s="167"/>
      <c r="J374" s="167"/>
      <c r="K374" s="167"/>
      <c r="L374" s="167"/>
      <c r="M374" s="167"/>
      <c r="N374" s="167"/>
      <c r="O374" s="167"/>
      <c r="P374" s="164"/>
      <c r="Q374" s="165"/>
      <c r="R374" s="165"/>
      <c r="S374" s="167"/>
      <c r="T374" s="167"/>
      <c r="U374" s="167"/>
      <c r="V374" s="168"/>
      <c r="W374" s="168"/>
      <c r="X374" s="168"/>
      <c r="Y374" s="168"/>
      <c r="Z374" s="168"/>
      <c r="AA374" s="168"/>
      <c r="AB374" s="164"/>
      <c r="AC374" s="165"/>
      <c r="AD374" s="165"/>
      <c r="AE374" s="169"/>
      <c r="AF374" s="169"/>
      <c r="AG374" s="169"/>
      <c r="AH374" s="168"/>
      <c r="AI374" s="168"/>
      <c r="AJ374" s="168"/>
      <c r="AK374" s="170"/>
      <c r="AL374" s="170"/>
    </row>
    <row r="375" ht="15.75" customHeight="1">
      <c r="A375" s="161"/>
      <c r="B375" s="161"/>
      <c r="C375" s="162"/>
      <c r="D375" s="163"/>
      <c r="E375" s="164"/>
      <c r="F375" s="165"/>
      <c r="G375" s="166"/>
      <c r="H375" s="167"/>
      <c r="I375" s="167"/>
      <c r="J375" s="167"/>
      <c r="K375" s="167"/>
      <c r="L375" s="167"/>
      <c r="M375" s="167"/>
      <c r="N375" s="167"/>
      <c r="O375" s="167"/>
      <c r="P375" s="164"/>
      <c r="Q375" s="165"/>
      <c r="R375" s="165"/>
      <c r="S375" s="167"/>
      <c r="T375" s="167"/>
      <c r="U375" s="167"/>
      <c r="V375" s="168"/>
      <c r="W375" s="168"/>
      <c r="X375" s="168"/>
      <c r="Y375" s="168"/>
      <c r="Z375" s="168"/>
      <c r="AA375" s="168"/>
      <c r="AB375" s="164"/>
      <c r="AC375" s="165"/>
      <c r="AD375" s="165"/>
      <c r="AE375" s="169"/>
      <c r="AF375" s="169"/>
      <c r="AG375" s="169"/>
      <c r="AH375" s="168"/>
      <c r="AI375" s="168"/>
      <c r="AJ375" s="168"/>
      <c r="AK375" s="170"/>
      <c r="AL375" s="170"/>
    </row>
    <row r="376" ht="15.75" customHeight="1">
      <c r="A376" s="161"/>
      <c r="B376" s="161"/>
      <c r="C376" s="162"/>
      <c r="D376" s="163"/>
      <c r="E376" s="164"/>
      <c r="F376" s="165"/>
      <c r="G376" s="166"/>
      <c r="H376" s="167"/>
      <c r="I376" s="167"/>
      <c r="J376" s="167"/>
      <c r="K376" s="167"/>
      <c r="L376" s="167"/>
      <c r="M376" s="167"/>
      <c r="N376" s="167"/>
      <c r="O376" s="167"/>
      <c r="P376" s="164"/>
      <c r="Q376" s="165"/>
      <c r="R376" s="165"/>
      <c r="S376" s="167"/>
      <c r="T376" s="167"/>
      <c r="U376" s="167"/>
      <c r="V376" s="168"/>
      <c r="W376" s="168"/>
      <c r="X376" s="168"/>
      <c r="Y376" s="168"/>
      <c r="Z376" s="168"/>
      <c r="AA376" s="168"/>
      <c r="AB376" s="164"/>
      <c r="AC376" s="165"/>
      <c r="AD376" s="165"/>
      <c r="AE376" s="169"/>
      <c r="AF376" s="169"/>
      <c r="AG376" s="169"/>
      <c r="AH376" s="168"/>
      <c r="AI376" s="168"/>
      <c r="AJ376" s="168"/>
      <c r="AK376" s="170"/>
      <c r="AL376" s="170"/>
    </row>
    <row r="377" ht="15.75" customHeight="1">
      <c r="A377" s="161"/>
      <c r="B377" s="161"/>
      <c r="C377" s="162"/>
      <c r="D377" s="163"/>
      <c r="E377" s="164"/>
      <c r="F377" s="165"/>
      <c r="G377" s="166"/>
      <c r="H377" s="167"/>
      <c r="I377" s="167"/>
      <c r="J377" s="167"/>
      <c r="K377" s="167"/>
      <c r="L377" s="167"/>
      <c r="M377" s="167"/>
      <c r="N377" s="167"/>
      <c r="O377" s="167"/>
      <c r="P377" s="164"/>
      <c r="Q377" s="165"/>
      <c r="R377" s="165"/>
      <c r="S377" s="167"/>
      <c r="T377" s="167"/>
      <c r="U377" s="167"/>
      <c r="V377" s="168"/>
      <c r="W377" s="168"/>
      <c r="X377" s="168"/>
      <c r="Y377" s="168"/>
      <c r="Z377" s="168"/>
      <c r="AA377" s="168"/>
      <c r="AB377" s="164"/>
      <c r="AC377" s="165"/>
      <c r="AD377" s="165"/>
      <c r="AE377" s="169"/>
      <c r="AF377" s="169"/>
      <c r="AG377" s="169"/>
      <c r="AH377" s="168"/>
      <c r="AI377" s="168"/>
      <c r="AJ377" s="168"/>
      <c r="AK377" s="170"/>
      <c r="AL377" s="170"/>
    </row>
    <row r="378" ht="15.75" customHeight="1">
      <c r="A378" s="161"/>
      <c r="B378" s="161"/>
      <c r="C378" s="162"/>
      <c r="D378" s="163"/>
      <c r="E378" s="164"/>
      <c r="F378" s="165"/>
      <c r="G378" s="166"/>
      <c r="H378" s="167"/>
      <c r="I378" s="167"/>
      <c r="J378" s="167"/>
      <c r="K378" s="167"/>
      <c r="L378" s="167"/>
      <c r="M378" s="167"/>
      <c r="N378" s="167"/>
      <c r="O378" s="167"/>
      <c r="P378" s="164"/>
      <c r="Q378" s="165"/>
      <c r="R378" s="165"/>
      <c r="S378" s="167"/>
      <c r="T378" s="167"/>
      <c r="U378" s="167"/>
      <c r="V378" s="168"/>
      <c r="W378" s="168"/>
      <c r="X378" s="168"/>
      <c r="Y378" s="168"/>
      <c r="Z378" s="168"/>
      <c r="AA378" s="168"/>
      <c r="AB378" s="164"/>
      <c r="AC378" s="165"/>
      <c r="AD378" s="165"/>
      <c r="AE378" s="169"/>
      <c r="AF378" s="169"/>
      <c r="AG378" s="169"/>
      <c r="AH378" s="168"/>
      <c r="AI378" s="168"/>
      <c r="AJ378" s="168"/>
      <c r="AK378" s="170"/>
      <c r="AL378" s="170"/>
    </row>
    <row r="379" ht="15.75" customHeight="1">
      <c r="A379" s="161"/>
      <c r="B379" s="161"/>
      <c r="C379" s="162"/>
      <c r="D379" s="163"/>
      <c r="E379" s="164"/>
      <c r="F379" s="165"/>
      <c r="G379" s="166"/>
      <c r="H379" s="167"/>
      <c r="I379" s="167"/>
      <c r="J379" s="167"/>
      <c r="K379" s="167"/>
      <c r="L379" s="167"/>
      <c r="M379" s="167"/>
      <c r="N379" s="167"/>
      <c r="O379" s="167"/>
      <c r="P379" s="164"/>
      <c r="Q379" s="165"/>
      <c r="R379" s="165"/>
      <c r="S379" s="167"/>
      <c r="T379" s="167"/>
      <c r="U379" s="167"/>
      <c r="V379" s="168"/>
      <c r="W379" s="168"/>
      <c r="X379" s="168"/>
      <c r="Y379" s="168"/>
      <c r="Z379" s="168"/>
      <c r="AA379" s="168"/>
      <c r="AB379" s="164"/>
      <c r="AC379" s="165"/>
      <c r="AD379" s="165"/>
      <c r="AE379" s="169"/>
      <c r="AF379" s="169"/>
      <c r="AG379" s="169"/>
      <c r="AH379" s="168"/>
      <c r="AI379" s="168"/>
      <c r="AJ379" s="168"/>
      <c r="AK379" s="170"/>
      <c r="AL379" s="170"/>
    </row>
    <row r="380" ht="15.75" customHeight="1">
      <c r="A380" s="161"/>
      <c r="B380" s="161"/>
      <c r="C380" s="162"/>
      <c r="D380" s="163"/>
      <c r="E380" s="164"/>
      <c r="F380" s="165"/>
      <c r="G380" s="166"/>
      <c r="H380" s="167"/>
      <c r="I380" s="167"/>
      <c r="J380" s="167"/>
      <c r="K380" s="167"/>
      <c r="L380" s="167"/>
      <c r="M380" s="167"/>
      <c r="N380" s="167"/>
      <c r="O380" s="167"/>
      <c r="P380" s="164"/>
      <c r="Q380" s="165"/>
      <c r="R380" s="165"/>
      <c r="S380" s="167"/>
      <c r="T380" s="167"/>
      <c r="U380" s="167"/>
      <c r="V380" s="168"/>
      <c r="W380" s="168"/>
      <c r="X380" s="168"/>
      <c r="Y380" s="168"/>
      <c r="Z380" s="168"/>
      <c r="AA380" s="168"/>
      <c r="AB380" s="164"/>
      <c r="AC380" s="165"/>
      <c r="AD380" s="165"/>
      <c r="AE380" s="169"/>
      <c r="AF380" s="169"/>
      <c r="AG380" s="169"/>
      <c r="AH380" s="168"/>
      <c r="AI380" s="168"/>
      <c r="AJ380" s="168"/>
      <c r="AK380" s="170"/>
      <c r="AL380" s="170"/>
    </row>
    <row r="381" ht="15.75" customHeight="1">
      <c r="A381" s="161"/>
      <c r="B381" s="161"/>
      <c r="C381" s="162"/>
      <c r="D381" s="163"/>
      <c r="E381" s="164"/>
      <c r="F381" s="165"/>
      <c r="G381" s="166"/>
      <c r="H381" s="167"/>
      <c r="I381" s="167"/>
      <c r="J381" s="167"/>
      <c r="K381" s="167"/>
      <c r="L381" s="167"/>
      <c r="M381" s="167"/>
      <c r="N381" s="167"/>
      <c r="O381" s="167"/>
      <c r="P381" s="164"/>
      <c r="Q381" s="165"/>
      <c r="R381" s="165"/>
      <c r="S381" s="167"/>
      <c r="T381" s="167"/>
      <c r="U381" s="167"/>
      <c r="V381" s="168"/>
      <c r="W381" s="168"/>
      <c r="X381" s="168"/>
      <c r="Y381" s="168"/>
      <c r="Z381" s="168"/>
      <c r="AA381" s="168"/>
      <c r="AB381" s="164"/>
      <c r="AC381" s="165"/>
      <c r="AD381" s="165"/>
      <c r="AE381" s="169"/>
      <c r="AF381" s="169"/>
      <c r="AG381" s="169"/>
      <c r="AH381" s="168"/>
      <c r="AI381" s="168"/>
      <c r="AJ381" s="168"/>
      <c r="AK381" s="170"/>
      <c r="AL381" s="170"/>
    </row>
    <row r="382" ht="15.75" customHeight="1">
      <c r="A382" s="161"/>
      <c r="B382" s="161"/>
      <c r="C382" s="162"/>
      <c r="D382" s="163"/>
      <c r="E382" s="164"/>
      <c r="F382" s="165"/>
      <c r="G382" s="166"/>
      <c r="H382" s="167"/>
      <c r="I382" s="167"/>
      <c r="J382" s="167"/>
      <c r="K382" s="167"/>
      <c r="L382" s="167"/>
      <c r="M382" s="167"/>
      <c r="N382" s="167"/>
      <c r="O382" s="167"/>
      <c r="P382" s="164"/>
      <c r="Q382" s="165"/>
      <c r="R382" s="165"/>
      <c r="S382" s="167"/>
      <c r="T382" s="167"/>
      <c r="U382" s="167"/>
      <c r="V382" s="168"/>
      <c r="W382" s="168"/>
      <c r="X382" s="168"/>
      <c r="Y382" s="168"/>
      <c r="Z382" s="168"/>
      <c r="AA382" s="168"/>
      <c r="AB382" s="164"/>
      <c r="AC382" s="165"/>
      <c r="AD382" s="165"/>
      <c r="AE382" s="169"/>
      <c r="AF382" s="169"/>
      <c r="AG382" s="169"/>
      <c r="AH382" s="168"/>
      <c r="AI382" s="168"/>
      <c r="AJ382" s="168"/>
      <c r="AK382" s="170"/>
      <c r="AL382" s="170"/>
    </row>
    <row r="383" ht="15.75" customHeight="1">
      <c r="A383" s="161"/>
      <c r="B383" s="161"/>
      <c r="C383" s="162"/>
      <c r="D383" s="163"/>
      <c r="E383" s="164"/>
      <c r="F383" s="165"/>
      <c r="G383" s="166"/>
      <c r="H383" s="167"/>
      <c r="I383" s="167"/>
      <c r="J383" s="167"/>
      <c r="K383" s="167"/>
      <c r="L383" s="167"/>
      <c r="M383" s="167"/>
      <c r="N383" s="167"/>
      <c r="O383" s="167"/>
      <c r="P383" s="164"/>
      <c r="Q383" s="165"/>
      <c r="R383" s="165"/>
      <c r="S383" s="167"/>
      <c r="T383" s="167"/>
      <c r="U383" s="167"/>
      <c r="V383" s="168"/>
      <c r="W383" s="168"/>
      <c r="X383" s="168"/>
      <c r="Y383" s="168"/>
      <c r="Z383" s="168"/>
      <c r="AA383" s="168"/>
      <c r="AB383" s="164"/>
      <c r="AC383" s="165"/>
      <c r="AD383" s="165"/>
      <c r="AE383" s="169"/>
      <c r="AF383" s="169"/>
      <c r="AG383" s="169"/>
      <c r="AH383" s="168"/>
      <c r="AI383" s="168"/>
      <c r="AJ383" s="168"/>
      <c r="AK383" s="170"/>
      <c r="AL383" s="170"/>
    </row>
    <row r="384" ht="15.75" customHeight="1">
      <c r="A384" s="161"/>
      <c r="B384" s="161"/>
      <c r="C384" s="162"/>
      <c r="D384" s="163"/>
      <c r="E384" s="164"/>
      <c r="F384" s="165"/>
      <c r="G384" s="166"/>
      <c r="H384" s="167"/>
      <c r="I384" s="167"/>
      <c r="J384" s="167"/>
      <c r="K384" s="167"/>
      <c r="L384" s="167"/>
      <c r="M384" s="167"/>
      <c r="N384" s="167"/>
      <c r="O384" s="167"/>
      <c r="P384" s="164"/>
      <c r="Q384" s="165"/>
      <c r="R384" s="165"/>
      <c r="S384" s="167"/>
      <c r="T384" s="167"/>
      <c r="U384" s="167"/>
      <c r="V384" s="168"/>
      <c r="W384" s="168"/>
      <c r="X384" s="168"/>
      <c r="Y384" s="168"/>
      <c r="Z384" s="168"/>
      <c r="AA384" s="168"/>
      <c r="AB384" s="164"/>
      <c r="AC384" s="165"/>
      <c r="AD384" s="165"/>
      <c r="AE384" s="169"/>
      <c r="AF384" s="169"/>
      <c r="AG384" s="169"/>
      <c r="AH384" s="168"/>
      <c r="AI384" s="168"/>
      <c r="AJ384" s="168"/>
      <c r="AK384" s="170"/>
      <c r="AL384" s="170"/>
    </row>
    <row r="385" ht="15.75" customHeight="1">
      <c r="A385" s="161"/>
      <c r="B385" s="161"/>
      <c r="C385" s="162"/>
      <c r="D385" s="163"/>
      <c r="E385" s="164"/>
      <c r="F385" s="165"/>
      <c r="G385" s="166"/>
      <c r="H385" s="167"/>
      <c r="I385" s="167"/>
      <c r="J385" s="167"/>
      <c r="K385" s="167"/>
      <c r="L385" s="167"/>
      <c r="M385" s="167"/>
      <c r="N385" s="167"/>
      <c r="O385" s="167"/>
      <c r="P385" s="164"/>
      <c r="Q385" s="165"/>
      <c r="R385" s="165"/>
      <c r="S385" s="167"/>
      <c r="T385" s="167"/>
      <c r="U385" s="167"/>
      <c r="V385" s="168"/>
      <c r="W385" s="168"/>
      <c r="X385" s="168"/>
      <c r="Y385" s="168"/>
      <c r="Z385" s="168"/>
      <c r="AA385" s="168"/>
      <c r="AB385" s="164"/>
      <c r="AC385" s="165"/>
      <c r="AD385" s="165"/>
      <c r="AE385" s="169"/>
      <c r="AF385" s="169"/>
      <c r="AG385" s="169"/>
      <c r="AH385" s="168"/>
      <c r="AI385" s="168"/>
      <c r="AJ385" s="168"/>
      <c r="AK385" s="170"/>
      <c r="AL385" s="170"/>
    </row>
    <row r="386" ht="15.75" customHeight="1">
      <c r="A386" s="161"/>
      <c r="B386" s="161"/>
      <c r="C386" s="162"/>
      <c r="D386" s="163"/>
      <c r="E386" s="164"/>
      <c r="F386" s="165"/>
      <c r="G386" s="166"/>
      <c r="H386" s="167"/>
      <c r="I386" s="167"/>
      <c r="J386" s="167"/>
      <c r="K386" s="167"/>
      <c r="L386" s="167"/>
      <c r="M386" s="167"/>
      <c r="N386" s="167"/>
      <c r="O386" s="167"/>
      <c r="P386" s="164"/>
      <c r="Q386" s="165"/>
      <c r="R386" s="165"/>
      <c r="S386" s="167"/>
      <c r="T386" s="167"/>
      <c r="U386" s="167"/>
      <c r="V386" s="168"/>
      <c r="W386" s="168"/>
      <c r="X386" s="168"/>
      <c r="Y386" s="168"/>
      <c r="Z386" s="168"/>
      <c r="AA386" s="168"/>
      <c r="AB386" s="164"/>
      <c r="AC386" s="165"/>
      <c r="AD386" s="165"/>
      <c r="AE386" s="169"/>
      <c r="AF386" s="169"/>
      <c r="AG386" s="169"/>
      <c r="AH386" s="168"/>
      <c r="AI386" s="168"/>
      <c r="AJ386" s="168"/>
      <c r="AK386" s="170"/>
      <c r="AL386" s="170"/>
    </row>
    <row r="387" ht="15.75" customHeight="1">
      <c r="A387" s="161"/>
      <c r="B387" s="161"/>
      <c r="C387" s="162"/>
      <c r="D387" s="163"/>
      <c r="E387" s="164"/>
      <c r="F387" s="165"/>
      <c r="G387" s="166"/>
      <c r="H387" s="167"/>
      <c r="I387" s="167"/>
      <c r="J387" s="167"/>
      <c r="K387" s="167"/>
      <c r="L387" s="167"/>
      <c r="M387" s="167"/>
      <c r="N387" s="167"/>
      <c r="O387" s="167"/>
      <c r="P387" s="164"/>
      <c r="Q387" s="165"/>
      <c r="R387" s="165"/>
      <c r="S387" s="167"/>
      <c r="T387" s="167"/>
      <c r="U387" s="167"/>
      <c r="V387" s="168"/>
      <c r="W387" s="168"/>
      <c r="X387" s="168"/>
      <c r="Y387" s="168"/>
      <c r="Z387" s="168"/>
      <c r="AA387" s="168"/>
      <c r="AB387" s="164"/>
      <c r="AC387" s="165"/>
      <c r="AD387" s="165"/>
      <c r="AE387" s="169"/>
      <c r="AF387" s="169"/>
      <c r="AG387" s="169"/>
      <c r="AH387" s="168"/>
      <c r="AI387" s="168"/>
      <c r="AJ387" s="168"/>
      <c r="AK387" s="170"/>
      <c r="AL387" s="170"/>
    </row>
    <row r="388" ht="15.75" customHeight="1">
      <c r="A388" s="161"/>
      <c r="B388" s="161"/>
      <c r="C388" s="162"/>
      <c r="D388" s="163"/>
      <c r="E388" s="164"/>
      <c r="F388" s="165"/>
      <c r="G388" s="166"/>
      <c r="H388" s="167"/>
      <c r="I388" s="167"/>
      <c r="J388" s="167"/>
      <c r="K388" s="167"/>
      <c r="L388" s="167"/>
      <c r="M388" s="167"/>
      <c r="N388" s="167"/>
      <c r="O388" s="167"/>
      <c r="P388" s="164"/>
      <c r="Q388" s="165"/>
      <c r="R388" s="165"/>
      <c r="S388" s="167"/>
      <c r="T388" s="167"/>
      <c r="U388" s="167"/>
      <c r="V388" s="168"/>
      <c r="W388" s="168"/>
      <c r="X388" s="168"/>
      <c r="Y388" s="168"/>
      <c r="Z388" s="168"/>
      <c r="AA388" s="168"/>
      <c r="AB388" s="164"/>
      <c r="AC388" s="165"/>
      <c r="AD388" s="165"/>
      <c r="AE388" s="169"/>
      <c r="AF388" s="169"/>
      <c r="AG388" s="169"/>
      <c r="AH388" s="168"/>
      <c r="AI388" s="168"/>
      <c r="AJ388" s="168"/>
      <c r="AK388" s="170"/>
      <c r="AL388" s="170"/>
    </row>
    <row r="389" ht="15.75" customHeight="1">
      <c r="A389" s="161"/>
      <c r="B389" s="161"/>
      <c r="C389" s="162"/>
      <c r="D389" s="163"/>
      <c r="E389" s="164"/>
      <c r="F389" s="165"/>
      <c r="G389" s="166"/>
      <c r="H389" s="167"/>
      <c r="I389" s="167"/>
      <c r="J389" s="167"/>
      <c r="K389" s="167"/>
      <c r="L389" s="167"/>
      <c r="M389" s="167"/>
      <c r="N389" s="167"/>
      <c r="O389" s="167"/>
      <c r="P389" s="164"/>
      <c r="Q389" s="165"/>
      <c r="R389" s="165"/>
      <c r="S389" s="167"/>
      <c r="T389" s="167"/>
      <c r="U389" s="167"/>
      <c r="V389" s="168"/>
      <c r="W389" s="168"/>
      <c r="X389" s="168"/>
      <c r="Y389" s="168"/>
      <c r="Z389" s="168"/>
      <c r="AA389" s="168"/>
      <c r="AB389" s="164"/>
      <c r="AC389" s="165"/>
      <c r="AD389" s="165"/>
      <c r="AE389" s="169"/>
      <c r="AF389" s="169"/>
      <c r="AG389" s="169"/>
      <c r="AH389" s="168"/>
      <c r="AI389" s="168"/>
      <c r="AJ389" s="168"/>
      <c r="AK389" s="170"/>
      <c r="AL389" s="170"/>
    </row>
    <row r="390" ht="15.75" customHeight="1">
      <c r="A390" s="161"/>
      <c r="B390" s="161"/>
      <c r="C390" s="162"/>
      <c r="D390" s="163"/>
      <c r="E390" s="164"/>
      <c r="F390" s="165"/>
      <c r="G390" s="166"/>
      <c r="H390" s="167"/>
      <c r="I390" s="167"/>
      <c r="J390" s="167"/>
      <c r="K390" s="167"/>
      <c r="L390" s="167"/>
      <c r="M390" s="167"/>
      <c r="N390" s="167"/>
      <c r="O390" s="167"/>
      <c r="P390" s="164"/>
      <c r="Q390" s="165"/>
      <c r="R390" s="165"/>
      <c r="S390" s="167"/>
      <c r="T390" s="167"/>
      <c r="U390" s="167"/>
      <c r="V390" s="168"/>
      <c r="W390" s="168"/>
      <c r="X390" s="168"/>
      <c r="Y390" s="168"/>
      <c r="Z390" s="168"/>
      <c r="AA390" s="168"/>
      <c r="AB390" s="164"/>
      <c r="AC390" s="165"/>
      <c r="AD390" s="165"/>
      <c r="AE390" s="169"/>
      <c r="AF390" s="169"/>
      <c r="AG390" s="169"/>
      <c r="AH390" s="168"/>
      <c r="AI390" s="168"/>
      <c r="AJ390" s="168"/>
      <c r="AK390" s="170"/>
      <c r="AL390" s="170"/>
    </row>
    <row r="391" ht="15.75" customHeight="1">
      <c r="A391" s="161"/>
      <c r="B391" s="161"/>
      <c r="C391" s="162"/>
      <c r="D391" s="163"/>
      <c r="E391" s="164"/>
      <c r="F391" s="165"/>
      <c r="G391" s="166"/>
      <c r="H391" s="167"/>
      <c r="I391" s="167"/>
      <c r="J391" s="167"/>
      <c r="K391" s="167"/>
      <c r="L391" s="167"/>
      <c r="M391" s="167"/>
      <c r="N391" s="167"/>
      <c r="O391" s="167"/>
      <c r="P391" s="164"/>
      <c r="Q391" s="165"/>
      <c r="R391" s="165"/>
      <c r="S391" s="167"/>
      <c r="T391" s="167"/>
      <c r="U391" s="167"/>
      <c r="V391" s="168"/>
      <c r="W391" s="168"/>
      <c r="X391" s="168"/>
      <c r="Y391" s="168"/>
      <c r="Z391" s="168"/>
      <c r="AA391" s="168"/>
      <c r="AB391" s="164"/>
      <c r="AC391" s="165"/>
      <c r="AD391" s="165"/>
      <c r="AE391" s="169"/>
      <c r="AF391" s="169"/>
      <c r="AG391" s="169"/>
      <c r="AH391" s="168"/>
      <c r="AI391" s="168"/>
      <c r="AJ391" s="168"/>
      <c r="AK391" s="170"/>
      <c r="AL391" s="170"/>
    </row>
    <row r="392" ht="15.75" customHeight="1">
      <c r="A392" s="161"/>
      <c r="B392" s="161"/>
      <c r="C392" s="162"/>
      <c r="D392" s="163"/>
      <c r="E392" s="164"/>
      <c r="F392" s="165"/>
      <c r="G392" s="166"/>
      <c r="H392" s="167"/>
      <c r="I392" s="167"/>
      <c r="J392" s="167"/>
      <c r="K392" s="167"/>
      <c r="L392" s="167"/>
      <c r="M392" s="167"/>
      <c r="N392" s="167"/>
      <c r="O392" s="167"/>
      <c r="P392" s="164"/>
      <c r="Q392" s="165"/>
      <c r="R392" s="165"/>
      <c r="S392" s="167"/>
      <c r="T392" s="167"/>
      <c r="U392" s="167"/>
      <c r="V392" s="168"/>
      <c r="W392" s="168"/>
      <c r="X392" s="168"/>
      <c r="Y392" s="168"/>
      <c r="Z392" s="168"/>
      <c r="AA392" s="168"/>
      <c r="AB392" s="164"/>
      <c r="AC392" s="165"/>
      <c r="AD392" s="165"/>
      <c r="AE392" s="169"/>
      <c r="AF392" s="169"/>
      <c r="AG392" s="169"/>
      <c r="AH392" s="168"/>
      <c r="AI392" s="168"/>
      <c r="AJ392" s="168"/>
      <c r="AK392" s="170"/>
      <c r="AL392" s="170"/>
    </row>
    <row r="393" ht="15.75" customHeight="1">
      <c r="A393" s="161"/>
      <c r="B393" s="161"/>
      <c r="C393" s="162"/>
      <c r="D393" s="163"/>
      <c r="E393" s="164"/>
      <c r="F393" s="165"/>
      <c r="G393" s="166"/>
      <c r="H393" s="167"/>
      <c r="I393" s="167"/>
      <c r="J393" s="167"/>
      <c r="K393" s="167"/>
      <c r="L393" s="167"/>
      <c r="M393" s="167"/>
      <c r="N393" s="167"/>
      <c r="O393" s="167"/>
      <c r="P393" s="164"/>
      <c r="Q393" s="165"/>
      <c r="R393" s="165"/>
      <c r="S393" s="167"/>
      <c r="T393" s="167"/>
      <c r="U393" s="167"/>
      <c r="V393" s="168"/>
      <c r="W393" s="168"/>
      <c r="X393" s="168"/>
      <c r="Y393" s="168"/>
      <c r="Z393" s="168"/>
      <c r="AA393" s="168"/>
      <c r="AB393" s="164"/>
      <c r="AC393" s="165"/>
      <c r="AD393" s="165"/>
      <c r="AE393" s="169"/>
      <c r="AF393" s="169"/>
      <c r="AG393" s="169"/>
      <c r="AH393" s="168"/>
      <c r="AI393" s="168"/>
      <c r="AJ393" s="168"/>
      <c r="AK393" s="170"/>
      <c r="AL393" s="170"/>
    </row>
    <row r="394" ht="15.75" customHeight="1">
      <c r="A394" s="161"/>
      <c r="B394" s="161"/>
      <c r="C394" s="162"/>
      <c r="D394" s="163"/>
      <c r="E394" s="164"/>
      <c r="F394" s="165"/>
      <c r="G394" s="166"/>
      <c r="H394" s="167"/>
      <c r="I394" s="167"/>
      <c r="J394" s="167"/>
      <c r="K394" s="167"/>
      <c r="L394" s="167"/>
      <c r="M394" s="167"/>
      <c r="N394" s="167"/>
      <c r="O394" s="167"/>
      <c r="P394" s="164"/>
      <c r="Q394" s="165"/>
      <c r="R394" s="165"/>
      <c r="S394" s="167"/>
      <c r="T394" s="167"/>
      <c r="U394" s="167"/>
      <c r="V394" s="168"/>
      <c r="W394" s="168"/>
      <c r="X394" s="168"/>
      <c r="Y394" s="168"/>
      <c r="Z394" s="168"/>
      <c r="AA394" s="168"/>
      <c r="AB394" s="164"/>
      <c r="AC394" s="165"/>
      <c r="AD394" s="165"/>
      <c r="AE394" s="169"/>
      <c r="AF394" s="169"/>
      <c r="AG394" s="169"/>
      <c r="AH394" s="168"/>
      <c r="AI394" s="168"/>
      <c r="AJ394" s="168"/>
      <c r="AK394" s="170"/>
      <c r="AL394" s="170"/>
    </row>
    <row r="395" ht="15.75" customHeight="1">
      <c r="A395" s="161"/>
      <c r="B395" s="161"/>
      <c r="C395" s="162"/>
      <c r="D395" s="163"/>
      <c r="E395" s="164"/>
      <c r="F395" s="165"/>
      <c r="G395" s="166"/>
      <c r="H395" s="167"/>
      <c r="I395" s="167"/>
      <c r="J395" s="167"/>
      <c r="K395" s="167"/>
      <c r="L395" s="167"/>
      <c r="M395" s="167"/>
      <c r="N395" s="167"/>
      <c r="O395" s="167"/>
      <c r="P395" s="164"/>
      <c r="Q395" s="165"/>
      <c r="R395" s="165"/>
      <c r="S395" s="167"/>
      <c r="T395" s="167"/>
      <c r="U395" s="167"/>
      <c r="V395" s="168"/>
      <c r="W395" s="168"/>
      <c r="X395" s="168"/>
      <c r="Y395" s="168"/>
      <c r="Z395" s="168"/>
      <c r="AA395" s="168"/>
      <c r="AB395" s="164"/>
      <c r="AC395" s="165"/>
      <c r="AD395" s="165"/>
      <c r="AE395" s="169"/>
      <c r="AF395" s="169"/>
      <c r="AG395" s="169"/>
      <c r="AH395" s="168"/>
      <c r="AI395" s="168"/>
      <c r="AJ395" s="168"/>
      <c r="AK395" s="170"/>
      <c r="AL395" s="170"/>
    </row>
    <row r="396" ht="15.75" customHeight="1">
      <c r="A396" s="161"/>
      <c r="B396" s="161"/>
      <c r="C396" s="162"/>
      <c r="D396" s="163"/>
      <c r="E396" s="164"/>
      <c r="F396" s="165"/>
      <c r="G396" s="166"/>
      <c r="H396" s="167"/>
      <c r="I396" s="167"/>
      <c r="J396" s="167"/>
      <c r="K396" s="167"/>
      <c r="L396" s="167"/>
      <c r="M396" s="167"/>
      <c r="N396" s="167"/>
      <c r="O396" s="167"/>
      <c r="P396" s="164"/>
      <c r="Q396" s="165"/>
      <c r="R396" s="165"/>
      <c r="S396" s="167"/>
      <c r="T396" s="167"/>
      <c r="U396" s="167"/>
      <c r="V396" s="168"/>
      <c r="W396" s="168"/>
      <c r="X396" s="168"/>
      <c r="Y396" s="168"/>
      <c r="Z396" s="168"/>
      <c r="AA396" s="168"/>
      <c r="AB396" s="164"/>
      <c r="AC396" s="165"/>
      <c r="AD396" s="165"/>
      <c r="AE396" s="169"/>
      <c r="AF396" s="169"/>
      <c r="AG396" s="169"/>
      <c r="AH396" s="168"/>
      <c r="AI396" s="168"/>
      <c r="AJ396" s="168"/>
      <c r="AK396" s="170"/>
      <c r="AL396" s="170"/>
    </row>
    <row r="397" ht="15.75" customHeight="1">
      <c r="A397" s="161"/>
      <c r="B397" s="161"/>
      <c r="C397" s="162"/>
      <c r="D397" s="163"/>
      <c r="E397" s="164"/>
      <c r="F397" s="165"/>
      <c r="G397" s="166"/>
      <c r="H397" s="167"/>
      <c r="I397" s="167"/>
      <c r="J397" s="167"/>
      <c r="K397" s="167"/>
      <c r="L397" s="167"/>
      <c r="M397" s="167"/>
      <c r="N397" s="167"/>
      <c r="O397" s="167"/>
      <c r="P397" s="164"/>
      <c r="Q397" s="165"/>
      <c r="R397" s="165"/>
      <c r="S397" s="167"/>
      <c r="T397" s="167"/>
      <c r="U397" s="167"/>
      <c r="V397" s="168"/>
      <c r="W397" s="168"/>
      <c r="X397" s="168"/>
      <c r="Y397" s="168"/>
      <c r="Z397" s="168"/>
      <c r="AA397" s="168"/>
      <c r="AB397" s="164"/>
      <c r="AC397" s="165"/>
      <c r="AD397" s="165"/>
      <c r="AE397" s="169"/>
      <c r="AF397" s="169"/>
      <c r="AG397" s="169"/>
      <c r="AH397" s="168"/>
      <c r="AI397" s="168"/>
      <c r="AJ397" s="168"/>
      <c r="AK397" s="170"/>
      <c r="AL397" s="170"/>
    </row>
    <row r="398" ht="15.75" customHeight="1">
      <c r="A398" s="161"/>
      <c r="B398" s="161"/>
      <c r="C398" s="162"/>
      <c r="D398" s="163"/>
      <c r="E398" s="164"/>
      <c r="F398" s="165"/>
      <c r="G398" s="166"/>
      <c r="H398" s="167"/>
      <c r="I398" s="167"/>
      <c r="J398" s="167"/>
      <c r="K398" s="167"/>
      <c r="L398" s="167"/>
      <c r="M398" s="167"/>
      <c r="N398" s="167"/>
      <c r="O398" s="167"/>
      <c r="P398" s="164"/>
      <c r="Q398" s="165"/>
      <c r="R398" s="165"/>
      <c r="S398" s="167"/>
      <c r="T398" s="167"/>
      <c r="U398" s="167"/>
      <c r="V398" s="168"/>
      <c r="W398" s="168"/>
      <c r="X398" s="168"/>
      <c r="Y398" s="168"/>
      <c r="Z398" s="168"/>
      <c r="AA398" s="168"/>
      <c r="AB398" s="164"/>
      <c r="AC398" s="165"/>
      <c r="AD398" s="165"/>
      <c r="AE398" s="169"/>
      <c r="AF398" s="169"/>
      <c r="AG398" s="169"/>
      <c r="AH398" s="168"/>
      <c r="AI398" s="168"/>
      <c r="AJ398" s="168"/>
      <c r="AK398" s="170"/>
      <c r="AL398" s="170"/>
    </row>
    <row r="399" ht="15.75" customHeight="1">
      <c r="A399" s="161"/>
      <c r="B399" s="161"/>
      <c r="C399" s="162"/>
      <c r="D399" s="163"/>
      <c r="E399" s="164"/>
      <c r="F399" s="165"/>
      <c r="G399" s="166"/>
      <c r="H399" s="167"/>
      <c r="I399" s="167"/>
      <c r="J399" s="167"/>
      <c r="K399" s="167"/>
      <c r="L399" s="167"/>
      <c r="M399" s="167"/>
      <c r="N399" s="167"/>
      <c r="O399" s="167"/>
      <c r="P399" s="164"/>
      <c r="Q399" s="165"/>
      <c r="R399" s="165"/>
      <c r="S399" s="167"/>
      <c r="T399" s="167"/>
      <c r="U399" s="167"/>
      <c r="V399" s="168"/>
      <c r="W399" s="168"/>
      <c r="X399" s="168"/>
      <c r="Y399" s="168"/>
      <c r="Z399" s="168"/>
      <c r="AA399" s="168"/>
      <c r="AB399" s="164"/>
      <c r="AC399" s="165"/>
      <c r="AD399" s="165"/>
      <c r="AE399" s="169"/>
      <c r="AF399" s="169"/>
      <c r="AG399" s="169"/>
      <c r="AH399" s="168"/>
      <c r="AI399" s="168"/>
      <c r="AJ399" s="168"/>
      <c r="AK399" s="170"/>
      <c r="AL399" s="170"/>
    </row>
    <row r="400" ht="15.75" customHeight="1">
      <c r="A400" s="161"/>
      <c r="B400" s="161"/>
      <c r="C400" s="162"/>
      <c r="D400" s="163"/>
      <c r="E400" s="164"/>
      <c r="F400" s="165"/>
      <c r="G400" s="166"/>
      <c r="H400" s="167"/>
      <c r="I400" s="167"/>
      <c r="J400" s="167"/>
      <c r="K400" s="167"/>
      <c r="L400" s="167"/>
      <c r="M400" s="167"/>
      <c r="N400" s="167"/>
      <c r="O400" s="167"/>
      <c r="P400" s="164"/>
      <c r="Q400" s="165"/>
      <c r="R400" s="165"/>
      <c r="S400" s="167"/>
      <c r="T400" s="167"/>
      <c r="U400" s="167"/>
      <c r="V400" s="168"/>
      <c r="W400" s="168"/>
      <c r="X400" s="168"/>
      <c r="Y400" s="168"/>
      <c r="Z400" s="168"/>
      <c r="AA400" s="168"/>
      <c r="AB400" s="164"/>
      <c r="AC400" s="165"/>
      <c r="AD400" s="165"/>
      <c r="AE400" s="169"/>
      <c r="AF400" s="169"/>
      <c r="AG400" s="169"/>
      <c r="AH400" s="168"/>
      <c r="AI400" s="168"/>
      <c r="AJ400" s="168"/>
      <c r="AK400" s="170"/>
      <c r="AL400" s="170"/>
    </row>
    <row r="401" ht="15.75" customHeight="1">
      <c r="A401" s="161"/>
      <c r="B401" s="161"/>
      <c r="C401" s="162"/>
      <c r="D401" s="163"/>
      <c r="E401" s="164"/>
      <c r="F401" s="165"/>
      <c r="G401" s="166"/>
      <c r="H401" s="167"/>
      <c r="I401" s="167"/>
      <c r="J401" s="167"/>
      <c r="K401" s="167"/>
      <c r="L401" s="167"/>
      <c r="M401" s="167"/>
      <c r="N401" s="167"/>
      <c r="O401" s="167"/>
      <c r="P401" s="164"/>
      <c r="Q401" s="165"/>
      <c r="R401" s="165"/>
      <c r="S401" s="167"/>
      <c r="T401" s="167"/>
      <c r="U401" s="167"/>
      <c r="V401" s="168"/>
      <c r="W401" s="168"/>
      <c r="X401" s="168"/>
      <c r="Y401" s="168"/>
      <c r="Z401" s="168"/>
      <c r="AA401" s="168"/>
      <c r="AB401" s="164"/>
      <c r="AC401" s="165"/>
      <c r="AD401" s="165"/>
      <c r="AE401" s="169"/>
      <c r="AF401" s="169"/>
      <c r="AG401" s="169"/>
      <c r="AH401" s="168"/>
      <c r="AI401" s="168"/>
      <c r="AJ401" s="168"/>
      <c r="AK401" s="170"/>
      <c r="AL401" s="170"/>
    </row>
    <row r="402" ht="15.75" customHeight="1">
      <c r="A402" s="161"/>
      <c r="B402" s="161"/>
      <c r="C402" s="162"/>
      <c r="D402" s="163"/>
      <c r="E402" s="164"/>
      <c r="F402" s="165"/>
      <c r="G402" s="166"/>
      <c r="H402" s="167"/>
      <c r="I402" s="167"/>
      <c r="J402" s="167"/>
      <c r="K402" s="167"/>
      <c r="L402" s="167"/>
      <c r="M402" s="167"/>
      <c r="N402" s="167"/>
      <c r="O402" s="167"/>
      <c r="P402" s="164"/>
      <c r="Q402" s="165"/>
      <c r="R402" s="165"/>
      <c r="S402" s="167"/>
      <c r="T402" s="167"/>
      <c r="U402" s="167"/>
      <c r="V402" s="168"/>
      <c r="W402" s="168"/>
      <c r="X402" s="168"/>
      <c r="Y402" s="168"/>
      <c r="Z402" s="168"/>
      <c r="AA402" s="168"/>
      <c r="AB402" s="164"/>
      <c r="AC402" s="165"/>
      <c r="AD402" s="165"/>
      <c r="AE402" s="169"/>
      <c r="AF402" s="169"/>
      <c r="AG402" s="169"/>
      <c r="AH402" s="168"/>
      <c r="AI402" s="168"/>
      <c r="AJ402" s="168"/>
      <c r="AK402" s="170"/>
      <c r="AL402" s="170"/>
    </row>
    <row r="403" ht="15.75" customHeight="1">
      <c r="A403" s="161"/>
      <c r="B403" s="161"/>
      <c r="C403" s="162"/>
      <c r="D403" s="163"/>
      <c r="E403" s="164"/>
      <c r="F403" s="165"/>
      <c r="G403" s="166"/>
      <c r="H403" s="167"/>
      <c r="I403" s="167"/>
      <c r="J403" s="167"/>
      <c r="K403" s="167"/>
      <c r="L403" s="167"/>
      <c r="M403" s="167"/>
      <c r="N403" s="167"/>
      <c r="O403" s="167"/>
      <c r="P403" s="164"/>
      <c r="Q403" s="165"/>
      <c r="R403" s="165"/>
      <c r="S403" s="167"/>
      <c r="T403" s="167"/>
      <c r="U403" s="167"/>
      <c r="V403" s="168"/>
      <c r="W403" s="168"/>
      <c r="X403" s="168"/>
      <c r="Y403" s="168"/>
      <c r="Z403" s="168"/>
      <c r="AA403" s="168"/>
      <c r="AB403" s="164"/>
      <c r="AC403" s="165"/>
      <c r="AD403" s="165"/>
      <c r="AE403" s="169"/>
      <c r="AF403" s="169"/>
      <c r="AG403" s="169"/>
      <c r="AH403" s="168"/>
      <c r="AI403" s="168"/>
      <c r="AJ403" s="168"/>
      <c r="AK403" s="170"/>
      <c r="AL403" s="170"/>
    </row>
    <row r="404" ht="15.75" customHeight="1">
      <c r="A404" s="161"/>
      <c r="B404" s="161"/>
      <c r="C404" s="162"/>
      <c r="D404" s="163"/>
      <c r="E404" s="164"/>
      <c r="F404" s="165"/>
      <c r="G404" s="166"/>
      <c r="H404" s="167"/>
      <c r="I404" s="167"/>
      <c r="J404" s="167"/>
      <c r="K404" s="167"/>
      <c r="L404" s="167"/>
      <c r="M404" s="167"/>
      <c r="N404" s="167"/>
      <c r="O404" s="167"/>
      <c r="P404" s="164"/>
      <c r="Q404" s="165"/>
      <c r="R404" s="165"/>
      <c r="S404" s="167"/>
      <c r="T404" s="167"/>
      <c r="U404" s="167"/>
      <c r="V404" s="168"/>
      <c r="W404" s="168"/>
      <c r="X404" s="168"/>
      <c r="Y404" s="168"/>
      <c r="Z404" s="168"/>
      <c r="AA404" s="168"/>
      <c r="AB404" s="164"/>
      <c r="AC404" s="165"/>
      <c r="AD404" s="165"/>
      <c r="AE404" s="169"/>
      <c r="AF404" s="169"/>
      <c r="AG404" s="169"/>
      <c r="AH404" s="168"/>
      <c r="AI404" s="168"/>
      <c r="AJ404" s="168"/>
      <c r="AK404" s="170"/>
      <c r="AL404" s="170"/>
    </row>
    <row r="405" ht="15.75" customHeight="1">
      <c r="A405" s="161"/>
      <c r="B405" s="161"/>
      <c r="C405" s="162"/>
      <c r="D405" s="163"/>
      <c r="E405" s="164"/>
      <c r="F405" s="165"/>
      <c r="G405" s="166"/>
      <c r="H405" s="167"/>
      <c r="I405" s="167"/>
      <c r="J405" s="167"/>
      <c r="K405" s="167"/>
      <c r="L405" s="167"/>
      <c r="M405" s="167"/>
      <c r="N405" s="167"/>
      <c r="O405" s="167"/>
      <c r="P405" s="164"/>
      <c r="Q405" s="165"/>
      <c r="R405" s="165"/>
      <c r="S405" s="167"/>
      <c r="T405" s="167"/>
      <c r="U405" s="167"/>
      <c r="V405" s="168"/>
      <c r="W405" s="168"/>
      <c r="X405" s="168"/>
      <c r="Y405" s="168"/>
      <c r="Z405" s="168"/>
      <c r="AA405" s="168"/>
      <c r="AB405" s="164"/>
      <c r="AC405" s="165"/>
      <c r="AD405" s="165"/>
      <c r="AE405" s="169"/>
      <c r="AF405" s="169"/>
      <c r="AG405" s="169"/>
      <c r="AH405" s="168"/>
      <c r="AI405" s="168"/>
      <c r="AJ405" s="168"/>
      <c r="AK405" s="170"/>
      <c r="AL405" s="170"/>
    </row>
    <row r="406" ht="15.75" customHeight="1">
      <c r="A406" s="161"/>
      <c r="B406" s="161"/>
      <c r="C406" s="162"/>
      <c r="D406" s="163"/>
      <c r="E406" s="164"/>
      <c r="F406" s="165"/>
      <c r="G406" s="166"/>
      <c r="H406" s="167"/>
      <c r="I406" s="167"/>
      <c r="J406" s="167"/>
      <c r="K406" s="167"/>
      <c r="L406" s="167"/>
      <c r="M406" s="167"/>
      <c r="N406" s="167"/>
      <c r="O406" s="167"/>
      <c r="P406" s="164"/>
      <c r="Q406" s="165"/>
      <c r="R406" s="165"/>
      <c r="S406" s="167"/>
      <c r="T406" s="167"/>
      <c r="U406" s="167"/>
      <c r="V406" s="168"/>
      <c r="W406" s="168"/>
      <c r="X406" s="168"/>
      <c r="Y406" s="168"/>
      <c r="Z406" s="168"/>
      <c r="AA406" s="168"/>
      <c r="AB406" s="164"/>
      <c r="AC406" s="165"/>
      <c r="AD406" s="165"/>
      <c r="AE406" s="169"/>
      <c r="AF406" s="169"/>
      <c r="AG406" s="169"/>
      <c r="AH406" s="168"/>
      <c r="AI406" s="168"/>
      <c r="AJ406" s="168"/>
      <c r="AK406" s="170"/>
      <c r="AL406" s="170"/>
    </row>
    <row r="407" ht="15.75" customHeight="1">
      <c r="A407" s="161"/>
      <c r="B407" s="161"/>
      <c r="C407" s="162"/>
      <c r="D407" s="163"/>
      <c r="E407" s="164"/>
      <c r="F407" s="165"/>
      <c r="G407" s="166"/>
      <c r="H407" s="167"/>
      <c r="I407" s="167"/>
      <c r="J407" s="167"/>
      <c r="K407" s="167"/>
      <c r="L407" s="167"/>
      <c r="M407" s="167"/>
      <c r="N407" s="167"/>
      <c r="O407" s="167"/>
      <c r="P407" s="164"/>
      <c r="Q407" s="165"/>
      <c r="R407" s="165"/>
      <c r="S407" s="167"/>
      <c r="T407" s="167"/>
      <c r="U407" s="167"/>
      <c r="V407" s="168"/>
      <c r="W407" s="168"/>
      <c r="X407" s="168"/>
      <c r="Y407" s="168"/>
      <c r="Z407" s="168"/>
      <c r="AA407" s="168"/>
      <c r="AB407" s="164"/>
      <c r="AC407" s="165"/>
      <c r="AD407" s="165"/>
      <c r="AE407" s="169"/>
      <c r="AF407" s="169"/>
      <c r="AG407" s="169"/>
      <c r="AH407" s="168"/>
      <c r="AI407" s="168"/>
      <c r="AJ407" s="168"/>
      <c r="AK407" s="170"/>
      <c r="AL407" s="170"/>
    </row>
    <row r="408" ht="15.75" customHeight="1">
      <c r="A408" s="161"/>
      <c r="B408" s="161"/>
      <c r="C408" s="162"/>
      <c r="D408" s="163"/>
      <c r="E408" s="164"/>
      <c r="F408" s="165"/>
      <c r="G408" s="166"/>
      <c r="H408" s="167"/>
      <c r="I408" s="167"/>
      <c r="J408" s="167"/>
      <c r="K408" s="167"/>
      <c r="L408" s="167"/>
      <c r="M408" s="167"/>
      <c r="N408" s="167"/>
      <c r="O408" s="167"/>
      <c r="P408" s="164"/>
      <c r="Q408" s="165"/>
      <c r="R408" s="165"/>
      <c r="S408" s="167"/>
      <c r="T408" s="167"/>
      <c r="U408" s="167"/>
      <c r="V408" s="168"/>
      <c r="W408" s="168"/>
      <c r="X408" s="168"/>
      <c r="Y408" s="168"/>
      <c r="Z408" s="168"/>
      <c r="AA408" s="168"/>
      <c r="AB408" s="164"/>
      <c r="AC408" s="165"/>
      <c r="AD408" s="165"/>
      <c r="AE408" s="169"/>
      <c r="AF408" s="169"/>
      <c r="AG408" s="169"/>
      <c r="AH408" s="168"/>
      <c r="AI408" s="168"/>
      <c r="AJ408" s="168"/>
      <c r="AK408" s="170"/>
      <c r="AL408" s="170"/>
    </row>
    <row r="409" ht="15.75" customHeight="1">
      <c r="A409" s="161"/>
      <c r="B409" s="161"/>
      <c r="C409" s="162"/>
      <c r="D409" s="163"/>
      <c r="E409" s="164"/>
      <c r="F409" s="165"/>
      <c r="G409" s="166"/>
      <c r="H409" s="167"/>
      <c r="I409" s="167"/>
      <c r="J409" s="167"/>
      <c r="K409" s="167"/>
      <c r="L409" s="167"/>
      <c r="M409" s="167"/>
      <c r="N409" s="167"/>
      <c r="O409" s="167"/>
      <c r="P409" s="164"/>
      <c r="Q409" s="165"/>
      <c r="R409" s="165"/>
      <c r="S409" s="167"/>
      <c r="T409" s="167"/>
      <c r="U409" s="167"/>
      <c r="V409" s="168"/>
      <c r="W409" s="168"/>
      <c r="X409" s="168"/>
      <c r="Y409" s="168"/>
      <c r="Z409" s="168"/>
      <c r="AA409" s="168"/>
      <c r="AB409" s="164"/>
      <c r="AC409" s="165"/>
      <c r="AD409" s="165"/>
      <c r="AE409" s="169"/>
      <c r="AF409" s="169"/>
      <c r="AG409" s="169"/>
      <c r="AH409" s="168"/>
      <c r="AI409" s="168"/>
      <c r="AJ409" s="168"/>
      <c r="AK409" s="170"/>
      <c r="AL409" s="170"/>
    </row>
    <row r="410" ht="15.75" customHeight="1">
      <c r="A410" s="161"/>
      <c r="B410" s="161"/>
      <c r="C410" s="162"/>
      <c r="D410" s="163"/>
      <c r="E410" s="164"/>
      <c r="F410" s="165"/>
      <c r="G410" s="166"/>
      <c r="H410" s="167"/>
      <c r="I410" s="167"/>
      <c r="J410" s="167"/>
      <c r="K410" s="167"/>
      <c r="L410" s="167"/>
      <c r="M410" s="167"/>
      <c r="N410" s="167"/>
      <c r="O410" s="167"/>
      <c r="P410" s="164"/>
      <c r="Q410" s="165"/>
      <c r="R410" s="165"/>
      <c r="S410" s="167"/>
      <c r="T410" s="167"/>
      <c r="U410" s="167"/>
      <c r="V410" s="168"/>
      <c r="W410" s="168"/>
      <c r="X410" s="168"/>
      <c r="Y410" s="168"/>
      <c r="Z410" s="168"/>
      <c r="AA410" s="168"/>
      <c r="AB410" s="164"/>
      <c r="AC410" s="165"/>
      <c r="AD410" s="165"/>
      <c r="AE410" s="169"/>
      <c r="AF410" s="169"/>
      <c r="AG410" s="169"/>
      <c r="AH410" s="168"/>
      <c r="AI410" s="168"/>
      <c r="AJ410" s="168"/>
      <c r="AK410" s="170"/>
      <c r="AL410" s="170"/>
    </row>
    <row r="411" ht="15.75" customHeight="1">
      <c r="A411" s="161"/>
      <c r="B411" s="161"/>
      <c r="C411" s="162"/>
      <c r="D411" s="163"/>
      <c r="E411" s="164"/>
      <c r="F411" s="165"/>
      <c r="G411" s="166"/>
      <c r="H411" s="167"/>
      <c r="I411" s="167"/>
      <c r="J411" s="167"/>
      <c r="K411" s="167"/>
      <c r="L411" s="167"/>
      <c r="M411" s="167"/>
      <c r="N411" s="167"/>
      <c r="O411" s="167"/>
      <c r="P411" s="164"/>
      <c r="Q411" s="165"/>
      <c r="R411" s="165"/>
      <c r="S411" s="167"/>
      <c r="T411" s="167"/>
      <c r="U411" s="167"/>
      <c r="V411" s="168"/>
      <c r="W411" s="168"/>
      <c r="X411" s="168"/>
      <c r="Y411" s="168"/>
      <c r="Z411" s="168"/>
      <c r="AA411" s="168"/>
      <c r="AB411" s="164"/>
      <c r="AC411" s="165"/>
      <c r="AD411" s="165"/>
      <c r="AE411" s="169"/>
      <c r="AF411" s="169"/>
      <c r="AG411" s="169"/>
      <c r="AH411" s="168"/>
      <c r="AI411" s="168"/>
      <c r="AJ411" s="168"/>
      <c r="AK411" s="170"/>
      <c r="AL411" s="170"/>
    </row>
    <row r="412" ht="15.75" customHeight="1">
      <c r="A412" s="161"/>
      <c r="B412" s="161"/>
      <c r="C412" s="162"/>
      <c r="D412" s="163"/>
      <c r="E412" s="164"/>
      <c r="F412" s="165"/>
      <c r="G412" s="166"/>
      <c r="H412" s="167"/>
      <c r="I412" s="167"/>
      <c r="J412" s="167"/>
      <c r="K412" s="167"/>
      <c r="L412" s="167"/>
      <c r="M412" s="167"/>
      <c r="N412" s="167"/>
      <c r="O412" s="167"/>
      <c r="P412" s="164"/>
      <c r="Q412" s="165"/>
      <c r="R412" s="165"/>
      <c r="S412" s="167"/>
      <c r="T412" s="167"/>
      <c r="U412" s="167"/>
      <c r="V412" s="168"/>
      <c r="W412" s="168"/>
      <c r="X412" s="168"/>
      <c r="Y412" s="168"/>
      <c r="Z412" s="168"/>
      <c r="AA412" s="168"/>
      <c r="AB412" s="164"/>
      <c r="AC412" s="165"/>
      <c r="AD412" s="165"/>
      <c r="AE412" s="169"/>
      <c r="AF412" s="169"/>
      <c r="AG412" s="169"/>
      <c r="AH412" s="168"/>
      <c r="AI412" s="168"/>
      <c r="AJ412" s="168"/>
      <c r="AK412" s="170"/>
      <c r="AL412" s="170"/>
    </row>
    <row r="413" ht="15.75" customHeight="1">
      <c r="A413" s="161"/>
      <c r="B413" s="161"/>
      <c r="C413" s="162"/>
      <c r="D413" s="163"/>
      <c r="E413" s="164"/>
      <c r="F413" s="165"/>
      <c r="G413" s="166"/>
      <c r="H413" s="167"/>
      <c r="I413" s="167"/>
      <c r="J413" s="167"/>
      <c r="K413" s="167"/>
      <c r="L413" s="167"/>
      <c r="M413" s="167"/>
      <c r="N413" s="167"/>
      <c r="O413" s="167"/>
      <c r="P413" s="164"/>
      <c r="Q413" s="165"/>
      <c r="R413" s="165"/>
      <c r="S413" s="167"/>
      <c r="T413" s="167"/>
      <c r="U413" s="167"/>
      <c r="V413" s="168"/>
      <c r="W413" s="168"/>
      <c r="X413" s="168"/>
      <c r="Y413" s="168"/>
      <c r="Z413" s="168"/>
      <c r="AA413" s="168"/>
      <c r="AB413" s="164"/>
      <c r="AC413" s="165"/>
      <c r="AD413" s="165"/>
      <c r="AE413" s="169"/>
      <c r="AF413" s="169"/>
      <c r="AG413" s="169"/>
      <c r="AH413" s="168"/>
      <c r="AI413" s="168"/>
      <c r="AJ413" s="168"/>
      <c r="AK413" s="170"/>
      <c r="AL413" s="170"/>
    </row>
    <row r="414" ht="15.75" customHeight="1">
      <c r="A414" s="161"/>
      <c r="B414" s="161"/>
      <c r="C414" s="162"/>
      <c r="D414" s="163"/>
      <c r="E414" s="164"/>
      <c r="F414" s="165"/>
      <c r="G414" s="166"/>
      <c r="H414" s="167"/>
      <c r="I414" s="167"/>
      <c r="J414" s="167"/>
      <c r="K414" s="167"/>
      <c r="L414" s="167"/>
      <c r="M414" s="167"/>
      <c r="N414" s="167"/>
      <c r="O414" s="167"/>
      <c r="P414" s="164"/>
      <c r="Q414" s="165"/>
      <c r="R414" s="165"/>
      <c r="S414" s="167"/>
      <c r="T414" s="167"/>
      <c r="U414" s="167"/>
      <c r="V414" s="168"/>
      <c r="W414" s="168"/>
      <c r="X414" s="168"/>
      <c r="Y414" s="168"/>
      <c r="Z414" s="168"/>
      <c r="AA414" s="168"/>
      <c r="AB414" s="164"/>
      <c r="AC414" s="165"/>
      <c r="AD414" s="165"/>
      <c r="AE414" s="169"/>
      <c r="AF414" s="169"/>
      <c r="AG414" s="169"/>
      <c r="AH414" s="168"/>
      <c r="AI414" s="168"/>
      <c r="AJ414" s="168"/>
      <c r="AK414" s="170"/>
      <c r="AL414" s="170"/>
    </row>
    <row r="415" ht="15.75" customHeight="1">
      <c r="A415" s="161"/>
      <c r="B415" s="161"/>
      <c r="C415" s="162"/>
      <c r="D415" s="163"/>
      <c r="E415" s="164"/>
      <c r="F415" s="165"/>
      <c r="G415" s="166"/>
      <c r="H415" s="167"/>
      <c r="I415" s="167"/>
      <c r="J415" s="167"/>
      <c r="K415" s="167"/>
      <c r="L415" s="167"/>
      <c r="M415" s="167"/>
      <c r="N415" s="167"/>
      <c r="O415" s="167"/>
      <c r="P415" s="164"/>
      <c r="Q415" s="165"/>
      <c r="R415" s="165"/>
      <c r="S415" s="167"/>
      <c r="T415" s="167"/>
      <c r="U415" s="167"/>
      <c r="V415" s="168"/>
      <c r="W415" s="168"/>
      <c r="X415" s="168"/>
      <c r="Y415" s="168"/>
      <c r="Z415" s="168"/>
      <c r="AA415" s="168"/>
      <c r="AB415" s="164"/>
      <c r="AC415" s="165"/>
      <c r="AD415" s="165"/>
      <c r="AE415" s="169"/>
      <c r="AF415" s="169"/>
      <c r="AG415" s="169"/>
      <c r="AH415" s="168"/>
      <c r="AI415" s="168"/>
      <c r="AJ415" s="168"/>
      <c r="AK415" s="170"/>
      <c r="AL415" s="170"/>
    </row>
    <row r="416" ht="15.75" customHeight="1">
      <c r="A416" s="161"/>
      <c r="B416" s="161"/>
      <c r="C416" s="162"/>
      <c r="D416" s="163"/>
      <c r="E416" s="164"/>
      <c r="F416" s="165"/>
      <c r="G416" s="166"/>
      <c r="H416" s="167"/>
      <c r="I416" s="167"/>
      <c r="J416" s="167"/>
      <c r="K416" s="167"/>
      <c r="L416" s="167"/>
      <c r="M416" s="167"/>
      <c r="N416" s="167"/>
      <c r="O416" s="167"/>
      <c r="P416" s="164"/>
      <c r="Q416" s="165"/>
      <c r="R416" s="165"/>
      <c r="S416" s="167"/>
      <c r="T416" s="167"/>
      <c r="U416" s="167"/>
      <c r="V416" s="168"/>
      <c r="W416" s="168"/>
      <c r="X416" s="168"/>
      <c r="Y416" s="168"/>
      <c r="Z416" s="168"/>
      <c r="AA416" s="168"/>
      <c r="AB416" s="164"/>
      <c r="AC416" s="165"/>
      <c r="AD416" s="165"/>
      <c r="AE416" s="169"/>
      <c r="AF416" s="169"/>
      <c r="AG416" s="169"/>
      <c r="AH416" s="168"/>
      <c r="AI416" s="168"/>
      <c r="AJ416" s="168"/>
      <c r="AK416" s="170"/>
      <c r="AL416" s="170"/>
    </row>
    <row r="417" ht="15.75" customHeight="1">
      <c r="A417" s="161"/>
      <c r="B417" s="161"/>
      <c r="C417" s="162"/>
      <c r="D417" s="163"/>
      <c r="E417" s="164"/>
      <c r="F417" s="165"/>
      <c r="G417" s="166"/>
      <c r="H417" s="167"/>
      <c r="I417" s="167"/>
      <c r="J417" s="167"/>
      <c r="K417" s="167"/>
      <c r="L417" s="167"/>
      <c r="M417" s="167"/>
      <c r="N417" s="167"/>
      <c r="O417" s="167"/>
      <c r="P417" s="164"/>
      <c r="Q417" s="165"/>
      <c r="R417" s="165"/>
      <c r="S417" s="167"/>
      <c r="T417" s="167"/>
      <c r="U417" s="167"/>
      <c r="V417" s="168"/>
      <c r="W417" s="168"/>
      <c r="X417" s="168"/>
      <c r="Y417" s="168"/>
      <c r="Z417" s="168"/>
      <c r="AA417" s="168"/>
      <c r="AB417" s="164"/>
      <c r="AC417" s="165"/>
      <c r="AD417" s="165"/>
      <c r="AE417" s="169"/>
      <c r="AF417" s="169"/>
      <c r="AG417" s="169"/>
      <c r="AH417" s="168"/>
      <c r="AI417" s="168"/>
      <c r="AJ417" s="168"/>
      <c r="AK417" s="170"/>
      <c r="AL417" s="170"/>
    </row>
    <row r="418" ht="15.75" customHeight="1">
      <c r="A418" s="161"/>
      <c r="B418" s="161"/>
      <c r="C418" s="162"/>
      <c r="D418" s="163"/>
      <c r="E418" s="164"/>
      <c r="F418" s="165"/>
      <c r="G418" s="166"/>
      <c r="H418" s="167"/>
      <c r="I418" s="167"/>
      <c r="J418" s="167"/>
      <c r="K418" s="167"/>
      <c r="L418" s="167"/>
      <c r="M418" s="167"/>
      <c r="N418" s="167"/>
      <c r="O418" s="167"/>
      <c r="P418" s="164"/>
      <c r="Q418" s="165"/>
      <c r="R418" s="165"/>
      <c r="S418" s="167"/>
      <c r="T418" s="167"/>
      <c r="U418" s="167"/>
      <c r="V418" s="168"/>
      <c r="W418" s="168"/>
      <c r="X418" s="168"/>
      <c r="Y418" s="168"/>
      <c r="Z418" s="168"/>
      <c r="AA418" s="168"/>
      <c r="AB418" s="164"/>
      <c r="AC418" s="165"/>
      <c r="AD418" s="165"/>
      <c r="AE418" s="169"/>
      <c r="AF418" s="169"/>
      <c r="AG418" s="169"/>
      <c r="AH418" s="168"/>
      <c r="AI418" s="168"/>
      <c r="AJ418" s="168"/>
      <c r="AK418" s="170"/>
      <c r="AL418" s="170"/>
    </row>
    <row r="419" ht="15.75" customHeight="1">
      <c r="A419" s="161"/>
      <c r="B419" s="161"/>
      <c r="C419" s="162"/>
      <c r="D419" s="163"/>
      <c r="E419" s="164"/>
      <c r="F419" s="165"/>
      <c r="G419" s="166"/>
      <c r="H419" s="167"/>
      <c r="I419" s="167"/>
      <c r="J419" s="167"/>
      <c r="K419" s="167"/>
      <c r="L419" s="167"/>
      <c r="M419" s="167"/>
      <c r="N419" s="167"/>
      <c r="O419" s="167"/>
      <c r="P419" s="164"/>
      <c r="Q419" s="165"/>
      <c r="R419" s="165"/>
      <c r="S419" s="167"/>
      <c r="T419" s="167"/>
      <c r="U419" s="167"/>
      <c r="V419" s="168"/>
      <c r="W419" s="168"/>
      <c r="X419" s="168"/>
      <c r="Y419" s="168"/>
      <c r="Z419" s="168"/>
      <c r="AA419" s="168"/>
      <c r="AB419" s="164"/>
      <c r="AC419" s="165"/>
      <c r="AD419" s="165"/>
      <c r="AE419" s="169"/>
      <c r="AF419" s="169"/>
      <c r="AG419" s="169"/>
      <c r="AH419" s="168"/>
      <c r="AI419" s="168"/>
      <c r="AJ419" s="168"/>
      <c r="AK419" s="170"/>
      <c r="AL419" s="170"/>
    </row>
    <row r="420" ht="15.75" customHeight="1">
      <c r="A420" s="161"/>
      <c r="B420" s="161"/>
      <c r="C420" s="162"/>
      <c r="D420" s="163"/>
      <c r="E420" s="164"/>
      <c r="F420" s="165"/>
      <c r="G420" s="166"/>
      <c r="H420" s="167"/>
      <c r="I420" s="167"/>
      <c r="J420" s="167"/>
      <c r="K420" s="167"/>
      <c r="L420" s="167"/>
      <c r="M420" s="167"/>
      <c r="N420" s="167"/>
      <c r="O420" s="167"/>
      <c r="P420" s="164"/>
      <c r="Q420" s="165"/>
      <c r="R420" s="165"/>
      <c r="S420" s="167"/>
      <c r="T420" s="167"/>
      <c r="U420" s="167"/>
      <c r="V420" s="168"/>
      <c r="W420" s="168"/>
      <c r="X420" s="168"/>
      <c r="Y420" s="168"/>
      <c r="Z420" s="168"/>
      <c r="AA420" s="168"/>
      <c r="AB420" s="164"/>
      <c r="AC420" s="165"/>
      <c r="AD420" s="165"/>
      <c r="AE420" s="169"/>
      <c r="AF420" s="169"/>
      <c r="AG420" s="169"/>
      <c r="AH420" s="168"/>
      <c r="AI420" s="168"/>
      <c r="AJ420" s="168"/>
      <c r="AK420" s="170"/>
      <c r="AL420" s="170"/>
    </row>
    <row r="421" ht="15.75" customHeight="1">
      <c r="A421" s="161"/>
      <c r="B421" s="161"/>
      <c r="C421" s="162"/>
      <c r="D421" s="163"/>
      <c r="E421" s="164"/>
      <c r="F421" s="165"/>
      <c r="G421" s="166"/>
      <c r="H421" s="167"/>
      <c r="I421" s="167"/>
      <c r="J421" s="167"/>
      <c r="K421" s="167"/>
      <c r="L421" s="167"/>
      <c r="M421" s="167"/>
      <c r="N421" s="167"/>
      <c r="O421" s="167"/>
      <c r="P421" s="164"/>
      <c r="Q421" s="165"/>
      <c r="R421" s="165"/>
      <c r="S421" s="167"/>
      <c r="T421" s="167"/>
      <c r="U421" s="167"/>
      <c r="V421" s="168"/>
      <c r="W421" s="168"/>
      <c r="X421" s="168"/>
      <c r="Y421" s="168"/>
      <c r="Z421" s="168"/>
      <c r="AA421" s="168"/>
      <c r="AB421" s="164"/>
      <c r="AC421" s="165"/>
      <c r="AD421" s="165"/>
      <c r="AE421" s="169"/>
      <c r="AF421" s="169"/>
      <c r="AG421" s="169"/>
      <c r="AH421" s="168"/>
      <c r="AI421" s="168"/>
      <c r="AJ421" s="168"/>
      <c r="AK421" s="170"/>
      <c r="AL421" s="170"/>
    </row>
    <row r="422" ht="15.75" customHeight="1">
      <c r="A422" s="161"/>
      <c r="B422" s="161"/>
      <c r="C422" s="162"/>
      <c r="D422" s="163"/>
      <c r="E422" s="164"/>
      <c r="F422" s="165"/>
      <c r="G422" s="166"/>
      <c r="H422" s="167"/>
      <c r="I422" s="167"/>
      <c r="J422" s="167"/>
      <c r="K422" s="167"/>
      <c r="L422" s="167"/>
      <c r="M422" s="167"/>
      <c r="N422" s="167"/>
      <c r="O422" s="167"/>
      <c r="P422" s="164"/>
      <c r="Q422" s="165"/>
      <c r="R422" s="165"/>
      <c r="S422" s="167"/>
      <c r="T422" s="167"/>
      <c r="U422" s="167"/>
      <c r="V422" s="168"/>
      <c r="W422" s="168"/>
      <c r="X422" s="168"/>
      <c r="Y422" s="168"/>
      <c r="Z422" s="168"/>
      <c r="AA422" s="168"/>
      <c r="AB422" s="164"/>
      <c r="AC422" s="165"/>
      <c r="AD422" s="165"/>
      <c r="AE422" s="169"/>
      <c r="AF422" s="169"/>
      <c r="AG422" s="169"/>
      <c r="AH422" s="168"/>
      <c r="AI422" s="168"/>
      <c r="AJ422" s="168"/>
      <c r="AK422" s="170"/>
      <c r="AL422" s="170"/>
    </row>
    <row r="423" ht="15.75" customHeight="1">
      <c r="A423" s="161"/>
      <c r="B423" s="161"/>
      <c r="C423" s="162"/>
      <c r="D423" s="163"/>
      <c r="E423" s="164"/>
      <c r="F423" s="165"/>
      <c r="G423" s="166"/>
      <c r="H423" s="167"/>
      <c r="I423" s="167"/>
      <c r="J423" s="167"/>
      <c r="K423" s="167"/>
      <c r="L423" s="167"/>
      <c r="M423" s="167"/>
      <c r="N423" s="167"/>
      <c r="O423" s="167"/>
      <c r="P423" s="164"/>
      <c r="Q423" s="165"/>
      <c r="R423" s="165"/>
      <c r="S423" s="167"/>
      <c r="T423" s="167"/>
      <c r="U423" s="167"/>
      <c r="V423" s="168"/>
      <c r="W423" s="168"/>
      <c r="X423" s="168"/>
      <c r="Y423" s="168"/>
      <c r="Z423" s="168"/>
      <c r="AA423" s="168"/>
      <c r="AB423" s="164"/>
      <c r="AC423" s="165"/>
      <c r="AD423" s="165"/>
      <c r="AE423" s="169"/>
      <c r="AF423" s="169"/>
      <c r="AG423" s="169"/>
      <c r="AH423" s="168"/>
      <c r="AI423" s="168"/>
      <c r="AJ423" s="168"/>
      <c r="AK423" s="170"/>
      <c r="AL423" s="170"/>
    </row>
    <row r="424" ht="15.75" customHeight="1">
      <c r="A424" s="161"/>
      <c r="B424" s="161"/>
      <c r="C424" s="162"/>
      <c r="D424" s="163"/>
      <c r="E424" s="164"/>
      <c r="F424" s="165"/>
      <c r="G424" s="166"/>
      <c r="H424" s="167"/>
      <c r="I424" s="167"/>
      <c r="J424" s="167"/>
      <c r="K424" s="167"/>
      <c r="L424" s="167"/>
      <c r="M424" s="167"/>
      <c r="N424" s="167"/>
      <c r="O424" s="167"/>
      <c r="P424" s="164"/>
      <c r="Q424" s="165"/>
      <c r="R424" s="165"/>
      <c r="S424" s="167"/>
      <c r="T424" s="167"/>
      <c r="U424" s="167"/>
      <c r="V424" s="168"/>
      <c r="W424" s="168"/>
      <c r="X424" s="168"/>
      <c r="Y424" s="168"/>
      <c r="Z424" s="168"/>
      <c r="AA424" s="168"/>
      <c r="AB424" s="164"/>
      <c r="AC424" s="165"/>
      <c r="AD424" s="165"/>
      <c r="AE424" s="169"/>
      <c r="AF424" s="169"/>
      <c r="AG424" s="169"/>
      <c r="AH424" s="168"/>
      <c r="AI424" s="168"/>
      <c r="AJ424" s="168"/>
      <c r="AK424" s="170"/>
      <c r="AL424" s="170"/>
    </row>
    <row r="425" ht="15.75" customHeight="1">
      <c r="A425" s="161"/>
      <c r="B425" s="161"/>
      <c r="C425" s="162"/>
      <c r="D425" s="163"/>
      <c r="E425" s="164"/>
      <c r="F425" s="165"/>
      <c r="G425" s="166"/>
      <c r="H425" s="167"/>
      <c r="I425" s="167"/>
      <c r="J425" s="167"/>
      <c r="K425" s="167"/>
      <c r="L425" s="167"/>
      <c r="M425" s="167"/>
      <c r="N425" s="167"/>
      <c r="O425" s="167"/>
      <c r="P425" s="164"/>
      <c r="Q425" s="165"/>
      <c r="R425" s="165"/>
      <c r="S425" s="167"/>
      <c r="T425" s="167"/>
      <c r="U425" s="167"/>
      <c r="V425" s="168"/>
      <c r="W425" s="168"/>
      <c r="X425" s="168"/>
      <c r="Y425" s="168"/>
      <c r="Z425" s="168"/>
      <c r="AA425" s="168"/>
      <c r="AB425" s="164"/>
      <c r="AC425" s="165"/>
      <c r="AD425" s="165"/>
      <c r="AE425" s="169"/>
      <c r="AF425" s="169"/>
      <c r="AG425" s="169"/>
      <c r="AH425" s="168"/>
      <c r="AI425" s="168"/>
      <c r="AJ425" s="168"/>
      <c r="AK425" s="170"/>
      <c r="AL425" s="170"/>
    </row>
    <row r="426" ht="15.75" customHeight="1">
      <c r="A426" s="161"/>
      <c r="B426" s="161"/>
      <c r="C426" s="162"/>
      <c r="D426" s="163"/>
      <c r="E426" s="164"/>
      <c r="F426" s="165"/>
      <c r="G426" s="166"/>
      <c r="H426" s="167"/>
      <c r="I426" s="167"/>
      <c r="J426" s="167"/>
      <c r="K426" s="167"/>
      <c r="L426" s="167"/>
      <c r="M426" s="167"/>
      <c r="N426" s="167"/>
      <c r="O426" s="167"/>
      <c r="P426" s="164"/>
      <c r="Q426" s="165"/>
      <c r="R426" s="165"/>
      <c r="S426" s="167"/>
      <c r="T426" s="167"/>
      <c r="U426" s="167"/>
      <c r="V426" s="168"/>
      <c r="W426" s="168"/>
      <c r="X426" s="168"/>
      <c r="Y426" s="168"/>
      <c r="Z426" s="168"/>
      <c r="AA426" s="168"/>
      <c r="AB426" s="164"/>
      <c r="AC426" s="165"/>
      <c r="AD426" s="165"/>
      <c r="AE426" s="169"/>
      <c r="AF426" s="169"/>
      <c r="AG426" s="169"/>
      <c r="AH426" s="168"/>
      <c r="AI426" s="168"/>
      <c r="AJ426" s="168"/>
      <c r="AK426" s="170"/>
      <c r="AL426" s="170"/>
    </row>
    <row r="427" ht="15.75" customHeight="1">
      <c r="A427" s="161"/>
      <c r="B427" s="161"/>
      <c r="C427" s="162"/>
      <c r="D427" s="163"/>
      <c r="E427" s="164"/>
      <c r="F427" s="165"/>
      <c r="G427" s="166"/>
      <c r="H427" s="167"/>
      <c r="I427" s="167"/>
      <c r="J427" s="167"/>
      <c r="K427" s="167"/>
      <c r="L427" s="167"/>
      <c r="M427" s="167"/>
      <c r="N427" s="167"/>
      <c r="O427" s="167"/>
      <c r="P427" s="164"/>
      <c r="Q427" s="165"/>
      <c r="R427" s="165"/>
      <c r="S427" s="167"/>
      <c r="T427" s="167"/>
      <c r="U427" s="167"/>
      <c r="V427" s="168"/>
      <c r="W427" s="168"/>
      <c r="X427" s="168"/>
      <c r="Y427" s="168"/>
      <c r="Z427" s="168"/>
      <c r="AA427" s="168"/>
      <c r="AB427" s="164"/>
      <c r="AC427" s="165"/>
      <c r="AD427" s="165"/>
      <c r="AE427" s="169"/>
      <c r="AF427" s="169"/>
      <c r="AG427" s="169"/>
      <c r="AH427" s="168"/>
      <c r="AI427" s="168"/>
      <c r="AJ427" s="168"/>
      <c r="AK427" s="170"/>
      <c r="AL427" s="170"/>
    </row>
    <row r="428" ht="15.75" customHeight="1">
      <c r="A428" s="161"/>
      <c r="B428" s="161"/>
      <c r="C428" s="162"/>
      <c r="D428" s="163"/>
      <c r="E428" s="164"/>
      <c r="F428" s="165"/>
      <c r="G428" s="166"/>
      <c r="H428" s="167"/>
      <c r="I428" s="167"/>
      <c r="J428" s="167"/>
      <c r="K428" s="167"/>
      <c r="L428" s="167"/>
      <c r="M428" s="167"/>
      <c r="N428" s="167"/>
      <c r="O428" s="167"/>
      <c r="P428" s="164"/>
      <c r="Q428" s="165"/>
      <c r="R428" s="165"/>
      <c r="S428" s="167"/>
      <c r="T428" s="167"/>
      <c r="U428" s="167"/>
      <c r="V428" s="168"/>
      <c r="W428" s="168"/>
      <c r="X428" s="168"/>
      <c r="Y428" s="168"/>
      <c r="Z428" s="168"/>
      <c r="AA428" s="168"/>
      <c r="AB428" s="164"/>
      <c r="AC428" s="165"/>
      <c r="AD428" s="165"/>
      <c r="AE428" s="169"/>
      <c r="AF428" s="169"/>
      <c r="AG428" s="169"/>
      <c r="AH428" s="168"/>
      <c r="AI428" s="168"/>
      <c r="AJ428" s="168"/>
      <c r="AK428" s="170"/>
      <c r="AL428" s="170"/>
    </row>
    <row r="429" ht="15.75" customHeight="1">
      <c r="A429" s="161"/>
      <c r="B429" s="161"/>
      <c r="C429" s="162"/>
      <c r="D429" s="163"/>
      <c r="E429" s="164"/>
      <c r="F429" s="165"/>
      <c r="G429" s="166"/>
      <c r="H429" s="167"/>
      <c r="I429" s="167"/>
      <c r="J429" s="167"/>
      <c r="K429" s="167"/>
      <c r="L429" s="167"/>
      <c r="M429" s="167"/>
      <c r="N429" s="167"/>
      <c r="O429" s="167"/>
      <c r="P429" s="164"/>
      <c r="Q429" s="165"/>
      <c r="R429" s="165"/>
      <c r="S429" s="167"/>
      <c r="T429" s="167"/>
      <c r="U429" s="167"/>
      <c r="V429" s="168"/>
      <c r="W429" s="168"/>
      <c r="X429" s="168"/>
      <c r="Y429" s="168"/>
      <c r="Z429" s="168"/>
      <c r="AA429" s="168"/>
      <c r="AB429" s="164"/>
      <c r="AC429" s="165"/>
      <c r="AD429" s="165"/>
      <c r="AE429" s="169"/>
      <c r="AF429" s="169"/>
      <c r="AG429" s="169"/>
      <c r="AH429" s="168"/>
      <c r="AI429" s="168"/>
      <c r="AJ429" s="168"/>
      <c r="AK429" s="170"/>
      <c r="AL429" s="170"/>
    </row>
    <row r="430" ht="15.75" customHeight="1">
      <c r="A430" s="161"/>
      <c r="B430" s="161"/>
      <c r="C430" s="162"/>
      <c r="D430" s="163"/>
      <c r="E430" s="164"/>
      <c r="F430" s="165"/>
      <c r="G430" s="166"/>
      <c r="H430" s="167"/>
      <c r="I430" s="167"/>
      <c r="J430" s="167"/>
      <c r="K430" s="167"/>
      <c r="L430" s="167"/>
      <c r="M430" s="167"/>
      <c r="N430" s="167"/>
      <c r="O430" s="167"/>
      <c r="P430" s="164"/>
      <c r="Q430" s="165"/>
      <c r="R430" s="165"/>
      <c r="S430" s="167"/>
      <c r="T430" s="167"/>
      <c r="U430" s="167"/>
      <c r="V430" s="168"/>
      <c r="W430" s="168"/>
      <c r="X430" s="168"/>
      <c r="Y430" s="168"/>
      <c r="Z430" s="168"/>
      <c r="AA430" s="168"/>
      <c r="AB430" s="164"/>
      <c r="AC430" s="165"/>
      <c r="AD430" s="165"/>
      <c r="AE430" s="169"/>
      <c r="AF430" s="169"/>
      <c r="AG430" s="169"/>
      <c r="AH430" s="168"/>
      <c r="AI430" s="168"/>
      <c r="AJ430" s="168"/>
      <c r="AK430" s="170"/>
      <c r="AL430" s="170"/>
    </row>
    <row r="431" ht="15.75" customHeight="1">
      <c r="A431" s="161"/>
      <c r="B431" s="161"/>
      <c r="C431" s="162"/>
      <c r="D431" s="163"/>
      <c r="E431" s="164"/>
      <c r="F431" s="165"/>
      <c r="G431" s="166"/>
      <c r="H431" s="167"/>
      <c r="I431" s="167"/>
      <c r="J431" s="167"/>
      <c r="K431" s="167"/>
      <c r="L431" s="167"/>
      <c r="M431" s="167"/>
      <c r="N431" s="167"/>
      <c r="O431" s="167"/>
      <c r="P431" s="164"/>
      <c r="Q431" s="165"/>
      <c r="R431" s="165"/>
      <c r="S431" s="167"/>
      <c r="T431" s="167"/>
      <c r="U431" s="167"/>
      <c r="V431" s="168"/>
      <c r="W431" s="168"/>
      <c r="X431" s="168"/>
      <c r="Y431" s="168"/>
      <c r="Z431" s="168"/>
      <c r="AA431" s="168"/>
      <c r="AB431" s="164"/>
      <c r="AC431" s="165"/>
      <c r="AD431" s="165"/>
      <c r="AE431" s="169"/>
      <c r="AF431" s="169"/>
      <c r="AG431" s="169"/>
      <c r="AH431" s="168"/>
      <c r="AI431" s="168"/>
      <c r="AJ431" s="168"/>
      <c r="AK431" s="170"/>
      <c r="AL431" s="170"/>
    </row>
    <row r="432" ht="15.75" customHeight="1">
      <c r="A432" s="161"/>
      <c r="B432" s="161"/>
      <c r="C432" s="162"/>
      <c r="D432" s="163"/>
      <c r="E432" s="164"/>
      <c r="F432" s="165"/>
      <c r="G432" s="166"/>
      <c r="H432" s="167"/>
      <c r="I432" s="167"/>
      <c r="J432" s="167"/>
      <c r="K432" s="167"/>
      <c r="L432" s="167"/>
      <c r="M432" s="167"/>
      <c r="N432" s="167"/>
      <c r="O432" s="167"/>
      <c r="P432" s="164"/>
      <c r="Q432" s="165"/>
      <c r="R432" s="165"/>
      <c r="S432" s="167"/>
      <c r="T432" s="167"/>
      <c r="U432" s="167"/>
      <c r="V432" s="168"/>
      <c r="W432" s="168"/>
      <c r="X432" s="168"/>
      <c r="Y432" s="168"/>
      <c r="Z432" s="168"/>
      <c r="AA432" s="168"/>
      <c r="AB432" s="164"/>
      <c r="AC432" s="165"/>
      <c r="AD432" s="165"/>
      <c r="AE432" s="169"/>
      <c r="AF432" s="169"/>
      <c r="AG432" s="169"/>
      <c r="AH432" s="168"/>
      <c r="AI432" s="168"/>
      <c r="AJ432" s="168"/>
      <c r="AK432" s="170"/>
      <c r="AL432" s="170"/>
    </row>
    <row r="433" ht="15.75" customHeight="1">
      <c r="A433" s="161"/>
      <c r="B433" s="161"/>
      <c r="C433" s="162"/>
      <c r="D433" s="163"/>
      <c r="E433" s="164"/>
      <c r="F433" s="165"/>
      <c r="G433" s="166"/>
      <c r="H433" s="167"/>
      <c r="I433" s="167"/>
      <c r="J433" s="167"/>
      <c r="K433" s="167"/>
      <c r="L433" s="167"/>
      <c r="M433" s="167"/>
      <c r="N433" s="167"/>
      <c r="O433" s="167"/>
      <c r="P433" s="164"/>
      <c r="Q433" s="165"/>
      <c r="R433" s="165"/>
      <c r="S433" s="167"/>
      <c r="T433" s="167"/>
      <c r="U433" s="167"/>
      <c r="V433" s="168"/>
      <c r="W433" s="168"/>
      <c r="X433" s="168"/>
      <c r="Y433" s="168"/>
      <c r="Z433" s="168"/>
      <c r="AA433" s="168"/>
      <c r="AB433" s="164"/>
      <c r="AC433" s="165"/>
      <c r="AD433" s="165"/>
      <c r="AE433" s="169"/>
      <c r="AF433" s="169"/>
      <c r="AG433" s="169"/>
      <c r="AH433" s="168"/>
      <c r="AI433" s="168"/>
      <c r="AJ433" s="168"/>
      <c r="AK433" s="170"/>
      <c r="AL433" s="170"/>
    </row>
    <row r="434" ht="15.75" customHeight="1">
      <c r="A434" s="161"/>
      <c r="B434" s="161"/>
      <c r="C434" s="162"/>
      <c r="D434" s="163"/>
      <c r="E434" s="164"/>
      <c r="F434" s="165"/>
      <c r="G434" s="166"/>
      <c r="H434" s="167"/>
      <c r="I434" s="167"/>
      <c r="J434" s="167"/>
      <c r="K434" s="167"/>
      <c r="L434" s="167"/>
      <c r="M434" s="167"/>
      <c r="N434" s="167"/>
      <c r="O434" s="167"/>
      <c r="P434" s="164"/>
      <c r="Q434" s="165"/>
      <c r="R434" s="165"/>
      <c r="S434" s="167"/>
      <c r="T434" s="167"/>
      <c r="U434" s="167"/>
      <c r="V434" s="168"/>
      <c r="W434" s="168"/>
      <c r="X434" s="168"/>
      <c r="Y434" s="168"/>
      <c r="Z434" s="168"/>
      <c r="AA434" s="168"/>
      <c r="AB434" s="164"/>
      <c r="AC434" s="165"/>
      <c r="AD434" s="165"/>
      <c r="AE434" s="169"/>
      <c r="AF434" s="169"/>
      <c r="AG434" s="169"/>
      <c r="AH434" s="168"/>
      <c r="AI434" s="168"/>
      <c r="AJ434" s="168"/>
      <c r="AK434" s="170"/>
      <c r="AL434" s="170"/>
    </row>
    <row r="435" ht="15.75" customHeight="1">
      <c r="A435" s="161"/>
      <c r="B435" s="161"/>
      <c r="C435" s="162"/>
      <c r="D435" s="163"/>
      <c r="E435" s="164"/>
      <c r="F435" s="165"/>
      <c r="G435" s="166"/>
      <c r="H435" s="167"/>
      <c r="I435" s="167"/>
      <c r="J435" s="167"/>
      <c r="K435" s="167"/>
      <c r="L435" s="167"/>
      <c r="M435" s="167"/>
      <c r="N435" s="167"/>
      <c r="O435" s="167"/>
      <c r="P435" s="164"/>
      <c r="Q435" s="165"/>
      <c r="R435" s="165"/>
      <c r="S435" s="167"/>
      <c r="T435" s="167"/>
      <c r="U435" s="167"/>
      <c r="V435" s="168"/>
      <c r="W435" s="168"/>
      <c r="X435" s="168"/>
      <c r="Y435" s="168"/>
      <c r="Z435" s="168"/>
      <c r="AA435" s="168"/>
      <c r="AB435" s="164"/>
      <c r="AC435" s="165"/>
      <c r="AD435" s="165"/>
      <c r="AE435" s="169"/>
      <c r="AF435" s="169"/>
      <c r="AG435" s="169"/>
      <c r="AH435" s="168"/>
      <c r="AI435" s="168"/>
      <c r="AJ435" s="168"/>
      <c r="AK435" s="170"/>
      <c r="AL435" s="170"/>
    </row>
    <row r="436" ht="15.75" customHeight="1">
      <c r="A436" s="161"/>
      <c r="B436" s="161"/>
      <c r="C436" s="162"/>
      <c r="D436" s="163"/>
      <c r="E436" s="164"/>
      <c r="F436" s="165"/>
      <c r="G436" s="166"/>
      <c r="H436" s="167"/>
      <c r="I436" s="167"/>
      <c r="J436" s="167"/>
      <c r="K436" s="167"/>
      <c r="L436" s="167"/>
      <c r="M436" s="167"/>
      <c r="N436" s="167"/>
      <c r="O436" s="167"/>
      <c r="P436" s="164"/>
      <c r="Q436" s="165"/>
      <c r="R436" s="165"/>
      <c r="S436" s="167"/>
      <c r="T436" s="167"/>
      <c r="U436" s="167"/>
      <c r="V436" s="168"/>
      <c r="W436" s="168"/>
      <c r="X436" s="168"/>
      <c r="Y436" s="168"/>
      <c r="Z436" s="168"/>
      <c r="AA436" s="168"/>
      <c r="AB436" s="164"/>
      <c r="AC436" s="165"/>
      <c r="AD436" s="165"/>
      <c r="AE436" s="169"/>
      <c r="AF436" s="169"/>
      <c r="AG436" s="169"/>
      <c r="AH436" s="168"/>
      <c r="AI436" s="168"/>
      <c r="AJ436" s="168"/>
      <c r="AK436" s="170"/>
      <c r="AL436" s="170"/>
    </row>
    <row r="437" ht="15.75" customHeight="1">
      <c r="A437" s="161"/>
      <c r="B437" s="161"/>
      <c r="C437" s="162"/>
      <c r="D437" s="163"/>
      <c r="E437" s="164"/>
      <c r="F437" s="165"/>
      <c r="G437" s="166"/>
      <c r="H437" s="167"/>
      <c r="I437" s="167"/>
      <c r="J437" s="167"/>
      <c r="K437" s="167"/>
      <c r="L437" s="167"/>
      <c r="M437" s="167"/>
      <c r="N437" s="167"/>
      <c r="O437" s="167"/>
      <c r="P437" s="164"/>
      <c r="Q437" s="165"/>
      <c r="R437" s="165"/>
      <c r="S437" s="167"/>
      <c r="T437" s="167"/>
      <c r="U437" s="167"/>
      <c r="V437" s="168"/>
      <c r="W437" s="168"/>
      <c r="X437" s="168"/>
      <c r="Y437" s="168"/>
      <c r="Z437" s="168"/>
      <c r="AA437" s="168"/>
      <c r="AB437" s="164"/>
      <c r="AC437" s="165"/>
      <c r="AD437" s="165"/>
      <c r="AE437" s="169"/>
      <c r="AF437" s="169"/>
      <c r="AG437" s="169"/>
      <c r="AH437" s="168"/>
      <c r="AI437" s="168"/>
      <c r="AJ437" s="168"/>
      <c r="AK437" s="170"/>
      <c r="AL437" s="170"/>
    </row>
    <row r="438" ht="15.75" customHeight="1">
      <c r="A438" s="161"/>
      <c r="B438" s="161"/>
      <c r="C438" s="162"/>
      <c r="D438" s="163"/>
      <c r="E438" s="164"/>
      <c r="F438" s="165"/>
      <c r="G438" s="166"/>
      <c r="H438" s="167"/>
      <c r="I438" s="167"/>
      <c r="J438" s="167"/>
      <c r="K438" s="167"/>
      <c r="L438" s="167"/>
      <c r="M438" s="167"/>
      <c r="N438" s="167"/>
      <c r="O438" s="167"/>
      <c r="P438" s="164"/>
      <c r="Q438" s="165"/>
      <c r="R438" s="165"/>
      <c r="S438" s="167"/>
      <c r="T438" s="167"/>
      <c r="U438" s="167"/>
      <c r="V438" s="168"/>
      <c r="W438" s="168"/>
      <c r="X438" s="168"/>
      <c r="Y438" s="168"/>
      <c r="Z438" s="168"/>
      <c r="AA438" s="168"/>
      <c r="AB438" s="164"/>
      <c r="AC438" s="165"/>
      <c r="AD438" s="165"/>
      <c r="AE438" s="169"/>
      <c r="AF438" s="169"/>
      <c r="AG438" s="169"/>
      <c r="AH438" s="168"/>
      <c r="AI438" s="168"/>
      <c r="AJ438" s="168"/>
      <c r="AK438" s="170"/>
      <c r="AL438" s="170"/>
    </row>
    <row r="439" ht="15.75" customHeight="1">
      <c r="A439" s="161"/>
      <c r="B439" s="161"/>
      <c r="C439" s="162"/>
      <c r="D439" s="163"/>
      <c r="E439" s="164"/>
      <c r="F439" s="165"/>
      <c r="G439" s="166"/>
      <c r="H439" s="167"/>
      <c r="I439" s="167"/>
      <c r="J439" s="167"/>
      <c r="K439" s="167"/>
      <c r="L439" s="167"/>
      <c r="M439" s="167"/>
      <c r="N439" s="167"/>
      <c r="O439" s="167"/>
      <c r="P439" s="164"/>
      <c r="Q439" s="165"/>
      <c r="R439" s="165"/>
      <c r="S439" s="167"/>
      <c r="T439" s="167"/>
      <c r="U439" s="167"/>
      <c r="V439" s="168"/>
      <c r="W439" s="168"/>
      <c r="X439" s="168"/>
      <c r="Y439" s="168"/>
      <c r="Z439" s="168"/>
      <c r="AA439" s="168"/>
      <c r="AB439" s="164"/>
      <c r="AC439" s="165"/>
      <c r="AD439" s="165"/>
      <c r="AE439" s="169"/>
      <c r="AF439" s="169"/>
      <c r="AG439" s="169"/>
      <c r="AH439" s="168"/>
      <c r="AI439" s="168"/>
      <c r="AJ439" s="168"/>
      <c r="AK439" s="170"/>
      <c r="AL439" s="170"/>
    </row>
    <row r="440" ht="15.75" customHeight="1">
      <c r="A440" s="161"/>
      <c r="B440" s="161"/>
      <c r="C440" s="162"/>
      <c r="D440" s="163"/>
      <c r="E440" s="164"/>
      <c r="F440" s="165"/>
      <c r="G440" s="166"/>
      <c r="H440" s="167"/>
      <c r="I440" s="167"/>
      <c r="J440" s="167"/>
      <c r="K440" s="167"/>
      <c r="L440" s="167"/>
      <c r="M440" s="167"/>
      <c r="N440" s="167"/>
      <c r="O440" s="167"/>
      <c r="P440" s="164"/>
      <c r="Q440" s="165"/>
      <c r="R440" s="165"/>
      <c r="S440" s="167"/>
      <c r="T440" s="167"/>
      <c r="U440" s="167"/>
      <c r="V440" s="168"/>
      <c r="W440" s="168"/>
      <c r="X440" s="168"/>
      <c r="Y440" s="168"/>
      <c r="Z440" s="168"/>
      <c r="AA440" s="168"/>
      <c r="AB440" s="164"/>
      <c r="AC440" s="165"/>
      <c r="AD440" s="165"/>
      <c r="AE440" s="169"/>
      <c r="AF440" s="169"/>
      <c r="AG440" s="169"/>
      <c r="AH440" s="168"/>
      <c r="AI440" s="168"/>
      <c r="AJ440" s="168"/>
      <c r="AK440" s="170"/>
      <c r="AL440" s="170"/>
    </row>
    <row r="441" ht="15.75" customHeight="1">
      <c r="A441" s="161"/>
      <c r="B441" s="161"/>
      <c r="C441" s="162"/>
      <c r="D441" s="163"/>
      <c r="E441" s="164"/>
      <c r="F441" s="165"/>
      <c r="G441" s="166"/>
      <c r="H441" s="167"/>
      <c r="I441" s="167"/>
      <c r="J441" s="167"/>
      <c r="K441" s="167"/>
      <c r="L441" s="167"/>
      <c r="M441" s="167"/>
      <c r="N441" s="167"/>
      <c r="O441" s="167"/>
      <c r="P441" s="164"/>
      <c r="Q441" s="165"/>
      <c r="R441" s="165"/>
      <c r="S441" s="167"/>
      <c r="T441" s="167"/>
      <c r="U441" s="167"/>
      <c r="V441" s="168"/>
      <c r="W441" s="168"/>
      <c r="X441" s="168"/>
      <c r="Y441" s="168"/>
      <c r="Z441" s="168"/>
      <c r="AA441" s="168"/>
      <c r="AB441" s="164"/>
      <c r="AC441" s="165"/>
      <c r="AD441" s="165"/>
      <c r="AE441" s="169"/>
      <c r="AF441" s="169"/>
      <c r="AG441" s="169"/>
      <c r="AH441" s="168"/>
      <c r="AI441" s="168"/>
      <c r="AJ441" s="168"/>
      <c r="AK441" s="170"/>
      <c r="AL441" s="170"/>
    </row>
    <row r="442" ht="15.75" customHeight="1">
      <c r="A442" s="161"/>
      <c r="B442" s="161"/>
      <c r="C442" s="162"/>
      <c r="D442" s="163"/>
      <c r="E442" s="164"/>
      <c r="F442" s="165"/>
      <c r="G442" s="166"/>
      <c r="H442" s="167"/>
      <c r="I442" s="167"/>
      <c r="J442" s="167"/>
      <c r="K442" s="167"/>
      <c r="L442" s="167"/>
      <c r="M442" s="167"/>
      <c r="N442" s="167"/>
      <c r="O442" s="167"/>
      <c r="P442" s="164"/>
      <c r="Q442" s="165"/>
      <c r="R442" s="165"/>
      <c r="S442" s="167"/>
      <c r="T442" s="167"/>
      <c r="U442" s="167"/>
      <c r="V442" s="168"/>
      <c r="W442" s="168"/>
      <c r="X442" s="168"/>
      <c r="Y442" s="168"/>
      <c r="Z442" s="168"/>
      <c r="AA442" s="168"/>
      <c r="AB442" s="164"/>
      <c r="AC442" s="165"/>
      <c r="AD442" s="165"/>
      <c r="AE442" s="169"/>
      <c r="AF442" s="169"/>
      <c r="AG442" s="169"/>
      <c r="AH442" s="168"/>
      <c r="AI442" s="168"/>
      <c r="AJ442" s="168"/>
      <c r="AK442" s="170"/>
      <c r="AL442" s="170"/>
    </row>
    <row r="443" ht="15.75" customHeight="1">
      <c r="A443" s="161"/>
      <c r="B443" s="161"/>
      <c r="C443" s="162"/>
      <c r="D443" s="163"/>
      <c r="E443" s="164"/>
      <c r="F443" s="165"/>
      <c r="G443" s="166"/>
      <c r="H443" s="167"/>
      <c r="I443" s="167"/>
      <c r="J443" s="167"/>
      <c r="K443" s="167"/>
      <c r="L443" s="167"/>
      <c r="M443" s="167"/>
      <c r="N443" s="167"/>
      <c r="O443" s="167"/>
      <c r="P443" s="164"/>
      <c r="Q443" s="165"/>
      <c r="R443" s="165"/>
      <c r="S443" s="167"/>
      <c r="T443" s="167"/>
      <c r="U443" s="167"/>
      <c r="V443" s="168"/>
      <c r="W443" s="168"/>
      <c r="X443" s="168"/>
      <c r="Y443" s="168"/>
      <c r="Z443" s="168"/>
      <c r="AA443" s="168"/>
      <c r="AB443" s="164"/>
      <c r="AC443" s="165"/>
      <c r="AD443" s="165"/>
      <c r="AE443" s="169"/>
      <c r="AF443" s="169"/>
      <c r="AG443" s="169"/>
      <c r="AH443" s="168"/>
      <c r="AI443" s="168"/>
      <c r="AJ443" s="168"/>
      <c r="AK443" s="170"/>
      <c r="AL443" s="170"/>
    </row>
    <row r="444" ht="15.75" customHeight="1">
      <c r="A444" s="161"/>
      <c r="B444" s="161"/>
      <c r="C444" s="162"/>
      <c r="D444" s="163"/>
      <c r="E444" s="164"/>
      <c r="F444" s="165"/>
      <c r="G444" s="166"/>
      <c r="H444" s="167"/>
      <c r="I444" s="167"/>
      <c r="J444" s="167"/>
      <c r="K444" s="167"/>
      <c r="L444" s="167"/>
      <c r="M444" s="167"/>
      <c r="N444" s="167"/>
      <c r="O444" s="167"/>
      <c r="P444" s="164"/>
      <c r="Q444" s="165"/>
      <c r="R444" s="165"/>
      <c r="S444" s="167"/>
      <c r="T444" s="167"/>
      <c r="U444" s="167"/>
      <c r="V444" s="168"/>
      <c r="W444" s="168"/>
      <c r="X444" s="168"/>
      <c r="Y444" s="168"/>
      <c r="Z444" s="168"/>
      <c r="AA444" s="168"/>
      <c r="AB444" s="164"/>
      <c r="AC444" s="165"/>
      <c r="AD444" s="165"/>
      <c r="AE444" s="169"/>
      <c r="AF444" s="169"/>
      <c r="AG444" s="169"/>
      <c r="AH444" s="168"/>
      <c r="AI444" s="168"/>
      <c r="AJ444" s="168"/>
      <c r="AK444" s="170"/>
      <c r="AL444" s="170"/>
    </row>
    <row r="445" ht="15.75" customHeight="1">
      <c r="A445" s="161"/>
      <c r="B445" s="161"/>
      <c r="C445" s="162"/>
      <c r="D445" s="163"/>
      <c r="E445" s="164"/>
      <c r="F445" s="165"/>
      <c r="G445" s="166"/>
      <c r="H445" s="167"/>
      <c r="I445" s="167"/>
      <c r="J445" s="167"/>
      <c r="K445" s="167"/>
      <c r="L445" s="167"/>
      <c r="M445" s="167"/>
      <c r="N445" s="167"/>
      <c r="O445" s="167"/>
      <c r="P445" s="164"/>
      <c r="Q445" s="165"/>
      <c r="R445" s="165"/>
      <c r="S445" s="167"/>
      <c r="T445" s="167"/>
      <c r="U445" s="167"/>
      <c r="V445" s="168"/>
      <c r="W445" s="168"/>
      <c r="X445" s="168"/>
      <c r="Y445" s="168"/>
      <c r="Z445" s="168"/>
      <c r="AA445" s="168"/>
      <c r="AB445" s="164"/>
      <c r="AC445" s="165"/>
      <c r="AD445" s="165"/>
      <c r="AE445" s="169"/>
      <c r="AF445" s="169"/>
      <c r="AG445" s="169"/>
      <c r="AH445" s="168"/>
      <c r="AI445" s="168"/>
      <c r="AJ445" s="168"/>
      <c r="AK445" s="170"/>
      <c r="AL445" s="170"/>
    </row>
    <row r="446" ht="15.75" customHeight="1">
      <c r="A446" s="161"/>
      <c r="B446" s="161"/>
      <c r="C446" s="162"/>
      <c r="D446" s="163"/>
      <c r="E446" s="164"/>
      <c r="F446" s="165"/>
      <c r="G446" s="166"/>
      <c r="H446" s="167"/>
      <c r="I446" s="167"/>
      <c r="J446" s="167"/>
      <c r="K446" s="167"/>
      <c r="L446" s="167"/>
      <c r="M446" s="167"/>
      <c r="N446" s="167"/>
      <c r="O446" s="167"/>
      <c r="P446" s="164"/>
      <c r="Q446" s="165"/>
      <c r="R446" s="165"/>
      <c r="S446" s="167"/>
      <c r="T446" s="167"/>
      <c r="U446" s="167"/>
      <c r="V446" s="168"/>
      <c r="W446" s="168"/>
      <c r="X446" s="168"/>
      <c r="Y446" s="168"/>
      <c r="Z446" s="168"/>
      <c r="AA446" s="168"/>
      <c r="AB446" s="164"/>
      <c r="AC446" s="165"/>
      <c r="AD446" s="165"/>
      <c r="AE446" s="169"/>
      <c r="AF446" s="169"/>
      <c r="AG446" s="169"/>
      <c r="AH446" s="168"/>
      <c r="AI446" s="168"/>
      <c r="AJ446" s="168"/>
      <c r="AK446" s="170"/>
      <c r="AL446" s="170"/>
    </row>
    <row r="447" ht="15.75" customHeight="1">
      <c r="A447" s="161"/>
      <c r="B447" s="161"/>
      <c r="C447" s="162"/>
      <c r="D447" s="163"/>
      <c r="E447" s="164"/>
      <c r="F447" s="165"/>
      <c r="G447" s="166"/>
      <c r="H447" s="167"/>
      <c r="I447" s="167"/>
      <c r="J447" s="167"/>
      <c r="K447" s="167"/>
      <c r="L447" s="167"/>
      <c r="M447" s="167"/>
      <c r="N447" s="167"/>
      <c r="O447" s="167"/>
      <c r="P447" s="164"/>
      <c r="Q447" s="165"/>
      <c r="R447" s="165"/>
      <c r="S447" s="167"/>
      <c r="T447" s="167"/>
      <c r="U447" s="167"/>
      <c r="V447" s="168"/>
      <c r="W447" s="168"/>
      <c r="X447" s="168"/>
      <c r="Y447" s="168"/>
      <c r="Z447" s="168"/>
      <c r="AA447" s="168"/>
      <c r="AB447" s="164"/>
      <c r="AC447" s="165"/>
      <c r="AD447" s="165"/>
      <c r="AE447" s="169"/>
      <c r="AF447" s="169"/>
      <c r="AG447" s="169"/>
      <c r="AH447" s="168"/>
      <c r="AI447" s="168"/>
      <c r="AJ447" s="168"/>
      <c r="AK447" s="170"/>
      <c r="AL447" s="170"/>
    </row>
    <row r="448" ht="15.75" customHeight="1">
      <c r="A448" s="161"/>
      <c r="B448" s="161"/>
      <c r="C448" s="162"/>
      <c r="D448" s="163"/>
      <c r="E448" s="164"/>
      <c r="F448" s="165"/>
      <c r="G448" s="166"/>
      <c r="H448" s="167"/>
      <c r="I448" s="167"/>
      <c r="J448" s="167"/>
      <c r="K448" s="167"/>
      <c r="L448" s="167"/>
      <c r="M448" s="167"/>
      <c r="N448" s="167"/>
      <c r="O448" s="167"/>
      <c r="P448" s="164"/>
      <c r="Q448" s="165"/>
      <c r="R448" s="165"/>
      <c r="S448" s="167"/>
      <c r="T448" s="167"/>
      <c r="U448" s="167"/>
      <c r="V448" s="168"/>
      <c r="W448" s="168"/>
      <c r="X448" s="168"/>
      <c r="Y448" s="168"/>
      <c r="Z448" s="168"/>
      <c r="AA448" s="168"/>
      <c r="AB448" s="164"/>
      <c r="AC448" s="165"/>
      <c r="AD448" s="165"/>
      <c r="AE448" s="169"/>
      <c r="AF448" s="169"/>
      <c r="AG448" s="169"/>
      <c r="AH448" s="168"/>
      <c r="AI448" s="168"/>
      <c r="AJ448" s="168"/>
      <c r="AK448" s="170"/>
      <c r="AL448" s="170"/>
    </row>
    <row r="449" ht="15.75" customHeight="1">
      <c r="A449" s="161"/>
      <c r="B449" s="161"/>
      <c r="C449" s="162"/>
      <c r="D449" s="163"/>
      <c r="E449" s="164"/>
      <c r="F449" s="165"/>
      <c r="G449" s="166"/>
      <c r="H449" s="167"/>
      <c r="I449" s="167"/>
      <c r="J449" s="167"/>
      <c r="K449" s="167"/>
      <c r="L449" s="167"/>
      <c r="M449" s="167"/>
      <c r="N449" s="167"/>
      <c r="O449" s="167"/>
      <c r="P449" s="164"/>
      <c r="Q449" s="165"/>
      <c r="R449" s="165"/>
      <c r="S449" s="167"/>
      <c r="T449" s="167"/>
      <c r="U449" s="167"/>
      <c r="V449" s="168"/>
      <c r="W449" s="168"/>
      <c r="X449" s="168"/>
      <c r="Y449" s="168"/>
      <c r="Z449" s="168"/>
      <c r="AA449" s="168"/>
      <c r="AB449" s="164"/>
      <c r="AC449" s="165"/>
      <c r="AD449" s="165"/>
      <c r="AE449" s="169"/>
      <c r="AF449" s="169"/>
      <c r="AG449" s="169"/>
      <c r="AH449" s="168"/>
      <c r="AI449" s="168"/>
      <c r="AJ449" s="168"/>
      <c r="AK449" s="170"/>
      <c r="AL449" s="170"/>
    </row>
    <row r="450" ht="15.75" customHeight="1">
      <c r="A450" s="161"/>
      <c r="B450" s="161"/>
      <c r="C450" s="162"/>
      <c r="D450" s="163"/>
      <c r="E450" s="164"/>
      <c r="F450" s="165"/>
      <c r="G450" s="166"/>
      <c r="H450" s="167"/>
      <c r="I450" s="167"/>
      <c r="J450" s="167"/>
      <c r="K450" s="167"/>
      <c r="L450" s="167"/>
      <c r="M450" s="167"/>
      <c r="N450" s="167"/>
      <c r="O450" s="167"/>
      <c r="P450" s="164"/>
      <c r="Q450" s="165"/>
      <c r="R450" s="165"/>
      <c r="S450" s="167"/>
      <c r="T450" s="167"/>
      <c r="U450" s="167"/>
      <c r="V450" s="168"/>
      <c r="W450" s="168"/>
      <c r="X450" s="168"/>
      <c r="Y450" s="168"/>
      <c r="Z450" s="168"/>
      <c r="AA450" s="168"/>
      <c r="AB450" s="164"/>
      <c r="AC450" s="165"/>
      <c r="AD450" s="165"/>
      <c r="AE450" s="169"/>
      <c r="AF450" s="169"/>
      <c r="AG450" s="169"/>
      <c r="AH450" s="168"/>
      <c r="AI450" s="168"/>
      <c r="AJ450" s="168"/>
      <c r="AK450" s="170"/>
      <c r="AL450" s="170"/>
    </row>
    <row r="451" ht="15.75" customHeight="1">
      <c r="A451" s="161"/>
      <c r="B451" s="161"/>
      <c r="C451" s="162"/>
      <c r="D451" s="163"/>
      <c r="E451" s="164"/>
      <c r="F451" s="165"/>
      <c r="G451" s="166"/>
      <c r="H451" s="167"/>
      <c r="I451" s="167"/>
      <c r="J451" s="167"/>
      <c r="K451" s="167"/>
      <c r="L451" s="167"/>
      <c r="M451" s="167"/>
      <c r="N451" s="167"/>
      <c r="O451" s="167"/>
      <c r="P451" s="164"/>
      <c r="Q451" s="165"/>
      <c r="R451" s="165"/>
      <c r="S451" s="167"/>
      <c r="T451" s="167"/>
      <c r="U451" s="167"/>
      <c r="V451" s="168"/>
      <c r="W451" s="168"/>
      <c r="X451" s="168"/>
      <c r="Y451" s="168"/>
      <c r="Z451" s="168"/>
      <c r="AA451" s="168"/>
      <c r="AB451" s="164"/>
      <c r="AC451" s="165"/>
      <c r="AD451" s="165"/>
      <c r="AE451" s="169"/>
      <c r="AF451" s="169"/>
      <c r="AG451" s="169"/>
      <c r="AH451" s="168"/>
      <c r="AI451" s="168"/>
      <c r="AJ451" s="168"/>
      <c r="AK451" s="170"/>
      <c r="AL451" s="170"/>
    </row>
    <row r="452" ht="15.75" customHeight="1">
      <c r="A452" s="161"/>
      <c r="B452" s="161"/>
      <c r="C452" s="162"/>
      <c r="D452" s="163"/>
      <c r="E452" s="164"/>
      <c r="F452" s="165"/>
      <c r="G452" s="166"/>
      <c r="H452" s="167"/>
      <c r="I452" s="167"/>
      <c r="J452" s="167"/>
      <c r="K452" s="167"/>
      <c r="L452" s="167"/>
      <c r="M452" s="167"/>
      <c r="N452" s="167"/>
      <c r="O452" s="167"/>
      <c r="P452" s="164"/>
      <c r="Q452" s="165"/>
      <c r="R452" s="165"/>
      <c r="S452" s="167"/>
      <c r="T452" s="167"/>
      <c r="U452" s="167"/>
      <c r="V452" s="168"/>
      <c r="W452" s="168"/>
      <c r="X452" s="168"/>
      <c r="Y452" s="168"/>
      <c r="Z452" s="168"/>
      <c r="AA452" s="168"/>
      <c r="AB452" s="164"/>
      <c r="AC452" s="165"/>
      <c r="AD452" s="165"/>
      <c r="AE452" s="169"/>
      <c r="AF452" s="169"/>
      <c r="AG452" s="169"/>
      <c r="AH452" s="168"/>
      <c r="AI452" s="168"/>
      <c r="AJ452" s="168"/>
      <c r="AK452" s="170"/>
      <c r="AL452" s="170"/>
    </row>
    <row r="453" ht="15.75" customHeight="1">
      <c r="A453" s="161"/>
      <c r="B453" s="161"/>
      <c r="C453" s="162"/>
      <c r="D453" s="163"/>
      <c r="E453" s="164"/>
      <c r="F453" s="165"/>
      <c r="G453" s="166"/>
      <c r="H453" s="167"/>
      <c r="I453" s="167"/>
      <c r="J453" s="167"/>
      <c r="K453" s="167"/>
      <c r="L453" s="167"/>
      <c r="M453" s="167"/>
      <c r="N453" s="167"/>
      <c r="O453" s="167"/>
      <c r="P453" s="164"/>
      <c r="Q453" s="165"/>
      <c r="R453" s="165"/>
      <c r="S453" s="167"/>
      <c r="T453" s="167"/>
      <c r="U453" s="167"/>
      <c r="V453" s="168"/>
      <c r="W453" s="168"/>
      <c r="X453" s="168"/>
      <c r="Y453" s="168"/>
      <c r="Z453" s="168"/>
      <c r="AA453" s="168"/>
      <c r="AB453" s="164"/>
      <c r="AC453" s="165"/>
      <c r="AD453" s="165"/>
      <c r="AE453" s="169"/>
      <c r="AF453" s="169"/>
      <c r="AG453" s="169"/>
      <c r="AH453" s="168"/>
      <c r="AI453" s="168"/>
      <c r="AJ453" s="168"/>
      <c r="AK453" s="170"/>
      <c r="AL453" s="170"/>
    </row>
    <row r="454" ht="15.75" customHeight="1">
      <c r="A454" s="161"/>
      <c r="B454" s="161"/>
      <c r="C454" s="162"/>
      <c r="D454" s="163"/>
      <c r="E454" s="164"/>
      <c r="F454" s="165"/>
      <c r="G454" s="166"/>
      <c r="H454" s="167"/>
      <c r="I454" s="167"/>
      <c r="J454" s="167"/>
      <c r="K454" s="167"/>
      <c r="L454" s="167"/>
      <c r="M454" s="167"/>
      <c r="N454" s="167"/>
      <c r="O454" s="167"/>
      <c r="P454" s="164"/>
      <c r="Q454" s="165"/>
      <c r="R454" s="165"/>
      <c r="S454" s="167"/>
      <c r="T454" s="167"/>
      <c r="U454" s="167"/>
      <c r="V454" s="168"/>
      <c r="W454" s="168"/>
      <c r="X454" s="168"/>
      <c r="Y454" s="168"/>
      <c r="Z454" s="168"/>
      <c r="AA454" s="168"/>
      <c r="AB454" s="164"/>
      <c r="AC454" s="165"/>
      <c r="AD454" s="165"/>
      <c r="AE454" s="169"/>
      <c r="AF454" s="169"/>
      <c r="AG454" s="169"/>
      <c r="AH454" s="168"/>
      <c r="AI454" s="168"/>
      <c r="AJ454" s="168"/>
      <c r="AK454" s="170"/>
      <c r="AL454" s="170"/>
    </row>
    <row r="455" ht="15.75" customHeight="1">
      <c r="A455" s="161"/>
      <c r="B455" s="161"/>
      <c r="C455" s="162"/>
      <c r="D455" s="163"/>
      <c r="E455" s="164"/>
      <c r="F455" s="165"/>
      <c r="G455" s="166"/>
      <c r="H455" s="167"/>
      <c r="I455" s="167"/>
      <c r="J455" s="167"/>
      <c r="K455" s="167"/>
      <c r="L455" s="167"/>
      <c r="M455" s="167"/>
      <c r="N455" s="167"/>
      <c r="O455" s="167"/>
      <c r="P455" s="164"/>
      <c r="Q455" s="165"/>
      <c r="R455" s="165"/>
      <c r="S455" s="167"/>
      <c r="T455" s="167"/>
      <c r="U455" s="167"/>
      <c r="V455" s="168"/>
      <c r="W455" s="168"/>
      <c r="X455" s="168"/>
      <c r="Y455" s="168"/>
      <c r="Z455" s="168"/>
      <c r="AA455" s="168"/>
      <c r="AB455" s="164"/>
      <c r="AC455" s="165"/>
      <c r="AD455" s="165"/>
      <c r="AE455" s="169"/>
      <c r="AF455" s="169"/>
      <c r="AG455" s="169"/>
      <c r="AH455" s="168"/>
      <c r="AI455" s="168"/>
      <c r="AJ455" s="168"/>
      <c r="AK455" s="170"/>
      <c r="AL455" s="170"/>
    </row>
    <row r="456" ht="15.75" customHeight="1">
      <c r="A456" s="161"/>
      <c r="B456" s="161"/>
      <c r="C456" s="162"/>
      <c r="D456" s="163"/>
      <c r="E456" s="164"/>
      <c r="F456" s="165"/>
      <c r="G456" s="166"/>
      <c r="H456" s="167"/>
      <c r="I456" s="167"/>
      <c r="J456" s="167"/>
      <c r="K456" s="167"/>
      <c r="L456" s="167"/>
      <c r="M456" s="167"/>
      <c r="N456" s="167"/>
      <c r="O456" s="167"/>
      <c r="P456" s="164"/>
      <c r="Q456" s="165"/>
      <c r="R456" s="165"/>
      <c r="S456" s="167"/>
      <c r="T456" s="167"/>
      <c r="U456" s="167"/>
      <c r="V456" s="168"/>
      <c r="W456" s="168"/>
      <c r="X456" s="168"/>
      <c r="Y456" s="168"/>
      <c r="Z456" s="168"/>
      <c r="AA456" s="168"/>
      <c r="AB456" s="164"/>
      <c r="AC456" s="165"/>
      <c r="AD456" s="165"/>
      <c r="AE456" s="169"/>
      <c r="AF456" s="169"/>
      <c r="AG456" s="169"/>
      <c r="AH456" s="168"/>
      <c r="AI456" s="168"/>
      <c r="AJ456" s="168"/>
      <c r="AK456" s="170"/>
      <c r="AL456" s="170"/>
    </row>
    <row r="457" ht="15.75" customHeight="1">
      <c r="A457" s="161"/>
      <c r="B457" s="161"/>
      <c r="C457" s="162"/>
      <c r="D457" s="163"/>
      <c r="E457" s="164"/>
      <c r="F457" s="165"/>
      <c r="G457" s="166"/>
      <c r="H457" s="167"/>
      <c r="I457" s="167"/>
      <c r="J457" s="167"/>
      <c r="K457" s="167"/>
      <c r="L457" s="167"/>
      <c r="M457" s="167"/>
      <c r="N457" s="167"/>
      <c r="O457" s="167"/>
      <c r="P457" s="164"/>
      <c r="Q457" s="165"/>
      <c r="R457" s="165"/>
      <c r="S457" s="167"/>
      <c r="T457" s="167"/>
      <c r="U457" s="167"/>
      <c r="V457" s="168"/>
      <c r="W457" s="168"/>
      <c r="X457" s="168"/>
      <c r="Y457" s="168"/>
      <c r="Z457" s="168"/>
      <c r="AA457" s="168"/>
      <c r="AB457" s="164"/>
      <c r="AC457" s="165"/>
      <c r="AD457" s="165"/>
      <c r="AE457" s="169"/>
      <c r="AF457" s="169"/>
      <c r="AG457" s="169"/>
      <c r="AH457" s="168"/>
      <c r="AI457" s="168"/>
      <c r="AJ457" s="168"/>
      <c r="AK457" s="170"/>
      <c r="AL457" s="170"/>
    </row>
    <row r="458" ht="15.75" customHeight="1">
      <c r="A458" s="161"/>
      <c r="B458" s="161"/>
      <c r="C458" s="162"/>
      <c r="D458" s="163"/>
      <c r="E458" s="164"/>
      <c r="F458" s="165"/>
      <c r="G458" s="166"/>
      <c r="H458" s="167"/>
      <c r="I458" s="167"/>
      <c r="J458" s="167"/>
      <c r="K458" s="167"/>
      <c r="L458" s="167"/>
      <c r="M458" s="167"/>
      <c r="N458" s="167"/>
      <c r="O458" s="167"/>
      <c r="P458" s="164"/>
      <c r="Q458" s="165"/>
      <c r="R458" s="165"/>
      <c r="S458" s="167"/>
      <c r="T458" s="167"/>
      <c r="U458" s="167"/>
      <c r="V458" s="168"/>
      <c r="W458" s="168"/>
      <c r="X458" s="168"/>
      <c r="Y458" s="168"/>
      <c r="Z458" s="168"/>
      <c r="AA458" s="168"/>
      <c r="AB458" s="164"/>
      <c r="AC458" s="165"/>
      <c r="AD458" s="165"/>
      <c r="AE458" s="169"/>
      <c r="AF458" s="169"/>
      <c r="AG458" s="169"/>
      <c r="AH458" s="168"/>
      <c r="AI458" s="168"/>
      <c r="AJ458" s="168"/>
      <c r="AK458" s="170"/>
      <c r="AL458" s="170"/>
    </row>
    <row r="459" ht="15.75" customHeight="1">
      <c r="A459" s="161"/>
      <c r="B459" s="161"/>
      <c r="C459" s="162"/>
      <c r="D459" s="163"/>
      <c r="E459" s="164"/>
      <c r="F459" s="165"/>
      <c r="G459" s="166"/>
      <c r="H459" s="167"/>
      <c r="I459" s="167"/>
      <c r="J459" s="167"/>
      <c r="K459" s="167"/>
      <c r="L459" s="167"/>
      <c r="M459" s="167"/>
      <c r="N459" s="167"/>
      <c r="O459" s="167"/>
      <c r="P459" s="164"/>
      <c r="Q459" s="165"/>
      <c r="R459" s="165"/>
      <c r="S459" s="167"/>
      <c r="T459" s="167"/>
      <c r="U459" s="167"/>
      <c r="V459" s="168"/>
      <c r="W459" s="168"/>
      <c r="X459" s="168"/>
      <c r="Y459" s="168"/>
      <c r="Z459" s="168"/>
      <c r="AA459" s="168"/>
      <c r="AB459" s="164"/>
      <c r="AC459" s="165"/>
      <c r="AD459" s="165"/>
      <c r="AE459" s="169"/>
      <c r="AF459" s="169"/>
      <c r="AG459" s="169"/>
      <c r="AH459" s="168"/>
      <c r="AI459" s="168"/>
      <c r="AJ459" s="168"/>
      <c r="AK459" s="170"/>
      <c r="AL459" s="170"/>
    </row>
    <row r="460" ht="15.75" customHeight="1">
      <c r="A460" s="161"/>
      <c r="B460" s="161"/>
      <c r="C460" s="162"/>
      <c r="D460" s="163"/>
      <c r="E460" s="164"/>
      <c r="F460" s="165"/>
      <c r="G460" s="166"/>
      <c r="H460" s="167"/>
      <c r="I460" s="167"/>
      <c r="J460" s="167"/>
      <c r="K460" s="167"/>
      <c r="L460" s="167"/>
      <c r="M460" s="167"/>
      <c r="N460" s="167"/>
      <c r="O460" s="167"/>
      <c r="P460" s="164"/>
      <c r="Q460" s="165"/>
      <c r="R460" s="165"/>
      <c r="S460" s="167"/>
      <c r="T460" s="167"/>
      <c r="U460" s="167"/>
      <c r="V460" s="168"/>
      <c r="W460" s="168"/>
      <c r="X460" s="168"/>
      <c r="Y460" s="168"/>
      <c r="Z460" s="168"/>
      <c r="AA460" s="168"/>
      <c r="AB460" s="164"/>
      <c r="AC460" s="165"/>
      <c r="AD460" s="165"/>
      <c r="AE460" s="169"/>
      <c r="AF460" s="169"/>
      <c r="AG460" s="169"/>
      <c r="AH460" s="168"/>
      <c r="AI460" s="168"/>
      <c r="AJ460" s="168"/>
      <c r="AK460" s="170"/>
      <c r="AL460" s="170"/>
    </row>
    <row r="461" ht="15.75" customHeight="1">
      <c r="A461" s="161"/>
      <c r="B461" s="161"/>
      <c r="C461" s="162"/>
      <c r="D461" s="163"/>
      <c r="E461" s="164"/>
      <c r="F461" s="165"/>
      <c r="G461" s="166"/>
      <c r="H461" s="167"/>
      <c r="I461" s="167"/>
      <c r="J461" s="167"/>
      <c r="K461" s="167"/>
      <c r="L461" s="167"/>
      <c r="M461" s="167"/>
      <c r="N461" s="167"/>
      <c r="O461" s="167"/>
      <c r="P461" s="164"/>
      <c r="Q461" s="165"/>
      <c r="R461" s="165"/>
      <c r="S461" s="167"/>
      <c r="T461" s="167"/>
      <c r="U461" s="167"/>
      <c r="V461" s="168"/>
      <c r="W461" s="168"/>
      <c r="X461" s="168"/>
      <c r="Y461" s="168"/>
      <c r="Z461" s="168"/>
      <c r="AA461" s="168"/>
      <c r="AB461" s="164"/>
      <c r="AC461" s="165"/>
      <c r="AD461" s="165"/>
      <c r="AE461" s="169"/>
      <c r="AF461" s="169"/>
      <c r="AG461" s="169"/>
      <c r="AH461" s="168"/>
      <c r="AI461" s="168"/>
      <c r="AJ461" s="168"/>
      <c r="AK461" s="170"/>
      <c r="AL461" s="170"/>
    </row>
    <row r="462" ht="15.75" customHeight="1">
      <c r="A462" s="161"/>
      <c r="B462" s="161"/>
      <c r="C462" s="162"/>
      <c r="D462" s="163"/>
      <c r="E462" s="164"/>
      <c r="F462" s="165"/>
      <c r="G462" s="166"/>
      <c r="H462" s="167"/>
      <c r="I462" s="167"/>
      <c r="J462" s="167"/>
      <c r="K462" s="167"/>
      <c r="L462" s="167"/>
      <c r="M462" s="167"/>
      <c r="N462" s="167"/>
      <c r="O462" s="167"/>
      <c r="P462" s="164"/>
      <c r="Q462" s="165"/>
      <c r="R462" s="165"/>
      <c r="S462" s="167"/>
      <c r="T462" s="167"/>
      <c r="U462" s="167"/>
      <c r="V462" s="168"/>
      <c r="W462" s="168"/>
      <c r="X462" s="168"/>
      <c r="Y462" s="168"/>
      <c r="Z462" s="168"/>
      <c r="AA462" s="168"/>
      <c r="AB462" s="164"/>
      <c r="AC462" s="165"/>
      <c r="AD462" s="165"/>
      <c r="AE462" s="169"/>
      <c r="AF462" s="169"/>
      <c r="AG462" s="169"/>
      <c r="AH462" s="168"/>
      <c r="AI462" s="168"/>
      <c r="AJ462" s="168"/>
      <c r="AK462" s="170"/>
      <c r="AL462" s="170"/>
    </row>
    <row r="463" ht="15.75" customHeight="1">
      <c r="A463" s="161"/>
      <c r="B463" s="161"/>
      <c r="C463" s="162"/>
      <c r="D463" s="163"/>
      <c r="E463" s="164"/>
      <c r="F463" s="165"/>
      <c r="G463" s="166"/>
      <c r="H463" s="167"/>
      <c r="I463" s="167"/>
      <c r="J463" s="167"/>
      <c r="K463" s="167"/>
      <c r="L463" s="167"/>
      <c r="M463" s="167"/>
      <c r="N463" s="167"/>
      <c r="O463" s="167"/>
      <c r="P463" s="164"/>
      <c r="Q463" s="165"/>
      <c r="R463" s="165"/>
      <c r="S463" s="167"/>
      <c r="T463" s="167"/>
      <c r="U463" s="167"/>
      <c r="V463" s="168"/>
      <c r="W463" s="168"/>
      <c r="X463" s="168"/>
      <c r="Y463" s="168"/>
      <c r="Z463" s="168"/>
      <c r="AA463" s="168"/>
      <c r="AB463" s="164"/>
      <c r="AC463" s="165"/>
      <c r="AD463" s="165"/>
      <c r="AE463" s="169"/>
      <c r="AF463" s="169"/>
      <c r="AG463" s="169"/>
      <c r="AH463" s="168"/>
      <c r="AI463" s="168"/>
      <c r="AJ463" s="168"/>
      <c r="AK463" s="170"/>
      <c r="AL463" s="170"/>
    </row>
    <row r="464" ht="15.75" customHeight="1">
      <c r="A464" s="161"/>
      <c r="B464" s="161"/>
      <c r="C464" s="162"/>
      <c r="D464" s="163"/>
      <c r="E464" s="164"/>
      <c r="F464" s="165"/>
      <c r="G464" s="166"/>
      <c r="H464" s="167"/>
      <c r="I464" s="167"/>
      <c r="J464" s="167"/>
      <c r="K464" s="167"/>
      <c r="L464" s="167"/>
      <c r="M464" s="167"/>
      <c r="N464" s="167"/>
      <c r="O464" s="167"/>
      <c r="P464" s="164"/>
      <c r="Q464" s="165"/>
      <c r="R464" s="165"/>
      <c r="S464" s="167"/>
      <c r="T464" s="167"/>
      <c r="U464" s="167"/>
      <c r="V464" s="168"/>
      <c r="W464" s="168"/>
      <c r="X464" s="168"/>
      <c r="Y464" s="168"/>
      <c r="Z464" s="168"/>
      <c r="AA464" s="168"/>
      <c r="AB464" s="164"/>
      <c r="AC464" s="165"/>
      <c r="AD464" s="165"/>
      <c r="AE464" s="169"/>
      <c r="AF464" s="169"/>
      <c r="AG464" s="169"/>
      <c r="AH464" s="168"/>
      <c r="AI464" s="168"/>
      <c r="AJ464" s="168"/>
      <c r="AK464" s="170"/>
      <c r="AL464" s="170"/>
    </row>
    <row r="465" ht="15.75" customHeight="1">
      <c r="A465" s="161"/>
      <c r="B465" s="161"/>
      <c r="C465" s="162"/>
      <c r="D465" s="163"/>
      <c r="E465" s="164"/>
      <c r="F465" s="165"/>
      <c r="G465" s="166"/>
      <c r="H465" s="167"/>
      <c r="I465" s="167"/>
      <c r="J465" s="167"/>
      <c r="K465" s="167"/>
      <c r="L465" s="167"/>
      <c r="M465" s="167"/>
      <c r="N465" s="167"/>
      <c r="O465" s="167"/>
      <c r="P465" s="164"/>
      <c r="Q465" s="165"/>
      <c r="R465" s="165"/>
      <c r="S465" s="167"/>
      <c r="T465" s="167"/>
      <c r="U465" s="167"/>
      <c r="V465" s="168"/>
      <c r="W465" s="168"/>
      <c r="X465" s="168"/>
      <c r="Y465" s="168"/>
      <c r="Z465" s="168"/>
      <c r="AA465" s="168"/>
      <c r="AB465" s="164"/>
      <c r="AC465" s="165"/>
      <c r="AD465" s="165"/>
      <c r="AE465" s="169"/>
      <c r="AF465" s="169"/>
      <c r="AG465" s="169"/>
      <c r="AH465" s="168"/>
      <c r="AI465" s="168"/>
      <c r="AJ465" s="168"/>
      <c r="AK465" s="170"/>
      <c r="AL465" s="170"/>
    </row>
    <row r="466" ht="15.75" customHeight="1">
      <c r="A466" s="161"/>
      <c r="B466" s="161"/>
      <c r="C466" s="162"/>
      <c r="D466" s="163"/>
      <c r="E466" s="164"/>
      <c r="F466" s="165"/>
      <c r="G466" s="166"/>
      <c r="H466" s="167"/>
      <c r="I466" s="167"/>
      <c r="J466" s="167"/>
      <c r="K466" s="167"/>
      <c r="L466" s="167"/>
      <c r="M466" s="167"/>
      <c r="N466" s="167"/>
      <c r="O466" s="167"/>
      <c r="P466" s="164"/>
      <c r="Q466" s="165"/>
      <c r="R466" s="165"/>
      <c r="S466" s="167"/>
      <c r="T466" s="167"/>
      <c r="U466" s="167"/>
      <c r="V466" s="168"/>
      <c r="W466" s="168"/>
      <c r="X466" s="168"/>
      <c r="Y466" s="168"/>
      <c r="Z466" s="168"/>
      <c r="AA466" s="168"/>
      <c r="AB466" s="164"/>
      <c r="AC466" s="165"/>
      <c r="AD466" s="165"/>
      <c r="AE466" s="169"/>
      <c r="AF466" s="169"/>
      <c r="AG466" s="169"/>
      <c r="AH466" s="168"/>
      <c r="AI466" s="168"/>
      <c r="AJ466" s="168"/>
      <c r="AK466" s="170"/>
      <c r="AL466" s="170"/>
    </row>
    <row r="467" ht="15.75" customHeight="1">
      <c r="A467" s="161"/>
      <c r="B467" s="161"/>
      <c r="C467" s="162"/>
      <c r="D467" s="163"/>
      <c r="E467" s="164"/>
      <c r="F467" s="165"/>
      <c r="G467" s="166"/>
      <c r="H467" s="167"/>
      <c r="I467" s="167"/>
      <c r="J467" s="167"/>
      <c r="K467" s="167"/>
      <c r="L467" s="167"/>
      <c r="M467" s="167"/>
      <c r="N467" s="167"/>
      <c r="O467" s="167"/>
      <c r="P467" s="164"/>
      <c r="Q467" s="165"/>
      <c r="R467" s="165"/>
      <c r="S467" s="167"/>
      <c r="T467" s="167"/>
      <c r="U467" s="167"/>
      <c r="V467" s="168"/>
      <c r="W467" s="168"/>
      <c r="X467" s="168"/>
      <c r="Y467" s="168"/>
      <c r="Z467" s="168"/>
      <c r="AA467" s="168"/>
      <c r="AB467" s="164"/>
      <c r="AC467" s="165"/>
      <c r="AD467" s="165"/>
      <c r="AE467" s="169"/>
      <c r="AF467" s="169"/>
      <c r="AG467" s="169"/>
      <c r="AH467" s="168"/>
      <c r="AI467" s="168"/>
      <c r="AJ467" s="168"/>
      <c r="AK467" s="170"/>
      <c r="AL467" s="170"/>
    </row>
    <row r="468" ht="15.75" customHeight="1">
      <c r="A468" s="161"/>
      <c r="B468" s="161"/>
      <c r="C468" s="162"/>
      <c r="D468" s="163"/>
      <c r="E468" s="164"/>
      <c r="F468" s="165"/>
      <c r="G468" s="166"/>
      <c r="H468" s="167"/>
      <c r="I468" s="167"/>
      <c r="J468" s="167"/>
      <c r="K468" s="167"/>
      <c r="L468" s="167"/>
      <c r="M468" s="167"/>
      <c r="N468" s="167"/>
      <c r="O468" s="167"/>
      <c r="P468" s="164"/>
      <c r="Q468" s="165"/>
      <c r="R468" s="165"/>
      <c r="S468" s="167"/>
      <c r="T468" s="167"/>
      <c r="U468" s="167"/>
      <c r="V468" s="168"/>
      <c r="W468" s="168"/>
      <c r="X468" s="168"/>
      <c r="Y468" s="168"/>
      <c r="Z468" s="168"/>
      <c r="AA468" s="168"/>
      <c r="AB468" s="164"/>
      <c r="AC468" s="165"/>
      <c r="AD468" s="165"/>
      <c r="AE468" s="169"/>
      <c r="AF468" s="169"/>
      <c r="AG468" s="169"/>
      <c r="AH468" s="168"/>
      <c r="AI468" s="168"/>
      <c r="AJ468" s="168"/>
      <c r="AK468" s="170"/>
      <c r="AL468" s="170"/>
    </row>
    <row r="469" ht="15.75" customHeight="1">
      <c r="A469" s="161"/>
      <c r="B469" s="161"/>
      <c r="C469" s="162"/>
      <c r="D469" s="163"/>
      <c r="E469" s="164"/>
      <c r="F469" s="165"/>
      <c r="G469" s="166"/>
      <c r="H469" s="167"/>
      <c r="I469" s="167"/>
      <c r="J469" s="167"/>
      <c r="K469" s="167"/>
      <c r="L469" s="167"/>
      <c r="M469" s="167"/>
      <c r="N469" s="167"/>
      <c r="O469" s="167"/>
      <c r="P469" s="164"/>
      <c r="Q469" s="165"/>
      <c r="R469" s="165"/>
      <c r="S469" s="167"/>
      <c r="T469" s="167"/>
      <c r="U469" s="167"/>
      <c r="V469" s="168"/>
      <c r="W469" s="168"/>
      <c r="X469" s="168"/>
      <c r="Y469" s="168"/>
      <c r="Z469" s="168"/>
      <c r="AA469" s="168"/>
      <c r="AB469" s="164"/>
      <c r="AC469" s="165"/>
      <c r="AD469" s="165"/>
      <c r="AE469" s="169"/>
      <c r="AF469" s="169"/>
      <c r="AG469" s="169"/>
      <c r="AH469" s="168"/>
      <c r="AI469" s="168"/>
      <c r="AJ469" s="168"/>
      <c r="AK469" s="170"/>
      <c r="AL469" s="170"/>
    </row>
    <row r="470" ht="15.75" customHeight="1">
      <c r="A470" s="161"/>
      <c r="B470" s="161"/>
      <c r="C470" s="162"/>
      <c r="D470" s="163"/>
      <c r="E470" s="164"/>
      <c r="F470" s="165"/>
      <c r="G470" s="166"/>
      <c r="H470" s="167"/>
      <c r="I470" s="167"/>
      <c r="J470" s="167"/>
      <c r="K470" s="167"/>
      <c r="L470" s="167"/>
      <c r="M470" s="167"/>
      <c r="N470" s="167"/>
      <c r="O470" s="167"/>
      <c r="P470" s="164"/>
      <c r="Q470" s="165"/>
      <c r="R470" s="165"/>
      <c r="S470" s="167"/>
      <c r="T470" s="167"/>
      <c r="U470" s="167"/>
      <c r="V470" s="168"/>
      <c r="W470" s="168"/>
      <c r="X470" s="168"/>
      <c r="Y470" s="168"/>
      <c r="Z470" s="168"/>
      <c r="AA470" s="168"/>
      <c r="AB470" s="164"/>
      <c r="AC470" s="165"/>
      <c r="AD470" s="165"/>
      <c r="AE470" s="169"/>
      <c r="AF470" s="169"/>
      <c r="AG470" s="169"/>
      <c r="AH470" s="168"/>
      <c r="AI470" s="168"/>
      <c r="AJ470" s="168"/>
      <c r="AK470" s="170"/>
      <c r="AL470" s="170"/>
    </row>
    <row r="471" ht="15.75" customHeight="1">
      <c r="A471" s="161"/>
      <c r="B471" s="161"/>
      <c r="C471" s="162"/>
      <c r="D471" s="163"/>
      <c r="E471" s="164"/>
      <c r="F471" s="165"/>
      <c r="G471" s="166"/>
      <c r="H471" s="167"/>
      <c r="I471" s="167"/>
      <c r="J471" s="167"/>
      <c r="K471" s="167"/>
      <c r="L471" s="167"/>
      <c r="M471" s="167"/>
      <c r="N471" s="167"/>
      <c r="O471" s="167"/>
      <c r="P471" s="164"/>
      <c r="Q471" s="165"/>
      <c r="R471" s="165"/>
      <c r="S471" s="167"/>
      <c r="T471" s="167"/>
      <c r="U471" s="167"/>
      <c r="V471" s="168"/>
      <c r="W471" s="168"/>
      <c r="X471" s="168"/>
      <c r="Y471" s="168"/>
      <c r="Z471" s="168"/>
      <c r="AA471" s="168"/>
      <c r="AB471" s="164"/>
      <c r="AC471" s="165"/>
      <c r="AD471" s="165"/>
      <c r="AE471" s="169"/>
      <c r="AF471" s="169"/>
      <c r="AG471" s="169"/>
      <c r="AH471" s="168"/>
      <c r="AI471" s="168"/>
      <c r="AJ471" s="168"/>
      <c r="AK471" s="170"/>
      <c r="AL471" s="170"/>
    </row>
    <row r="472" ht="15.75" customHeight="1">
      <c r="A472" s="161"/>
      <c r="B472" s="161"/>
      <c r="C472" s="162"/>
      <c r="D472" s="163"/>
      <c r="E472" s="164"/>
      <c r="F472" s="165"/>
      <c r="G472" s="166"/>
      <c r="H472" s="167"/>
      <c r="I472" s="167"/>
      <c r="J472" s="167"/>
      <c r="K472" s="167"/>
      <c r="L472" s="167"/>
      <c r="M472" s="167"/>
      <c r="N472" s="167"/>
      <c r="O472" s="167"/>
      <c r="P472" s="164"/>
      <c r="Q472" s="165"/>
      <c r="R472" s="165"/>
      <c r="S472" s="167"/>
      <c r="T472" s="167"/>
      <c r="U472" s="167"/>
      <c r="V472" s="168"/>
      <c r="W472" s="168"/>
      <c r="X472" s="168"/>
      <c r="Y472" s="168"/>
      <c r="Z472" s="168"/>
      <c r="AA472" s="168"/>
      <c r="AB472" s="164"/>
      <c r="AC472" s="165"/>
      <c r="AD472" s="165"/>
      <c r="AE472" s="169"/>
      <c r="AF472" s="169"/>
      <c r="AG472" s="169"/>
      <c r="AH472" s="168"/>
      <c r="AI472" s="168"/>
      <c r="AJ472" s="168"/>
      <c r="AK472" s="170"/>
      <c r="AL472" s="170"/>
    </row>
    <row r="473" ht="15.75" customHeight="1">
      <c r="A473" s="161"/>
      <c r="B473" s="161"/>
      <c r="C473" s="162"/>
      <c r="D473" s="163"/>
      <c r="E473" s="164"/>
      <c r="F473" s="165"/>
      <c r="G473" s="166"/>
      <c r="H473" s="167"/>
      <c r="I473" s="167"/>
      <c r="J473" s="167"/>
      <c r="K473" s="167"/>
      <c r="L473" s="167"/>
      <c r="M473" s="167"/>
      <c r="N473" s="167"/>
      <c r="O473" s="167"/>
      <c r="P473" s="164"/>
      <c r="Q473" s="165"/>
      <c r="R473" s="165"/>
      <c r="S473" s="167"/>
      <c r="T473" s="167"/>
      <c r="U473" s="167"/>
      <c r="V473" s="168"/>
      <c r="W473" s="168"/>
      <c r="X473" s="168"/>
      <c r="Y473" s="168"/>
      <c r="Z473" s="168"/>
      <c r="AA473" s="168"/>
      <c r="AB473" s="164"/>
      <c r="AC473" s="165"/>
      <c r="AD473" s="165"/>
      <c r="AE473" s="169"/>
      <c r="AF473" s="169"/>
      <c r="AG473" s="169"/>
      <c r="AH473" s="168"/>
      <c r="AI473" s="168"/>
      <c r="AJ473" s="168"/>
      <c r="AK473" s="170"/>
      <c r="AL473" s="170"/>
    </row>
    <row r="474" ht="15.75" customHeight="1">
      <c r="A474" s="161"/>
      <c r="B474" s="161"/>
      <c r="C474" s="162"/>
      <c r="D474" s="163"/>
      <c r="E474" s="164"/>
      <c r="F474" s="165"/>
      <c r="G474" s="166"/>
      <c r="H474" s="167"/>
      <c r="I474" s="167"/>
      <c r="J474" s="167"/>
      <c r="K474" s="167"/>
      <c r="L474" s="167"/>
      <c r="M474" s="167"/>
      <c r="N474" s="167"/>
      <c r="O474" s="167"/>
      <c r="P474" s="164"/>
      <c r="Q474" s="165"/>
      <c r="R474" s="165"/>
      <c r="S474" s="167"/>
      <c r="T474" s="167"/>
      <c r="U474" s="167"/>
      <c r="V474" s="168"/>
      <c r="W474" s="168"/>
      <c r="X474" s="168"/>
      <c r="Y474" s="168"/>
      <c r="Z474" s="168"/>
      <c r="AA474" s="168"/>
      <c r="AB474" s="164"/>
      <c r="AC474" s="165"/>
      <c r="AD474" s="165"/>
      <c r="AE474" s="169"/>
      <c r="AF474" s="169"/>
      <c r="AG474" s="169"/>
      <c r="AH474" s="168"/>
      <c r="AI474" s="168"/>
      <c r="AJ474" s="168"/>
      <c r="AK474" s="170"/>
      <c r="AL474" s="170"/>
    </row>
    <row r="475" ht="15.75" customHeight="1">
      <c r="A475" s="161"/>
      <c r="B475" s="161"/>
      <c r="C475" s="162"/>
      <c r="D475" s="163"/>
      <c r="E475" s="164"/>
      <c r="F475" s="165"/>
      <c r="G475" s="166"/>
      <c r="H475" s="167"/>
      <c r="I475" s="167"/>
      <c r="J475" s="167"/>
      <c r="K475" s="167"/>
      <c r="L475" s="167"/>
      <c r="M475" s="167"/>
      <c r="N475" s="167"/>
      <c r="O475" s="167"/>
      <c r="P475" s="164"/>
      <c r="Q475" s="165"/>
      <c r="R475" s="165"/>
      <c r="S475" s="167"/>
      <c r="T475" s="167"/>
      <c r="U475" s="167"/>
      <c r="V475" s="168"/>
      <c r="W475" s="168"/>
      <c r="X475" s="168"/>
      <c r="Y475" s="168"/>
      <c r="Z475" s="168"/>
      <c r="AA475" s="168"/>
      <c r="AB475" s="164"/>
      <c r="AC475" s="165"/>
      <c r="AD475" s="165"/>
      <c r="AE475" s="169"/>
      <c r="AF475" s="169"/>
      <c r="AG475" s="169"/>
      <c r="AH475" s="168"/>
      <c r="AI475" s="168"/>
      <c r="AJ475" s="168"/>
      <c r="AK475" s="170"/>
      <c r="AL475" s="170"/>
    </row>
    <row r="476" ht="15.75" customHeight="1">
      <c r="A476" s="161"/>
      <c r="B476" s="161"/>
      <c r="C476" s="162"/>
      <c r="D476" s="163"/>
      <c r="E476" s="164"/>
      <c r="F476" s="165"/>
      <c r="G476" s="166"/>
      <c r="H476" s="167"/>
      <c r="I476" s="167"/>
      <c r="J476" s="167"/>
      <c r="K476" s="167"/>
      <c r="L476" s="167"/>
      <c r="M476" s="167"/>
      <c r="N476" s="167"/>
      <c r="O476" s="167"/>
      <c r="P476" s="164"/>
      <c r="Q476" s="165"/>
      <c r="R476" s="165"/>
      <c r="S476" s="167"/>
      <c r="T476" s="167"/>
      <c r="U476" s="167"/>
      <c r="V476" s="168"/>
      <c r="W476" s="168"/>
      <c r="X476" s="168"/>
      <c r="Y476" s="168"/>
      <c r="Z476" s="168"/>
      <c r="AA476" s="168"/>
      <c r="AB476" s="164"/>
      <c r="AC476" s="165"/>
      <c r="AD476" s="165"/>
      <c r="AE476" s="169"/>
      <c r="AF476" s="169"/>
      <c r="AG476" s="169"/>
      <c r="AH476" s="168"/>
      <c r="AI476" s="168"/>
      <c r="AJ476" s="168"/>
      <c r="AK476" s="170"/>
      <c r="AL476" s="170"/>
    </row>
    <row r="477" ht="15.75" customHeight="1">
      <c r="A477" s="161"/>
      <c r="B477" s="161"/>
      <c r="C477" s="162"/>
      <c r="D477" s="163"/>
      <c r="E477" s="164"/>
      <c r="F477" s="165"/>
      <c r="G477" s="166"/>
      <c r="H477" s="167"/>
      <c r="I477" s="167"/>
      <c r="J477" s="167"/>
      <c r="K477" s="167"/>
      <c r="L477" s="167"/>
      <c r="M477" s="167"/>
      <c r="N477" s="167"/>
      <c r="O477" s="167"/>
      <c r="P477" s="164"/>
      <c r="Q477" s="165"/>
      <c r="R477" s="165"/>
      <c r="S477" s="167"/>
      <c r="T477" s="167"/>
      <c r="U477" s="167"/>
      <c r="V477" s="168"/>
      <c r="W477" s="168"/>
      <c r="X477" s="168"/>
      <c r="Y477" s="168"/>
      <c r="Z477" s="168"/>
      <c r="AA477" s="168"/>
      <c r="AB477" s="164"/>
      <c r="AC477" s="165"/>
      <c r="AD477" s="165"/>
      <c r="AE477" s="169"/>
      <c r="AF477" s="169"/>
      <c r="AG477" s="169"/>
      <c r="AH477" s="168"/>
      <c r="AI477" s="168"/>
      <c r="AJ477" s="168"/>
      <c r="AK477" s="170"/>
      <c r="AL477" s="170"/>
    </row>
    <row r="478" ht="15.75" customHeight="1">
      <c r="A478" s="161"/>
      <c r="B478" s="161"/>
      <c r="C478" s="162"/>
      <c r="D478" s="163"/>
      <c r="E478" s="164"/>
      <c r="F478" s="165"/>
      <c r="G478" s="166"/>
      <c r="H478" s="167"/>
      <c r="I478" s="167"/>
      <c r="J478" s="167"/>
      <c r="K478" s="167"/>
      <c r="L478" s="167"/>
      <c r="M478" s="167"/>
      <c r="N478" s="167"/>
      <c r="O478" s="167"/>
      <c r="P478" s="164"/>
      <c r="Q478" s="165"/>
      <c r="R478" s="165"/>
      <c r="S478" s="167"/>
      <c r="T478" s="167"/>
      <c r="U478" s="167"/>
      <c r="V478" s="168"/>
      <c r="W478" s="168"/>
      <c r="X478" s="168"/>
      <c r="Y478" s="168"/>
      <c r="Z478" s="168"/>
      <c r="AA478" s="168"/>
      <c r="AB478" s="164"/>
      <c r="AC478" s="165"/>
      <c r="AD478" s="165"/>
      <c r="AE478" s="169"/>
      <c r="AF478" s="169"/>
      <c r="AG478" s="169"/>
      <c r="AH478" s="168"/>
      <c r="AI478" s="168"/>
      <c r="AJ478" s="168"/>
      <c r="AK478" s="170"/>
      <c r="AL478" s="170"/>
    </row>
    <row r="479" ht="15.75" customHeight="1">
      <c r="A479" s="161"/>
      <c r="B479" s="161"/>
      <c r="C479" s="162"/>
      <c r="D479" s="163"/>
      <c r="E479" s="164"/>
      <c r="F479" s="165"/>
      <c r="G479" s="166"/>
      <c r="H479" s="167"/>
      <c r="I479" s="167"/>
      <c r="J479" s="167"/>
      <c r="K479" s="167"/>
      <c r="L479" s="167"/>
      <c r="M479" s="167"/>
      <c r="N479" s="167"/>
      <c r="O479" s="167"/>
      <c r="P479" s="164"/>
      <c r="Q479" s="165"/>
      <c r="R479" s="165"/>
      <c r="S479" s="167"/>
      <c r="T479" s="167"/>
      <c r="U479" s="167"/>
      <c r="V479" s="168"/>
      <c r="W479" s="168"/>
      <c r="X479" s="168"/>
      <c r="Y479" s="168"/>
      <c r="Z479" s="168"/>
      <c r="AA479" s="168"/>
      <c r="AB479" s="164"/>
      <c r="AC479" s="165"/>
      <c r="AD479" s="165"/>
      <c r="AE479" s="169"/>
      <c r="AF479" s="169"/>
      <c r="AG479" s="169"/>
      <c r="AH479" s="168"/>
      <c r="AI479" s="168"/>
      <c r="AJ479" s="168"/>
      <c r="AK479" s="170"/>
      <c r="AL479" s="170"/>
    </row>
    <row r="480" ht="15.75" customHeight="1">
      <c r="A480" s="161"/>
      <c r="B480" s="161"/>
      <c r="C480" s="162"/>
      <c r="D480" s="163"/>
      <c r="E480" s="164"/>
      <c r="F480" s="165"/>
      <c r="G480" s="166"/>
      <c r="H480" s="167"/>
      <c r="I480" s="167"/>
      <c r="J480" s="167"/>
      <c r="K480" s="167"/>
      <c r="L480" s="167"/>
      <c r="M480" s="167"/>
      <c r="N480" s="167"/>
      <c r="O480" s="167"/>
      <c r="P480" s="164"/>
      <c r="Q480" s="165"/>
      <c r="R480" s="165"/>
      <c r="S480" s="167"/>
      <c r="T480" s="167"/>
      <c r="U480" s="167"/>
      <c r="V480" s="168"/>
      <c r="W480" s="168"/>
      <c r="X480" s="168"/>
      <c r="Y480" s="168"/>
      <c r="Z480" s="168"/>
      <c r="AA480" s="168"/>
      <c r="AB480" s="164"/>
      <c r="AC480" s="165"/>
      <c r="AD480" s="165"/>
      <c r="AE480" s="169"/>
      <c r="AF480" s="169"/>
      <c r="AG480" s="169"/>
      <c r="AH480" s="168"/>
      <c r="AI480" s="168"/>
      <c r="AJ480" s="168"/>
      <c r="AK480" s="170"/>
      <c r="AL480" s="170"/>
    </row>
    <row r="481" ht="15.75" customHeight="1">
      <c r="A481" s="161"/>
      <c r="B481" s="161"/>
      <c r="C481" s="162"/>
      <c r="D481" s="163"/>
      <c r="E481" s="164"/>
      <c r="F481" s="165"/>
      <c r="G481" s="166"/>
      <c r="H481" s="167"/>
      <c r="I481" s="167"/>
      <c r="J481" s="167"/>
      <c r="K481" s="167"/>
      <c r="L481" s="167"/>
      <c r="M481" s="167"/>
      <c r="N481" s="167"/>
      <c r="O481" s="167"/>
      <c r="P481" s="164"/>
      <c r="Q481" s="165"/>
      <c r="R481" s="165"/>
      <c r="S481" s="167"/>
      <c r="T481" s="167"/>
      <c r="U481" s="167"/>
      <c r="V481" s="168"/>
      <c r="W481" s="168"/>
      <c r="X481" s="168"/>
      <c r="Y481" s="168"/>
      <c r="Z481" s="168"/>
      <c r="AA481" s="168"/>
      <c r="AB481" s="164"/>
      <c r="AC481" s="165"/>
      <c r="AD481" s="165"/>
      <c r="AE481" s="169"/>
      <c r="AF481" s="169"/>
      <c r="AG481" s="169"/>
      <c r="AH481" s="168"/>
      <c r="AI481" s="168"/>
      <c r="AJ481" s="168"/>
      <c r="AK481" s="170"/>
      <c r="AL481" s="170"/>
    </row>
    <row r="482" ht="15.75" customHeight="1">
      <c r="A482" s="161"/>
      <c r="B482" s="161"/>
      <c r="C482" s="162"/>
      <c r="D482" s="163"/>
      <c r="E482" s="164"/>
      <c r="F482" s="165"/>
      <c r="G482" s="166"/>
      <c r="H482" s="167"/>
      <c r="I482" s="167"/>
      <c r="J482" s="167"/>
      <c r="K482" s="167"/>
      <c r="L482" s="167"/>
      <c r="M482" s="167"/>
      <c r="N482" s="167"/>
      <c r="O482" s="167"/>
      <c r="P482" s="164"/>
      <c r="Q482" s="165"/>
      <c r="R482" s="165"/>
      <c r="S482" s="167"/>
      <c r="T482" s="167"/>
      <c r="U482" s="167"/>
      <c r="V482" s="168"/>
      <c r="W482" s="168"/>
      <c r="X482" s="168"/>
      <c r="Y482" s="168"/>
      <c r="Z482" s="168"/>
      <c r="AA482" s="168"/>
      <c r="AB482" s="164"/>
      <c r="AC482" s="165"/>
      <c r="AD482" s="165"/>
      <c r="AE482" s="169"/>
      <c r="AF482" s="169"/>
      <c r="AG482" s="169"/>
      <c r="AH482" s="168"/>
      <c r="AI482" s="168"/>
      <c r="AJ482" s="168"/>
      <c r="AK482" s="170"/>
      <c r="AL482" s="170"/>
    </row>
    <row r="483" ht="15.75" customHeight="1">
      <c r="A483" s="161"/>
      <c r="B483" s="161"/>
      <c r="C483" s="162"/>
      <c r="D483" s="163"/>
      <c r="E483" s="164"/>
      <c r="F483" s="165"/>
      <c r="G483" s="166"/>
      <c r="H483" s="167"/>
      <c r="I483" s="167"/>
      <c r="J483" s="167"/>
      <c r="K483" s="167"/>
      <c r="L483" s="167"/>
      <c r="M483" s="167"/>
      <c r="N483" s="167"/>
      <c r="O483" s="167"/>
      <c r="P483" s="164"/>
      <c r="Q483" s="165"/>
      <c r="R483" s="165"/>
      <c r="S483" s="167"/>
      <c r="T483" s="167"/>
      <c r="U483" s="167"/>
      <c r="V483" s="168"/>
      <c r="W483" s="168"/>
      <c r="X483" s="168"/>
      <c r="Y483" s="168"/>
      <c r="Z483" s="168"/>
      <c r="AA483" s="168"/>
      <c r="AB483" s="164"/>
      <c r="AC483" s="165"/>
      <c r="AD483" s="165"/>
      <c r="AE483" s="169"/>
      <c r="AF483" s="169"/>
      <c r="AG483" s="169"/>
      <c r="AH483" s="168"/>
      <c r="AI483" s="168"/>
      <c r="AJ483" s="168"/>
      <c r="AK483" s="170"/>
      <c r="AL483" s="170"/>
    </row>
    <row r="484" ht="15.75" customHeight="1">
      <c r="A484" s="161"/>
      <c r="B484" s="161"/>
      <c r="C484" s="162"/>
      <c r="D484" s="163"/>
      <c r="E484" s="164"/>
      <c r="F484" s="165"/>
      <c r="G484" s="166"/>
      <c r="H484" s="167"/>
      <c r="I484" s="167"/>
      <c r="J484" s="167"/>
      <c r="K484" s="167"/>
      <c r="L484" s="167"/>
      <c r="M484" s="167"/>
      <c r="N484" s="167"/>
      <c r="O484" s="167"/>
      <c r="P484" s="164"/>
      <c r="Q484" s="165"/>
      <c r="R484" s="165"/>
      <c r="S484" s="167"/>
      <c r="T484" s="167"/>
      <c r="U484" s="167"/>
      <c r="V484" s="168"/>
      <c r="W484" s="168"/>
      <c r="X484" s="168"/>
      <c r="Y484" s="168"/>
      <c r="Z484" s="168"/>
      <c r="AA484" s="168"/>
      <c r="AB484" s="164"/>
      <c r="AC484" s="165"/>
      <c r="AD484" s="165"/>
      <c r="AE484" s="169"/>
      <c r="AF484" s="169"/>
      <c r="AG484" s="169"/>
      <c r="AH484" s="168"/>
      <c r="AI484" s="168"/>
      <c r="AJ484" s="168"/>
      <c r="AK484" s="170"/>
      <c r="AL484" s="170"/>
    </row>
    <row r="485" ht="15.75" customHeight="1">
      <c r="A485" s="161"/>
      <c r="B485" s="161"/>
      <c r="C485" s="162"/>
      <c r="D485" s="163"/>
      <c r="E485" s="164"/>
      <c r="F485" s="165"/>
      <c r="G485" s="166"/>
      <c r="H485" s="167"/>
      <c r="I485" s="167"/>
      <c r="J485" s="167"/>
      <c r="K485" s="167"/>
      <c r="L485" s="167"/>
      <c r="M485" s="167"/>
      <c r="N485" s="167"/>
      <c r="O485" s="167"/>
      <c r="P485" s="164"/>
      <c r="Q485" s="165"/>
      <c r="R485" s="165"/>
      <c r="S485" s="167"/>
      <c r="T485" s="167"/>
      <c r="U485" s="167"/>
      <c r="V485" s="168"/>
      <c r="W485" s="168"/>
      <c r="X485" s="168"/>
      <c r="Y485" s="168"/>
      <c r="Z485" s="168"/>
      <c r="AA485" s="168"/>
      <c r="AB485" s="164"/>
      <c r="AC485" s="165"/>
      <c r="AD485" s="165"/>
      <c r="AE485" s="169"/>
      <c r="AF485" s="169"/>
      <c r="AG485" s="169"/>
      <c r="AH485" s="168"/>
      <c r="AI485" s="168"/>
      <c r="AJ485" s="168"/>
      <c r="AK485" s="170"/>
      <c r="AL485" s="170"/>
    </row>
    <row r="486" ht="15.75" customHeight="1">
      <c r="A486" s="161"/>
      <c r="B486" s="161"/>
      <c r="C486" s="162"/>
      <c r="D486" s="163"/>
      <c r="E486" s="164"/>
      <c r="F486" s="165"/>
      <c r="G486" s="166"/>
      <c r="H486" s="167"/>
      <c r="I486" s="167"/>
      <c r="J486" s="167"/>
      <c r="K486" s="167"/>
      <c r="L486" s="167"/>
      <c r="M486" s="167"/>
      <c r="N486" s="167"/>
      <c r="O486" s="167"/>
      <c r="P486" s="164"/>
      <c r="Q486" s="165"/>
      <c r="R486" s="165"/>
      <c r="S486" s="167"/>
      <c r="T486" s="167"/>
      <c r="U486" s="167"/>
      <c r="V486" s="168"/>
      <c r="W486" s="168"/>
      <c r="X486" s="168"/>
      <c r="Y486" s="168"/>
      <c r="Z486" s="168"/>
      <c r="AA486" s="168"/>
      <c r="AB486" s="164"/>
      <c r="AC486" s="165"/>
      <c r="AD486" s="165"/>
      <c r="AE486" s="169"/>
      <c r="AF486" s="169"/>
      <c r="AG486" s="169"/>
      <c r="AH486" s="168"/>
      <c r="AI486" s="168"/>
      <c r="AJ486" s="168"/>
      <c r="AK486" s="170"/>
      <c r="AL486" s="170"/>
    </row>
    <row r="487" ht="15.75" customHeight="1">
      <c r="A487" s="161"/>
      <c r="B487" s="161"/>
      <c r="C487" s="162"/>
      <c r="D487" s="163"/>
      <c r="E487" s="164"/>
      <c r="F487" s="165"/>
      <c r="G487" s="166"/>
      <c r="H487" s="167"/>
      <c r="I487" s="167"/>
      <c r="J487" s="167"/>
      <c r="K487" s="167"/>
      <c r="L487" s="167"/>
      <c r="M487" s="167"/>
      <c r="N487" s="167"/>
      <c r="O487" s="167"/>
      <c r="P487" s="164"/>
      <c r="Q487" s="165"/>
      <c r="R487" s="165"/>
      <c r="S487" s="167"/>
      <c r="T487" s="167"/>
      <c r="U487" s="167"/>
      <c r="V487" s="168"/>
      <c r="W487" s="168"/>
      <c r="X487" s="168"/>
      <c r="Y487" s="168"/>
      <c r="Z487" s="168"/>
      <c r="AA487" s="168"/>
      <c r="AB487" s="164"/>
      <c r="AC487" s="165"/>
      <c r="AD487" s="165"/>
      <c r="AE487" s="169"/>
      <c r="AF487" s="169"/>
      <c r="AG487" s="169"/>
      <c r="AH487" s="168"/>
      <c r="AI487" s="168"/>
      <c r="AJ487" s="168"/>
      <c r="AK487" s="170"/>
      <c r="AL487" s="170"/>
    </row>
    <row r="488" ht="15.75" customHeight="1">
      <c r="A488" s="161"/>
      <c r="B488" s="161"/>
      <c r="C488" s="162"/>
      <c r="D488" s="163"/>
      <c r="E488" s="164"/>
      <c r="F488" s="165"/>
      <c r="G488" s="166"/>
      <c r="H488" s="167"/>
      <c r="I488" s="167"/>
      <c r="J488" s="167"/>
      <c r="K488" s="167"/>
      <c r="L488" s="167"/>
      <c r="M488" s="167"/>
      <c r="N488" s="167"/>
      <c r="O488" s="167"/>
      <c r="P488" s="164"/>
      <c r="Q488" s="165"/>
      <c r="R488" s="165"/>
      <c r="S488" s="167"/>
      <c r="T488" s="167"/>
      <c r="U488" s="167"/>
      <c r="V488" s="168"/>
      <c r="W488" s="168"/>
      <c r="X488" s="168"/>
      <c r="Y488" s="168"/>
      <c r="Z488" s="168"/>
      <c r="AA488" s="168"/>
      <c r="AB488" s="164"/>
      <c r="AC488" s="165"/>
      <c r="AD488" s="165"/>
      <c r="AE488" s="169"/>
      <c r="AF488" s="169"/>
      <c r="AG488" s="169"/>
      <c r="AH488" s="168"/>
      <c r="AI488" s="168"/>
      <c r="AJ488" s="168"/>
      <c r="AK488" s="170"/>
      <c r="AL488" s="170"/>
    </row>
    <row r="489" ht="15.75" customHeight="1">
      <c r="A489" s="161"/>
      <c r="B489" s="161"/>
      <c r="C489" s="162"/>
      <c r="D489" s="163"/>
      <c r="E489" s="164"/>
      <c r="F489" s="165"/>
      <c r="G489" s="166"/>
      <c r="H489" s="167"/>
      <c r="I489" s="167"/>
      <c r="J489" s="167"/>
      <c r="K489" s="167"/>
      <c r="L489" s="167"/>
      <c r="M489" s="167"/>
      <c r="N489" s="167"/>
      <c r="O489" s="167"/>
      <c r="P489" s="164"/>
      <c r="Q489" s="165"/>
      <c r="R489" s="165"/>
      <c r="S489" s="167"/>
      <c r="T489" s="167"/>
      <c r="U489" s="167"/>
      <c r="V489" s="168"/>
      <c r="W489" s="168"/>
      <c r="X489" s="168"/>
      <c r="Y489" s="168"/>
      <c r="Z489" s="168"/>
      <c r="AA489" s="168"/>
      <c r="AB489" s="164"/>
      <c r="AC489" s="165"/>
      <c r="AD489" s="165"/>
      <c r="AE489" s="169"/>
      <c r="AF489" s="169"/>
      <c r="AG489" s="169"/>
      <c r="AH489" s="168"/>
      <c r="AI489" s="168"/>
      <c r="AJ489" s="168"/>
      <c r="AK489" s="170"/>
      <c r="AL489" s="170"/>
    </row>
    <row r="490" ht="15.75" customHeight="1">
      <c r="A490" s="161"/>
      <c r="B490" s="161"/>
      <c r="C490" s="162"/>
      <c r="D490" s="163"/>
      <c r="E490" s="164"/>
      <c r="F490" s="165"/>
      <c r="G490" s="166"/>
      <c r="H490" s="167"/>
      <c r="I490" s="167"/>
      <c r="J490" s="167"/>
      <c r="K490" s="167"/>
      <c r="L490" s="167"/>
      <c r="M490" s="167"/>
      <c r="N490" s="167"/>
      <c r="O490" s="167"/>
      <c r="P490" s="164"/>
      <c r="Q490" s="165"/>
      <c r="R490" s="165"/>
      <c r="S490" s="167"/>
      <c r="T490" s="167"/>
      <c r="U490" s="167"/>
      <c r="V490" s="168"/>
      <c r="W490" s="168"/>
      <c r="X490" s="168"/>
      <c r="Y490" s="168"/>
      <c r="Z490" s="168"/>
      <c r="AA490" s="168"/>
      <c r="AB490" s="164"/>
      <c r="AC490" s="165"/>
      <c r="AD490" s="165"/>
      <c r="AE490" s="169"/>
      <c r="AF490" s="169"/>
      <c r="AG490" s="169"/>
      <c r="AH490" s="168"/>
      <c r="AI490" s="168"/>
      <c r="AJ490" s="168"/>
      <c r="AK490" s="170"/>
      <c r="AL490" s="170"/>
    </row>
    <row r="491" ht="15.75" customHeight="1">
      <c r="A491" s="161"/>
      <c r="B491" s="161"/>
      <c r="C491" s="162"/>
      <c r="D491" s="163"/>
      <c r="E491" s="164"/>
      <c r="F491" s="165"/>
      <c r="G491" s="166"/>
      <c r="H491" s="167"/>
      <c r="I491" s="167"/>
      <c r="J491" s="167"/>
      <c r="K491" s="167"/>
      <c r="L491" s="167"/>
      <c r="M491" s="167"/>
      <c r="N491" s="167"/>
      <c r="O491" s="167"/>
      <c r="P491" s="164"/>
      <c r="Q491" s="165"/>
      <c r="R491" s="165"/>
      <c r="S491" s="167"/>
      <c r="T491" s="167"/>
      <c r="U491" s="167"/>
      <c r="V491" s="168"/>
      <c r="W491" s="168"/>
      <c r="X491" s="168"/>
      <c r="Y491" s="168"/>
      <c r="Z491" s="168"/>
      <c r="AA491" s="168"/>
      <c r="AB491" s="164"/>
      <c r="AC491" s="165"/>
      <c r="AD491" s="165"/>
      <c r="AE491" s="169"/>
      <c r="AF491" s="169"/>
      <c r="AG491" s="169"/>
      <c r="AH491" s="168"/>
      <c r="AI491" s="168"/>
      <c r="AJ491" s="168"/>
      <c r="AK491" s="170"/>
      <c r="AL491" s="170"/>
    </row>
    <row r="492" ht="15.75" customHeight="1">
      <c r="A492" s="161"/>
      <c r="B492" s="161"/>
      <c r="C492" s="162"/>
      <c r="D492" s="163"/>
      <c r="E492" s="164"/>
      <c r="F492" s="165"/>
      <c r="G492" s="166"/>
      <c r="H492" s="167"/>
      <c r="I492" s="167"/>
      <c r="J492" s="167"/>
      <c r="K492" s="167"/>
      <c r="L492" s="167"/>
      <c r="M492" s="167"/>
      <c r="N492" s="167"/>
      <c r="O492" s="167"/>
      <c r="P492" s="164"/>
      <c r="Q492" s="165"/>
      <c r="R492" s="165"/>
      <c r="S492" s="167"/>
      <c r="T492" s="167"/>
      <c r="U492" s="167"/>
      <c r="V492" s="168"/>
      <c r="W492" s="168"/>
      <c r="X492" s="168"/>
      <c r="Y492" s="168"/>
      <c r="Z492" s="168"/>
      <c r="AA492" s="168"/>
      <c r="AB492" s="164"/>
      <c r="AC492" s="165"/>
      <c r="AD492" s="165"/>
      <c r="AE492" s="169"/>
      <c r="AF492" s="169"/>
      <c r="AG492" s="169"/>
      <c r="AH492" s="168"/>
      <c r="AI492" s="168"/>
      <c r="AJ492" s="168"/>
      <c r="AK492" s="170"/>
      <c r="AL492" s="170"/>
    </row>
    <row r="493" ht="15.75" customHeight="1">
      <c r="A493" s="161"/>
      <c r="B493" s="161"/>
      <c r="C493" s="162"/>
      <c r="D493" s="163"/>
      <c r="E493" s="164"/>
      <c r="F493" s="165"/>
      <c r="G493" s="166"/>
      <c r="H493" s="167"/>
      <c r="I493" s="167"/>
      <c r="J493" s="167"/>
      <c r="K493" s="167"/>
      <c r="L493" s="167"/>
      <c r="M493" s="167"/>
      <c r="N493" s="167"/>
      <c r="O493" s="167"/>
      <c r="P493" s="164"/>
      <c r="Q493" s="165"/>
      <c r="R493" s="165"/>
      <c r="S493" s="167"/>
      <c r="T493" s="167"/>
      <c r="U493" s="167"/>
      <c r="V493" s="168"/>
      <c r="W493" s="168"/>
      <c r="X493" s="168"/>
      <c r="Y493" s="168"/>
      <c r="Z493" s="168"/>
      <c r="AA493" s="168"/>
      <c r="AB493" s="164"/>
      <c r="AC493" s="165"/>
      <c r="AD493" s="165"/>
      <c r="AE493" s="169"/>
      <c r="AF493" s="169"/>
      <c r="AG493" s="169"/>
      <c r="AH493" s="168"/>
      <c r="AI493" s="168"/>
      <c r="AJ493" s="168"/>
      <c r="AK493" s="170"/>
      <c r="AL493" s="170"/>
    </row>
    <row r="494" ht="15.75" customHeight="1">
      <c r="A494" s="161"/>
      <c r="B494" s="161"/>
      <c r="C494" s="162"/>
      <c r="D494" s="163"/>
      <c r="E494" s="164"/>
      <c r="F494" s="165"/>
      <c r="G494" s="166"/>
      <c r="H494" s="167"/>
      <c r="I494" s="167"/>
      <c r="J494" s="167"/>
      <c r="K494" s="167"/>
      <c r="L494" s="167"/>
      <c r="M494" s="167"/>
      <c r="N494" s="167"/>
      <c r="O494" s="167"/>
      <c r="P494" s="164"/>
      <c r="Q494" s="165"/>
      <c r="R494" s="165"/>
      <c r="S494" s="167"/>
      <c r="T494" s="167"/>
      <c r="U494" s="167"/>
      <c r="V494" s="168"/>
      <c r="W494" s="168"/>
      <c r="X494" s="168"/>
      <c r="Y494" s="168"/>
      <c r="Z494" s="168"/>
      <c r="AA494" s="168"/>
      <c r="AB494" s="164"/>
      <c r="AC494" s="165"/>
      <c r="AD494" s="165"/>
      <c r="AE494" s="169"/>
      <c r="AF494" s="169"/>
      <c r="AG494" s="169"/>
      <c r="AH494" s="168"/>
      <c r="AI494" s="168"/>
      <c r="AJ494" s="168"/>
      <c r="AK494" s="170"/>
      <c r="AL494" s="170"/>
    </row>
    <row r="495" ht="15.75" customHeight="1">
      <c r="A495" s="161"/>
      <c r="B495" s="161"/>
      <c r="C495" s="162"/>
      <c r="D495" s="163"/>
      <c r="E495" s="164"/>
      <c r="F495" s="165"/>
      <c r="G495" s="166"/>
      <c r="H495" s="167"/>
      <c r="I495" s="167"/>
      <c r="J495" s="167"/>
      <c r="K495" s="167"/>
      <c r="L495" s="167"/>
      <c r="M495" s="167"/>
      <c r="N495" s="167"/>
      <c r="O495" s="167"/>
      <c r="P495" s="164"/>
      <c r="Q495" s="165"/>
      <c r="R495" s="165"/>
      <c r="S495" s="167"/>
      <c r="T495" s="167"/>
      <c r="U495" s="167"/>
      <c r="V495" s="168"/>
      <c r="W495" s="168"/>
      <c r="X495" s="168"/>
      <c r="Y495" s="168"/>
      <c r="Z495" s="168"/>
      <c r="AA495" s="168"/>
      <c r="AB495" s="164"/>
      <c r="AC495" s="165"/>
      <c r="AD495" s="165"/>
      <c r="AE495" s="169"/>
      <c r="AF495" s="169"/>
      <c r="AG495" s="169"/>
      <c r="AH495" s="168"/>
      <c r="AI495" s="168"/>
      <c r="AJ495" s="168"/>
      <c r="AK495" s="170"/>
      <c r="AL495" s="170"/>
    </row>
    <row r="496" ht="15.75" customHeight="1">
      <c r="A496" s="161"/>
      <c r="B496" s="161"/>
      <c r="C496" s="162"/>
      <c r="D496" s="163"/>
      <c r="E496" s="164"/>
      <c r="F496" s="165"/>
      <c r="G496" s="166"/>
      <c r="H496" s="167"/>
      <c r="I496" s="167"/>
      <c r="J496" s="167"/>
      <c r="K496" s="167"/>
      <c r="L496" s="167"/>
      <c r="M496" s="167"/>
      <c r="N496" s="167"/>
      <c r="O496" s="167"/>
      <c r="P496" s="164"/>
      <c r="Q496" s="165"/>
      <c r="R496" s="165"/>
      <c r="S496" s="167"/>
      <c r="T496" s="167"/>
      <c r="U496" s="167"/>
      <c r="V496" s="168"/>
      <c r="W496" s="168"/>
      <c r="X496" s="168"/>
      <c r="Y496" s="168"/>
      <c r="Z496" s="168"/>
      <c r="AA496" s="168"/>
      <c r="AB496" s="164"/>
      <c r="AC496" s="165"/>
      <c r="AD496" s="165"/>
      <c r="AE496" s="169"/>
      <c r="AF496" s="169"/>
      <c r="AG496" s="169"/>
      <c r="AH496" s="168"/>
      <c r="AI496" s="168"/>
      <c r="AJ496" s="168"/>
      <c r="AK496" s="170"/>
      <c r="AL496" s="170"/>
    </row>
    <row r="497" ht="15.75" customHeight="1">
      <c r="A497" s="161"/>
      <c r="B497" s="161"/>
      <c r="C497" s="162"/>
      <c r="D497" s="163"/>
      <c r="E497" s="164"/>
      <c r="F497" s="165"/>
      <c r="G497" s="166"/>
      <c r="H497" s="167"/>
      <c r="I497" s="167"/>
      <c r="J497" s="167"/>
      <c r="K497" s="167"/>
      <c r="L497" s="167"/>
      <c r="M497" s="167"/>
      <c r="N497" s="167"/>
      <c r="O497" s="167"/>
      <c r="P497" s="164"/>
      <c r="Q497" s="165"/>
      <c r="R497" s="165"/>
      <c r="S497" s="167"/>
      <c r="T497" s="167"/>
      <c r="U497" s="167"/>
      <c r="V497" s="168"/>
      <c r="W497" s="168"/>
      <c r="X497" s="168"/>
      <c r="Y497" s="168"/>
      <c r="Z497" s="168"/>
      <c r="AA497" s="168"/>
      <c r="AB497" s="164"/>
      <c r="AC497" s="165"/>
      <c r="AD497" s="165"/>
      <c r="AE497" s="169"/>
      <c r="AF497" s="169"/>
      <c r="AG497" s="169"/>
      <c r="AH497" s="168"/>
      <c r="AI497" s="168"/>
      <c r="AJ497" s="168"/>
      <c r="AK497" s="170"/>
      <c r="AL497" s="170"/>
    </row>
    <row r="498" ht="15.75" customHeight="1">
      <c r="A498" s="161"/>
      <c r="B498" s="161"/>
      <c r="C498" s="162"/>
      <c r="D498" s="163"/>
      <c r="E498" s="164"/>
      <c r="F498" s="165"/>
      <c r="G498" s="166"/>
      <c r="H498" s="167"/>
      <c r="I498" s="167"/>
      <c r="J498" s="167"/>
      <c r="K498" s="167"/>
      <c r="L498" s="167"/>
      <c r="M498" s="167"/>
      <c r="N498" s="167"/>
      <c r="O498" s="167"/>
      <c r="P498" s="164"/>
      <c r="Q498" s="165"/>
      <c r="R498" s="165"/>
      <c r="S498" s="167"/>
      <c r="T498" s="167"/>
      <c r="U498" s="167"/>
      <c r="V498" s="168"/>
      <c r="W498" s="168"/>
      <c r="X498" s="168"/>
      <c r="Y498" s="168"/>
      <c r="Z498" s="168"/>
      <c r="AA498" s="168"/>
      <c r="AB498" s="164"/>
      <c r="AC498" s="165"/>
      <c r="AD498" s="165"/>
      <c r="AE498" s="169"/>
      <c r="AF498" s="169"/>
      <c r="AG498" s="169"/>
      <c r="AH498" s="168"/>
      <c r="AI498" s="168"/>
      <c r="AJ498" s="168"/>
      <c r="AK498" s="170"/>
      <c r="AL498" s="170"/>
    </row>
    <row r="499" ht="15.75" customHeight="1">
      <c r="A499" s="161"/>
      <c r="B499" s="161"/>
      <c r="C499" s="162"/>
      <c r="D499" s="163"/>
      <c r="E499" s="164"/>
      <c r="F499" s="165"/>
      <c r="G499" s="166"/>
      <c r="H499" s="167"/>
      <c r="I499" s="167"/>
      <c r="J499" s="167"/>
      <c r="K499" s="167"/>
      <c r="L499" s="167"/>
      <c r="M499" s="167"/>
      <c r="N499" s="167"/>
      <c r="O499" s="167"/>
      <c r="P499" s="164"/>
      <c r="Q499" s="165"/>
      <c r="R499" s="165"/>
      <c r="S499" s="167"/>
      <c r="T499" s="167"/>
      <c r="U499" s="167"/>
      <c r="V499" s="168"/>
      <c r="W499" s="168"/>
      <c r="X499" s="168"/>
      <c r="Y499" s="168"/>
      <c r="Z499" s="168"/>
      <c r="AA499" s="168"/>
      <c r="AB499" s="164"/>
      <c r="AC499" s="165"/>
      <c r="AD499" s="165"/>
      <c r="AE499" s="169"/>
      <c r="AF499" s="169"/>
      <c r="AG499" s="169"/>
      <c r="AH499" s="168"/>
      <c r="AI499" s="168"/>
      <c r="AJ499" s="168"/>
      <c r="AK499" s="170"/>
      <c r="AL499" s="170"/>
    </row>
    <row r="500" ht="15.75" customHeight="1">
      <c r="A500" s="161"/>
      <c r="B500" s="161"/>
      <c r="C500" s="162"/>
      <c r="D500" s="163"/>
      <c r="E500" s="164"/>
      <c r="F500" s="165"/>
      <c r="G500" s="166"/>
      <c r="H500" s="167"/>
      <c r="I500" s="167"/>
      <c r="J500" s="167"/>
      <c r="K500" s="167"/>
      <c r="L500" s="167"/>
      <c r="M500" s="167"/>
      <c r="N500" s="167"/>
      <c r="O500" s="167"/>
      <c r="P500" s="164"/>
      <c r="Q500" s="165"/>
      <c r="R500" s="165"/>
      <c r="S500" s="167"/>
      <c r="T500" s="167"/>
      <c r="U500" s="167"/>
      <c r="V500" s="168"/>
      <c r="W500" s="168"/>
      <c r="X500" s="168"/>
      <c r="Y500" s="168"/>
      <c r="Z500" s="168"/>
      <c r="AA500" s="168"/>
      <c r="AB500" s="164"/>
      <c r="AC500" s="165"/>
      <c r="AD500" s="165"/>
      <c r="AE500" s="169"/>
      <c r="AF500" s="169"/>
      <c r="AG500" s="169"/>
      <c r="AH500" s="168"/>
      <c r="AI500" s="168"/>
      <c r="AJ500" s="168"/>
      <c r="AK500" s="170"/>
      <c r="AL500" s="170"/>
    </row>
    <row r="501" ht="15.75" customHeight="1">
      <c r="A501" s="161"/>
      <c r="B501" s="161"/>
      <c r="C501" s="162"/>
      <c r="D501" s="163"/>
      <c r="E501" s="164"/>
      <c r="F501" s="165"/>
      <c r="G501" s="166"/>
      <c r="H501" s="167"/>
      <c r="I501" s="167"/>
      <c r="J501" s="167"/>
      <c r="K501" s="167"/>
      <c r="L501" s="167"/>
      <c r="M501" s="167"/>
      <c r="N501" s="167"/>
      <c r="O501" s="167"/>
      <c r="P501" s="164"/>
      <c r="Q501" s="165"/>
      <c r="R501" s="165"/>
      <c r="S501" s="167"/>
      <c r="T501" s="167"/>
      <c r="U501" s="167"/>
      <c r="V501" s="168"/>
      <c r="W501" s="168"/>
      <c r="X501" s="168"/>
      <c r="Y501" s="168"/>
      <c r="Z501" s="168"/>
      <c r="AA501" s="168"/>
      <c r="AB501" s="164"/>
      <c r="AC501" s="165"/>
      <c r="AD501" s="165"/>
      <c r="AE501" s="169"/>
      <c r="AF501" s="169"/>
      <c r="AG501" s="169"/>
      <c r="AH501" s="168"/>
      <c r="AI501" s="168"/>
      <c r="AJ501" s="168"/>
      <c r="AK501" s="170"/>
      <c r="AL501" s="170"/>
    </row>
    <row r="502" ht="15.75" customHeight="1">
      <c r="A502" s="161"/>
      <c r="B502" s="161"/>
      <c r="C502" s="162"/>
      <c r="D502" s="163"/>
      <c r="E502" s="164"/>
      <c r="F502" s="165"/>
      <c r="G502" s="166"/>
      <c r="H502" s="167"/>
      <c r="I502" s="167"/>
      <c r="J502" s="167"/>
      <c r="K502" s="167"/>
      <c r="L502" s="167"/>
      <c r="M502" s="167"/>
      <c r="N502" s="167"/>
      <c r="O502" s="167"/>
      <c r="P502" s="164"/>
      <c r="Q502" s="165"/>
      <c r="R502" s="165"/>
      <c r="S502" s="167"/>
      <c r="T502" s="167"/>
      <c r="U502" s="167"/>
      <c r="V502" s="168"/>
      <c r="W502" s="168"/>
      <c r="X502" s="168"/>
      <c r="Y502" s="168"/>
      <c r="Z502" s="168"/>
      <c r="AA502" s="168"/>
      <c r="AB502" s="164"/>
      <c r="AC502" s="165"/>
      <c r="AD502" s="165"/>
      <c r="AE502" s="169"/>
      <c r="AF502" s="169"/>
      <c r="AG502" s="169"/>
      <c r="AH502" s="168"/>
      <c r="AI502" s="168"/>
      <c r="AJ502" s="168"/>
      <c r="AK502" s="170"/>
      <c r="AL502" s="170"/>
    </row>
    <row r="503" ht="15.75" customHeight="1">
      <c r="A503" s="161"/>
      <c r="B503" s="161"/>
      <c r="C503" s="162"/>
      <c r="D503" s="163"/>
      <c r="E503" s="164"/>
      <c r="F503" s="165"/>
      <c r="G503" s="166"/>
      <c r="H503" s="167"/>
      <c r="I503" s="167"/>
      <c r="J503" s="167"/>
      <c r="K503" s="167"/>
      <c r="L503" s="167"/>
      <c r="M503" s="167"/>
      <c r="N503" s="167"/>
      <c r="O503" s="167"/>
      <c r="P503" s="164"/>
      <c r="Q503" s="165"/>
      <c r="R503" s="165"/>
      <c r="S503" s="167"/>
      <c r="T503" s="167"/>
      <c r="U503" s="167"/>
      <c r="V503" s="168"/>
      <c r="W503" s="168"/>
      <c r="X503" s="168"/>
      <c r="Y503" s="168"/>
      <c r="Z503" s="168"/>
      <c r="AA503" s="168"/>
      <c r="AB503" s="164"/>
      <c r="AC503" s="165"/>
      <c r="AD503" s="165"/>
      <c r="AE503" s="169"/>
      <c r="AF503" s="169"/>
      <c r="AG503" s="169"/>
      <c r="AH503" s="168"/>
      <c r="AI503" s="168"/>
      <c r="AJ503" s="168"/>
      <c r="AK503" s="170"/>
      <c r="AL503" s="170"/>
    </row>
    <row r="504" ht="15.75" customHeight="1">
      <c r="A504" s="161"/>
      <c r="B504" s="161"/>
      <c r="C504" s="162"/>
      <c r="D504" s="163"/>
      <c r="E504" s="164"/>
      <c r="F504" s="165"/>
      <c r="G504" s="166"/>
      <c r="H504" s="167"/>
      <c r="I504" s="167"/>
      <c r="J504" s="167"/>
      <c r="K504" s="167"/>
      <c r="L504" s="167"/>
      <c r="M504" s="167"/>
      <c r="N504" s="167"/>
      <c r="O504" s="167"/>
      <c r="P504" s="164"/>
      <c r="Q504" s="165"/>
      <c r="R504" s="165"/>
      <c r="S504" s="167"/>
      <c r="T504" s="167"/>
      <c r="U504" s="167"/>
      <c r="V504" s="168"/>
      <c r="W504" s="168"/>
      <c r="X504" s="168"/>
      <c r="Y504" s="168"/>
      <c r="Z504" s="168"/>
      <c r="AA504" s="168"/>
      <c r="AB504" s="164"/>
      <c r="AC504" s="165"/>
      <c r="AD504" s="165"/>
      <c r="AE504" s="169"/>
      <c r="AF504" s="169"/>
      <c r="AG504" s="169"/>
      <c r="AH504" s="168"/>
      <c r="AI504" s="168"/>
      <c r="AJ504" s="168"/>
      <c r="AK504" s="170"/>
      <c r="AL504" s="170"/>
    </row>
    <row r="505" ht="15.75" customHeight="1">
      <c r="A505" s="161"/>
      <c r="B505" s="161"/>
      <c r="C505" s="162"/>
      <c r="D505" s="163"/>
      <c r="E505" s="164"/>
      <c r="F505" s="165"/>
      <c r="G505" s="166"/>
      <c r="H505" s="167"/>
      <c r="I505" s="167"/>
      <c r="J505" s="167"/>
      <c r="K505" s="167"/>
      <c r="L505" s="167"/>
      <c r="M505" s="167"/>
      <c r="N505" s="167"/>
      <c r="O505" s="167"/>
      <c r="P505" s="164"/>
      <c r="Q505" s="165"/>
      <c r="R505" s="165"/>
      <c r="S505" s="167"/>
      <c r="T505" s="167"/>
      <c r="U505" s="167"/>
      <c r="V505" s="168"/>
      <c r="W505" s="168"/>
      <c r="X505" s="168"/>
      <c r="Y505" s="168"/>
      <c r="Z505" s="168"/>
      <c r="AA505" s="168"/>
      <c r="AB505" s="164"/>
      <c r="AC505" s="165"/>
      <c r="AD505" s="165"/>
      <c r="AE505" s="169"/>
      <c r="AF505" s="169"/>
      <c r="AG505" s="169"/>
      <c r="AH505" s="168"/>
      <c r="AI505" s="168"/>
      <c r="AJ505" s="168"/>
      <c r="AK505" s="170"/>
      <c r="AL505" s="170"/>
    </row>
    <row r="506" ht="15.75" customHeight="1">
      <c r="A506" s="161"/>
      <c r="B506" s="161"/>
      <c r="C506" s="162"/>
      <c r="D506" s="163"/>
      <c r="E506" s="164"/>
      <c r="F506" s="165"/>
      <c r="G506" s="166"/>
      <c r="H506" s="167"/>
      <c r="I506" s="167"/>
      <c r="J506" s="167"/>
      <c r="K506" s="167"/>
      <c r="L506" s="167"/>
      <c r="M506" s="167"/>
      <c r="N506" s="167"/>
      <c r="O506" s="167"/>
      <c r="P506" s="164"/>
      <c r="Q506" s="165"/>
      <c r="R506" s="165"/>
      <c r="S506" s="167"/>
      <c r="T506" s="167"/>
      <c r="U506" s="167"/>
      <c r="V506" s="168"/>
      <c r="W506" s="168"/>
      <c r="X506" s="168"/>
      <c r="Y506" s="168"/>
      <c r="Z506" s="168"/>
      <c r="AA506" s="168"/>
      <c r="AB506" s="164"/>
      <c r="AC506" s="165"/>
      <c r="AD506" s="165"/>
      <c r="AE506" s="169"/>
      <c r="AF506" s="169"/>
      <c r="AG506" s="169"/>
      <c r="AH506" s="168"/>
      <c r="AI506" s="168"/>
      <c r="AJ506" s="168"/>
      <c r="AK506" s="170"/>
      <c r="AL506" s="170"/>
    </row>
    <row r="507" ht="15.75" customHeight="1">
      <c r="A507" s="161"/>
      <c r="B507" s="161"/>
      <c r="C507" s="162"/>
      <c r="D507" s="163"/>
      <c r="E507" s="164"/>
      <c r="F507" s="165"/>
      <c r="G507" s="166"/>
      <c r="H507" s="167"/>
      <c r="I507" s="167"/>
      <c r="J507" s="167"/>
      <c r="K507" s="167"/>
      <c r="L507" s="167"/>
      <c r="M507" s="167"/>
      <c r="N507" s="167"/>
      <c r="O507" s="167"/>
      <c r="P507" s="164"/>
      <c r="Q507" s="165"/>
      <c r="R507" s="165"/>
      <c r="S507" s="167"/>
      <c r="T507" s="167"/>
      <c r="U507" s="167"/>
      <c r="V507" s="168"/>
      <c r="W507" s="168"/>
      <c r="X507" s="168"/>
      <c r="Y507" s="168"/>
      <c r="Z507" s="168"/>
      <c r="AA507" s="168"/>
      <c r="AB507" s="164"/>
      <c r="AC507" s="165"/>
      <c r="AD507" s="165"/>
      <c r="AE507" s="169"/>
      <c r="AF507" s="169"/>
      <c r="AG507" s="169"/>
      <c r="AH507" s="168"/>
      <c r="AI507" s="168"/>
      <c r="AJ507" s="168"/>
      <c r="AK507" s="170"/>
      <c r="AL507" s="170"/>
    </row>
    <row r="508" ht="15.75" customHeight="1">
      <c r="A508" s="161"/>
      <c r="B508" s="161"/>
      <c r="C508" s="162"/>
      <c r="D508" s="163"/>
      <c r="E508" s="164"/>
      <c r="F508" s="165"/>
      <c r="G508" s="166"/>
      <c r="H508" s="167"/>
      <c r="I508" s="167"/>
      <c r="J508" s="167"/>
      <c r="K508" s="167"/>
      <c r="L508" s="167"/>
      <c r="M508" s="167"/>
      <c r="N508" s="167"/>
      <c r="O508" s="167"/>
      <c r="P508" s="164"/>
      <c r="Q508" s="165"/>
      <c r="R508" s="165"/>
      <c r="S508" s="167"/>
      <c r="T508" s="167"/>
      <c r="U508" s="167"/>
      <c r="V508" s="168"/>
      <c r="W508" s="168"/>
      <c r="X508" s="168"/>
      <c r="Y508" s="168"/>
      <c r="Z508" s="168"/>
      <c r="AA508" s="168"/>
      <c r="AB508" s="164"/>
      <c r="AC508" s="165"/>
      <c r="AD508" s="165"/>
      <c r="AE508" s="169"/>
      <c r="AF508" s="169"/>
      <c r="AG508" s="169"/>
      <c r="AH508" s="168"/>
      <c r="AI508" s="168"/>
      <c r="AJ508" s="168"/>
      <c r="AK508" s="170"/>
      <c r="AL508" s="170"/>
    </row>
    <row r="509" ht="15.75" customHeight="1">
      <c r="A509" s="161"/>
      <c r="B509" s="161"/>
      <c r="C509" s="162"/>
      <c r="D509" s="163"/>
      <c r="E509" s="164"/>
      <c r="F509" s="165"/>
      <c r="G509" s="166"/>
      <c r="H509" s="167"/>
      <c r="I509" s="167"/>
      <c r="J509" s="167"/>
      <c r="K509" s="167"/>
      <c r="L509" s="167"/>
      <c r="M509" s="167"/>
      <c r="N509" s="167"/>
      <c r="O509" s="167"/>
      <c r="P509" s="164"/>
      <c r="Q509" s="165"/>
      <c r="R509" s="165"/>
      <c r="S509" s="167"/>
      <c r="T509" s="167"/>
      <c r="U509" s="167"/>
      <c r="V509" s="168"/>
      <c r="W509" s="168"/>
      <c r="X509" s="168"/>
      <c r="Y509" s="168"/>
      <c r="Z509" s="168"/>
      <c r="AA509" s="168"/>
      <c r="AB509" s="164"/>
      <c r="AC509" s="165"/>
      <c r="AD509" s="165"/>
      <c r="AE509" s="169"/>
      <c r="AF509" s="169"/>
      <c r="AG509" s="169"/>
      <c r="AH509" s="168"/>
      <c r="AI509" s="168"/>
      <c r="AJ509" s="168"/>
      <c r="AK509" s="170"/>
      <c r="AL509" s="170"/>
    </row>
    <row r="510" ht="15.75" customHeight="1">
      <c r="A510" s="161"/>
      <c r="B510" s="161"/>
      <c r="C510" s="162"/>
      <c r="D510" s="163"/>
      <c r="E510" s="164"/>
      <c r="F510" s="165"/>
      <c r="G510" s="166"/>
      <c r="H510" s="167"/>
      <c r="I510" s="167"/>
      <c r="J510" s="167"/>
      <c r="K510" s="167"/>
      <c r="L510" s="167"/>
      <c r="M510" s="167"/>
      <c r="N510" s="167"/>
      <c r="O510" s="167"/>
      <c r="P510" s="164"/>
      <c r="Q510" s="165"/>
      <c r="R510" s="165"/>
      <c r="S510" s="167"/>
      <c r="T510" s="167"/>
      <c r="U510" s="167"/>
      <c r="V510" s="168"/>
      <c r="W510" s="168"/>
      <c r="X510" s="168"/>
      <c r="Y510" s="168"/>
      <c r="Z510" s="168"/>
      <c r="AA510" s="168"/>
      <c r="AB510" s="164"/>
      <c r="AC510" s="165"/>
      <c r="AD510" s="165"/>
      <c r="AE510" s="169"/>
      <c r="AF510" s="169"/>
      <c r="AG510" s="169"/>
      <c r="AH510" s="168"/>
      <c r="AI510" s="168"/>
      <c r="AJ510" s="168"/>
      <c r="AK510" s="170"/>
      <c r="AL510" s="170"/>
    </row>
    <row r="511" ht="15.75" customHeight="1">
      <c r="A511" s="161"/>
      <c r="B511" s="161"/>
      <c r="C511" s="162"/>
      <c r="D511" s="163"/>
      <c r="E511" s="164"/>
      <c r="F511" s="165"/>
      <c r="G511" s="166"/>
      <c r="H511" s="167"/>
      <c r="I511" s="167"/>
      <c r="J511" s="167"/>
      <c r="K511" s="167"/>
      <c r="L511" s="167"/>
      <c r="M511" s="167"/>
      <c r="N511" s="167"/>
      <c r="O511" s="167"/>
      <c r="P511" s="164"/>
      <c r="Q511" s="165"/>
      <c r="R511" s="165"/>
      <c r="S511" s="167"/>
      <c r="T511" s="167"/>
      <c r="U511" s="167"/>
      <c r="V511" s="168"/>
      <c r="W511" s="168"/>
      <c r="X511" s="168"/>
      <c r="Y511" s="168"/>
      <c r="Z511" s="168"/>
      <c r="AA511" s="168"/>
      <c r="AB511" s="164"/>
      <c r="AC511" s="165"/>
      <c r="AD511" s="165"/>
      <c r="AE511" s="169"/>
      <c r="AF511" s="169"/>
      <c r="AG511" s="169"/>
      <c r="AH511" s="168"/>
      <c r="AI511" s="168"/>
      <c r="AJ511" s="168"/>
      <c r="AK511" s="170"/>
      <c r="AL511" s="170"/>
    </row>
    <row r="512" ht="15.75" customHeight="1">
      <c r="A512" s="161"/>
      <c r="B512" s="161"/>
      <c r="C512" s="162"/>
      <c r="D512" s="163"/>
      <c r="E512" s="164"/>
      <c r="F512" s="165"/>
      <c r="G512" s="166"/>
      <c r="H512" s="167"/>
      <c r="I512" s="167"/>
      <c r="J512" s="167"/>
      <c r="K512" s="167"/>
      <c r="L512" s="167"/>
      <c r="M512" s="167"/>
      <c r="N512" s="167"/>
      <c r="O512" s="167"/>
      <c r="P512" s="164"/>
      <c r="Q512" s="165"/>
      <c r="R512" s="165"/>
      <c r="S512" s="167"/>
      <c r="T512" s="167"/>
      <c r="U512" s="167"/>
      <c r="V512" s="168"/>
      <c r="W512" s="168"/>
      <c r="X512" s="168"/>
      <c r="Y512" s="168"/>
      <c r="Z512" s="168"/>
      <c r="AA512" s="168"/>
      <c r="AB512" s="164"/>
      <c r="AC512" s="165"/>
      <c r="AD512" s="165"/>
      <c r="AE512" s="169"/>
      <c r="AF512" s="169"/>
      <c r="AG512" s="169"/>
      <c r="AH512" s="168"/>
      <c r="AI512" s="168"/>
      <c r="AJ512" s="168"/>
      <c r="AK512" s="170"/>
      <c r="AL512" s="170"/>
    </row>
    <row r="513" ht="15.75" customHeight="1">
      <c r="A513" s="161"/>
      <c r="B513" s="161"/>
      <c r="C513" s="162"/>
      <c r="D513" s="163"/>
      <c r="E513" s="164"/>
      <c r="F513" s="165"/>
      <c r="G513" s="166"/>
      <c r="H513" s="167"/>
      <c r="I513" s="167"/>
      <c r="J513" s="167"/>
      <c r="K513" s="167"/>
      <c r="L513" s="167"/>
      <c r="M513" s="167"/>
      <c r="N513" s="167"/>
      <c r="O513" s="167"/>
      <c r="P513" s="164"/>
      <c r="Q513" s="165"/>
      <c r="R513" s="165"/>
      <c r="S513" s="167"/>
      <c r="T513" s="167"/>
      <c r="U513" s="167"/>
      <c r="V513" s="168"/>
      <c r="W513" s="168"/>
      <c r="X513" s="168"/>
      <c r="Y513" s="168"/>
      <c r="Z513" s="168"/>
      <c r="AA513" s="168"/>
      <c r="AB513" s="164"/>
      <c r="AC513" s="165"/>
      <c r="AD513" s="165"/>
      <c r="AE513" s="169"/>
      <c r="AF513" s="169"/>
      <c r="AG513" s="169"/>
      <c r="AH513" s="168"/>
      <c r="AI513" s="168"/>
      <c r="AJ513" s="168"/>
      <c r="AK513" s="170"/>
      <c r="AL513" s="170"/>
    </row>
    <row r="514" ht="15.75" customHeight="1">
      <c r="A514" s="161"/>
      <c r="B514" s="161"/>
      <c r="C514" s="162"/>
      <c r="D514" s="163"/>
      <c r="E514" s="164"/>
      <c r="F514" s="165"/>
      <c r="G514" s="166"/>
      <c r="H514" s="167"/>
      <c r="I514" s="167"/>
      <c r="J514" s="167"/>
      <c r="K514" s="167"/>
      <c r="L514" s="167"/>
      <c r="M514" s="167"/>
      <c r="N514" s="167"/>
      <c r="O514" s="167"/>
      <c r="P514" s="164"/>
      <c r="Q514" s="165"/>
      <c r="R514" s="165"/>
      <c r="S514" s="167"/>
      <c r="T514" s="167"/>
      <c r="U514" s="167"/>
      <c r="V514" s="168"/>
      <c r="W514" s="168"/>
      <c r="X514" s="168"/>
      <c r="Y514" s="168"/>
      <c r="Z514" s="168"/>
      <c r="AA514" s="168"/>
      <c r="AB514" s="164"/>
      <c r="AC514" s="165"/>
      <c r="AD514" s="165"/>
      <c r="AE514" s="169"/>
      <c r="AF514" s="169"/>
      <c r="AG514" s="169"/>
      <c r="AH514" s="168"/>
      <c r="AI514" s="168"/>
      <c r="AJ514" s="168"/>
      <c r="AK514" s="170"/>
      <c r="AL514" s="170"/>
    </row>
    <row r="515" ht="15.75" customHeight="1">
      <c r="A515" s="161"/>
      <c r="B515" s="161"/>
      <c r="C515" s="162"/>
      <c r="D515" s="163"/>
      <c r="E515" s="164"/>
      <c r="F515" s="165"/>
      <c r="G515" s="166"/>
      <c r="H515" s="167"/>
      <c r="I515" s="167"/>
      <c r="J515" s="167"/>
      <c r="K515" s="167"/>
      <c r="L515" s="167"/>
      <c r="M515" s="167"/>
      <c r="N515" s="167"/>
      <c r="O515" s="167"/>
      <c r="P515" s="164"/>
      <c r="Q515" s="165"/>
      <c r="R515" s="165"/>
      <c r="S515" s="167"/>
      <c r="T515" s="167"/>
      <c r="U515" s="167"/>
      <c r="V515" s="168"/>
      <c r="W515" s="168"/>
      <c r="X515" s="168"/>
      <c r="Y515" s="168"/>
      <c r="Z515" s="168"/>
      <c r="AA515" s="168"/>
      <c r="AB515" s="164"/>
      <c r="AC515" s="165"/>
      <c r="AD515" s="165"/>
      <c r="AE515" s="169"/>
      <c r="AF515" s="169"/>
      <c r="AG515" s="169"/>
      <c r="AH515" s="168"/>
      <c r="AI515" s="168"/>
      <c r="AJ515" s="168"/>
      <c r="AK515" s="170"/>
      <c r="AL515" s="170"/>
    </row>
    <row r="516" ht="15.75" customHeight="1">
      <c r="A516" s="161"/>
      <c r="B516" s="161"/>
      <c r="C516" s="162"/>
      <c r="D516" s="163"/>
      <c r="E516" s="164"/>
      <c r="F516" s="165"/>
      <c r="G516" s="166"/>
      <c r="H516" s="167"/>
      <c r="I516" s="167"/>
      <c r="J516" s="167"/>
      <c r="K516" s="167"/>
      <c r="L516" s="167"/>
      <c r="M516" s="167"/>
      <c r="N516" s="167"/>
      <c r="O516" s="167"/>
      <c r="P516" s="164"/>
      <c r="Q516" s="165"/>
      <c r="R516" s="165"/>
      <c r="S516" s="167"/>
      <c r="T516" s="167"/>
      <c r="U516" s="167"/>
      <c r="V516" s="168"/>
      <c r="W516" s="168"/>
      <c r="X516" s="168"/>
      <c r="Y516" s="168"/>
      <c r="Z516" s="168"/>
      <c r="AA516" s="168"/>
      <c r="AB516" s="164"/>
      <c r="AC516" s="165"/>
      <c r="AD516" s="165"/>
      <c r="AE516" s="169"/>
      <c r="AF516" s="169"/>
      <c r="AG516" s="169"/>
      <c r="AH516" s="168"/>
      <c r="AI516" s="168"/>
      <c r="AJ516" s="168"/>
      <c r="AK516" s="170"/>
      <c r="AL516" s="170"/>
    </row>
    <row r="517" ht="15.75" customHeight="1">
      <c r="A517" s="161"/>
      <c r="B517" s="161"/>
      <c r="C517" s="162"/>
      <c r="D517" s="163"/>
      <c r="E517" s="164"/>
      <c r="F517" s="165"/>
      <c r="G517" s="166"/>
      <c r="H517" s="167"/>
      <c r="I517" s="167"/>
      <c r="J517" s="167"/>
      <c r="K517" s="167"/>
      <c r="L517" s="167"/>
      <c r="M517" s="167"/>
      <c r="N517" s="167"/>
      <c r="O517" s="167"/>
      <c r="P517" s="164"/>
      <c r="Q517" s="165"/>
      <c r="R517" s="165"/>
      <c r="S517" s="167"/>
      <c r="T517" s="167"/>
      <c r="U517" s="167"/>
      <c r="V517" s="168"/>
      <c r="W517" s="168"/>
      <c r="X517" s="168"/>
      <c r="Y517" s="168"/>
      <c r="Z517" s="168"/>
      <c r="AA517" s="168"/>
      <c r="AB517" s="164"/>
      <c r="AC517" s="165"/>
      <c r="AD517" s="165"/>
      <c r="AE517" s="169"/>
      <c r="AF517" s="169"/>
      <c r="AG517" s="169"/>
      <c r="AH517" s="168"/>
      <c r="AI517" s="168"/>
      <c r="AJ517" s="168"/>
      <c r="AK517" s="170"/>
      <c r="AL517" s="170"/>
    </row>
    <row r="518" ht="15.75" customHeight="1">
      <c r="A518" s="161"/>
      <c r="B518" s="161"/>
      <c r="C518" s="162"/>
      <c r="D518" s="163"/>
      <c r="E518" s="164"/>
      <c r="F518" s="165"/>
      <c r="G518" s="166"/>
      <c r="H518" s="167"/>
      <c r="I518" s="167"/>
      <c r="J518" s="167"/>
      <c r="K518" s="167"/>
      <c r="L518" s="167"/>
      <c r="M518" s="167"/>
      <c r="N518" s="167"/>
      <c r="O518" s="167"/>
      <c r="P518" s="164"/>
      <c r="Q518" s="165"/>
      <c r="R518" s="165"/>
      <c r="S518" s="167"/>
      <c r="T518" s="167"/>
      <c r="U518" s="167"/>
      <c r="V518" s="168"/>
      <c r="W518" s="168"/>
      <c r="X518" s="168"/>
      <c r="Y518" s="168"/>
      <c r="Z518" s="168"/>
      <c r="AA518" s="168"/>
      <c r="AB518" s="164"/>
      <c r="AC518" s="165"/>
      <c r="AD518" s="165"/>
      <c r="AE518" s="169"/>
      <c r="AF518" s="169"/>
      <c r="AG518" s="169"/>
      <c r="AH518" s="168"/>
      <c r="AI518" s="168"/>
      <c r="AJ518" s="168"/>
      <c r="AK518" s="170"/>
      <c r="AL518" s="170"/>
    </row>
    <row r="519" ht="15.75" customHeight="1">
      <c r="A519" s="161"/>
      <c r="B519" s="161"/>
      <c r="C519" s="162"/>
      <c r="D519" s="163"/>
      <c r="E519" s="164"/>
      <c r="F519" s="165"/>
      <c r="G519" s="166"/>
      <c r="H519" s="167"/>
      <c r="I519" s="167"/>
      <c r="J519" s="167"/>
      <c r="K519" s="167"/>
      <c r="L519" s="167"/>
      <c r="M519" s="167"/>
      <c r="N519" s="167"/>
      <c r="O519" s="167"/>
      <c r="P519" s="164"/>
      <c r="Q519" s="165"/>
      <c r="R519" s="165"/>
      <c r="S519" s="167"/>
      <c r="T519" s="167"/>
      <c r="U519" s="167"/>
      <c r="V519" s="168"/>
      <c r="W519" s="168"/>
      <c r="X519" s="168"/>
      <c r="Y519" s="168"/>
      <c r="Z519" s="168"/>
      <c r="AA519" s="168"/>
      <c r="AB519" s="164"/>
      <c r="AC519" s="165"/>
      <c r="AD519" s="165"/>
      <c r="AE519" s="169"/>
      <c r="AF519" s="169"/>
      <c r="AG519" s="169"/>
      <c r="AH519" s="168"/>
      <c r="AI519" s="168"/>
      <c r="AJ519" s="168"/>
      <c r="AK519" s="170"/>
      <c r="AL519" s="170"/>
    </row>
    <row r="520" ht="15.75" customHeight="1">
      <c r="A520" s="161"/>
      <c r="B520" s="161"/>
      <c r="C520" s="162"/>
      <c r="D520" s="163"/>
      <c r="E520" s="164"/>
      <c r="F520" s="165"/>
      <c r="G520" s="166"/>
      <c r="H520" s="167"/>
      <c r="I520" s="167"/>
      <c r="J520" s="167"/>
      <c r="K520" s="167"/>
      <c r="L520" s="167"/>
      <c r="M520" s="167"/>
      <c r="N520" s="167"/>
      <c r="O520" s="167"/>
      <c r="P520" s="164"/>
      <c r="Q520" s="165"/>
      <c r="R520" s="165"/>
      <c r="S520" s="167"/>
      <c r="T520" s="167"/>
      <c r="U520" s="167"/>
      <c r="V520" s="168"/>
      <c r="W520" s="168"/>
      <c r="X520" s="168"/>
      <c r="Y520" s="168"/>
      <c r="Z520" s="168"/>
      <c r="AA520" s="168"/>
      <c r="AB520" s="164"/>
      <c r="AC520" s="165"/>
      <c r="AD520" s="165"/>
      <c r="AE520" s="169"/>
      <c r="AF520" s="169"/>
      <c r="AG520" s="169"/>
      <c r="AH520" s="168"/>
      <c r="AI520" s="168"/>
      <c r="AJ520" s="168"/>
      <c r="AK520" s="170"/>
      <c r="AL520" s="170"/>
    </row>
    <row r="521" ht="15.75" customHeight="1">
      <c r="A521" s="161"/>
      <c r="B521" s="161"/>
      <c r="C521" s="162"/>
      <c r="D521" s="163"/>
      <c r="E521" s="164"/>
      <c r="F521" s="165"/>
      <c r="G521" s="166"/>
      <c r="H521" s="167"/>
      <c r="I521" s="167"/>
      <c r="J521" s="167"/>
      <c r="K521" s="167"/>
      <c r="L521" s="167"/>
      <c r="M521" s="167"/>
      <c r="N521" s="167"/>
      <c r="O521" s="167"/>
      <c r="P521" s="164"/>
      <c r="Q521" s="165"/>
      <c r="R521" s="165"/>
      <c r="S521" s="167"/>
      <c r="T521" s="167"/>
      <c r="U521" s="167"/>
      <c r="V521" s="168"/>
      <c r="W521" s="168"/>
      <c r="X521" s="168"/>
      <c r="Y521" s="168"/>
      <c r="Z521" s="168"/>
      <c r="AA521" s="168"/>
      <c r="AB521" s="164"/>
      <c r="AC521" s="165"/>
      <c r="AD521" s="165"/>
      <c r="AE521" s="169"/>
      <c r="AF521" s="169"/>
      <c r="AG521" s="169"/>
      <c r="AH521" s="168"/>
      <c r="AI521" s="168"/>
      <c r="AJ521" s="168"/>
      <c r="AK521" s="170"/>
      <c r="AL521" s="170"/>
    </row>
    <row r="522" ht="15.75" customHeight="1">
      <c r="A522" s="161"/>
      <c r="B522" s="161"/>
      <c r="C522" s="162"/>
      <c r="D522" s="163"/>
      <c r="E522" s="164"/>
      <c r="F522" s="165"/>
      <c r="G522" s="166"/>
      <c r="H522" s="167"/>
      <c r="I522" s="167"/>
      <c r="J522" s="167"/>
      <c r="K522" s="167"/>
      <c r="L522" s="167"/>
      <c r="M522" s="167"/>
      <c r="N522" s="167"/>
      <c r="O522" s="167"/>
      <c r="P522" s="164"/>
      <c r="Q522" s="165"/>
      <c r="R522" s="165"/>
      <c r="S522" s="167"/>
      <c r="T522" s="167"/>
      <c r="U522" s="167"/>
      <c r="V522" s="168"/>
      <c r="W522" s="168"/>
      <c r="X522" s="168"/>
      <c r="Y522" s="168"/>
      <c r="Z522" s="168"/>
      <c r="AA522" s="168"/>
      <c r="AB522" s="164"/>
      <c r="AC522" s="165"/>
      <c r="AD522" s="165"/>
      <c r="AE522" s="169"/>
      <c r="AF522" s="169"/>
      <c r="AG522" s="169"/>
      <c r="AH522" s="168"/>
      <c r="AI522" s="168"/>
      <c r="AJ522" s="168"/>
      <c r="AK522" s="170"/>
      <c r="AL522" s="170"/>
    </row>
    <row r="523" ht="15.75" customHeight="1">
      <c r="A523" s="161"/>
      <c r="B523" s="161"/>
      <c r="C523" s="162"/>
      <c r="D523" s="163"/>
      <c r="E523" s="164"/>
      <c r="F523" s="165"/>
      <c r="G523" s="166"/>
      <c r="H523" s="167"/>
      <c r="I523" s="167"/>
      <c r="J523" s="167"/>
      <c r="K523" s="167"/>
      <c r="L523" s="167"/>
      <c r="M523" s="167"/>
      <c r="N523" s="167"/>
      <c r="O523" s="167"/>
      <c r="P523" s="164"/>
      <c r="Q523" s="165"/>
      <c r="R523" s="165"/>
      <c r="S523" s="167"/>
      <c r="T523" s="167"/>
      <c r="U523" s="167"/>
      <c r="V523" s="168"/>
      <c r="W523" s="168"/>
      <c r="X523" s="168"/>
      <c r="Y523" s="168"/>
      <c r="Z523" s="168"/>
      <c r="AA523" s="168"/>
      <c r="AB523" s="164"/>
      <c r="AC523" s="165"/>
      <c r="AD523" s="165"/>
      <c r="AE523" s="169"/>
      <c r="AF523" s="169"/>
      <c r="AG523" s="169"/>
      <c r="AH523" s="168"/>
      <c r="AI523" s="168"/>
      <c r="AJ523" s="168"/>
      <c r="AK523" s="170"/>
      <c r="AL523" s="170"/>
    </row>
    <row r="524" ht="15.75" customHeight="1">
      <c r="A524" s="161"/>
      <c r="B524" s="161"/>
      <c r="C524" s="162"/>
      <c r="D524" s="163"/>
      <c r="E524" s="164"/>
      <c r="F524" s="165"/>
      <c r="G524" s="166"/>
      <c r="H524" s="167"/>
      <c r="I524" s="167"/>
      <c r="J524" s="167"/>
      <c r="K524" s="167"/>
      <c r="L524" s="167"/>
      <c r="M524" s="167"/>
      <c r="N524" s="167"/>
      <c r="O524" s="167"/>
      <c r="P524" s="164"/>
      <c r="Q524" s="165"/>
      <c r="R524" s="165"/>
      <c r="S524" s="167"/>
      <c r="T524" s="167"/>
      <c r="U524" s="167"/>
      <c r="V524" s="168"/>
      <c r="W524" s="168"/>
      <c r="X524" s="168"/>
      <c r="Y524" s="168"/>
      <c r="Z524" s="168"/>
      <c r="AA524" s="168"/>
      <c r="AB524" s="164"/>
      <c r="AC524" s="165"/>
      <c r="AD524" s="165"/>
      <c r="AE524" s="169"/>
      <c r="AF524" s="169"/>
      <c r="AG524" s="169"/>
      <c r="AH524" s="168"/>
      <c r="AI524" s="168"/>
      <c r="AJ524" s="168"/>
      <c r="AK524" s="170"/>
      <c r="AL524" s="170"/>
    </row>
    <row r="525" ht="15.75" customHeight="1">
      <c r="A525" s="161"/>
      <c r="B525" s="161"/>
      <c r="C525" s="162"/>
      <c r="D525" s="163"/>
      <c r="E525" s="164"/>
      <c r="F525" s="165"/>
      <c r="G525" s="166"/>
      <c r="H525" s="167"/>
      <c r="I525" s="167"/>
      <c r="J525" s="167"/>
      <c r="K525" s="167"/>
      <c r="L525" s="167"/>
      <c r="M525" s="167"/>
      <c r="N525" s="167"/>
      <c r="O525" s="167"/>
      <c r="P525" s="164"/>
      <c r="Q525" s="165"/>
      <c r="R525" s="165"/>
      <c r="S525" s="167"/>
      <c r="T525" s="167"/>
      <c r="U525" s="167"/>
      <c r="V525" s="168"/>
      <c r="W525" s="168"/>
      <c r="X525" s="168"/>
      <c r="Y525" s="168"/>
      <c r="Z525" s="168"/>
      <c r="AA525" s="168"/>
      <c r="AB525" s="164"/>
      <c r="AC525" s="165"/>
      <c r="AD525" s="165"/>
      <c r="AE525" s="169"/>
      <c r="AF525" s="169"/>
      <c r="AG525" s="169"/>
      <c r="AH525" s="168"/>
      <c r="AI525" s="168"/>
      <c r="AJ525" s="168"/>
      <c r="AK525" s="170"/>
      <c r="AL525" s="170"/>
    </row>
    <row r="526" ht="15.75" customHeight="1">
      <c r="A526" s="161"/>
      <c r="B526" s="161"/>
      <c r="C526" s="162"/>
      <c r="D526" s="163"/>
      <c r="E526" s="164"/>
      <c r="F526" s="165"/>
      <c r="G526" s="166"/>
      <c r="H526" s="167"/>
      <c r="I526" s="167"/>
      <c r="J526" s="167"/>
      <c r="K526" s="167"/>
      <c r="L526" s="167"/>
      <c r="M526" s="167"/>
      <c r="N526" s="167"/>
      <c r="O526" s="167"/>
      <c r="P526" s="164"/>
      <c r="Q526" s="165"/>
      <c r="R526" s="165"/>
      <c r="S526" s="167"/>
      <c r="T526" s="167"/>
      <c r="U526" s="167"/>
      <c r="V526" s="168"/>
      <c r="W526" s="168"/>
      <c r="X526" s="168"/>
      <c r="Y526" s="168"/>
      <c r="Z526" s="168"/>
      <c r="AA526" s="168"/>
      <c r="AB526" s="164"/>
      <c r="AC526" s="165"/>
      <c r="AD526" s="165"/>
      <c r="AE526" s="169"/>
      <c r="AF526" s="169"/>
      <c r="AG526" s="169"/>
      <c r="AH526" s="168"/>
      <c r="AI526" s="168"/>
      <c r="AJ526" s="168"/>
      <c r="AK526" s="170"/>
      <c r="AL526" s="170"/>
    </row>
    <row r="527" ht="15.75" customHeight="1">
      <c r="A527" s="161"/>
      <c r="B527" s="161"/>
      <c r="C527" s="162"/>
      <c r="D527" s="163"/>
      <c r="E527" s="164"/>
      <c r="F527" s="165"/>
      <c r="G527" s="166"/>
      <c r="H527" s="167"/>
      <c r="I527" s="167"/>
      <c r="J527" s="167"/>
      <c r="K527" s="167"/>
      <c r="L527" s="167"/>
      <c r="M527" s="167"/>
      <c r="N527" s="167"/>
      <c r="O527" s="167"/>
      <c r="P527" s="164"/>
      <c r="Q527" s="165"/>
      <c r="R527" s="165"/>
      <c r="S527" s="167"/>
      <c r="T527" s="167"/>
      <c r="U527" s="167"/>
      <c r="V527" s="168"/>
      <c r="W527" s="168"/>
      <c r="X527" s="168"/>
      <c r="Y527" s="168"/>
      <c r="Z527" s="168"/>
      <c r="AA527" s="168"/>
      <c r="AB527" s="164"/>
      <c r="AC527" s="165"/>
      <c r="AD527" s="165"/>
      <c r="AE527" s="169"/>
      <c r="AF527" s="169"/>
      <c r="AG527" s="169"/>
      <c r="AH527" s="168"/>
      <c r="AI527" s="168"/>
      <c r="AJ527" s="168"/>
      <c r="AK527" s="170"/>
      <c r="AL527" s="170"/>
    </row>
    <row r="528" ht="15.75" customHeight="1">
      <c r="A528" s="161"/>
      <c r="B528" s="161"/>
      <c r="C528" s="162"/>
      <c r="D528" s="163"/>
      <c r="E528" s="164"/>
      <c r="F528" s="165"/>
      <c r="G528" s="166"/>
      <c r="H528" s="167"/>
      <c r="I528" s="167"/>
      <c r="J528" s="167"/>
      <c r="K528" s="167"/>
      <c r="L528" s="167"/>
      <c r="M528" s="167"/>
      <c r="N528" s="167"/>
      <c r="O528" s="167"/>
      <c r="P528" s="164"/>
      <c r="Q528" s="165"/>
      <c r="R528" s="165"/>
      <c r="S528" s="167"/>
      <c r="T528" s="167"/>
      <c r="U528" s="167"/>
      <c r="V528" s="168"/>
      <c r="W528" s="168"/>
      <c r="X528" s="168"/>
      <c r="Y528" s="168"/>
      <c r="Z528" s="168"/>
      <c r="AA528" s="168"/>
      <c r="AB528" s="164"/>
      <c r="AC528" s="165"/>
      <c r="AD528" s="165"/>
      <c r="AE528" s="169"/>
      <c r="AF528" s="169"/>
      <c r="AG528" s="169"/>
      <c r="AH528" s="168"/>
      <c r="AI528" s="168"/>
      <c r="AJ528" s="168"/>
      <c r="AK528" s="170"/>
      <c r="AL528" s="170"/>
    </row>
    <row r="529" ht="15.75" customHeight="1">
      <c r="A529" s="161"/>
      <c r="B529" s="161"/>
      <c r="C529" s="162"/>
      <c r="D529" s="163"/>
      <c r="E529" s="164"/>
      <c r="F529" s="165"/>
      <c r="G529" s="166"/>
      <c r="H529" s="167"/>
      <c r="I529" s="167"/>
      <c r="J529" s="167"/>
      <c r="K529" s="167"/>
      <c r="L529" s="167"/>
      <c r="M529" s="167"/>
      <c r="N529" s="167"/>
      <c r="O529" s="167"/>
      <c r="P529" s="164"/>
      <c r="Q529" s="165"/>
      <c r="R529" s="165"/>
      <c r="S529" s="167"/>
      <c r="T529" s="167"/>
      <c r="U529" s="167"/>
      <c r="V529" s="168"/>
      <c r="W529" s="168"/>
      <c r="X529" s="168"/>
      <c r="Y529" s="168"/>
      <c r="Z529" s="168"/>
      <c r="AA529" s="168"/>
      <c r="AB529" s="164"/>
      <c r="AC529" s="165"/>
      <c r="AD529" s="165"/>
      <c r="AE529" s="169"/>
      <c r="AF529" s="169"/>
      <c r="AG529" s="169"/>
      <c r="AH529" s="168"/>
      <c r="AI529" s="168"/>
      <c r="AJ529" s="168"/>
      <c r="AK529" s="170"/>
      <c r="AL529" s="170"/>
    </row>
    <row r="530" ht="15.75" customHeight="1">
      <c r="A530" s="161"/>
      <c r="B530" s="161"/>
      <c r="C530" s="162"/>
      <c r="D530" s="163"/>
      <c r="E530" s="164"/>
      <c r="F530" s="165"/>
      <c r="G530" s="166"/>
      <c r="H530" s="167"/>
      <c r="I530" s="167"/>
      <c r="J530" s="167"/>
      <c r="K530" s="167"/>
      <c r="L530" s="167"/>
      <c r="M530" s="167"/>
      <c r="N530" s="167"/>
      <c r="O530" s="167"/>
      <c r="P530" s="164"/>
      <c r="Q530" s="165"/>
      <c r="R530" s="165"/>
      <c r="S530" s="167"/>
      <c r="T530" s="167"/>
      <c r="U530" s="167"/>
      <c r="V530" s="168"/>
      <c r="W530" s="168"/>
      <c r="X530" s="168"/>
      <c r="Y530" s="168"/>
      <c r="Z530" s="168"/>
      <c r="AA530" s="168"/>
      <c r="AB530" s="164"/>
      <c r="AC530" s="165"/>
      <c r="AD530" s="165"/>
      <c r="AE530" s="169"/>
      <c r="AF530" s="169"/>
      <c r="AG530" s="169"/>
      <c r="AH530" s="168"/>
      <c r="AI530" s="168"/>
      <c r="AJ530" s="168"/>
      <c r="AK530" s="170"/>
      <c r="AL530" s="170"/>
    </row>
    <row r="531" ht="15.75" customHeight="1">
      <c r="A531" s="161"/>
      <c r="B531" s="161"/>
      <c r="C531" s="162"/>
      <c r="D531" s="163"/>
      <c r="E531" s="164"/>
      <c r="F531" s="165"/>
      <c r="G531" s="166"/>
      <c r="H531" s="167"/>
      <c r="I531" s="167"/>
      <c r="J531" s="167"/>
      <c r="K531" s="167"/>
      <c r="L531" s="167"/>
      <c r="M531" s="167"/>
      <c r="N531" s="167"/>
      <c r="O531" s="167"/>
      <c r="P531" s="164"/>
      <c r="Q531" s="165"/>
      <c r="R531" s="165"/>
      <c r="S531" s="167"/>
      <c r="T531" s="167"/>
      <c r="U531" s="167"/>
      <c r="V531" s="168"/>
      <c r="W531" s="168"/>
      <c r="X531" s="168"/>
      <c r="Y531" s="168"/>
      <c r="Z531" s="168"/>
      <c r="AA531" s="168"/>
      <c r="AB531" s="164"/>
      <c r="AC531" s="165"/>
      <c r="AD531" s="165"/>
      <c r="AE531" s="169"/>
      <c r="AF531" s="169"/>
      <c r="AG531" s="169"/>
      <c r="AH531" s="168"/>
      <c r="AI531" s="168"/>
      <c r="AJ531" s="168"/>
      <c r="AK531" s="170"/>
      <c r="AL531" s="170"/>
    </row>
    <row r="532" ht="15.75" customHeight="1">
      <c r="A532" s="161"/>
      <c r="B532" s="161"/>
      <c r="C532" s="162"/>
      <c r="D532" s="163"/>
      <c r="E532" s="164"/>
      <c r="F532" s="165"/>
      <c r="G532" s="166"/>
      <c r="H532" s="167"/>
      <c r="I532" s="167"/>
      <c r="J532" s="167"/>
      <c r="K532" s="167"/>
      <c r="L532" s="167"/>
      <c r="M532" s="167"/>
      <c r="N532" s="167"/>
      <c r="O532" s="167"/>
      <c r="P532" s="164"/>
      <c r="Q532" s="165"/>
      <c r="R532" s="165"/>
      <c r="S532" s="167"/>
      <c r="T532" s="167"/>
      <c r="U532" s="167"/>
      <c r="V532" s="168"/>
      <c r="W532" s="168"/>
      <c r="X532" s="168"/>
      <c r="Y532" s="168"/>
      <c r="Z532" s="168"/>
      <c r="AA532" s="168"/>
      <c r="AB532" s="164"/>
      <c r="AC532" s="165"/>
      <c r="AD532" s="165"/>
      <c r="AE532" s="169"/>
      <c r="AF532" s="169"/>
      <c r="AG532" s="169"/>
      <c r="AH532" s="168"/>
      <c r="AI532" s="168"/>
      <c r="AJ532" s="168"/>
      <c r="AK532" s="170"/>
      <c r="AL532" s="170"/>
    </row>
    <row r="533" ht="15.75" customHeight="1">
      <c r="A533" s="161"/>
      <c r="B533" s="161"/>
      <c r="C533" s="162"/>
      <c r="D533" s="163"/>
      <c r="E533" s="164"/>
      <c r="F533" s="165"/>
      <c r="G533" s="166"/>
      <c r="H533" s="167"/>
      <c r="I533" s="167"/>
      <c r="J533" s="167"/>
      <c r="K533" s="167"/>
      <c r="L533" s="167"/>
      <c r="M533" s="167"/>
      <c r="N533" s="167"/>
      <c r="O533" s="167"/>
      <c r="P533" s="164"/>
      <c r="Q533" s="165"/>
      <c r="R533" s="165"/>
      <c r="S533" s="167"/>
      <c r="T533" s="167"/>
      <c r="U533" s="167"/>
      <c r="V533" s="168"/>
      <c r="W533" s="168"/>
      <c r="X533" s="168"/>
      <c r="Y533" s="168"/>
      <c r="Z533" s="168"/>
      <c r="AA533" s="168"/>
      <c r="AB533" s="164"/>
      <c r="AC533" s="165"/>
      <c r="AD533" s="165"/>
      <c r="AE533" s="169"/>
      <c r="AF533" s="169"/>
      <c r="AG533" s="169"/>
      <c r="AH533" s="168"/>
      <c r="AI533" s="168"/>
      <c r="AJ533" s="168"/>
      <c r="AK533" s="170"/>
      <c r="AL533" s="170"/>
    </row>
    <row r="534" ht="15.75" customHeight="1">
      <c r="A534" s="161"/>
      <c r="B534" s="161"/>
      <c r="C534" s="162"/>
      <c r="D534" s="163"/>
      <c r="E534" s="164"/>
      <c r="F534" s="165"/>
      <c r="G534" s="166"/>
      <c r="H534" s="167"/>
      <c r="I534" s="167"/>
      <c r="J534" s="167"/>
      <c r="K534" s="167"/>
      <c r="L534" s="167"/>
      <c r="M534" s="167"/>
      <c r="N534" s="167"/>
      <c r="O534" s="167"/>
      <c r="P534" s="164"/>
      <c r="Q534" s="165"/>
      <c r="R534" s="165"/>
      <c r="S534" s="167"/>
      <c r="T534" s="167"/>
      <c r="U534" s="167"/>
      <c r="V534" s="168"/>
      <c r="W534" s="168"/>
      <c r="X534" s="168"/>
      <c r="Y534" s="168"/>
      <c r="Z534" s="168"/>
      <c r="AA534" s="168"/>
      <c r="AB534" s="164"/>
      <c r="AC534" s="165"/>
      <c r="AD534" s="165"/>
      <c r="AE534" s="169"/>
      <c r="AF534" s="169"/>
      <c r="AG534" s="169"/>
      <c r="AH534" s="168"/>
      <c r="AI534" s="168"/>
      <c r="AJ534" s="168"/>
      <c r="AK534" s="170"/>
      <c r="AL534" s="170"/>
    </row>
    <row r="535" ht="15.75" customHeight="1">
      <c r="A535" s="161"/>
      <c r="B535" s="161"/>
      <c r="C535" s="162"/>
      <c r="D535" s="163"/>
      <c r="E535" s="164"/>
      <c r="F535" s="165"/>
      <c r="G535" s="166"/>
      <c r="H535" s="167"/>
      <c r="I535" s="167"/>
      <c r="J535" s="167"/>
      <c r="K535" s="167"/>
      <c r="L535" s="167"/>
      <c r="M535" s="167"/>
      <c r="N535" s="167"/>
      <c r="O535" s="167"/>
      <c r="P535" s="164"/>
      <c r="Q535" s="165"/>
      <c r="R535" s="165"/>
      <c r="S535" s="167"/>
      <c r="T535" s="167"/>
      <c r="U535" s="167"/>
      <c r="V535" s="168"/>
      <c r="W535" s="168"/>
      <c r="X535" s="168"/>
      <c r="Y535" s="168"/>
      <c r="Z535" s="168"/>
      <c r="AA535" s="168"/>
      <c r="AB535" s="164"/>
      <c r="AC535" s="165"/>
      <c r="AD535" s="165"/>
      <c r="AE535" s="169"/>
      <c r="AF535" s="169"/>
      <c r="AG535" s="169"/>
      <c r="AH535" s="168"/>
      <c r="AI535" s="168"/>
      <c r="AJ535" s="168"/>
      <c r="AK535" s="170"/>
      <c r="AL535" s="170"/>
    </row>
    <row r="536" ht="15.75" customHeight="1">
      <c r="A536" s="161"/>
      <c r="B536" s="161"/>
      <c r="C536" s="162"/>
      <c r="D536" s="163"/>
      <c r="E536" s="164"/>
      <c r="F536" s="165"/>
      <c r="G536" s="166"/>
      <c r="H536" s="167"/>
      <c r="I536" s="167"/>
      <c r="J536" s="167"/>
      <c r="K536" s="167"/>
      <c r="L536" s="167"/>
      <c r="M536" s="167"/>
      <c r="N536" s="167"/>
      <c r="O536" s="167"/>
      <c r="P536" s="164"/>
      <c r="Q536" s="165"/>
      <c r="R536" s="165"/>
      <c r="S536" s="167"/>
      <c r="T536" s="167"/>
      <c r="U536" s="167"/>
      <c r="V536" s="168"/>
      <c r="W536" s="168"/>
      <c r="X536" s="168"/>
      <c r="Y536" s="168"/>
      <c r="Z536" s="168"/>
      <c r="AA536" s="168"/>
      <c r="AB536" s="164"/>
      <c r="AC536" s="165"/>
      <c r="AD536" s="165"/>
      <c r="AE536" s="169"/>
      <c r="AF536" s="169"/>
      <c r="AG536" s="169"/>
      <c r="AH536" s="168"/>
      <c r="AI536" s="168"/>
      <c r="AJ536" s="168"/>
      <c r="AK536" s="170"/>
      <c r="AL536" s="170"/>
    </row>
    <row r="537" ht="15.75" customHeight="1">
      <c r="A537" s="161"/>
      <c r="B537" s="161"/>
      <c r="C537" s="162"/>
      <c r="D537" s="163"/>
      <c r="E537" s="164"/>
      <c r="F537" s="165"/>
      <c r="G537" s="166"/>
      <c r="H537" s="167"/>
      <c r="I537" s="167"/>
      <c r="J537" s="167"/>
      <c r="K537" s="167"/>
      <c r="L537" s="167"/>
      <c r="M537" s="167"/>
      <c r="N537" s="167"/>
      <c r="O537" s="167"/>
      <c r="P537" s="164"/>
      <c r="Q537" s="165"/>
      <c r="R537" s="165"/>
      <c r="S537" s="167"/>
      <c r="T537" s="167"/>
      <c r="U537" s="167"/>
      <c r="V537" s="168"/>
      <c r="W537" s="168"/>
      <c r="X537" s="168"/>
      <c r="Y537" s="168"/>
      <c r="Z537" s="168"/>
      <c r="AA537" s="168"/>
      <c r="AB537" s="164"/>
      <c r="AC537" s="165"/>
      <c r="AD537" s="165"/>
      <c r="AE537" s="169"/>
      <c r="AF537" s="169"/>
      <c r="AG537" s="169"/>
      <c r="AH537" s="168"/>
      <c r="AI537" s="168"/>
      <c r="AJ537" s="168"/>
      <c r="AK537" s="170"/>
      <c r="AL537" s="170"/>
    </row>
    <row r="538" ht="15.75" customHeight="1">
      <c r="A538" s="161"/>
      <c r="B538" s="161"/>
      <c r="C538" s="162"/>
      <c r="D538" s="163"/>
      <c r="E538" s="164"/>
      <c r="F538" s="165"/>
      <c r="G538" s="166"/>
      <c r="H538" s="167"/>
      <c r="I538" s="167"/>
      <c r="J538" s="167"/>
      <c r="K538" s="167"/>
      <c r="L538" s="167"/>
      <c r="M538" s="167"/>
      <c r="N538" s="167"/>
      <c r="O538" s="167"/>
      <c r="P538" s="164"/>
      <c r="Q538" s="165"/>
      <c r="R538" s="165"/>
      <c r="S538" s="167"/>
      <c r="T538" s="167"/>
      <c r="U538" s="167"/>
      <c r="V538" s="168"/>
      <c r="W538" s="168"/>
      <c r="X538" s="168"/>
      <c r="Y538" s="168"/>
      <c r="Z538" s="168"/>
      <c r="AA538" s="168"/>
      <c r="AB538" s="164"/>
      <c r="AC538" s="165"/>
      <c r="AD538" s="165"/>
      <c r="AE538" s="169"/>
      <c r="AF538" s="169"/>
      <c r="AG538" s="169"/>
      <c r="AH538" s="168"/>
      <c r="AI538" s="168"/>
      <c r="AJ538" s="168"/>
      <c r="AK538" s="170"/>
      <c r="AL538" s="170"/>
    </row>
    <row r="539" ht="15.75" customHeight="1">
      <c r="A539" s="161"/>
      <c r="B539" s="161"/>
      <c r="C539" s="162"/>
      <c r="D539" s="163"/>
      <c r="E539" s="164"/>
      <c r="F539" s="165"/>
      <c r="G539" s="166"/>
      <c r="H539" s="167"/>
      <c r="I539" s="167"/>
      <c r="J539" s="167"/>
      <c r="K539" s="167"/>
      <c r="L539" s="167"/>
      <c r="M539" s="167"/>
      <c r="N539" s="167"/>
      <c r="O539" s="167"/>
      <c r="P539" s="164"/>
      <c r="Q539" s="165"/>
      <c r="R539" s="165"/>
      <c r="S539" s="167"/>
      <c r="T539" s="167"/>
      <c r="U539" s="167"/>
      <c r="V539" s="168"/>
      <c r="W539" s="168"/>
      <c r="X539" s="168"/>
      <c r="Y539" s="168"/>
      <c r="Z539" s="168"/>
      <c r="AA539" s="168"/>
      <c r="AB539" s="164"/>
      <c r="AC539" s="165"/>
      <c r="AD539" s="165"/>
      <c r="AE539" s="169"/>
      <c r="AF539" s="169"/>
      <c r="AG539" s="169"/>
      <c r="AH539" s="168"/>
      <c r="AI539" s="168"/>
      <c r="AJ539" s="168"/>
      <c r="AK539" s="170"/>
      <c r="AL539" s="170"/>
    </row>
    <row r="540" ht="15.75" customHeight="1">
      <c r="A540" s="161"/>
      <c r="B540" s="161"/>
      <c r="C540" s="162"/>
      <c r="D540" s="163"/>
      <c r="E540" s="164"/>
      <c r="F540" s="165"/>
      <c r="G540" s="166"/>
      <c r="H540" s="167"/>
      <c r="I540" s="167"/>
      <c r="J540" s="167"/>
      <c r="K540" s="167"/>
      <c r="L540" s="167"/>
      <c r="M540" s="167"/>
      <c r="N540" s="167"/>
      <c r="O540" s="167"/>
      <c r="P540" s="164"/>
      <c r="Q540" s="165"/>
      <c r="R540" s="165"/>
      <c r="S540" s="167"/>
      <c r="T540" s="167"/>
      <c r="U540" s="167"/>
      <c r="V540" s="168"/>
      <c r="W540" s="168"/>
      <c r="X540" s="168"/>
      <c r="Y540" s="168"/>
      <c r="Z540" s="168"/>
      <c r="AA540" s="168"/>
      <c r="AB540" s="164"/>
      <c r="AC540" s="165"/>
      <c r="AD540" s="165"/>
      <c r="AE540" s="169"/>
      <c r="AF540" s="169"/>
      <c r="AG540" s="169"/>
      <c r="AH540" s="168"/>
      <c r="AI540" s="168"/>
      <c r="AJ540" s="168"/>
      <c r="AK540" s="170"/>
      <c r="AL540" s="170"/>
    </row>
    <row r="541" ht="15.75" customHeight="1">
      <c r="A541" s="161"/>
      <c r="B541" s="161"/>
      <c r="C541" s="162"/>
      <c r="D541" s="163"/>
      <c r="E541" s="164"/>
      <c r="F541" s="165"/>
      <c r="G541" s="166"/>
      <c r="H541" s="167"/>
      <c r="I541" s="167"/>
      <c r="J541" s="167"/>
      <c r="K541" s="167"/>
      <c r="L541" s="167"/>
      <c r="M541" s="167"/>
      <c r="N541" s="167"/>
      <c r="O541" s="167"/>
      <c r="P541" s="164"/>
      <c r="Q541" s="165"/>
      <c r="R541" s="165"/>
      <c r="S541" s="167"/>
      <c r="T541" s="167"/>
      <c r="U541" s="167"/>
      <c r="V541" s="168"/>
      <c r="W541" s="168"/>
      <c r="X541" s="168"/>
      <c r="Y541" s="168"/>
      <c r="Z541" s="168"/>
      <c r="AA541" s="168"/>
      <c r="AB541" s="164"/>
      <c r="AC541" s="165"/>
      <c r="AD541" s="165"/>
      <c r="AE541" s="169"/>
      <c r="AF541" s="169"/>
      <c r="AG541" s="169"/>
      <c r="AH541" s="168"/>
      <c r="AI541" s="168"/>
      <c r="AJ541" s="168"/>
      <c r="AK541" s="170"/>
      <c r="AL541" s="170"/>
    </row>
    <row r="542" ht="15.75" customHeight="1">
      <c r="A542" s="161"/>
      <c r="B542" s="161"/>
      <c r="C542" s="162"/>
      <c r="D542" s="163"/>
      <c r="E542" s="164"/>
      <c r="F542" s="165"/>
      <c r="G542" s="166"/>
      <c r="H542" s="167"/>
      <c r="I542" s="167"/>
      <c r="J542" s="167"/>
      <c r="K542" s="167"/>
      <c r="L542" s="167"/>
      <c r="M542" s="167"/>
      <c r="N542" s="167"/>
      <c r="O542" s="167"/>
      <c r="P542" s="164"/>
      <c r="Q542" s="165"/>
      <c r="R542" s="165"/>
      <c r="S542" s="167"/>
      <c r="T542" s="167"/>
      <c r="U542" s="167"/>
      <c r="V542" s="168"/>
      <c r="W542" s="168"/>
      <c r="X542" s="168"/>
      <c r="Y542" s="168"/>
      <c r="Z542" s="168"/>
      <c r="AA542" s="168"/>
      <c r="AB542" s="164"/>
      <c r="AC542" s="165"/>
      <c r="AD542" s="165"/>
      <c r="AE542" s="169"/>
      <c r="AF542" s="169"/>
      <c r="AG542" s="169"/>
      <c r="AH542" s="168"/>
      <c r="AI542" s="168"/>
      <c r="AJ542" s="168"/>
      <c r="AK542" s="170"/>
      <c r="AL542" s="170"/>
    </row>
    <row r="543" ht="15.75" customHeight="1">
      <c r="A543" s="161"/>
      <c r="B543" s="161"/>
      <c r="C543" s="162"/>
      <c r="D543" s="163"/>
      <c r="E543" s="164"/>
      <c r="F543" s="165"/>
      <c r="G543" s="166"/>
      <c r="H543" s="167"/>
      <c r="I543" s="167"/>
      <c r="J543" s="167"/>
      <c r="K543" s="167"/>
      <c r="L543" s="167"/>
      <c r="M543" s="167"/>
      <c r="N543" s="167"/>
      <c r="O543" s="167"/>
      <c r="P543" s="164"/>
      <c r="Q543" s="165"/>
      <c r="R543" s="165"/>
      <c r="S543" s="167"/>
      <c r="T543" s="167"/>
      <c r="U543" s="167"/>
      <c r="V543" s="168"/>
      <c r="W543" s="168"/>
      <c r="X543" s="168"/>
      <c r="Y543" s="168"/>
      <c r="Z543" s="168"/>
      <c r="AA543" s="168"/>
      <c r="AB543" s="164"/>
      <c r="AC543" s="165"/>
      <c r="AD543" s="165"/>
      <c r="AE543" s="169"/>
      <c r="AF543" s="169"/>
      <c r="AG543" s="169"/>
      <c r="AH543" s="168"/>
      <c r="AI543" s="168"/>
      <c r="AJ543" s="168"/>
      <c r="AK543" s="170"/>
      <c r="AL543" s="170"/>
    </row>
    <row r="544" ht="15.75" customHeight="1">
      <c r="A544" s="161"/>
      <c r="B544" s="161"/>
      <c r="C544" s="162"/>
      <c r="D544" s="163"/>
      <c r="E544" s="164"/>
      <c r="F544" s="165"/>
      <c r="G544" s="166"/>
      <c r="H544" s="167"/>
      <c r="I544" s="167"/>
      <c r="J544" s="167"/>
      <c r="K544" s="167"/>
      <c r="L544" s="167"/>
      <c r="M544" s="167"/>
      <c r="N544" s="167"/>
      <c r="O544" s="167"/>
      <c r="P544" s="164"/>
      <c r="Q544" s="165"/>
      <c r="R544" s="165"/>
      <c r="S544" s="167"/>
      <c r="T544" s="167"/>
      <c r="U544" s="167"/>
      <c r="V544" s="168"/>
      <c r="W544" s="168"/>
      <c r="X544" s="168"/>
      <c r="Y544" s="168"/>
      <c r="Z544" s="168"/>
      <c r="AA544" s="168"/>
      <c r="AB544" s="164"/>
      <c r="AC544" s="165"/>
      <c r="AD544" s="165"/>
      <c r="AE544" s="169"/>
      <c r="AF544" s="169"/>
      <c r="AG544" s="169"/>
      <c r="AH544" s="168"/>
      <c r="AI544" s="168"/>
      <c r="AJ544" s="168"/>
      <c r="AK544" s="170"/>
      <c r="AL544" s="170"/>
    </row>
    <row r="545" ht="15.75" customHeight="1">
      <c r="A545" s="161"/>
      <c r="B545" s="161"/>
      <c r="C545" s="162"/>
      <c r="D545" s="163"/>
      <c r="E545" s="164"/>
      <c r="F545" s="165"/>
      <c r="G545" s="166"/>
      <c r="H545" s="167"/>
      <c r="I545" s="167"/>
      <c r="J545" s="167"/>
      <c r="K545" s="167"/>
      <c r="L545" s="167"/>
      <c r="M545" s="167"/>
      <c r="N545" s="167"/>
      <c r="O545" s="167"/>
      <c r="P545" s="164"/>
      <c r="Q545" s="165"/>
      <c r="R545" s="165"/>
      <c r="S545" s="167"/>
      <c r="T545" s="167"/>
      <c r="U545" s="167"/>
      <c r="V545" s="168"/>
      <c r="W545" s="168"/>
      <c r="X545" s="168"/>
      <c r="Y545" s="168"/>
      <c r="Z545" s="168"/>
      <c r="AA545" s="168"/>
      <c r="AB545" s="164"/>
      <c r="AC545" s="165"/>
      <c r="AD545" s="165"/>
      <c r="AE545" s="169"/>
      <c r="AF545" s="169"/>
      <c r="AG545" s="169"/>
      <c r="AH545" s="168"/>
      <c r="AI545" s="168"/>
      <c r="AJ545" s="168"/>
      <c r="AK545" s="170"/>
      <c r="AL545" s="170"/>
    </row>
    <row r="546" ht="15.75" customHeight="1">
      <c r="A546" s="161"/>
      <c r="B546" s="161"/>
      <c r="C546" s="162"/>
      <c r="D546" s="163"/>
      <c r="E546" s="164"/>
      <c r="F546" s="165"/>
      <c r="G546" s="166"/>
      <c r="H546" s="167"/>
      <c r="I546" s="167"/>
      <c r="J546" s="167"/>
      <c r="K546" s="167"/>
      <c r="L546" s="167"/>
      <c r="M546" s="167"/>
      <c r="N546" s="167"/>
      <c r="O546" s="167"/>
      <c r="P546" s="164"/>
      <c r="Q546" s="165"/>
      <c r="R546" s="165"/>
      <c r="S546" s="167"/>
      <c r="T546" s="167"/>
      <c r="U546" s="167"/>
      <c r="V546" s="168"/>
      <c r="W546" s="168"/>
      <c r="X546" s="168"/>
      <c r="Y546" s="168"/>
      <c r="Z546" s="168"/>
      <c r="AA546" s="168"/>
      <c r="AB546" s="164"/>
      <c r="AC546" s="165"/>
      <c r="AD546" s="165"/>
      <c r="AE546" s="169"/>
      <c r="AF546" s="169"/>
      <c r="AG546" s="169"/>
      <c r="AH546" s="168"/>
      <c r="AI546" s="168"/>
      <c r="AJ546" s="168"/>
      <c r="AK546" s="170"/>
      <c r="AL546" s="170"/>
    </row>
    <row r="547" ht="15.75" customHeight="1">
      <c r="A547" s="161"/>
      <c r="B547" s="161"/>
      <c r="C547" s="162"/>
      <c r="D547" s="163"/>
      <c r="E547" s="164"/>
      <c r="F547" s="165"/>
      <c r="G547" s="166"/>
      <c r="H547" s="167"/>
      <c r="I547" s="167"/>
      <c r="J547" s="167"/>
      <c r="K547" s="167"/>
      <c r="L547" s="167"/>
      <c r="M547" s="167"/>
      <c r="N547" s="167"/>
      <c r="O547" s="167"/>
      <c r="P547" s="164"/>
      <c r="Q547" s="165"/>
      <c r="R547" s="165"/>
      <c r="S547" s="167"/>
      <c r="T547" s="167"/>
      <c r="U547" s="167"/>
      <c r="V547" s="168"/>
      <c r="W547" s="168"/>
      <c r="X547" s="168"/>
      <c r="Y547" s="168"/>
      <c r="Z547" s="168"/>
      <c r="AA547" s="168"/>
      <c r="AB547" s="164"/>
      <c r="AC547" s="165"/>
      <c r="AD547" s="165"/>
      <c r="AE547" s="169"/>
      <c r="AF547" s="169"/>
      <c r="AG547" s="169"/>
      <c r="AH547" s="168"/>
      <c r="AI547" s="168"/>
      <c r="AJ547" s="168"/>
      <c r="AK547" s="170"/>
      <c r="AL547" s="170"/>
    </row>
    <row r="548" ht="15.75" customHeight="1">
      <c r="A548" s="161"/>
      <c r="B548" s="161"/>
      <c r="C548" s="162"/>
      <c r="D548" s="163"/>
      <c r="E548" s="164"/>
      <c r="F548" s="165"/>
      <c r="G548" s="166"/>
      <c r="H548" s="167"/>
      <c r="I548" s="167"/>
      <c r="J548" s="167"/>
      <c r="K548" s="167"/>
      <c r="L548" s="167"/>
      <c r="M548" s="167"/>
      <c r="N548" s="167"/>
      <c r="O548" s="167"/>
      <c r="P548" s="164"/>
      <c r="Q548" s="165"/>
      <c r="R548" s="165"/>
      <c r="S548" s="167"/>
      <c r="T548" s="167"/>
      <c r="U548" s="167"/>
      <c r="V548" s="168"/>
      <c r="W548" s="168"/>
      <c r="X548" s="168"/>
      <c r="Y548" s="168"/>
      <c r="Z548" s="168"/>
      <c r="AA548" s="168"/>
      <c r="AB548" s="164"/>
      <c r="AC548" s="165"/>
      <c r="AD548" s="165"/>
      <c r="AE548" s="169"/>
      <c r="AF548" s="169"/>
      <c r="AG548" s="169"/>
      <c r="AH548" s="168"/>
      <c r="AI548" s="168"/>
      <c r="AJ548" s="168"/>
      <c r="AK548" s="170"/>
      <c r="AL548" s="170"/>
    </row>
    <row r="549" ht="15.75" customHeight="1">
      <c r="A549" s="161"/>
      <c r="B549" s="161"/>
      <c r="C549" s="162"/>
      <c r="D549" s="163"/>
      <c r="E549" s="164"/>
      <c r="F549" s="165"/>
      <c r="G549" s="166"/>
      <c r="H549" s="167"/>
      <c r="I549" s="167"/>
      <c r="J549" s="167"/>
      <c r="K549" s="167"/>
      <c r="L549" s="167"/>
      <c r="M549" s="167"/>
      <c r="N549" s="167"/>
      <c r="O549" s="167"/>
      <c r="P549" s="164"/>
      <c r="Q549" s="165"/>
      <c r="R549" s="165"/>
      <c r="S549" s="167"/>
      <c r="T549" s="167"/>
      <c r="U549" s="167"/>
      <c r="V549" s="168"/>
      <c r="W549" s="168"/>
      <c r="X549" s="168"/>
      <c r="Y549" s="168"/>
      <c r="Z549" s="168"/>
      <c r="AA549" s="168"/>
      <c r="AB549" s="164"/>
      <c r="AC549" s="165"/>
      <c r="AD549" s="165"/>
      <c r="AE549" s="169"/>
      <c r="AF549" s="169"/>
      <c r="AG549" s="169"/>
      <c r="AH549" s="168"/>
      <c r="AI549" s="168"/>
      <c r="AJ549" s="168"/>
      <c r="AK549" s="170"/>
      <c r="AL549" s="170"/>
    </row>
    <row r="550" ht="15.75" customHeight="1">
      <c r="A550" s="161"/>
      <c r="B550" s="161"/>
      <c r="C550" s="162"/>
      <c r="D550" s="163"/>
      <c r="E550" s="164"/>
      <c r="F550" s="165"/>
      <c r="G550" s="166"/>
      <c r="H550" s="167"/>
      <c r="I550" s="167"/>
      <c r="J550" s="167"/>
      <c r="K550" s="167"/>
      <c r="L550" s="167"/>
      <c r="M550" s="167"/>
      <c r="N550" s="167"/>
      <c r="O550" s="167"/>
      <c r="P550" s="164"/>
      <c r="Q550" s="165"/>
      <c r="R550" s="165"/>
      <c r="S550" s="167"/>
      <c r="T550" s="167"/>
      <c r="U550" s="167"/>
      <c r="V550" s="168"/>
      <c r="W550" s="168"/>
      <c r="X550" s="168"/>
      <c r="Y550" s="168"/>
      <c r="Z550" s="168"/>
      <c r="AA550" s="168"/>
      <c r="AB550" s="164"/>
      <c r="AC550" s="165"/>
      <c r="AD550" s="165"/>
      <c r="AE550" s="169"/>
      <c r="AF550" s="169"/>
      <c r="AG550" s="169"/>
      <c r="AH550" s="168"/>
      <c r="AI550" s="168"/>
      <c r="AJ550" s="168"/>
      <c r="AK550" s="170"/>
      <c r="AL550" s="170"/>
    </row>
    <row r="551" ht="15.75" customHeight="1">
      <c r="A551" s="161"/>
      <c r="B551" s="161"/>
      <c r="C551" s="162"/>
      <c r="D551" s="163"/>
      <c r="E551" s="164"/>
      <c r="F551" s="165"/>
      <c r="G551" s="166"/>
      <c r="H551" s="167"/>
      <c r="I551" s="167"/>
      <c r="J551" s="167"/>
      <c r="K551" s="167"/>
      <c r="L551" s="167"/>
      <c r="M551" s="167"/>
      <c r="N551" s="167"/>
      <c r="O551" s="167"/>
      <c r="P551" s="164"/>
      <c r="Q551" s="165"/>
      <c r="R551" s="165"/>
      <c r="S551" s="167"/>
      <c r="T551" s="167"/>
      <c r="U551" s="167"/>
      <c r="V551" s="168"/>
      <c r="W551" s="168"/>
      <c r="X551" s="168"/>
      <c r="Y551" s="168"/>
      <c r="Z551" s="168"/>
      <c r="AA551" s="168"/>
      <c r="AB551" s="164"/>
      <c r="AC551" s="165"/>
      <c r="AD551" s="165"/>
      <c r="AE551" s="169"/>
      <c r="AF551" s="169"/>
      <c r="AG551" s="169"/>
      <c r="AH551" s="168"/>
      <c r="AI551" s="168"/>
      <c r="AJ551" s="168"/>
      <c r="AK551" s="170"/>
      <c r="AL551" s="170"/>
    </row>
    <row r="552" ht="15.75" customHeight="1">
      <c r="A552" s="161"/>
      <c r="B552" s="161"/>
      <c r="C552" s="162"/>
      <c r="D552" s="163"/>
      <c r="E552" s="164"/>
      <c r="F552" s="165"/>
      <c r="G552" s="166"/>
      <c r="H552" s="167"/>
      <c r="I552" s="167"/>
      <c r="J552" s="167"/>
      <c r="K552" s="167"/>
      <c r="L552" s="167"/>
      <c r="M552" s="167"/>
      <c r="N552" s="167"/>
      <c r="O552" s="167"/>
      <c r="P552" s="164"/>
      <c r="Q552" s="165"/>
      <c r="R552" s="165"/>
      <c r="S552" s="167"/>
      <c r="T552" s="167"/>
      <c r="U552" s="167"/>
      <c r="V552" s="168"/>
      <c r="W552" s="168"/>
      <c r="X552" s="168"/>
      <c r="Y552" s="168"/>
      <c r="Z552" s="168"/>
      <c r="AA552" s="168"/>
      <c r="AB552" s="164"/>
      <c r="AC552" s="165"/>
      <c r="AD552" s="165"/>
      <c r="AE552" s="169"/>
      <c r="AF552" s="169"/>
      <c r="AG552" s="169"/>
      <c r="AH552" s="168"/>
      <c r="AI552" s="168"/>
      <c r="AJ552" s="168"/>
      <c r="AK552" s="170"/>
      <c r="AL552" s="170"/>
    </row>
    <row r="553" ht="15.75" customHeight="1">
      <c r="A553" s="161"/>
      <c r="B553" s="161"/>
      <c r="C553" s="162"/>
      <c r="D553" s="163"/>
      <c r="E553" s="164"/>
      <c r="F553" s="165"/>
      <c r="G553" s="166"/>
      <c r="H553" s="167"/>
      <c r="I553" s="167"/>
      <c r="J553" s="167"/>
      <c r="K553" s="167"/>
      <c r="L553" s="167"/>
      <c r="M553" s="167"/>
      <c r="N553" s="167"/>
      <c r="O553" s="167"/>
      <c r="P553" s="164"/>
      <c r="Q553" s="165"/>
      <c r="R553" s="165"/>
      <c r="S553" s="167"/>
      <c r="T553" s="167"/>
      <c r="U553" s="167"/>
      <c r="V553" s="168"/>
      <c r="W553" s="168"/>
      <c r="X553" s="168"/>
      <c r="Y553" s="168"/>
      <c r="Z553" s="168"/>
      <c r="AA553" s="168"/>
      <c r="AB553" s="164"/>
      <c r="AC553" s="165"/>
      <c r="AD553" s="165"/>
      <c r="AE553" s="169"/>
      <c r="AF553" s="169"/>
      <c r="AG553" s="169"/>
      <c r="AH553" s="168"/>
      <c r="AI553" s="168"/>
      <c r="AJ553" s="168"/>
      <c r="AK553" s="170"/>
      <c r="AL553" s="170"/>
    </row>
    <row r="554" ht="15.75" customHeight="1">
      <c r="A554" s="161"/>
      <c r="B554" s="161"/>
      <c r="C554" s="162"/>
      <c r="D554" s="163"/>
      <c r="E554" s="164"/>
      <c r="F554" s="165"/>
      <c r="G554" s="166"/>
      <c r="H554" s="167"/>
      <c r="I554" s="167"/>
      <c r="J554" s="167"/>
      <c r="K554" s="167"/>
      <c r="L554" s="167"/>
      <c r="M554" s="167"/>
      <c r="N554" s="167"/>
      <c r="O554" s="167"/>
      <c r="P554" s="164"/>
      <c r="Q554" s="165"/>
      <c r="R554" s="165"/>
      <c r="S554" s="167"/>
      <c r="T554" s="167"/>
      <c r="U554" s="167"/>
      <c r="V554" s="168"/>
      <c r="W554" s="168"/>
      <c r="X554" s="168"/>
      <c r="Y554" s="168"/>
      <c r="Z554" s="168"/>
      <c r="AA554" s="168"/>
      <c r="AB554" s="164"/>
      <c r="AC554" s="165"/>
      <c r="AD554" s="165"/>
      <c r="AE554" s="169"/>
      <c r="AF554" s="169"/>
      <c r="AG554" s="169"/>
      <c r="AH554" s="168"/>
      <c r="AI554" s="168"/>
      <c r="AJ554" s="168"/>
      <c r="AK554" s="170"/>
      <c r="AL554" s="170"/>
    </row>
    <row r="555" ht="15.75" customHeight="1">
      <c r="A555" s="161"/>
      <c r="B555" s="161"/>
      <c r="C555" s="162"/>
      <c r="D555" s="163"/>
      <c r="E555" s="164"/>
      <c r="F555" s="165"/>
      <c r="G555" s="166"/>
      <c r="H555" s="167"/>
      <c r="I555" s="167"/>
      <c r="J555" s="167"/>
      <c r="K555" s="167"/>
      <c r="L555" s="167"/>
      <c r="M555" s="167"/>
      <c r="N555" s="167"/>
      <c r="O555" s="167"/>
      <c r="P555" s="164"/>
      <c r="Q555" s="165"/>
      <c r="R555" s="165"/>
      <c r="S555" s="167"/>
      <c r="T555" s="167"/>
      <c r="U555" s="167"/>
      <c r="V555" s="168"/>
      <c r="W555" s="168"/>
      <c r="X555" s="168"/>
      <c r="Y555" s="168"/>
      <c r="Z555" s="168"/>
      <c r="AA555" s="168"/>
      <c r="AB555" s="164"/>
      <c r="AC555" s="165"/>
      <c r="AD555" s="165"/>
      <c r="AE555" s="169"/>
      <c r="AF555" s="169"/>
      <c r="AG555" s="169"/>
      <c r="AH555" s="168"/>
      <c r="AI555" s="168"/>
      <c r="AJ555" s="168"/>
      <c r="AK555" s="170"/>
      <c r="AL555" s="170"/>
    </row>
    <row r="556" ht="15.75" customHeight="1">
      <c r="A556" s="161"/>
      <c r="B556" s="161"/>
      <c r="C556" s="162"/>
      <c r="D556" s="163"/>
      <c r="E556" s="164"/>
      <c r="F556" s="165"/>
      <c r="G556" s="166"/>
      <c r="H556" s="167"/>
      <c r="I556" s="167"/>
      <c r="J556" s="167"/>
      <c r="K556" s="167"/>
      <c r="L556" s="167"/>
      <c r="M556" s="167"/>
      <c r="N556" s="167"/>
      <c r="O556" s="167"/>
      <c r="P556" s="164"/>
      <c r="Q556" s="165"/>
      <c r="R556" s="165"/>
      <c r="S556" s="167"/>
      <c r="T556" s="167"/>
      <c r="U556" s="167"/>
      <c r="V556" s="168"/>
      <c r="W556" s="168"/>
      <c r="X556" s="168"/>
      <c r="Y556" s="168"/>
      <c r="Z556" s="168"/>
      <c r="AA556" s="168"/>
      <c r="AB556" s="164"/>
      <c r="AC556" s="165"/>
      <c r="AD556" s="165"/>
      <c r="AE556" s="169"/>
      <c r="AF556" s="169"/>
      <c r="AG556" s="169"/>
      <c r="AH556" s="168"/>
      <c r="AI556" s="168"/>
      <c r="AJ556" s="168"/>
      <c r="AK556" s="170"/>
      <c r="AL556" s="170"/>
    </row>
    <row r="557" ht="15.75" customHeight="1">
      <c r="A557" s="161"/>
      <c r="B557" s="161"/>
      <c r="C557" s="162"/>
      <c r="D557" s="163"/>
      <c r="E557" s="164"/>
      <c r="F557" s="165"/>
      <c r="G557" s="166"/>
      <c r="H557" s="167"/>
      <c r="I557" s="167"/>
      <c r="J557" s="167"/>
      <c r="K557" s="167"/>
      <c r="L557" s="167"/>
      <c r="M557" s="167"/>
      <c r="N557" s="167"/>
      <c r="O557" s="167"/>
      <c r="P557" s="164"/>
      <c r="Q557" s="165"/>
      <c r="R557" s="165"/>
      <c r="S557" s="167"/>
      <c r="T557" s="167"/>
      <c r="U557" s="167"/>
      <c r="V557" s="168"/>
      <c r="W557" s="168"/>
      <c r="X557" s="168"/>
      <c r="Y557" s="168"/>
      <c r="Z557" s="168"/>
      <c r="AA557" s="168"/>
      <c r="AB557" s="164"/>
      <c r="AC557" s="165"/>
      <c r="AD557" s="165"/>
      <c r="AE557" s="169"/>
      <c r="AF557" s="169"/>
      <c r="AG557" s="169"/>
      <c r="AH557" s="168"/>
      <c r="AI557" s="168"/>
      <c r="AJ557" s="168"/>
      <c r="AK557" s="170"/>
      <c r="AL557" s="170"/>
    </row>
    <row r="558" ht="15.75" customHeight="1">
      <c r="A558" s="161"/>
      <c r="B558" s="161"/>
      <c r="C558" s="162"/>
      <c r="D558" s="163"/>
      <c r="E558" s="164"/>
      <c r="F558" s="165"/>
      <c r="G558" s="166"/>
      <c r="H558" s="167"/>
      <c r="I558" s="167"/>
      <c r="J558" s="167"/>
      <c r="K558" s="167"/>
      <c r="L558" s="167"/>
      <c r="M558" s="167"/>
      <c r="N558" s="167"/>
      <c r="O558" s="167"/>
      <c r="P558" s="164"/>
      <c r="Q558" s="165"/>
      <c r="R558" s="165"/>
      <c r="S558" s="167"/>
      <c r="T558" s="167"/>
      <c r="U558" s="167"/>
      <c r="V558" s="168"/>
      <c r="W558" s="168"/>
      <c r="X558" s="168"/>
      <c r="Y558" s="168"/>
      <c r="Z558" s="168"/>
      <c r="AA558" s="168"/>
      <c r="AB558" s="164"/>
      <c r="AC558" s="165"/>
      <c r="AD558" s="165"/>
      <c r="AE558" s="169"/>
      <c r="AF558" s="169"/>
      <c r="AG558" s="169"/>
      <c r="AH558" s="168"/>
      <c r="AI558" s="168"/>
      <c r="AJ558" s="168"/>
      <c r="AK558" s="170"/>
      <c r="AL558" s="170"/>
    </row>
    <row r="559" ht="15.75" customHeight="1">
      <c r="A559" s="161"/>
      <c r="B559" s="161"/>
      <c r="C559" s="162"/>
      <c r="D559" s="163"/>
      <c r="E559" s="164"/>
      <c r="F559" s="165"/>
      <c r="G559" s="166"/>
      <c r="H559" s="167"/>
      <c r="I559" s="167"/>
      <c r="J559" s="167"/>
      <c r="K559" s="167"/>
      <c r="L559" s="167"/>
      <c r="M559" s="167"/>
      <c r="N559" s="167"/>
      <c r="O559" s="167"/>
      <c r="P559" s="164"/>
      <c r="Q559" s="165"/>
      <c r="R559" s="165"/>
      <c r="S559" s="167"/>
      <c r="T559" s="167"/>
      <c r="U559" s="167"/>
      <c r="V559" s="168"/>
      <c r="W559" s="168"/>
      <c r="X559" s="168"/>
      <c r="Y559" s="168"/>
      <c r="Z559" s="168"/>
      <c r="AA559" s="168"/>
      <c r="AB559" s="164"/>
      <c r="AC559" s="165"/>
      <c r="AD559" s="165"/>
      <c r="AE559" s="169"/>
      <c r="AF559" s="169"/>
      <c r="AG559" s="169"/>
      <c r="AH559" s="168"/>
      <c r="AI559" s="168"/>
      <c r="AJ559" s="168"/>
      <c r="AK559" s="170"/>
      <c r="AL559" s="170"/>
    </row>
    <row r="560" ht="15.75" customHeight="1">
      <c r="A560" s="161"/>
      <c r="B560" s="161"/>
      <c r="C560" s="162"/>
      <c r="D560" s="163"/>
      <c r="E560" s="164"/>
      <c r="F560" s="165"/>
      <c r="G560" s="166"/>
      <c r="H560" s="167"/>
      <c r="I560" s="167"/>
      <c r="J560" s="167"/>
      <c r="K560" s="167"/>
      <c r="L560" s="167"/>
      <c r="M560" s="167"/>
      <c r="N560" s="167"/>
      <c r="O560" s="167"/>
      <c r="P560" s="164"/>
      <c r="Q560" s="165"/>
      <c r="R560" s="165"/>
      <c r="S560" s="167"/>
      <c r="T560" s="167"/>
      <c r="U560" s="167"/>
      <c r="V560" s="168"/>
      <c r="W560" s="168"/>
      <c r="X560" s="168"/>
      <c r="Y560" s="168"/>
      <c r="Z560" s="168"/>
      <c r="AA560" s="168"/>
      <c r="AB560" s="164"/>
      <c r="AC560" s="165"/>
      <c r="AD560" s="165"/>
      <c r="AE560" s="169"/>
      <c r="AF560" s="169"/>
      <c r="AG560" s="169"/>
      <c r="AH560" s="168"/>
      <c r="AI560" s="168"/>
      <c r="AJ560" s="168"/>
      <c r="AK560" s="170"/>
      <c r="AL560" s="170"/>
    </row>
    <row r="561" ht="15.75" customHeight="1">
      <c r="A561" s="161"/>
      <c r="B561" s="161"/>
      <c r="C561" s="162"/>
      <c r="D561" s="163"/>
      <c r="E561" s="164"/>
      <c r="F561" s="165"/>
      <c r="G561" s="166"/>
      <c r="H561" s="167"/>
      <c r="I561" s="167"/>
      <c r="J561" s="167"/>
      <c r="K561" s="167"/>
      <c r="L561" s="167"/>
      <c r="M561" s="167"/>
      <c r="N561" s="167"/>
      <c r="O561" s="167"/>
      <c r="P561" s="164"/>
      <c r="Q561" s="165"/>
      <c r="R561" s="165"/>
      <c r="S561" s="167"/>
      <c r="T561" s="167"/>
      <c r="U561" s="167"/>
      <c r="V561" s="168"/>
      <c r="W561" s="168"/>
      <c r="X561" s="168"/>
      <c r="Y561" s="168"/>
      <c r="Z561" s="168"/>
      <c r="AA561" s="168"/>
      <c r="AB561" s="164"/>
      <c r="AC561" s="165"/>
      <c r="AD561" s="165"/>
      <c r="AE561" s="169"/>
      <c r="AF561" s="169"/>
      <c r="AG561" s="169"/>
      <c r="AH561" s="168"/>
      <c r="AI561" s="168"/>
      <c r="AJ561" s="168"/>
      <c r="AK561" s="170"/>
      <c r="AL561" s="170"/>
    </row>
    <row r="562" ht="15.75" customHeight="1">
      <c r="A562" s="161"/>
      <c r="B562" s="161"/>
      <c r="C562" s="162"/>
      <c r="D562" s="163"/>
      <c r="E562" s="164"/>
      <c r="F562" s="165"/>
      <c r="G562" s="166"/>
      <c r="H562" s="167"/>
      <c r="I562" s="167"/>
      <c r="J562" s="167"/>
      <c r="K562" s="167"/>
      <c r="L562" s="167"/>
      <c r="M562" s="167"/>
      <c r="N562" s="167"/>
      <c r="O562" s="167"/>
      <c r="P562" s="164"/>
      <c r="Q562" s="165"/>
      <c r="R562" s="165"/>
      <c r="S562" s="167"/>
      <c r="T562" s="167"/>
      <c r="U562" s="167"/>
      <c r="V562" s="168"/>
      <c r="W562" s="168"/>
      <c r="X562" s="168"/>
      <c r="Y562" s="168"/>
      <c r="Z562" s="168"/>
      <c r="AA562" s="168"/>
      <c r="AB562" s="164"/>
      <c r="AC562" s="165"/>
      <c r="AD562" s="165"/>
      <c r="AE562" s="169"/>
      <c r="AF562" s="169"/>
      <c r="AG562" s="169"/>
      <c r="AH562" s="168"/>
      <c r="AI562" s="168"/>
      <c r="AJ562" s="168"/>
      <c r="AK562" s="170"/>
      <c r="AL562" s="170"/>
    </row>
    <row r="563" ht="15.75" customHeight="1">
      <c r="A563" s="161"/>
      <c r="B563" s="161"/>
      <c r="C563" s="162"/>
      <c r="D563" s="163"/>
      <c r="E563" s="164"/>
      <c r="F563" s="165"/>
      <c r="G563" s="166"/>
      <c r="H563" s="167"/>
      <c r="I563" s="167"/>
      <c r="J563" s="167"/>
      <c r="K563" s="167"/>
      <c r="L563" s="167"/>
      <c r="M563" s="167"/>
      <c r="N563" s="167"/>
      <c r="O563" s="167"/>
      <c r="P563" s="164"/>
      <c r="Q563" s="165"/>
      <c r="R563" s="165"/>
      <c r="S563" s="167"/>
      <c r="T563" s="167"/>
      <c r="U563" s="167"/>
      <c r="V563" s="168"/>
      <c r="W563" s="168"/>
      <c r="X563" s="168"/>
      <c r="Y563" s="168"/>
      <c r="Z563" s="168"/>
      <c r="AA563" s="168"/>
      <c r="AB563" s="164"/>
      <c r="AC563" s="165"/>
      <c r="AD563" s="165"/>
      <c r="AE563" s="169"/>
      <c r="AF563" s="169"/>
      <c r="AG563" s="169"/>
      <c r="AH563" s="168"/>
      <c r="AI563" s="168"/>
      <c r="AJ563" s="168"/>
      <c r="AK563" s="170"/>
      <c r="AL563" s="170"/>
    </row>
    <row r="564" ht="15.75" customHeight="1">
      <c r="A564" s="161"/>
      <c r="B564" s="161"/>
      <c r="C564" s="162"/>
      <c r="D564" s="163"/>
      <c r="E564" s="164"/>
      <c r="F564" s="165"/>
      <c r="G564" s="166"/>
      <c r="H564" s="167"/>
      <c r="I564" s="167"/>
      <c r="J564" s="167"/>
      <c r="K564" s="167"/>
      <c r="L564" s="167"/>
      <c r="M564" s="167"/>
      <c r="N564" s="167"/>
      <c r="O564" s="167"/>
      <c r="P564" s="164"/>
      <c r="Q564" s="165"/>
      <c r="R564" s="165"/>
      <c r="S564" s="167"/>
      <c r="T564" s="167"/>
      <c r="U564" s="167"/>
      <c r="V564" s="168"/>
      <c r="W564" s="168"/>
      <c r="X564" s="168"/>
      <c r="Y564" s="168"/>
      <c r="Z564" s="168"/>
      <c r="AA564" s="168"/>
      <c r="AB564" s="164"/>
      <c r="AC564" s="165"/>
      <c r="AD564" s="165"/>
      <c r="AE564" s="169"/>
      <c r="AF564" s="169"/>
      <c r="AG564" s="169"/>
      <c r="AH564" s="168"/>
      <c r="AI564" s="168"/>
      <c r="AJ564" s="168"/>
      <c r="AK564" s="170"/>
      <c r="AL564" s="170"/>
    </row>
    <row r="565" ht="15.75" customHeight="1">
      <c r="A565" s="161"/>
      <c r="B565" s="161"/>
      <c r="C565" s="162"/>
      <c r="D565" s="163"/>
      <c r="E565" s="164"/>
      <c r="F565" s="165"/>
      <c r="G565" s="166"/>
      <c r="H565" s="167"/>
      <c r="I565" s="167"/>
      <c r="J565" s="167"/>
      <c r="K565" s="167"/>
      <c r="L565" s="167"/>
      <c r="M565" s="167"/>
      <c r="N565" s="167"/>
      <c r="O565" s="167"/>
      <c r="P565" s="164"/>
      <c r="Q565" s="165"/>
      <c r="R565" s="165"/>
      <c r="S565" s="167"/>
      <c r="T565" s="167"/>
      <c r="U565" s="167"/>
      <c r="V565" s="168"/>
      <c r="W565" s="168"/>
      <c r="X565" s="168"/>
      <c r="Y565" s="168"/>
      <c r="Z565" s="168"/>
      <c r="AA565" s="168"/>
      <c r="AB565" s="164"/>
      <c r="AC565" s="165"/>
      <c r="AD565" s="165"/>
      <c r="AE565" s="169"/>
      <c r="AF565" s="169"/>
      <c r="AG565" s="169"/>
      <c r="AH565" s="168"/>
      <c r="AI565" s="168"/>
      <c r="AJ565" s="168"/>
      <c r="AK565" s="170"/>
      <c r="AL565" s="170"/>
    </row>
    <row r="566" ht="15.75" customHeight="1">
      <c r="A566" s="161"/>
      <c r="B566" s="161"/>
      <c r="C566" s="162"/>
      <c r="D566" s="163"/>
      <c r="E566" s="164"/>
      <c r="F566" s="165"/>
      <c r="G566" s="166"/>
      <c r="H566" s="167"/>
      <c r="I566" s="167"/>
      <c r="J566" s="167"/>
      <c r="K566" s="167"/>
      <c r="L566" s="167"/>
      <c r="M566" s="167"/>
      <c r="N566" s="167"/>
      <c r="O566" s="167"/>
      <c r="P566" s="164"/>
      <c r="Q566" s="165"/>
      <c r="R566" s="165"/>
      <c r="S566" s="167"/>
      <c r="T566" s="167"/>
      <c r="U566" s="167"/>
      <c r="V566" s="168"/>
      <c r="W566" s="168"/>
      <c r="X566" s="168"/>
      <c r="Y566" s="168"/>
      <c r="Z566" s="168"/>
      <c r="AA566" s="168"/>
      <c r="AB566" s="164"/>
      <c r="AC566" s="165"/>
      <c r="AD566" s="165"/>
      <c r="AE566" s="169"/>
      <c r="AF566" s="169"/>
      <c r="AG566" s="169"/>
      <c r="AH566" s="168"/>
      <c r="AI566" s="168"/>
      <c r="AJ566" s="168"/>
      <c r="AK566" s="170"/>
      <c r="AL566" s="170"/>
    </row>
    <row r="567" ht="15.75" customHeight="1">
      <c r="A567" s="161"/>
      <c r="B567" s="161"/>
      <c r="C567" s="162"/>
      <c r="D567" s="163"/>
      <c r="E567" s="164"/>
      <c r="F567" s="165"/>
      <c r="G567" s="166"/>
      <c r="H567" s="167"/>
      <c r="I567" s="167"/>
      <c r="J567" s="167"/>
      <c r="K567" s="167"/>
      <c r="L567" s="167"/>
      <c r="M567" s="167"/>
      <c r="N567" s="167"/>
      <c r="O567" s="167"/>
      <c r="P567" s="164"/>
      <c r="Q567" s="165"/>
      <c r="R567" s="165"/>
      <c r="S567" s="167"/>
      <c r="T567" s="167"/>
      <c r="U567" s="167"/>
      <c r="V567" s="168"/>
      <c r="W567" s="168"/>
      <c r="X567" s="168"/>
      <c r="Y567" s="168"/>
      <c r="Z567" s="168"/>
      <c r="AA567" s="168"/>
      <c r="AB567" s="164"/>
      <c r="AC567" s="165"/>
      <c r="AD567" s="165"/>
      <c r="AE567" s="169"/>
      <c r="AF567" s="169"/>
      <c r="AG567" s="169"/>
      <c r="AH567" s="168"/>
      <c r="AI567" s="168"/>
      <c r="AJ567" s="168"/>
      <c r="AK567" s="170"/>
      <c r="AL567" s="170"/>
    </row>
    <row r="568" ht="15.75" customHeight="1">
      <c r="A568" s="161"/>
      <c r="B568" s="161"/>
      <c r="C568" s="162"/>
      <c r="D568" s="163"/>
      <c r="E568" s="164"/>
      <c r="F568" s="165"/>
      <c r="G568" s="166"/>
      <c r="H568" s="167"/>
      <c r="I568" s="167"/>
      <c r="J568" s="167"/>
      <c r="K568" s="167"/>
      <c r="L568" s="167"/>
      <c r="M568" s="167"/>
      <c r="N568" s="167"/>
      <c r="O568" s="167"/>
      <c r="P568" s="164"/>
      <c r="Q568" s="165"/>
      <c r="R568" s="165"/>
      <c r="S568" s="167"/>
      <c r="T568" s="167"/>
      <c r="U568" s="167"/>
      <c r="V568" s="168"/>
      <c r="W568" s="168"/>
      <c r="X568" s="168"/>
      <c r="Y568" s="168"/>
      <c r="Z568" s="168"/>
      <c r="AA568" s="168"/>
      <c r="AB568" s="164"/>
      <c r="AC568" s="165"/>
      <c r="AD568" s="165"/>
      <c r="AE568" s="169"/>
      <c r="AF568" s="169"/>
      <c r="AG568" s="169"/>
      <c r="AH568" s="168"/>
      <c r="AI568" s="168"/>
      <c r="AJ568" s="168"/>
      <c r="AK568" s="170"/>
      <c r="AL568" s="170"/>
    </row>
    <row r="569" ht="15.75" customHeight="1">
      <c r="A569" s="161"/>
      <c r="B569" s="161"/>
      <c r="C569" s="162"/>
      <c r="D569" s="163"/>
      <c r="E569" s="164"/>
      <c r="F569" s="165"/>
      <c r="G569" s="166"/>
      <c r="H569" s="167"/>
      <c r="I569" s="167"/>
      <c r="J569" s="167"/>
      <c r="K569" s="167"/>
      <c r="L569" s="167"/>
      <c r="M569" s="167"/>
      <c r="N569" s="167"/>
      <c r="O569" s="167"/>
      <c r="P569" s="164"/>
      <c r="Q569" s="165"/>
      <c r="R569" s="165"/>
      <c r="S569" s="167"/>
      <c r="T569" s="167"/>
      <c r="U569" s="167"/>
      <c r="V569" s="168"/>
      <c r="W569" s="168"/>
      <c r="X569" s="168"/>
      <c r="Y569" s="168"/>
      <c r="Z569" s="168"/>
      <c r="AA569" s="168"/>
      <c r="AB569" s="164"/>
      <c r="AC569" s="165"/>
      <c r="AD569" s="165"/>
      <c r="AE569" s="169"/>
      <c r="AF569" s="169"/>
      <c r="AG569" s="169"/>
      <c r="AH569" s="168"/>
      <c r="AI569" s="168"/>
      <c r="AJ569" s="168"/>
      <c r="AK569" s="170"/>
      <c r="AL569" s="170"/>
    </row>
    <row r="570" ht="15.75" customHeight="1">
      <c r="A570" s="161"/>
      <c r="B570" s="161"/>
      <c r="C570" s="162"/>
      <c r="D570" s="163"/>
      <c r="E570" s="164"/>
      <c r="F570" s="165"/>
      <c r="G570" s="166"/>
      <c r="H570" s="167"/>
      <c r="I570" s="167"/>
      <c r="J570" s="167"/>
      <c r="K570" s="167"/>
      <c r="L570" s="167"/>
      <c r="M570" s="167"/>
      <c r="N570" s="167"/>
      <c r="O570" s="167"/>
      <c r="P570" s="164"/>
      <c r="Q570" s="165"/>
      <c r="R570" s="165"/>
      <c r="S570" s="167"/>
      <c r="T570" s="167"/>
      <c r="U570" s="167"/>
      <c r="V570" s="168"/>
      <c r="W570" s="168"/>
      <c r="X570" s="168"/>
      <c r="Y570" s="168"/>
      <c r="Z570" s="168"/>
      <c r="AA570" s="168"/>
      <c r="AB570" s="164"/>
      <c r="AC570" s="165"/>
      <c r="AD570" s="165"/>
      <c r="AE570" s="169"/>
      <c r="AF570" s="169"/>
      <c r="AG570" s="169"/>
      <c r="AH570" s="168"/>
      <c r="AI570" s="168"/>
      <c r="AJ570" s="168"/>
      <c r="AK570" s="170"/>
      <c r="AL570" s="170"/>
    </row>
    <row r="571" ht="15.75" customHeight="1">
      <c r="A571" s="161"/>
      <c r="B571" s="161"/>
      <c r="C571" s="162"/>
      <c r="D571" s="163"/>
      <c r="E571" s="164"/>
      <c r="F571" s="165"/>
      <c r="G571" s="166"/>
      <c r="H571" s="167"/>
      <c r="I571" s="167"/>
      <c r="J571" s="167"/>
      <c r="K571" s="167"/>
      <c r="L571" s="167"/>
      <c r="M571" s="167"/>
      <c r="N571" s="167"/>
      <c r="O571" s="167"/>
      <c r="P571" s="164"/>
      <c r="Q571" s="165"/>
      <c r="R571" s="165"/>
      <c r="S571" s="167"/>
      <c r="T571" s="167"/>
      <c r="U571" s="167"/>
      <c r="V571" s="168"/>
      <c r="W571" s="168"/>
      <c r="X571" s="168"/>
      <c r="Y571" s="168"/>
      <c r="Z571" s="168"/>
      <c r="AA571" s="168"/>
      <c r="AB571" s="164"/>
      <c r="AC571" s="165"/>
      <c r="AD571" s="165"/>
      <c r="AE571" s="169"/>
      <c r="AF571" s="169"/>
      <c r="AG571" s="169"/>
      <c r="AH571" s="168"/>
      <c r="AI571" s="168"/>
      <c r="AJ571" s="168"/>
      <c r="AK571" s="170"/>
      <c r="AL571" s="170"/>
    </row>
    <row r="572" ht="15.75" customHeight="1">
      <c r="A572" s="161"/>
      <c r="B572" s="161"/>
      <c r="C572" s="162"/>
      <c r="D572" s="163"/>
      <c r="E572" s="164"/>
      <c r="F572" s="165"/>
      <c r="G572" s="166"/>
      <c r="H572" s="167"/>
      <c r="I572" s="167"/>
      <c r="J572" s="167"/>
      <c r="K572" s="167"/>
      <c r="L572" s="167"/>
      <c r="M572" s="167"/>
      <c r="N572" s="167"/>
      <c r="O572" s="167"/>
      <c r="P572" s="164"/>
      <c r="Q572" s="165"/>
      <c r="R572" s="165"/>
      <c r="S572" s="167"/>
      <c r="T572" s="167"/>
      <c r="U572" s="167"/>
      <c r="V572" s="168"/>
      <c r="W572" s="168"/>
      <c r="X572" s="168"/>
      <c r="Y572" s="168"/>
      <c r="Z572" s="168"/>
      <c r="AA572" s="168"/>
      <c r="AB572" s="164"/>
      <c r="AC572" s="165"/>
      <c r="AD572" s="165"/>
      <c r="AE572" s="169"/>
      <c r="AF572" s="169"/>
      <c r="AG572" s="169"/>
      <c r="AH572" s="168"/>
      <c r="AI572" s="168"/>
      <c r="AJ572" s="168"/>
      <c r="AK572" s="170"/>
      <c r="AL572" s="170"/>
    </row>
    <row r="573" ht="15.75" customHeight="1">
      <c r="A573" s="161"/>
      <c r="B573" s="161"/>
      <c r="C573" s="162"/>
      <c r="D573" s="163"/>
      <c r="E573" s="164"/>
      <c r="F573" s="165"/>
      <c r="G573" s="166"/>
      <c r="H573" s="167"/>
      <c r="I573" s="167"/>
      <c r="J573" s="167"/>
      <c r="K573" s="167"/>
      <c r="L573" s="167"/>
      <c r="M573" s="167"/>
      <c r="N573" s="167"/>
      <c r="O573" s="167"/>
      <c r="P573" s="164"/>
      <c r="Q573" s="165"/>
      <c r="R573" s="165"/>
      <c r="S573" s="167"/>
      <c r="T573" s="167"/>
      <c r="U573" s="167"/>
      <c r="V573" s="168"/>
      <c r="W573" s="168"/>
      <c r="X573" s="168"/>
      <c r="Y573" s="168"/>
      <c r="Z573" s="168"/>
      <c r="AA573" s="168"/>
      <c r="AB573" s="164"/>
      <c r="AC573" s="165"/>
      <c r="AD573" s="165"/>
      <c r="AE573" s="169"/>
      <c r="AF573" s="169"/>
      <c r="AG573" s="169"/>
      <c r="AH573" s="168"/>
      <c r="AI573" s="168"/>
      <c r="AJ573" s="168"/>
      <c r="AK573" s="170"/>
      <c r="AL573" s="170"/>
    </row>
    <row r="574" ht="15.75" customHeight="1">
      <c r="A574" s="161"/>
      <c r="B574" s="161"/>
      <c r="C574" s="162"/>
      <c r="D574" s="163"/>
      <c r="E574" s="164"/>
      <c r="F574" s="165"/>
      <c r="G574" s="166"/>
      <c r="H574" s="167"/>
      <c r="I574" s="167"/>
      <c r="J574" s="167"/>
      <c r="K574" s="167"/>
      <c r="L574" s="167"/>
      <c r="M574" s="167"/>
      <c r="N574" s="167"/>
      <c r="O574" s="167"/>
      <c r="P574" s="164"/>
      <c r="Q574" s="165"/>
      <c r="R574" s="165"/>
      <c r="S574" s="167"/>
      <c r="T574" s="167"/>
      <c r="U574" s="167"/>
      <c r="V574" s="168"/>
      <c r="W574" s="168"/>
      <c r="X574" s="168"/>
      <c r="Y574" s="168"/>
      <c r="Z574" s="168"/>
      <c r="AA574" s="168"/>
      <c r="AB574" s="164"/>
      <c r="AC574" s="165"/>
      <c r="AD574" s="165"/>
      <c r="AE574" s="169"/>
      <c r="AF574" s="169"/>
      <c r="AG574" s="169"/>
      <c r="AH574" s="168"/>
      <c r="AI574" s="168"/>
      <c r="AJ574" s="168"/>
      <c r="AK574" s="170"/>
      <c r="AL574" s="170"/>
    </row>
    <row r="575" ht="15.75" customHeight="1">
      <c r="A575" s="161"/>
      <c r="B575" s="161"/>
      <c r="C575" s="162"/>
      <c r="D575" s="163"/>
      <c r="E575" s="164"/>
      <c r="F575" s="165"/>
      <c r="G575" s="166"/>
      <c r="H575" s="167"/>
      <c r="I575" s="167"/>
      <c r="J575" s="167"/>
      <c r="K575" s="167"/>
      <c r="L575" s="167"/>
      <c r="M575" s="167"/>
      <c r="N575" s="167"/>
      <c r="O575" s="167"/>
      <c r="P575" s="164"/>
      <c r="Q575" s="165"/>
      <c r="R575" s="165"/>
      <c r="S575" s="167"/>
      <c r="T575" s="167"/>
      <c r="U575" s="167"/>
      <c r="V575" s="168"/>
      <c r="W575" s="168"/>
      <c r="X575" s="168"/>
      <c r="Y575" s="168"/>
      <c r="Z575" s="168"/>
      <c r="AA575" s="168"/>
      <c r="AB575" s="164"/>
      <c r="AC575" s="165"/>
      <c r="AD575" s="165"/>
      <c r="AE575" s="169"/>
      <c r="AF575" s="169"/>
      <c r="AG575" s="169"/>
      <c r="AH575" s="168"/>
      <c r="AI575" s="168"/>
      <c r="AJ575" s="168"/>
      <c r="AK575" s="170"/>
      <c r="AL575" s="170"/>
    </row>
    <row r="576" ht="15.75" customHeight="1">
      <c r="A576" s="161"/>
      <c r="B576" s="161"/>
      <c r="C576" s="162"/>
      <c r="D576" s="163"/>
      <c r="E576" s="164"/>
      <c r="F576" s="165"/>
      <c r="G576" s="166"/>
      <c r="H576" s="167"/>
      <c r="I576" s="167"/>
      <c r="J576" s="167"/>
      <c r="K576" s="167"/>
      <c r="L576" s="167"/>
      <c r="M576" s="167"/>
      <c r="N576" s="167"/>
      <c r="O576" s="167"/>
      <c r="P576" s="164"/>
      <c r="Q576" s="165"/>
      <c r="R576" s="165"/>
      <c r="S576" s="167"/>
      <c r="T576" s="167"/>
      <c r="U576" s="167"/>
      <c r="V576" s="168"/>
      <c r="W576" s="168"/>
      <c r="X576" s="168"/>
      <c r="Y576" s="168"/>
      <c r="Z576" s="168"/>
      <c r="AA576" s="168"/>
      <c r="AB576" s="164"/>
      <c r="AC576" s="165"/>
      <c r="AD576" s="165"/>
      <c r="AE576" s="169"/>
      <c r="AF576" s="169"/>
      <c r="AG576" s="169"/>
      <c r="AH576" s="168"/>
      <c r="AI576" s="168"/>
      <c r="AJ576" s="168"/>
      <c r="AK576" s="170"/>
      <c r="AL576" s="170"/>
    </row>
    <row r="577" ht="15.75" customHeight="1">
      <c r="A577" s="161"/>
      <c r="B577" s="161"/>
      <c r="C577" s="162"/>
      <c r="D577" s="163"/>
      <c r="E577" s="164"/>
      <c r="F577" s="165"/>
      <c r="G577" s="166"/>
      <c r="H577" s="167"/>
      <c r="I577" s="167"/>
      <c r="J577" s="167"/>
      <c r="K577" s="167"/>
      <c r="L577" s="167"/>
      <c r="M577" s="167"/>
      <c r="N577" s="167"/>
      <c r="O577" s="167"/>
      <c r="P577" s="164"/>
      <c r="Q577" s="165"/>
      <c r="R577" s="165"/>
      <c r="S577" s="167"/>
      <c r="T577" s="167"/>
      <c r="U577" s="167"/>
      <c r="V577" s="168"/>
      <c r="W577" s="168"/>
      <c r="X577" s="168"/>
      <c r="Y577" s="168"/>
      <c r="Z577" s="168"/>
      <c r="AA577" s="168"/>
      <c r="AB577" s="164"/>
      <c r="AC577" s="165"/>
      <c r="AD577" s="165"/>
      <c r="AE577" s="169"/>
      <c r="AF577" s="169"/>
      <c r="AG577" s="169"/>
      <c r="AH577" s="168"/>
      <c r="AI577" s="168"/>
      <c r="AJ577" s="168"/>
      <c r="AK577" s="170"/>
      <c r="AL577" s="170"/>
    </row>
    <row r="578" ht="15.75" customHeight="1">
      <c r="A578" s="161"/>
      <c r="B578" s="161"/>
      <c r="C578" s="162"/>
      <c r="D578" s="163"/>
      <c r="E578" s="164"/>
      <c r="F578" s="165"/>
      <c r="G578" s="166"/>
      <c r="H578" s="167"/>
      <c r="I578" s="167"/>
      <c r="J578" s="167"/>
      <c r="K578" s="167"/>
      <c r="L578" s="167"/>
      <c r="M578" s="167"/>
      <c r="N578" s="167"/>
      <c r="O578" s="167"/>
      <c r="P578" s="164"/>
      <c r="Q578" s="165"/>
      <c r="R578" s="165"/>
      <c r="S578" s="167"/>
      <c r="T578" s="167"/>
      <c r="U578" s="167"/>
      <c r="V578" s="168"/>
      <c r="W578" s="168"/>
      <c r="X578" s="168"/>
      <c r="Y578" s="168"/>
      <c r="Z578" s="168"/>
      <c r="AA578" s="168"/>
      <c r="AB578" s="164"/>
      <c r="AC578" s="165"/>
      <c r="AD578" s="165"/>
      <c r="AE578" s="169"/>
      <c r="AF578" s="169"/>
      <c r="AG578" s="169"/>
      <c r="AH578" s="168"/>
      <c r="AI578" s="168"/>
      <c r="AJ578" s="168"/>
      <c r="AK578" s="170"/>
      <c r="AL578" s="170"/>
    </row>
    <row r="579" ht="15.75" customHeight="1">
      <c r="A579" s="161"/>
      <c r="B579" s="161"/>
      <c r="C579" s="162"/>
      <c r="D579" s="163"/>
      <c r="E579" s="164"/>
      <c r="F579" s="165"/>
      <c r="G579" s="166"/>
      <c r="H579" s="167"/>
      <c r="I579" s="167"/>
      <c r="J579" s="167"/>
      <c r="K579" s="167"/>
      <c r="L579" s="167"/>
      <c r="M579" s="167"/>
      <c r="N579" s="167"/>
      <c r="O579" s="167"/>
      <c r="P579" s="164"/>
      <c r="Q579" s="165"/>
      <c r="R579" s="165"/>
      <c r="S579" s="167"/>
      <c r="T579" s="167"/>
      <c r="U579" s="167"/>
      <c r="V579" s="168"/>
      <c r="W579" s="168"/>
      <c r="X579" s="168"/>
      <c r="Y579" s="168"/>
      <c r="Z579" s="168"/>
      <c r="AA579" s="168"/>
      <c r="AB579" s="164"/>
      <c r="AC579" s="165"/>
      <c r="AD579" s="165"/>
      <c r="AE579" s="169"/>
      <c r="AF579" s="169"/>
      <c r="AG579" s="169"/>
      <c r="AH579" s="168"/>
      <c r="AI579" s="168"/>
      <c r="AJ579" s="168"/>
      <c r="AK579" s="170"/>
      <c r="AL579" s="170"/>
    </row>
    <row r="580" ht="15.75" customHeight="1">
      <c r="A580" s="161"/>
      <c r="B580" s="161"/>
      <c r="C580" s="162"/>
      <c r="D580" s="163"/>
      <c r="E580" s="164"/>
      <c r="F580" s="165"/>
      <c r="G580" s="166"/>
      <c r="H580" s="167"/>
      <c r="I580" s="167"/>
      <c r="J580" s="167"/>
      <c r="K580" s="167"/>
      <c r="L580" s="167"/>
      <c r="M580" s="167"/>
      <c r="N580" s="167"/>
      <c r="O580" s="167"/>
      <c r="P580" s="164"/>
      <c r="Q580" s="165"/>
      <c r="R580" s="165"/>
      <c r="S580" s="167"/>
      <c r="T580" s="167"/>
      <c r="U580" s="167"/>
      <c r="V580" s="168"/>
      <c r="W580" s="168"/>
      <c r="X580" s="168"/>
      <c r="Y580" s="168"/>
      <c r="Z580" s="168"/>
      <c r="AA580" s="168"/>
      <c r="AB580" s="164"/>
      <c r="AC580" s="165"/>
      <c r="AD580" s="165"/>
      <c r="AE580" s="169"/>
      <c r="AF580" s="169"/>
      <c r="AG580" s="169"/>
      <c r="AH580" s="168"/>
      <c r="AI580" s="168"/>
      <c r="AJ580" s="168"/>
      <c r="AK580" s="170"/>
      <c r="AL580" s="170"/>
    </row>
    <row r="581" ht="15.75" customHeight="1">
      <c r="A581" s="161"/>
      <c r="B581" s="161"/>
      <c r="C581" s="162"/>
      <c r="D581" s="163"/>
      <c r="E581" s="164"/>
      <c r="F581" s="165"/>
      <c r="G581" s="166"/>
      <c r="H581" s="167"/>
      <c r="I581" s="167"/>
      <c r="J581" s="167"/>
      <c r="K581" s="167"/>
      <c r="L581" s="167"/>
      <c r="M581" s="167"/>
      <c r="N581" s="167"/>
      <c r="O581" s="167"/>
      <c r="P581" s="164"/>
      <c r="Q581" s="165"/>
      <c r="R581" s="165"/>
      <c r="S581" s="167"/>
      <c r="T581" s="167"/>
      <c r="U581" s="167"/>
      <c r="V581" s="168"/>
      <c r="W581" s="168"/>
      <c r="X581" s="168"/>
      <c r="Y581" s="168"/>
      <c r="Z581" s="168"/>
      <c r="AA581" s="168"/>
      <c r="AB581" s="164"/>
      <c r="AC581" s="165"/>
      <c r="AD581" s="165"/>
      <c r="AE581" s="169"/>
      <c r="AF581" s="169"/>
      <c r="AG581" s="169"/>
      <c r="AH581" s="168"/>
      <c r="AI581" s="168"/>
      <c r="AJ581" s="168"/>
      <c r="AK581" s="170"/>
      <c r="AL581" s="170"/>
    </row>
    <row r="582" ht="15.75" customHeight="1">
      <c r="A582" s="161"/>
      <c r="B582" s="161"/>
      <c r="C582" s="162"/>
      <c r="D582" s="163"/>
      <c r="E582" s="164"/>
      <c r="F582" s="165"/>
      <c r="G582" s="166"/>
      <c r="H582" s="167"/>
      <c r="I582" s="167"/>
      <c r="J582" s="167"/>
      <c r="K582" s="167"/>
      <c r="L582" s="167"/>
      <c r="M582" s="167"/>
      <c r="N582" s="167"/>
      <c r="O582" s="167"/>
      <c r="P582" s="164"/>
      <c r="Q582" s="165"/>
      <c r="R582" s="165"/>
      <c r="S582" s="167"/>
      <c r="T582" s="167"/>
      <c r="U582" s="167"/>
      <c r="V582" s="168"/>
      <c r="W582" s="168"/>
      <c r="X582" s="168"/>
      <c r="Y582" s="168"/>
      <c r="Z582" s="168"/>
      <c r="AA582" s="168"/>
      <c r="AB582" s="164"/>
      <c r="AC582" s="165"/>
      <c r="AD582" s="165"/>
      <c r="AE582" s="169"/>
      <c r="AF582" s="169"/>
      <c r="AG582" s="169"/>
      <c r="AH582" s="168"/>
      <c r="AI582" s="168"/>
      <c r="AJ582" s="168"/>
      <c r="AK582" s="170"/>
      <c r="AL582" s="170"/>
    </row>
    <row r="583" ht="15.75" customHeight="1">
      <c r="A583" s="161"/>
      <c r="B583" s="161"/>
      <c r="C583" s="162"/>
      <c r="D583" s="163"/>
      <c r="E583" s="164"/>
      <c r="F583" s="165"/>
      <c r="G583" s="166"/>
      <c r="H583" s="167"/>
      <c r="I583" s="167"/>
      <c r="J583" s="167"/>
      <c r="K583" s="167"/>
      <c r="L583" s="167"/>
      <c r="M583" s="167"/>
      <c r="N583" s="167"/>
      <c r="O583" s="167"/>
      <c r="P583" s="164"/>
      <c r="Q583" s="165"/>
      <c r="R583" s="165"/>
      <c r="S583" s="167"/>
      <c r="T583" s="167"/>
      <c r="U583" s="167"/>
      <c r="V583" s="168"/>
      <c r="W583" s="168"/>
      <c r="X583" s="168"/>
      <c r="Y583" s="168"/>
      <c r="Z583" s="168"/>
      <c r="AA583" s="168"/>
      <c r="AB583" s="164"/>
      <c r="AC583" s="165"/>
      <c r="AD583" s="165"/>
      <c r="AE583" s="169"/>
      <c r="AF583" s="169"/>
      <c r="AG583" s="169"/>
      <c r="AH583" s="168"/>
      <c r="AI583" s="168"/>
      <c r="AJ583" s="168"/>
      <c r="AK583" s="170"/>
      <c r="AL583" s="170"/>
    </row>
    <row r="584" ht="15.75" customHeight="1">
      <c r="A584" s="161"/>
      <c r="B584" s="161"/>
      <c r="C584" s="162"/>
      <c r="D584" s="163"/>
      <c r="E584" s="164"/>
      <c r="F584" s="165"/>
      <c r="G584" s="166"/>
      <c r="H584" s="167"/>
      <c r="I584" s="167"/>
      <c r="J584" s="167"/>
      <c r="K584" s="167"/>
      <c r="L584" s="167"/>
      <c r="M584" s="167"/>
      <c r="N584" s="167"/>
      <c r="O584" s="167"/>
      <c r="P584" s="164"/>
      <c r="Q584" s="165"/>
      <c r="R584" s="165"/>
      <c r="S584" s="167"/>
      <c r="T584" s="167"/>
      <c r="U584" s="167"/>
      <c r="V584" s="168"/>
      <c r="W584" s="168"/>
      <c r="X584" s="168"/>
      <c r="Y584" s="168"/>
      <c r="Z584" s="168"/>
      <c r="AA584" s="168"/>
      <c r="AB584" s="164"/>
      <c r="AC584" s="165"/>
      <c r="AD584" s="165"/>
      <c r="AE584" s="169"/>
      <c r="AF584" s="169"/>
      <c r="AG584" s="169"/>
      <c r="AH584" s="168"/>
      <c r="AI584" s="168"/>
      <c r="AJ584" s="168"/>
      <c r="AK584" s="170"/>
      <c r="AL584" s="170"/>
    </row>
    <row r="585" ht="15.75" customHeight="1">
      <c r="A585" s="161"/>
      <c r="B585" s="161"/>
      <c r="C585" s="162"/>
      <c r="D585" s="163"/>
      <c r="E585" s="164"/>
      <c r="F585" s="165"/>
      <c r="G585" s="166"/>
      <c r="H585" s="167"/>
      <c r="I585" s="167"/>
      <c r="J585" s="167"/>
      <c r="K585" s="167"/>
      <c r="L585" s="167"/>
      <c r="M585" s="167"/>
      <c r="N585" s="167"/>
      <c r="O585" s="167"/>
      <c r="P585" s="164"/>
      <c r="Q585" s="165"/>
      <c r="R585" s="165"/>
      <c r="S585" s="167"/>
      <c r="T585" s="167"/>
      <c r="U585" s="167"/>
      <c r="V585" s="168"/>
      <c r="W585" s="168"/>
      <c r="X585" s="168"/>
      <c r="Y585" s="168"/>
      <c r="Z585" s="168"/>
      <c r="AA585" s="168"/>
      <c r="AB585" s="164"/>
      <c r="AC585" s="165"/>
      <c r="AD585" s="165"/>
      <c r="AE585" s="169"/>
      <c r="AF585" s="169"/>
      <c r="AG585" s="169"/>
      <c r="AH585" s="168"/>
      <c r="AI585" s="168"/>
      <c r="AJ585" s="168"/>
      <c r="AK585" s="170"/>
      <c r="AL585" s="170"/>
    </row>
    <row r="586" ht="15.75" customHeight="1">
      <c r="A586" s="161"/>
      <c r="B586" s="161"/>
      <c r="C586" s="162"/>
      <c r="D586" s="163"/>
      <c r="E586" s="164"/>
      <c r="F586" s="165"/>
      <c r="G586" s="166"/>
      <c r="H586" s="167"/>
      <c r="I586" s="167"/>
      <c r="J586" s="167"/>
      <c r="K586" s="167"/>
      <c r="L586" s="167"/>
      <c r="M586" s="167"/>
      <c r="N586" s="167"/>
      <c r="O586" s="167"/>
      <c r="P586" s="164"/>
      <c r="Q586" s="165"/>
      <c r="R586" s="165"/>
      <c r="S586" s="167"/>
      <c r="T586" s="167"/>
      <c r="U586" s="167"/>
      <c r="V586" s="168"/>
      <c r="W586" s="168"/>
      <c r="X586" s="168"/>
      <c r="Y586" s="168"/>
      <c r="Z586" s="168"/>
      <c r="AA586" s="168"/>
      <c r="AB586" s="164"/>
      <c r="AC586" s="165"/>
      <c r="AD586" s="165"/>
      <c r="AE586" s="169"/>
      <c r="AF586" s="169"/>
      <c r="AG586" s="169"/>
      <c r="AH586" s="168"/>
      <c r="AI586" s="168"/>
      <c r="AJ586" s="168"/>
      <c r="AK586" s="170"/>
      <c r="AL586" s="170"/>
    </row>
    <row r="587" ht="15.75" customHeight="1">
      <c r="A587" s="161"/>
      <c r="B587" s="161"/>
      <c r="C587" s="162"/>
      <c r="D587" s="163"/>
      <c r="E587" s="164"/>
      <c r="F587" s="165"/>
      <c r="G587" s="166"/>
      <c r="H587" s="167"/>
      <c r="I587" s="167"/>
      <c r="J587" s="167"/>
      <c r="K587" s="167"/>
      <c r="L587" s="167"/>
      <c r="M587" s="167"/>
      <c r="N587" s="167"/>
      <c r="O587" s="167"/>
      <c r="P587" s="164"/>
      <c r="Q587" s="165"/>
      <c r="R587" s="165"/>
      <c r="S587" s="167"/>
      <c r="T587" s="167"/>
      <c r="U587" s="167"/>
      <c r="V587" s="168"/>
      <c r="W587" s="168"/>
      <c r="X587" s="168"/>
      <c r="Y587" s="168"/>
      <c r="Z587" s="168"/>
      <c r="AA587" s="168"/>
      <c r="AB587" s="164"/>
      <c r="AC587" s="165"/>
      <c r="AD587" s="165"/>
      <c r="AE587" s="169"/>
      <c r="AF587" s="169"/>
      <c r="AG587" s="169"/>
      <c r="AH587" s="168"/>
      <c r="AI587" s="168"/>
      <c r="AJ587" s="168"/>
      <c r="AK587" s="170"/>
      <c r="AL587" s="170"/>
    </row>
    <row r="588" ht="15.75" customHeight="1">
      <c r="A588" s="161"/>
      <c r="B588" s="161"/>
      <c r="C588" s="162"/>
      <c r="D588" s="163"/>
      <c r="E588" s="164"/>
      <c r="F588" s="165"/>
      <c r="G588" s="166"/>
      <c r="H588" s="167"/>
      <c r="I588" s="167"/>
      <c r="J588" s="167"/>
      <c r="K588" s="167"/>
      <c r="L588" s="167"/>
      <c r="M588" s="167"/>
      <c r="N588" s="167"/>
      <c r="O588" s="167"/>
      <c r="P588" s="164"/>
      <c r="Q588" s="165"/>
      <c r="R588" s="165"/>
      <c r="S588" s="167"/>
      <c r="T588" s="167"/>
      <c r="U588" s="167"/>
      <c r="V588" s="168"/>
      <c r="W588" s="168"/>
      <c r="X588" s="168"/>
      <c r="Y588" s="168"/>
      <c r="Z588" s="168"/>
      <c r="AA588" s="168"/>
      <c r="AB588" s="164"/>
      <c r="AC588" s="165"/>
      <c r="AD588" s="165"/>
      <c r="AE588" s="169"/>
      <c r="AF588" s="169"/>
      <c r="AG588" s="169"/>
      <c r="AH588" s="168"/>
      <c r="AI588" s="168"/>
      <c r="AJ588" s="168"/>
      <c r="AK588" s="170"/>
      <c r="AL588" s="170"/>
    </row>
    <row r="589" ht="15.75" customHeight="1">
      <c r="A589" s="161"/>
      <c r="B589" s="161"/>
      <c r="C589" s="162"/>
      <c r="D589" s="163"/>
      <c r="E589" s="164"/>
      <c r="F589" s="165"/>
      <c r="G589" s="166"/>
      <c r="H589" s="167"/>
      <c r="I589" s="167"/>
      <c r="J589" s="167"/>
      <c r="K589" s="167"/>
      <c r="L589" s="167"/>
      <c r="M589" s="167"/>
      <c r="N589" s="167"/>
      <c r="O589" s="167"/>
      <c r="P589" s="164"/>
      <c r="Q589" s="165"/>
      <c r="R589" s="165"/>
      <c r="S589" s="167"/>
      <c r="T589" s="167"/>
      <c r="U589" s="167"/>
      <c r="V589" s="168"/>
      <c r="W589" s="168"/>
      <c r="X589" s="168"/>
      <c r="Y589" s="168"/>
      <c r="Z589" s="168"/>
      <c r="AA589" s="168"/>
      <c r="AB589" s="164"/>
      <c r="AC589" s="165"/>
      <c r="AD589" s="165"/>
      <c r="AE589" s="169"/>
      <c r="AF589" s="169"/>
      <c r="AG589" s="169"/>
      <c r="AH589" s="168"/>
      <c r="AI589" s="168"/>
      <c r="AJ589" s="168"/>
      <c r="AK589" s="170"/>
      <c r="AL589" s="170"/>
    </row>
    <row r="590" ht="15.75" customHeight="1">
      <c r="A590" s="161"/>
      <c r="B590" s="161"/>
      <c r="C590" s="162"/>
      <c r="D590" s="163"/>
      <c r="E590" s="164"/>
      <c r="F590" s="165"/>
      <c r="G590" s="166"/>
      <c r="H590" s="167"/>
      <c r="I590" s="167"/>
      <c r="J590" s="167"/>
      <c r="K590" s="167"/>
      <c r="L590" s="167"/>
      <c r="M590" s="167"/>
      <c r="N590" s="167"/>
      <c r="O590" s="167"/>
      <c r="P590" s="164"/>
      <c r="Q590" s="165"/>
      <c r="R590" s="165"/>
      <c r="S590" s="167"/>
      <c r="T590" s="167"/>
      <c r="U590" s="167"/>
      <c r="V590" s="168"/>
      <c r="W590" s="168"/>
      <c r="X590" s="168"/>
      <c r="Y590" s="168"/>
      <c r="Z590" s="168"/>
      <c r="AA590" s="168"/>
      <c r="AB590" s="164"/>
      <c r="AC590" s="165"/>
      <c r="AD590" s="165"/>
      <c r="AE590" s="169"/>
      <c r="AF590" s="169"/>
      <c r="AG590" s="169"/>
      <c r="AH590" s="168"/>
      <c r="AI590" s="168"/>
      <c r="AJ590" s="168"/>
      <c r="AK590" s="170"/>
      <c r="AL590" s="170"/>
    </row>
    <row r="591" ht="15.75" customHeight="1">
      <c r="A591" s="161"/>
      <c r="B591" s="161"/>
      <c r="C591" s="162"/>
      <c r="D591" s="163"/>
      <c r="E591" s="164"/>
      <c r="F591" s="165"/>
      <c r="G591" s="166"/>
      <c r="H591" s="167"/>
      <c r="I591" s="167"/>
      <c r="J591" s="167"/>
      <c r="K591" s="167"/>
      <c r="L591" s="167"/>
      <c r="M591" s="167"/>
      <c r="N591" s="167"/>
      <c r="O591" s="167"/>
      <c r="P591" s="164"/>
      <c r="Q591" s="165"/>
      <c r="R591" s="165"/>
      <c r="S591" s="167"/>
      <c r="T591" s="167"/>
      <c r="U591" s="167"/>
      <c r="V591" s="168"/>
      <c r="W591" s="168"/>
      <c r="X591" s="168"/>
      <c r="Y591" s="168"/>
      <c r="Z591" s="168"/>
      <c r="AA591" s="168"/>
      <c r="AB591" s="164"/>
      <c r="AC591" s="165"/>
      <c r="AD591" s="165"/>
      <c r="AE591" s="169"/>
      <c r="AF591" s="169"/>
      <c r="AG591" s="169"/>
      <c r="AH591" s="168"/>
      <c r="AI591" s="168"/>
      <c r="AJ591" s="168"/>
      <c r="AK591" s="170"/>
      <c r="AL591" s="170"/>
    </row>
    <row r="592" ht="15.75" customHeight="1">
      <c r="A592" s="161"/>
      <c r="B592" s="161"/>
      <c r="C592" s="162"/>
      <c r="D592" s="163"/>
      <c r="E592" s="164"/>
      <c r="F592" s="165"/>
      <c r="G592" s="166"/>
      <c r="H592" s="167"/>
      <c r="I592" s="167"/>
      <c r="J592" s="167"/>
      <c r="K592" s="167"/>
      <c r="L592" s="167"/>
      <c r="M592" s="167"/>
      <c r="N592" s="167"/>
      <c r="O592" s="167"/>
      <c r="P592" s="164"/>
      <c r="Q592" s="165"/>
      <c r="R592" s="165"/>
      <c r="S592" s="167"/>
      <c r="T592" s="167"/>
      <c r="U592" s="167"/>
      <c r="V592" s="168"/>
      <c r="W592" s="168"/>
      <c r="X592" s="168"/>
      <c r="Y592" s="168"/>
      <c r="Z592" s="168"/>
      <c r="AA592" s="168"/>
      <c r="AB592" s="164"/>
      <c r="AC592" s="165"/>
      <c r="AD592" s="165"/>
      <c r="AE592" s="169"/>
      <c r="AF592" s="169"/>
      <c r="AG592" s="169"/>
      <c r="AH592" s="168"/>
      <c r="AI592" s="168"/>
      <c r="AJ592" s="168"/>
      <c r="AK592" s="170"/>
      <c r="AL592" s="170"/>
    </row>
    <row r="593" ht="15.75" customHeight="1">
      <c r="A593" s="161"/>
      <c r="B593" s="161"/>
      <c r="C593" s="162"/>
      <c r="D593" s="163"/>
      <c r="E593" s="164"/>
      <c r="F593" s="165"/>
      <c r="G593" s="166"/>
      <c r="H593" s="167"/>
      <c r="I593" s="167"/>
      <c r="J593" s="167"/>
      <c r="K593" s="167"/>
      <c r="L593" s="167"/>
      <c r="M593" s="167"/>
      <c r="N593" s="167"/>
      <c r="O593" s="167"/>
      <c r="P593" s="164"/>
      <c r="Q593" s="165"/>
      <c r="R593" s="165"/>
      <c r="S593" s="167"/>
      <c r="T593" s="167"/>
      <c r="U593" s="167"/>
      <c r="V593" s="168"/>
      <c r="W593" s="168"/>
      <c r="X593" s="168"/>
      <c r="Y593" s="168"/>
      <c r="Z593" s="168"/>
      <c r="AA593" s="168"/>
      <c r="AB593" s="164"/>
      <c r="AC593" s="165"/>
      <c r="AD593" s="165"/>
      <c r="AE593" s="169"/>
      <c r="AF593" s="169"/>
      <c r="AG593" s="169"/>
      <c r="AH593" s="168"/>
      <c r="AI593" s="168"/>
      <c r="AJ593" s="168"/>
      <c r="AK593" s="170"/>
      <c r="AL593" s="170"/>
    </row>
    <row r="594" ht="15.75" customHeight="1">
      <c r="A594" s="161"/>
      <c r="B594" s="161"/>
      <c r="C594" s="162"/>
      <c r="D594" s="163"/>
      <c r="E594" s="164"/>
      <c r="F594" s="165"/>
      <c r="G594" s="166"/>
      <c r="H594" s="167"/>
      <c r="I594" s="167"/>
      <c r="J594" s="167"/>
      <c r="K594" s="167"/>
      <c r="L594" s="167"/>
      <c r="M594" s="167"/>
      <c r="N594" s="167"/>
      <c r="O594" s="167"/>
      <c r="P594" s="164"/>
      <c r="Q594" s="165"/>
      <c r="R594" s="165"/>
      <c r="S594" s="167"/>
      <c r="T594" s="167"/>
      <c r="U594" s="167"/>
      <c r="V594" s="168"/>
      <c r="W594" s="168"/>
      <c r="X594" s="168"/>
      <c r="Y594" s="168"/>
      <c r="Z594" s="168"/>
      <c r="AA594" s="168"/>
      <c r="AB594" s="164"/>
      <c r="AC594" s="165"/>
      <c r="AD594" s="165"/>
      <c r="AE594" s="169"/>
      <c r="AF594" s="169"/>
      <c r="AG594" s="169"/>
      <c r="AH594" s="168"/>
      <c r="AI594" s="168"/>
      <c r="AJ594" s="168"/>
      <c r="AK594" s="170"/>
      <c r="AL594" s="170"/>
    </row>
    <row r="595" ht="15.75" customHeight="1">
      <c r="A595" s="161"/>
      <c r="B595" s="161"/>
      <c r="C595" s="162"/>
      <c r="D595" s="163"/>
      <c r="E595" s="164"/>
      <c r="F595" s="165"/>
      <c r="G595" s="166"/>
      <c r="H595" s="167"/>
      <c r="I595" s="167"/>
      <c r="J595" s="167"/>
      <c r="K595" s="167"/>
      <c r="L595" s="167"/>
      <c r="M595" s="167"/>
      <c r="N595" s="167"/>
      <c r="O595" s="167"/>
      <c r="P595" s="164"/>
      <c r="Q595" s="165"/>
      <c r="R595" s="165"/>
      <c r="S595" s="167"/>
      <c r="T595" s="167"/>
      <c r="U595" s="167"/>
      <c r="V595" s="168"/>
      <c r="W595" s="168"/>
      <c r="X595" s="168"/>
      <c r="Y595" s="168"/>
      <c r="Z595" s="168"/>
      <c r="AA595" s="168"/>
      <c r="AB595" s="164"/>
      <c r="AC595" s="165"/>
      <c r="AD595" s="165"/>
      <c r="AE595" s="169"/>
      <c r="AF595" s="169"/>
      <c r="AG595" s="169"/>
      <c r="AH595" s="168"/>
      <c r="AI595" s="168"/>
      <c r="AJ595" s="168"/>
      <c r="AK595" s="170"/>
      <c r="AL595" s="170"/>
    </row>
    <row r="596" ht="15.75" customHeight="1">
      <c r="A596" s="161"/>
      <c r="B596" s="161"/>
      <c r="C596" s="162"/>
      <c r="D596" s="163"/>
      <c r="E596" s="164"/>
      <c r="F596" s="165"/>
      <c r="G596" s="166"/>
      <c r="H596" s="167"/>
      <c r="I596" s="167"/>
      <c r="J596" s="167"/>
      <c r="K596" s="167"/>
      <c r="L596" s="167"/>
      <c r="M596" s="167"/>
      <c r="N596" s="167"/>
      <c r="O596" s="167"/>
      <c r="P596" s="164"/>
      <c r="Q596" s="165"/>
      <c r="R596" s="165"/>
      <c r="S596" s="167"/>
      <c r="T596" s="167"/>
      <c r="U596" s="167"/>
      <c r="V596" s="168"/>
      <c r="W596" s="168"/>
      <c r="X596" s="168"/>
      <c r="Y596" s="168"/>
      <c r="Z596" s="168"/>
      <c r="AA596" s="168"/>
      <c r="AB596" s="164"/>
      <c r="AC596" s="165"/>
      <c r="AD596" s="165"/>
      <c r="AE596" s="169"/>
      <c r="AF596" s="169"/>
      <c r="AG596" s="169"/>
      <c r="AH596" s="168"/>
      <c r="AI596" s="168"/>
      <c r="AJ596" s="168"/>
      <c r="AK596" s="170"/>
      <c r="AL596" s="170"/>
    </row>
    <row r="597" ht="15.75" customHeight="1">
      <c r="A597" s="161"/>
      <c r="B597" s="161"/>
      <c r="C597" s="162"/>
      <c r="D597" s="163"/>
      <c r="E597" s="164"/>
      <c r="F597" s="165"/>
      <c r="G597" s="166"/>
      <c r="H597" s="167"/>
      <c r="I597" s="167"/>
      <c r="J597" s="167"/>
      <c r="K597" s="167"/>
      <c r="L597" s="167"/>
      <c r="M597" s="167"/>
      <c r="N597" s="167"/>
      <c r="O597" s="167"/>
      <c r="P597" s="164"/>
      <c r="Q597" s="165"/>
      <c r="R597" s="165"/>
      <c r="S597" s="167"/>
      <c r="T597" s="167"/>
      <c r="U597" s="167"/>
      <c r="V597" s="168"/>
      <c r="W597" s="168"/>
      <c r="X597" s="168"/>
      <c r="Y597" s="168"/>
      <c r="Z597" s="168"/>
      <c r="AA597" s="168"/>
      <c r="AB597" s="164"/>
      <c r="AC597" s="165"/>
      <c r="AD597" s="165"/>
      <c r="AE597" s="169"/>
      <c r="AF597" s="169"/>
      <c r="AG597" s="169"/>
      <c r="AH597" s="168"/>
      <c r="AI597" s="168"/>
      <c r="AJ597" s="168"/>
      <c r="AK597" s="170"/>
      <c r="AL597" s="170"/>
    </row>
    <row r="598" ht="15.75" customHeight="1">
      <c r="A598" s="161"/>
      <c r="B598" s="161"/>
      <c r="C598" s="162"/>
      <c r="D598" s="163"/>
      <c r="E598" s="164"/>
      <c r="F598" s="165"/>
      <c r="G598" s="166"/>
      <c r="H598" s="167"/>
      <c r="I598" s="167"/>
      <c r="J598" s="167"/>
      <c r="K598" s="167"/>
      <c r="L598" s="167"/>
      <c r="M598" s="167"/>
      <c r="N598" s="167"/>
      <c r="O598" s="167"/>
      <c r="P598" s="164"/>
      <c r="Q598" s="165"/>
      <c r="R598" s="165"/>
      <c r="S598" s="167"/>
      <c r="T598" s="167"/>
      <c r="U598" s="167"/>
      <c r="V598" s="168"/>
      <c r="W598" s="168"/>
      <c r="X598" s="168"/>
      <c r="Y598" s="168"/>
      <c r="Z598" s="168"/>
      <c r="AA598" s="168"/>
      <c r="AB598" s="164"/>
      <c r="AC598" s="165"/>
      <c r="AD598" s="165"/>
      <c r="AE598" s="169"/>
      <c r="AF598" s="169"/>
      <c r="AG598" s="169"/>
      <c r="AH598" s="168"/>
      <c r="AI598" s="168"/>
      <c r="AJ598" s="168"/>
      <c r="AK598" s="170"/>
      <c r="AL598" s="170"/>
    </row>
    <row r="599" ht="15.75" customHeight="1">
      <c r="A599" s="161"/>
      <c r="B599" s="161"/>
      <c r="C599" s="162"/>
      <c r="D599" s="163"/>
      <c r="E599" s="164"/>
      <c r="F599" s="165"/>
      <c r="G599" s="166"/>
      <c r="H599" s="167"/>
      <c r="I599" s="167"/>
      <c r="J599" s="167"/>
      <c r="K599" s="167"/>
      <c r="L599" s="167"/>
      <c r="M599" s="167"/>
      <c r="N599" s="167"/>
      <c r="O599" s="167"/>
      <c r="P599" s="164"/>
      <c r="Q599" s="165"/>
      <c r="R599" s="165"/>
      <c r="S599" s="167"/>
      <c r="T599" s="167"/>
      <c r="U599" s="167"/>
      <c r="V599" s="168"/>
      <c r="W599" s="168"/>
      <c r="X599" s="168"/>
      <c r="Y599" s="168"/>
      <c r="Z599" s="168"/>
      <c r="AA599" s="168"/>
      <c r="AB599" s="164"/>
      <c r="AC599" s="165"/>
      <c r="AD599" s="165"/>
      <c r="AE599" s="169"/>
      <c r="AF599" s="169"/>
      <c r="AG599" s="169"/>
      <c r="AH599" s="168"/>
      <c r="AI599" s="168"/>
      <c r="AJ599" s="168"/>
      <c r="AK599" s="170"/>
      <c r="AL599" s="170"/>
    </row>
    <row r="600" ht="15.75" customHeight="1">
      <c r="A600" s="161"/>
      <c r="B600" s="161"/>
      <c r="C600" s="162"/>
      <c r="D600" s="163"/>
      <c r="E600" s="164"/>
      <c r="F600" s="165"/>
      <c r="G600" s="166"/>
      <c r="H600" s="167"/>
      <c r="I600" s="167"/>
      <c r="J600" s="167"/>
      <c r="K600" s="167"/>
      <c r="L600" s="167"/>
      <c r="M600" s="167"/>
      <c r="N600" s="167"/>
      <c r="O600" s="167"/>
      <c r="P600" s="164"/>
      <c r="Q600" s="165"/>
      <c r="R600" s="165"/>
      <c r="S600" s="167"/>
      <c r="T600" s="167"/>
      <c r="U600" s="167"/>
      <c r="V600" s="168"/>
      <c r="W600" s="168"/>
      <c r="X600" s="168"/>
      <c r="Y600" s="168"/>
      <c r="Z600" s="168"/>
      <c r="AA600" s="168"/>
      <c r="AB600" s="164"/>
      <c r="AC600" s="165"/>
      <c r="AD600" s="165"/>
      <c r="AE600" s="169"/>
      <c r="AF600" s="169"/>
      <c r="AG600" s="169"/>
      <c r="AH600" s="168"/>
      <c r="AI600" s="168"/>
      <c r="AJ600" s="168"/>
      <c r="AK600" s="170"/>
      <c r="AL600" s="170"/>
    </row>
    <row r="601" ht="15.75" customHeight="1">
      <c r="A601" s="161"/>
      <c r="B601" s="161"/>
      <c r="C601" s="162"/>
      <c r="D601" s="163"/>
      <c r="E601" s="164"/>
      <c r="F601" s="165"/>
      <c r="G601" s="166"/>
      <c r="H601" s="167"/>
      <c r="I601" s="167"/>
      <c r="J601" s="167"/>
      <c r="K601" s="167"/>
      <c r="L601" s="167"/>
      <c r="M601" s="167"/>
      <c r="N601" s="167"/>
      <c r="O601" s="167"/>
      <c r="P601" s="164"/>
      <c r="Q601" s="165"/>
      <c r="R601" s="165"/>
      <c r="S601" s="167"/>
      <c r="T601" s="167"/>
      <c r="U601" s="167"/>
      <c r="V601" s="168"/>
      <c r="W601" s="168"/>
      <c r="X601" s="168"/>
      <c r="Y601" s="168"/>
      <c r="Z601" s="168"/>
      <c r="AA601" s="168"/>
      <c r="AB601" s="164"/>
      <c r="AC601" s="165"/>
      <c r="AD601" s="165"/>
      <c r="AE601" s="169"/>
      <c r="AF601" s="169"/>
      <c r="AG601" s="169"/>
      <c r="AH601" s="168"/>
      <c r="AI601" s="168"/>
      <c r="AJ601" s="168"/>
      <c r="AK601" s="170"/>
      <c r="AL601" s="170"/>
    </row>
    <row r="602" ht="15.75" customHeight="1">
      <c r="A602" s="161"/>
      <c r="B602" s="161"/>
      <c r="C602" s="162"/>
      <c r="D602" s="163"/>
      <c r="E602" s="164"/>
      <c r="F602" s="165"/>
      <c r="G602" s="166"/>
      <c r="H602" s="167"/>
      <c r="I602" s="167"/>
      <c r="J602" s="167"/>
      <c r="K602" s="167"/>
      <c r="L602" s="167"/>
      <c r="M602" s="167"/>
      <c r="N602" s="167"/>
      <c r="O602" s="167"/>
      <c r="P602" s="164"/>
      <c r="Q602" s="165"/>
      <c r="R602" s="165"/>
      <c r="S602" s="167"/>
      <c r="T602" s="167"/>
      <c r="U602" s="167"/>
      <c r="V602" s="168"/>
      <c r="W602" s="168"/>
      <c r="X602" s="168"/>
      <c r="Y602" s="168"/>
      <c r="Z602" s="168"/>
      <c r="AA602" s="168"/>
      <c r="AB602" s="164"/>
      <c r="AC602" s="165"/>
      <c r="AD602" s="165"/>
      <c r="AE602" s="169"/>
      <c r="AF602" s="169"/>
      <c r="AG602" s="169"/>
      <c r="AH602" s="168"/>
      <c r="AI602" s="168"/>
      <c r="AJ602" s="168"/>
      <c r="AK602" s="170"/>
      <c r="AL602" s="170"/>
    </row>
    <row r="603" ht="15.75" customHeight="1">
      <c r="A603" s="161"/>
      <c r="B603" s="161"/>
      <c r="C603" s="162"/>
      <c r="D603" s="163"/>
      <c r="E603" s="164"/>
      <c r="F603" s="165"/>
      <c r="G603" s="166"/>
      <c r="H603" s="167"/>
      <c r="I603" s="167"/>
      <c r="J603" s="167"/>
      <c r="K603" s="167"/>
      <c r="L603" s="167"/>
      <c r="M603" s="167"/>
      <c r="N603" s="167"/>
      <c r="O603" s="167"/>
      <c r="P603" s="164"/>
      <c r="Q603" s="165"/>
      <c r="R603" s="165"/>
      <c r="S603" s="167"/>
      <c r="T603" s="167"/>
      <c r="U603" s="167"/>
      <c r="V603" s="168"/>
      <c r="W603" s="168"/>
      <c r="X603" s="168"/>
      <c r="Y603" s="168"/>
      <c r="Z603" s="168"/>
      <c r="AA603" s="168"/>
      <c r="AB603" s="164"/>
      <c r="AC603" s="165"/>
      <c r="AD603" s="165"/>
      <c r="AE603" s="169"/>
      <c r="AF603" s="169"/>
      <c r="AG603" s="169"/>
      <c r="AH603" s="168"/>
      <c r="AI603" s="168"/>
      <c r="AJ603" s="168"/>
      <c r="AK603" s="170"/>
      <c r="AL603" s="170"/>
    </row>
    <row r="604" ht="15.75" customHeight="1">
      <c r="A604" s="161"/>
      <c r="B604" s="161"/>
      <c r="C604" s="162"/>
      <c r="D604" s="163"/>
      <c r="E604" s="164"/>
      <c r="F604" s="165"/>
      <c r="G604" s="166"/>
      <c r="H604" s="167"/>
      <c r="I604" s="167"/>
      <c r="J604" s="167"/>
      <c r="K604" s="167"/>
      <c r="L604" s="167"/>
      <c r="M604" s="167"/>
      <c r="N604" s="167"/>
      <c r="O604" s="167"/>
      <c r="P604" s="164"/>
      <c r="Q604" s="165"/>
      <c r="R604" s="165"/>
      <c r="S604" s="167"/>
      <c r="T604" s="167"/>
      <c r="U604" s="167"/>
      <c r="V604" s="168"/>
      <c r="W604" s="168"/>
      <c r="X604" s="168"/>
      <c r="Y604" s="168"/>
      <c r="Z604" s="168"/>
      <c r="AA604" s="168"/>
      <c r="AB604" s="164"/>
      <c r="AC604" s="165"/>
      <c r="AD604" s="165"/>
      <c r="AE604" s="169"/>
      <c r="AF604" s="169"/>
      <c r="AG604" s="169"/>
      <c r="AH604" s="168"/>
      <c r="AI604" s="168"/>
      <c r="AJ604" s="168"/>
      <c r="AK604" s="170"/>
      <c r="AL604" s="170"/>
    </row>
    <row r="605" ht="15.75" customHeight="1">
      <c r="A605" s="161"/>
      <c r="B605" s="161"/>
      <c r="C605" s="162"/>
      <c r="D605" s="163"/>
      <c r="E605" s="164"/>
      <c r="F605" s="165"/>
      <c r="G605" s="166"/>
      <c r="H605" s="167"/>
      <c r="I605" s="167"/>
      <c r="J605" s="167"/>
      <c r="K605" s="167"/>
      <c r="L605" s="167"/>
      <c r="M605" s="167"/>
      <c r="N605" s="167"/>
      <c r="O605" s="167"/>
      <c r="P605" s="164"/>
      <c r="Q605" s="165"/>
      <c r="R605" s="165"/>
      <c r="S605" s="167"/>
      <c r="T605" s="167"/>
      <c r="U605" s="167"/>
      <c r="V605" s="168"/>
      <c r="W605" s="168"/>
      <c r="X605" s="168"/>
      <c r="Y605" s="168"/>
      <c r="Z605" s="168"/>
      <c r="AA605" s="168"/>
      <c r="AB605" s="164"/>
      <c r="AC605" s="165"/>
      <c r="AD605" s="165"/>
      <c r="AE605" s="169"/>
      <c r="AF605" s="169"/>
      <c r="AG605" s="169"/>
      <c r="AH605" s="168"/>
      <c r="AI605" s="168"/>
      <c r="AJ605" s="168"/>
      <c r="AK605" s="170"/>
      <c r="AL605" s="170"/>
    </row>
    <row r="606" ht="15.75" customHeight="1">
      <c r="A606" s="161"/>
      <c r="B606" s="161"/>
      <c r="C606" s="162"/>
      <c r="D606" s="163"/>
      <c r="E606" s="164"/>
      <c r="F606" s="165"/>
      <c r="G606" s="166"/>
      <c r="H606" s="167"/>
      <c r="I606" s="167"/>
      <c r="J606" s="167"/>
      <c r="K606" s="167"/>
      <c r="L606" s="167"/>
      <c r="M606" s="167"/>
      <c r="N606" s="167"/>
      <c r="O606" s="167"/>
      <c r="P606" s="164"/>
      <c r="Q606" s="165"/>
      <c r="R606" s="165"/>
      <c r="S606" s="167"/>
      <c r="T606" s="167"/>
      <c r="U606" s="167"/>
      <c r="V606" s="168"/>
      <c r="W606" s="168"/>
      <c r="X606" s="168"/>
      <c r="Y606" s="168"/>
      <c r="Z606" s="168"/>
      <c r="AA606" s="168"/>
      <c r="AB606" s="164"/>
      <c r="AC606" s="165"/>
      <c r="AD606" s="165"/>
      <c r="AE606" s="169"/>
      <c r="AF606" s="169"/>
      <c r="AG606" s="169"/>
      <c r="AH606" s="168"/>
      <c r="AI606" s="168"/>
      <c r="AJ606" s="168"/>
      <c r="AK606" s="170"/>
      <c r="AL606" s="170"/>
    </row>
    <row r="607" ht="15.75" customHeight="1">
      <c r="A607" s="161"/>
      <c r="B607" s="161"/>
      <c r="C607" s="162"/>
      <c r="D607" s="163"/>
      <c r="E607" s="164"/>
      <c r="F607" s="165"/>
      <c r="G607" s="166"/>
      <c r="H607" s="167"/>
      <c r="I607" s="167"/>
      <c r="J607" s="167"/>
      <c r="K607" s="167"/>
      <c r="L607" s="167"/>
      <c r="M607" s="167"/>
      <c r="N607" s="167"/>
      <c r="O607" s="167"/>
      <c r="P607" s="164"/>
      <c r="Q607" s="165"/>
      <c r="R607" s="165"/>
      <c r="S607" s="167"/>
      <c r="T607" s="167"/>
      <c r="U607" s="167"/>
      <c r="V607" s="168"/>
      <c r="W607" s="168"/>
      <c r="X607" s="168"/>
      <c r="Y607" s="168"/>
      <c r="Z607" s="168"/>
      <c r="AA607" s="168"/>
      <c r="AB607" s="164"/>
      <c r="AC607" s="165"/>
      <c r="AD607" s="165"/>
      <c r="AE607" s="169"/>
      <c r="AF607" s="169"/>
      <c r="AG607" s="169"/>
      <c r="AH607" s="168"/>
      <c r="AI607" s="168"/>
      <c r="AJ607" s="168"/>
      <c r="AK607" s="170"/>
      <c r="AL607" s="170"/>
    </row>
    <row r="608" ht="15.75" customHeight="1">
      <c r="A608" s="161"/>
      <c r="B608" s="161"/>
      <c r="C608" s="162"/>
      <c r="D608" s="163"/>
      <c r="E608" s="164"/>
      <c r="F608" s="165"/>
      <c r="G608" s="166"/>
      <c r="H608" s="167"/>
      <c r="I608" s="167"/>
      <c r="J608" s="167"/>
      <c r="K608" s="167"/>
      <c r="L608" s="167"/>
      <c r="M608" s="167"/>
      <c r="N608" s="167"/>
      <c r="O608" s="167"/>
      <c r="P608" s="164"/>
      <c r="Q608" s="165"/>
      <c r="R608" s="165"/>
      <c r="S608" s="167"/>
      <c r="T608" s="167"/>
      <c r="U608" s="167"/>
      <c r="V608" s="168"/>
      <c r="W608" s="168"/>
      <c r="X608" s="168"/>
      <c r="Y608" s="168"/>
      <c r="Z608" s="168"/>
      <c r="AA608" s="168"/>
      <c r="AB608" s="164"/>
      <c r="AC608" s="165"/>
      <c r="AD608" s="165"/>
      <c r="AE608" s="169"/>
      <c r="AF608" s="169"/>
      <c r="AG608" s="169"/>
      <c r="AH608" s="168"/>
      <c r="AI608" s="168"/>
      <c r="AJ608" s="168"/>
      <c r="AK608" s="170"/>
      <c r="AL608" s="170"/>
    </row>
    <row r="609" ht="15.75" customHeight="1">
      <c r="A609" s="161"/>
      <c r="B609" s="161"/>
      <c r="C609" s="162"/>
      <c r="D609" s="163"/>
      <c r="E609" s="164"/>
      <c r="F609" s="165"/>
      <c r="G609" s="166"/>
      <c r="H609" s="167"/>
      <c r="I609" s="167"/>
      <c r="J609" s="167"/>
      <c r="K609" s="167"/>
      <c r="L609" s="167"/>
      <c r="M609" s="167"/>
      <c r="N609" s="167"/>
      <c r="O609" s="167"/>
      <c r="P609" s="164"/>
      <c r="Q609" s="165"/>
      <c r="R609" s="165"/>
      <c r="S609" s="167"/>
      <c r="T609" s="167"/>
      <c r="U609" s="167"/>
      <c r="V609" s="168"/>
      <c r="W609" s="168"/>
      <c r="X609" s="168"/>
      <c r="Y609" s="168"/>
      <c r="Z609" s="168"/>
      <c r="AA609" s="168"/>
      <c r="AB609" s="164"/>
      <c r="AC609" s="165"/>
      <c r="AD609" s="165"/>
      <c r="AE609" s="169"/>
      <c r="AF609" s="169"/>
      <c r="AG609" s="169"/>
      <c r="AH609" s="168"/>
      <c r="AI609" s="168"/>
      <c r="AJ609" s="168"/>
      <c r="AK609" s="170"/>
      <c r="AL609" s="170"/>
    </row>
    <row r="610" ht="15.75" customHeight="1">
      <c r="A610" s="161"/>
      <c r="B610" s="161"/>
      <c r="C610" s="162"/>
      <c r="D610" s="163"/>
      <c r="E610" s="164"/>
      <c r="F610" s="165"/>
      <c r="G610" s="166"/>
      <c r="H610" s="167"/>
      <c r="I610" s="167"/>
      <c r="J610" s="167"/>
      <c r="K610" s="167"/>
      <c r="L610" s="167"/>
      <c r="M610" s="167"/>
      <c r="N610" s="167"/>
      <c r="O610" s="167"/>
      <c r="P610" s="164"/>
      <c r="Q610" s="165"/>
      <c r="R610" s="165"/>
      <c r="S610" s="167"/>
      <c r="T610" s="167"/>
      <c r="U610" s="167"/>
      <c r="V610" s="168"/>
      <c r="W610" s="168"/>
      <c r="X610" s="168"/>
      <c r="Y610" s="168"/>
      <c r="Z610" s="168"/>
      <c r="AA610" s="168"/>
      <c r="AB610" s="164"/>
      <c r="AC610" s="165"/>
      <c r="AD610" s="165"/>
      <c r="AE610" s="169"/>
      <c r="AF610" s="169"/>
      <c r="AG610" s="169"/>
      <c r="AH610" s="168"/>
      <c r="AI610" s="168"/>
      <c r="AJ610" s="168"/>
      <c r="AK610" s="170"/>
      <c r="AL610" s="170"/>
    </row>
    <row r="611" ht="15.75" customHeight="1">
      <c r="A611" s="161"/>
      <c r="B611" s="161"/>
      <c r="C611" s="162"/>
      <c r="D611" s="163"/>
      <c r="E611" s="164"/>
      <c r="F611" s="165"/>
      <c r="G611" s="166"/>
      <c r="H611" s="167"/>
      <c r="I611" s="167"/>
      <c r="J611" s="167"/>
      <c r="K611" s="167"/>
      <c r="L611" s="167"/>
      <c r="M611" s="167"/>
      <c r="N611" s="167"/>
      <c r="O611" s="167"/>
      <c r="P611" s="164"/>
      <c r="Q611" s="165"/>
      <c r="R611" s="165"/>
      <c r="S611" s="167"/>
      <c r="T611" s="167"/>
      <c r="U611" s="167"/>
      <c r="V611" s="168"/>
      <c r="W611" s="168"/>
      <c r="X611" s="168"/>
      <c r="Y611" s="168"/>
      <c r="Z611" s="168"/>
      <c r="AA611" s="168"/>
      <c r="AB611" s="164"/>
      <c r="AC611" s="165"/>
      <c r="AD611" s="165"/>
      <c r="AE611" s="169"/>
      <c r="AF611" s="169"/>
      <c r="AG611" s="169"/>
      <c r="AH611" s="168"/>
      <c r="AI611" s="168"/>
      <c r="AJ611" s="168"/>
      <c r="AK611" s="170"/>
      <c r="AL611" s="170"/>
    </row>
    <row r="612" ht="15.75" customHeight="1">
      <c r="A612" s="161"/>
      <c r="B612" s="161"/>
      <c r="C612" s="162"/>
      <c r="D612" s="163"/>
      <c r="E612" s="164"/>
      <c r="F612" s="165"/>
      <c r="G612" s="166"/>
      <c r="H612" s="167"/>
      <c r="I612" s="167"/>
      <c r="J612" s="167"/>
      <c r="K612" s="167"/>
      <c r="L612" s="167"/>
      <c r="M612" s="167"/>
      <c r="N612" s="167"/>
      <c r="O612" s="167"/>
      <c r="P612" s="164"/>
      <c r="Q612" s="165"/>
      <c r="R612" s="165"/>
      <c r="S612" s="167"/>
      <c r="T612" s="167"/>
      <c r="U612" s="167"/>
      <c r="V612" s="168"/>
      <c r="W612" s="168"/>
      <c r="X612" s="168"/>
      <c r="Y612" s="168"/>
      <c r="Z612" s="168"/>
      <c r="AA612" s="168"/>
      <c r="AB612" s="164"/>
      <c r="AC612" s="165"/>
      <c r="AD612" s="165"/>
      <c r="AE612" s="169"/>
      <c r="AF612" s="169"/>
      <c r="AG612" s="169"/>
      <c r="AH612" s="168"/>
      <c r="AI612" s="168"/>
      <c r="AJ612" s="168"/>
      <c r="AK612" s="170"/>
      <c r="AL612" s="170"/>
    </row>
    <row r="613" ht="15.75" customHeight="1">
      <c r="A613" s="161"/>
      <c r="B613" s="161"/>
      <c r="C613" s="162"/>
      <c r="D613" s="163"/>
      <c r="E613" s="164"/>
      <c r="F613" s="165"/>
      <c r="G613" s="166"/>
      <c r="H613" s="167"/>
      <c r="I613" s="167"/>
      <c r="J613" s="167"/>
      <c r="K613" s="167"/>
      <c r="L613" s="167"/>
      <c r="M613" s="167"/>
      <c r="N613" s="167"/>
      <c r="O613" s="167"/>
      <c r="P613" s="164"/>
      <c r="Q613" s="165"/>
      <c r="R613" s="165"/>
      <c r="S613" s="167"/>
      <c r="T613" s="167"/>
      <c r="U613" s="167"/>
      <c r="V613" s="168"/>
      <c r="W613" s="168"/>
      <c r="X613" s="168"/>
      <c r="Y613" s="168"/>
      <c r="Z613" s="168"/>
      <c r="AA613" s="168"/>
      <c r="AB613" s="164"/>
      <c r="AC613" s="165"/>
      <c r="AD613" s="165"/>
      <c r="AE613" s="169"/>
      <c r="AF613" s="169"/>
      <c r="AG613" s="169"/>
      <c r="AH613" s="168"/>
      <c r="AI613" s="168"/>
      <c r="AJ613" s="168"/>
      <c r="AK613" s="170"/>
      <c r="AL613" s="170"/>
    </row>
    <row r="614" ht="15.75" customHeight="1">
      <c r="A614" s="161"/>
      <c r="B614" s="161"/>
      <c r="C614" s="162"/>
      <c r="D614" s="163"/>
      <c r="E614" s="164"/>
      <c r="F614" s="165"/>
      <c r="G614" s="166"/>
      <c r="H614" s="167"/>
      <c r="I614" s="167"/>
      <c r="J614" s="167"/>
      <c r="K614" s="167"/>
      <c r="L614" s="167"/>
      <c r="M614" s="167"/>
      <c r="N614" s="167"/>
      <c r="O614" s="167"/>
      <c r="P614" s="164"/>
      <c r="Q614" s="165"/>
      <c r="R614" s="165"/>
      <c r="S614" s="167"/>
      <c r="T614" s="167"/>
      <c r="U614" s="167"/>
      <c r="V614" s="168"/>
      <c r="W614" s="168"/>
      <c r="X614" s="168"/>
      <c r="Y614" s="168"/>
      <c r="Z614" s="168"/>
      <c r="AA614" s="168"/>
      <c r="AB614" s="164"/>
      <c r="AC614" s="165"/>
      <c r="AD614" s="165"/>
      <c r="AE614" s="169"/>
      <c r="AF614" s="169"/>
      <c r="AG614" s="169"/>
      <c r="AH614" s="168"/>
      <c r="AI614" s="168"/>
      <c r="AJ614" s="168"/>
      <c r="AK614" s="170"/>
      <c r="AL614" s="170"/>
    </row>
    <row r="615" ht="15.75" customHeight="1">
      <c r="A615" s="161"/>
      <c r="B615" s="161"/>
      <c r="C615" s="162"/>
      <c r="D615" s="163"/>
      <c r="E615" s="164"/>
      <c r="F615" s="165"/>
      <c r="G615" s="166"/>
      <c r="H615" s="167"/>
      <c r="I615" s="167"/>
      <c r="J615" s="167"/>
      <c r="K615" s="167"/>
      <c r="L615" s="167"/>
      <c r="M615" s="167"/>
      <c r="N615" s="167"/>
      <c r="O615" s="167"/>
      <c r="P615" s="164"/>
      <c r="Q615" s="165"/>
      <c r="R615" s="165"/>
      <c r="S615" s="167"/>
      <c r="T615" s="167"/>
      <c r="U615" s="167"/>
      <c r="V615" s="168"/>
      <c r="W615" s="168"/>
      <c r="X615" s="168"/>
      <c r="Y615" s="168"/>
      <c r="Z615" s="168"/>
      <c r="AA615" s="168"/>
      <c r="AB615" s="164"/>
      <c r="AC615" s="165"/>
      <c r="AD615" s="165"/>
      <c r="AE615" s="169"/>
      <c r="AF615" s="169"/>
      <c r="AG615" s="169"/>
      <c r="AH615" s="168"/>
      <c r="AI615" s="168"/>
      <c r="AJ615" s="168"/>
      <c r="AK615" s="170"/>
      <c r="AL615" s="170"/>
    </row>
    <row r="616" ht="15.75" customHeight="1">
      <c r="A616" s="161"/>
      <c r="B616" s="161"/>
      <c r="C616" s="162"/>
      <c r="D616" s="163"/>
      <c r="E616" s="164"/>
      <c r="F616" s="165"/>
      <c r="G616" s="166"/>
      <c r="H616" s="167"/>
      <c r="I616" s="167"/>
      <c r="J616" s="167"/>
      <c r="K616" s="167"/>
      <c r="L616" s="167"/>
      <c r="M616" s="167"/>
      <c r="N616" s="167"/>
      <c r="O616" s="167"/>
      <c r="P616" s="164"/>
      <c r="Q616" s="165"/>
      <c r="R616" s="165"/>
      <c r="S616" s="167"/>
      <c r="T616" s="167"/>
      <c r="U616" s="167"/>
      <c r="V616" s="168"/>
      <c r="W616" s="168"/>
      <c r="X616" s="168"/>
      <c r="Y616" s="168"/>
      <c r="Z616" s="168"/>
      <c r="AA616" s="168"/>
      <c r="AB616" s="164"/>
      <c r="AC616" s="165"/>
      <c r="AD616" s="165"/>
      <c r="AE616" s="169"/>
      <c r="AF616" s="169"/>
      <c r="AG616" s="169"/>
      <c r="AH616" s="168"/>
      <c r="AI616" s="168"/>
      <c r="AJ616" s="168"/>
      <c r="AK616" s="170"/>
      <c r="AL616" s="170"/>
    </row>
    <row r="617" ht="15.75" customHeight="1">
      <c r="A617" s="161"/>
      <c r="B617" s="161"/>
      <c r="C617" s="162"/>
      <c r="D617" s="163"/>
      <c r="E617" s="164"/>
      <c r="F617" s="165"/>
      <c r="G617" s="166"/>
      <c r="H617" s="167"/>
      <c r="I617" s="167"/>
      <c r="J617" s="167"/>
      <c r="K617" s="167"/>
      <c r="L617" s="167"/>
      <c r="M617" s="167"/>
      <c r="N617" s="167"/>
      <c r="O617" s="167"/>
      <c r="P617" s="164"/>
      <c r="Q617" s="165"/>
      <c r="R617" s="165"/>
      <c r="S617" s="167"/>
      <c r="T617" s="167"/>
      <c r="U617" s="167"/>
      <c r="V617" s="168"/>
      <c r="W617" s="168"/>
      <c r="X617" s="168"/>
      <c r="Y617" s="168"/>
      <c r="Z617" s="168"/>
      <c r="AA617" s="168"/>
      <c r="AB617" s="164"/>
      <c r="AC617" s="165"/>
      <c r="AD617" s="165"/>
      <c r="AE617" s="169"/>
      <c r="AF617" s="169"/>
      <c r="AG617" s="169"/>
      <c r="AH617" s="168"/>
      <c r="AI617" s="168"/>
      <c r="AJ617" s="168"/>
      <c r="AK617" s="170"/>
      <c r="AL617" s="170"/>
    </row>
    <row r="618" ht="15.75" customHeight="1">
      <c r="A618" s="161"/>
      <c r="B618" s="161"/>
      <c r="C618" s="162"/>
      <c r="D618" s="163"/>
      <c r="E618" s="164"/>
      <c r="F618" s="165"/>
      <c r="G618" s="166"/>
      <c r="H618" s="167"/>
      <c r="I618" s="167"/>
      <c r="J618" s="167"/>
      <c r="K618" s="167"/>
      <c r="L618" s="167"/>
      <c r="M618" s="167"/>
      <c r="N618" s="167"/>
      <c r="O618" s="167"/>
      <c r="P618" s="164"/>
      <c r="Q618" s="165"/>
      <c r="R618" s="165"/>
      <c r="S618" s="167"/>
      <c r="T618" s="167"/>
      <c r="U618" s="167"/>
      <c r="V618" s="168"/>
      <c r="W618" s="168"/>
      <c r="X618" s="168"/>
      <c r="Y618" s="168"/>
      <c r="Z618" s="168"/>
      <c r="AA618" s="168"/>
      <c r="AB618" s="164"/>
      <c r="AC618" s="165"/>
      <c r="AD618" s="165"/>
      <c r="AE618" s="169"/>
      <c r="AF618" s="169"/>
      <c r="AG618" s="169"/>
      <c r="AH618" s="168"/>
      <c r="AI618" s="168"/>
      <c r="AJ618" s="168"/>
      <c r="AK618" s="170"/>
      <c r="AL618" s="170"/>
    </row>
    <row r="619" ht="15.75" customHeight="1">
      <c r="A619" s="161"/>
      <c r="B619" s="161"/>
      <c r="C619" s="162"/>
      <c r="D619" s="163"/>
      <c r="E619" s="164"/>
      <c r="F619" s="165"/>
      <c r="G619" s="166"/>
      <c r="H619" s="167"/>
      <c r="I619" s="167"/>
      <c r="J619" s="167"/>
      <c r="K619" s="167"/>
      <c r="L619" s="167"/>
      <c r="M619" s="167"/>
      <c r="N619" s="167"/>
      <c r="O619" s="167"/>
      <c r="P619" s="164"/>
      <c r="Q619" s="165"/>
      <c r="R619" s="165"/>
      <c r="S619" s="167"/>
      <c r="T619" s="167"/>
      <c r="U619" s="167"/>
      <c r="V619" s="168"/>
      <c r="W619" s="168"/>
      <c r="X619" s="168"/>
      <c r="Y619" s="168"/>
      <c r="Z619" s="168"/>
      <c r="AA619" s="168"/>
      <c r="AB619" s="164"/>
      <c r="AC619" s="165"/>
      <c r="AD619" s="165"/>
      <c r="AE619" s="169"/>
      <c r="AF619" s="169"/>
      <c r="AG619" s="169"/>
      <c r="AH619" s="168"/>
      <c r="AI619" s="168"/>
      <c r="AJ619" s="168"/>
      <c r="AK619" s="170"/>
      <c r="AL619" s="170"/>
    </row>
    <row r="620" ht="15.75" customHeight="1">
      <c r="A620" s="161"/>
      <c r="B620" s="161"/>
      <c r="C620" s="162"/>
      <c r="D620" s="163"/>
      <c r="E620" s="164"/>
      <c r="F620" s="165"/>
      <c r="G620" s="166"/>
      <c r="H620" s="167"/>
      <c r="I620" s="167"/>
      <c r="J620" s="167"/>
      <c r="K620" s="167"/>
      <c r="L620" s="167"/>
      <c r="M620" s="167"/>
      <c r="N620" s="167"/>
      <c r="O620" s="167"/>
      <c r="P620" s="164"/>
      <c r="Q620" s="165"/>
      <c r="R620" s="165"/>
      <c r="S620" s="167"/>
      <c r="T620" s="167"/>
      <c r="U620" s="167"/>
      <c r="V620" s="168"/>
      <c r="W620" s="168"/>
      <c r="X620" s="168"/>
      <c r="Y620" s="168"/>
      <c r="Z620" s="168"/>
      <c r="AA620" s="168"/>
      <c r="AB620" s="164"/>
      <c r="AC620" s="165"/>
      <c r="AD620" s="165"/>
      <c r="AE620" s="169"/>
      <c r="AF620" s="169"/>
      <c r="AG620" s="169"/>
      <c r="AH620" s="168"/>
      <c r="AI620" s="168"/>
      <c r="AJ620" s="168"/>
      <c r="AK620" s="170"/>
      <c r="AL620" s="170"/>
    </row>
    <row r="621" ht="15.75" customHeight="1">
      <c r="A621" s="161"/>
      <c r="B621" s="161"/>
      <c r="C621" s="162"/>
      <c r="D621" s="163"/>
      <c r="E621" s="164"/>
      <c r="F621" s="165"/>
      <c r="G621" s="166"/>
      <c r="H621" s="167"/>
      <c r="I621" s="167"/>
      <c r="J621" s="167"/>
      <c r="K621" s="167"/>
      <c r="L621" s="167"/>
      <c r="M621" s="167"/>
      <c r="N621" s="167"/>
      <c r="O621" s="167"/>
      <c r="P621" s="164"/>
      <c r="Q621" s="165"/>
      <c r="R621" s="165"/>
      <c r="S621" s="167"/>
      <c r="T621" s="167"/>
      <c r="U621" s="167"/>
      <c r="V621" s="168"/>
      <c r="W621" s="168"/>
      <c r="X621" s="168"/>
      <c r="Y621" s="168"/>
      <c r="Z621" s="168"/>
      <c r="AA621" s="168"/>
      <c r="AB621" s="164"/>
      <c r="AC621" s="165"/>
      <c r="AD621" s="165"/>
      <c r="AE621" s="169"/>
      <c r="AF621" s="169"/>
      <c r="AG621" s="169"/>
      <c r="AH621" s="168"/>
      <c r="AI621" s="168"/>
      <c r="AJ621" s="168"/>
      <c r="AK621" s="170"/>
      <c r="AL621" s="170"/>
    </row>
    <row r="622" ht="15.75" customHeight="1">
      <c r="A622" s="161"/>
      <c r="B622" s="161"/>
      <c r="C622" s="162"/>
      <c r="D622" s="163"/>
      <c r="E622" s="164"/>
      <c r="F622" s="165"/>
      <c r="G622" s="166"/>
      <c r="H622" s="167"/>
      <c r="I622" s="167"/>
      <c r="J622" s="167"/>
      <c r="K622" s="167"/>
      <c r="L622" s="167"/>
      <c r="M622" s="167"/>
      <c r="N622" s="167"/>
      <c r="O622" s="167"/>
      <c r="P622" s="164"/>
      <c r="Q622" s="165"/>
      <c r="R622" s="165"/>
      <c r="S622" s="167"/>
      <c r="T622" s="167"/>
      <c r="U622" s="167"/>
      <c r="V622" s="168"/>
      <c r="W622" s="168"/>
      <c r="X622" s="168"/>
      <c r="Y622" s="168"/>
      <c r="Z622" s="168"/>
      <c r="AA622" s="168"/>
      <c r="AB622" s="164"/>
      <c r="AC622" s="165"/>
      <c r="AD622" s="165"/>
      <c r="AE622" s="169"/>
      <c r="AF622" s="169"/>
      <c r="AG622" s="169"/>
      <c r="AH622" s="168"/>
      <c r="AI622" s="168"/>
      <c r="AJ622" s="168"/>
      <c r="AK622" s="170"/>
      <c r="AL622" s="170"/>
    </row>
    <row r="623" ht="15.75" customHeight="1">
      <c r="A623" s="161"/>
      <c r="B623" s="161"/>
      <c r="C623" s="162"/>
      <c r="D623" s="163"/>
      <c r="E623" s="164"/>
      <c r="F623" s="165"/>
      <c r="G623" s="166"/>
      <c r="H623" s="167"/>
      <c r="I623" s="167"/>
      <c r="J623" s="167"/>
      <c r="K623" s="167"/>
      <c r="L623" s="167"/>
      <c r="M623" s="167"/>
      <c r="N623" s="167"/>
      <c r="O623" s="167"/>
      <c r="P623" s="164"/>
      <c r="Q623" s="165"/>
      <c r="R623" s="165"/>
      <c r="S623" s="167"/>
      <c r="T623" s="167"/>
      <c r="U623" s="167"/>
      <c r="V623" s="168"/>
      <c r="W623" s="168"/>
      <c r="X623" s="168"/>
      <c r="Y623" s="168"/>
      <c r="Z623" s="168"/>
      <c r="AA623" s="168"/>
      <c r="AB623" s="164"/>
      <c r="AC623" s="165"/>
      <c r="AD623" s="165"/>
      <c r="AE623" s="169"/>
      <c r="AF623" s="169"/>
      <c r="AG623" s="169"/>
      <c r="AH623" s="168"/>
      <c r="AI623" s="168"/>
      <c r="AJ623" s="168"/>
      <c r="AK623" s="170"/>
      <c r="AL623" s="170"/>
    </row>
    <row r="624" ht="15.75" customHeight="1">
      <c r="A624" s="161"/>
      <c r="B624" s="161"/>
      <c r="C624" s="162"/>
      <c r="D624" s="163"/>
      <c r="E624" s="164"/>
      <c r="F624" s="165"/>
      <c r="G624" s="166"/>
      <c r="H624" s="167"/>
      <c r="I624" s="167"/>
      <c r="J624" s="167"/>
      <c r="K624" s="167"/>
      <c r="L624" s="167"/>
      <c r="M624" s="167"/>
      <c r="N624" s="167"/>
      <c r="O624" s="167"/>
      <c r="P624" s="164"/>
      <c r="Q624" s="165"/>
      <c r="R624" s="165"/>
      <c r="S624" s="167"/>
      <c r="T624" s="167"/>
      <c r="U624" s="167"/>
      <c r="V624" s="168"/>
      <c r="W624" s="168"/>
      <c r="X624" s="168"/>
      <c r="Y624" s="168"/>
      <c r="Z624" s="168"/>
      <c r="AA624" s="168"/>
      <c r="AB624" s="164"/>
      <c r="AC624" s="165"/>
      <c r="AD624" s="165"/>
      <c r="AE624" s="169"/>
      <c r="AF624" s="169"/>
      <c r="AG624" s="169"/>
      <c r="AH624" s="168"/>
      <c r="AI624" s="168"/>
      <c r="AJ624" s="168"/>
      <c r="AK624" s="170"/>
      <c r="AL624" s="170"/>
    </row>
    <row r="625" ht="15.75" customHeight="1">
      <c r="A625" s="161"/>
      <c r="B625" s="161"/>
      <c r="C625" s="162"/>
      <c r="D625" s="163"/>
      <c r="E625" s="164"/>
      <c r="F625" s="165"/>
      <c r="G625" s="166"/>
      <c r="H625" s="167"/>
      <c r="I625" s="167"/>
      <c r="J625" s="167"/>
      <c r="K625" s="167"/>
      <c r="L625" s="167"/>
      <c r="M625" s="167"/>
      <c r="N625" s="167"/>
      <c r="O625" s="167"/>
      <c r="P625" s="164"/>
      <c r="Q625" s="165"/>
      <c r="R625" s="165"/>
      <c r="S625" s="167"/>
      <c r="T625" s="167"/>
      <c r="U625" s="167"/>
      <c r="V625" s="168"/>
      <c r="W625" s="168"/>
      <c r="X625" s="168"/>
      <c r="Y625" s="168"/>
      <c r="Z625" s="168"/>
      <c r="AA625" s="168"/>
      <c r="AB625" s="164"/>
      <c r="AC625" s="165"/>
      <c r="AD625" s="165"/>
      <c r="AE625" s="169"/>
      <c r="AF625" s="169"/>
      <c r="AG625" s="169"/>
      <c r="AH625" s="168"/>
      <c r="AI625" s="168"/>
      <c r="AJ625" s="168"/>
      <c r="AK625" s="170"/>
      <c r="AL625" s="170"/>
    </row>
    <row r="626" ht="15.75" customHeight="1">
      <c r="A626" s="161"/>
      <c r="B626" s="161"/>
      <c r="C626" s="162"/>
      <c r="D626" s="163"/>
      <c r="E626" s="164"/>
      <c r="F626" s="165"/>
      <c r="G626" s="166"/>
      <c r="H626" s="167"/>
      <c r="I626" s="167"/>
      <c r="J626" s="167"/>
      <c r="K626" s="167"/>
      <c r="L626" s="167"/>
      <c r="M626" s="167"/>
      <c r="N626" s="167"/>
      <c r="O626" s="167"/>
      <c r="P626" s="164"/>
      <c r="Q626" s="165"/>
      <c r="R626" s="165"/>
      <c r="S626" s="167"/>
      <c r="T626" s="167"/>
      <c r="U626" s="167"/>
      <c r="V626" s="168"/>
      <c r="W626" s="168"/>
      <c r="X626" s="168"/>
      <c r="Y626" s="168"/>
      <c r="Z626" s="168"/>
      <c r="AA626" s="168"/>
      <c r="AB626" s="164"/>
      <c r="AC626" s="165"/>
      <c r="AD626" s="165"/>
      <c r="AE626" s="169"/>
      <c r="AF626" s="169"/>
      <c r="AG626" s="169"/>
      <c r="AH626" s="168"/>
      <c r="AI626" s="168"/>
      <c r="AJ626" s="168"/>
      <c r="AK626" s="170"/>
      <c r="AL626" s="170"/>
    </row>
    <row r="627" ht="15.75" customHeight="1">
      <c r="A627" s="161"/>
      <c r="B627" s="161"/>
      <c r="C627" s="162"/>
      <c r="D627" s="163"/>
      <c r="E627" s="164"/>
      <c r="F627" s="165"/>
      <c r="G627" s="166"/>
      <c r="H627" s="167"/>
      <c r="I627" s="167"/>
      <c r="J627" s="167"/>
      <c r="K627" s="167"/>
      <c r="L627" s="167"/>
      <c r="M627" s="167"/>
      <c r="N627" s="167"/>
      <c r="O627" s="167"/>
      <c r="P627" s="164"/>
      <c r="Q627" s="165"/>
      <c r="R627" s="165"/>
      <c r="S627" s="167"/>
      <c r="T627" s="167"/>
      <c r="U627" s="167"/>
      <c r="V627" s="168"/>
      <c r="W627" s="168"/>
      <c r="X627" s="168"/>
      <c r="Y627" s="168"/>
      <c r="Z627" s="168"/>
      <c r="AA627" s="168"/>
      <c r="AB627" s="164"/>
      <c r="AC627" s="165"/>
      <c r="AD627" s="165"/>
      <c r="AE627" s="169"/>
      <c r="AF627" s="169"/>
      <c r="AG627" s="169"/>
      <c r="AH627" s="168"/>
      <c r="AI627" s="168"/>
      <c r="AJ627" s="168"/>
      <c r="AK627" s="170"/>
      <c r="AL627" s="170"/>
    </row>
    <row r="628" ht="15.75" customHeight="1">
      <c r="A628" s="161"/>
      <c r="B628" s="161"/>
      <c r="C628" s="162"/>
      <c r="D628" s="163"/>
      <c r="E628" s="164"/>
      <c r="F628" s="165"/>
      <c r="G628" s="166"/>
      <c r="H628" s="167"/>
      <c r="I628" s="167"/>
      <c r="J628" s="167"/>
      <c r="K628" s="167"/>
      <c r="L628" s="167"/>
      <c r="M628" s="167"/>
      <c r="N628" s="167"/>
      <c r="O628" s="167"/>
      <c r="P628" s="164"/>
      <c r="Q628" s="165"/>
      <c r="R628" s="165"/>
      <c r="S628" s="167"/>
      <c r="T628" s="167"/>
      <c r="U628" s="167"/>
      <c r="V628" s="168"/>
      <c r="W628" s="168"/>
      <c r="X628" s="168"/>
      <c r="Y628" s="168"/>
      <c r="Z628" s="168"/>
      <c r="AA628" s="168"/>
      <c r="AB628" s="164"/>
      <c r="AC628" s="165"/>
      <c r="AD628" s="165"/>
      <c r="AE628" s="169"/>
      <c r="AF628" s="169"/>
      <c r="AG628" s="169"/>
      <c r="AH628" s="168"/>
      <c r="AI628" s="168"/>
      <c r="AJ628" s="168"/>
      <c r="AK628" s="170"/>
      <c r="AL628" s="170"/>
    </row>
    <row r="629" ht="15.75" customHeight="1">
      <c r="A629" s="161"/>
      <c r="B629" s="161"/>
      <c r="C629" s="162"/>
      <c r="D629" s="163"/>
      <c r="E629" s="164"/>
      <c r="F629" s="165"/>
      <c r="G629" s="166"/>
      <c r="H629" s="167"/>
      <c r="I629" s="167"/>
      <c r="J629" s="167"/>
      <c r="K629" s="167"/>
      <c r="L629" s="167"/>
      <c r="M629" s="167"/>
      <c r="N629" s="167"/>
      <c r="O629" s="167"/>
      <c r="P629" s="164"/>
      <c r="Q629" s="165"/>
      <c r="R629" s="165"/>
      <c r="S629" s="167"/>
      <c r="T629" s="167"/>
      <c r="U629" s="167"/>
      <c r="V629" s="168"/>
      <c r="W629" s="168"/>
      <c r="X629" s="168"/>
      <c r="Y629" s="168"/>
      <c r="Z629" s="168"/>
      <c r="AA629" s="168"/>
      <c r="AB629" s="164"/>
      <c r="AC629" s="165"/>
      <c r="AD629" s="165"/>
      <c r="AE629" s="169"/>
      <c r="AF629" s="169"/>
      <c r="AG629" s="169"/>
      <c r="AH629" s="168"/>
      <c r="AI629" s="168"/>
      <c r="AJ629" s="168"/>
      <c r="AK629" s="170"/>
      <c r="AL629" s="170"/>
    </row>
    <row r="630" ht="15.75" customHeight="1">
      <c r="A630" s="161"/>
      <c r="B630" s="161"/>
      <c r="C630" s="162"/>
      <c r="D630" s="163"/>
      <c r="E630" s="164"/>
      <c r="F630" s="165"/>
      <c r="G630" s="166"/>
      <c r="H630" s="167"/>
      <c r="I630" s="167"/>
      <c r="J630" s="167"/>
      <c r="K630" s="167"/>
      <c r="L630" s="167"/>
      <c r="M630" s="167"/>
      <c r="N630" s="167"/>
      <c r="O630" s="167"/>
      <c r="P630" s="164"/>
      <c r="Q630" s="165"/>
      <c r="R630" s="165"/>
      <c r="S630" s="167"/>
      <c r="T630" s="167"/>
      <c r="U630" s="167"/>
      <c r="V630" s="168"/>
      <c r="W630" s="168"/>
      <c r="X630" s="168"/>
      <c r="Y630" s="168"/>
      <c r="Z630" s="168"/>
      <c r="AA630" s="168"/>
      <c r="AB630" s="164"/>
      <c r="AC630" s="165"/>
      <c r="AD630" s="165"/>
      <c r="AE630" s="169"/>
      <c r="AF630" s="169"/>
      <c r="AG630" s="169"/>
      <c r="AH630" s="168"/>
      <c r="AI630" s="168"/>
      <c r="AJ630" s="168"/>
      <c r="AK630" s="170"/>
      <c r="AL630" s="170"/>
    </row>
    <row r="631" ht="15.75" customHeight="1">
      <c r="A631" s="161"/>
      <c r="B631" s="161"/>
      <c r="C631" s="162"/>
      <c r="D631" s="163"/>
      <c r="E631" s="164"/>
      <c r="F631" s="165"/>
      <c r="G631" s="166"/>
      <c r="H631" s="167"/>
      <c r="I631" s="167"/>
      <c r="J631" s="167"/>
      <c r="K631" s="167"/>
      <c r="L631" s="167"/>
      <c r="M631" s="167"/>
      <c r="N631" s="167"/>
      <c r="O631" s="167"/>
      <c r="P631" s="164"/>
      <c r="Q631" s="165"/>
      <c r="R631" s="165"/>
      <c r="S631" s="167"/>
      <c r="T631" s="167"/>
      <c r="U631" s="167"/>
      <c r="V631" s="168"/>
      <c r="W631" s="168"/>
      <c r="X631" s="168"/>
      <c r="Y631" s="168"/>
      <c r="Z631" s="168"/>
      <c r="AA631" s="168"/>
      <c r="AB631" s="164"/>
      <c r="AC631" s="165"/>
      <c r="AD631" s="165"/>
      <c r="AE631" s="169"/>
      <c r="AF631" s="169"/>
      <c r="AG631" s="169"/>
      <c r="AH631" s="168"/>
      <c r="AI631" s="168"/>
      <c r="AJ631" s="168"/>
      <c r="AK631" s="170"/>
      <c r="AL631" s="170"/>
    </row>
    <row r="632" ht="15.75" customHeight="1">
      <c r="A632" s="161"/>
      <c r="B632" s="161"/>
      <c r="C632" s="162"/>
      <c r="D632" s="163"/>
      <c r="E632" s="164"/>
      <c r="F632" s="165"/>
      <c r="G632" s="166"/>
      <c r="H632" s="167"/>
      <c r="I632" s="167"/>
      <c r="J632" s="167"/>
      <c r="K632" s="167"/>
      <c r="L632" s="167"/>
      <c r="M632" s="167"/>
      <c r="N632" s="167"/>
      <c r="O632" s="167"/>
      <c r="P632" s="164"/>
      <c r="Q632" s="165"/>
      <c r="R632" s="165"/>
      <c r="S632" s="167"/>
      <c r="T632" s="167"/>
      <c r="U632" s="167"/>
      <c r="V632" s="168"/>
      <c r="W632" s="168"/>
      <c r="X632" s="168"/>
      <c r="Y632" s="168"/>
      <c r="Z632" s="168"/>
      <c r="AA632" s="168"/>
      <c r="AB632" s="164"/>
      <c r="AC632" s="165"/>
      <c r="AD632" s="165"/>
      <c r="AE632" s="169"/>
      <c r="AF632" s="169"/>
      <c r="AG632" s="169"/>
      <c r="AH632" s="168"/>
      <c r="AI632" s="168"/>
      <c r="AJ632" s="168"/>
      <c r="AK632" s="170"/>
      <c r="AL632" s="170"/>
    </row>
    <row r="633" ht="15.75" customHeight="1">
      <c r="A633" s="161"/>
      <c r="B633" s="161"/>
      <c r="C633" s="162"/>
      <c r="D633" s="163"/>
      <c r="E633" s="164"/>
      <c r="F633" s="165"/>
      <c r="G633" s="166"/>
      <c r="H633" s="167"/>
      <c r="I633" s="167"/>
      <c r="J633" s="167"/>
      <c r="K633" s="167"/>
      <c r="L633" s="167"/>
      <c r="M633" s="167"/>
      <c r="N633" s="167"/>
      <c r="O633" s="167"/>
      <c r="P633" s="164"/>
      <c r="Q633" s="165"/>
      <c r="R633" s="165"/>
      <c r="S633" s="167"/>
      <c r="T633" s="167"/>
      <c r="U633" s="167"/>
      <c r="V633" s="168"/>
      <c r="W633" s="168"/>
      <c r="X633" s="168"/>
      <c r="Y633" s="168"/>
      <c r="Z633" s="168"/>
      <c r="AA633" s="168"/>
      <c r="AB633" s="164"/>
      <c r="AC633" s="165"/>
      <c r="AD633" s="165"/>
      <c r="AE633" s="169"/>
      <c r="AF633" s="169"/>
      <c r="AG633" s="169"/>
      <c r="AH633" s="168"/>
      <c r="AI633" s="168"/>
      <c r="AJ633" s="168"/>
      <c r="AK633" s="170"/>
      <c r="AL633" s="170"/>
    </row>
    <row r="634" ht="15.75" customHeight="1">
      <c r="A634" s="161"/>
      <c r="B634" s="161"/>
      <c r="C634" s="162"/>
      <c r="D634" s="163"/>
      <c r="E634" s="164"/>
      <c r="F634" s="165"/>
      <c r="G634" s="166"/>
      <c r="H634" s="167"/>
      <c r="I634" s="167"/>
      <c r="J634" s="167"/>
      <c r="K634" s="167"/>
      <c r="L634" s="167"/>
      <c r="M634" s="167"/>
      <c r="N634" s="167"/>
      <c r="O634" s="167"/>
      <c r="P634" s="164"/>
      <c r="Q634" s="165"/>
      <c r="R634" s="165"/>
      <c r="S634" s="167"/>
      <c r="T634" s="167"/>
      <c r="U634" s="167"/>
      <c r="V634" s="168"/>
      <c r="W634" s="168"/>
      <c r="X634" s="168"/>
      <c r="Y634" s="168"/>
      <c r="Z634" s="168"/>
      <c r="AA634" s="168"/>
      <c r="AB634" s="164"/>
      <c r="AC634" s="165"/>
      <c r="AD634" s="165"/>
      <c r="AE634" s="169"/>
      <c r="AF634" s="169"/>
      <c r="AG634" s="169"/>
      <c r="AH634" s="168"/>
      <c r="AI634" s="168"/>
      <c r="AJ634" s="168"/>
      <c r="AK634" s="170"/>
      <c r="AL634" s="170"/>
    </row>
    <row r="635" ht="15.75" customHeight="1">
      <c r="A635" s="161"/>
      <c r="B635" s="161"/>
      <c r="C635" s="162"/>
      <c r="D635" s="163"/>
      <c r="E635" s="164"/>
      <c r="F635" s="165"/>
      <c r="G635" s="166"/>
      <c r="H635" s="167"/>
      <c r="I635" s="167"/>
      <c r="J635" s="167"/>
      <c r="K635" s="167"/>
      <c r="L635" s="167"/>
      <c r="M635" s="167"/>
      <c r="N635" s="167"/>
      <c r="O635" s="167"/>
      <c r="P635" s="164"/>
      <c r="Q635" s="165"/>
      <c r="R635" s="165"/>
      <c r="S635" s="167"/>
      <c r="T635" s="167"/>
      <c r="U635" s="167"/>
      <c r="V635" s="168"/>
      <c r="W635" s="168"/>
      <c r="X635" s="168"/>
      <c r="Y635" s="168"/>
      <c r="Z635" s="168"/>
      <c r="AA635" s="168"/>
      <c r="AB635" s="164"/>
      <c r="AC635" s="165"/>
      <c r="AD635" s="165"/>
      <c r="AE635" s="169"/>
      <c r="AF635" s="169"/>
      <c r="AG635" s="169"/>
      <c r="AH635" s="168"/>
      <c r="AI635" s="168"/>
      <c r="AJ635" s="168"/>
      <c r="AK635" s="170"/>
      <c r="AL635" s="170"/>
    </row>
    <row r="636" ht="15.75" customHeight="1">
      <c r="A636" s="161"/>
      <c r="B636" s="161"/>
      <c r="C636" s="162"/>
      <c r="D636" s="163"/>
      <c r="E636" s="164"/>
      <c r="F636" s="165"/>
      <c r="G636" s="166"/>
      <c r="H636" s="167"/>
      <c r="I636" s="167"/>
      <c r="J636" s="167"/>
      <c r="K636" s="167"/>
      <c r="L636" s="167"/>
      <c r="M636" s="167"/>
      <c r="N636" s="167"/>
      <c r="O636" s="167"/>
      <c r="P636" s="164"/>
      <c r="Q636" s="165"/>
      <c r="R636" s="165"/>
      <c r="S636" s="167"/>
      <c r="T636" s="167"/>
      <c r="U636" s="167"/>
      <c r="V636" s="168"/>
      <c r="W636" s="168"/>
      <c r="X636" s="168"/>
      <c r="Y636" s="168"/>
      <c r="Z636" s="168"/>
      <c r="AA636" s="168"/>
      <c r="AB636" s="164"/>
      <c r="AC636" s="165"/>
      <c r="AD636" s="165"/>
      <c r="AE636" s="169"/>
      <c r="AF636" s="169"/>
      <c r="AG636" s="169"/>
      <c r="AH636" s="168"/>
      <c r="AI636" s="168"/>
      <c r="AJ636" s="168"/>
      <c r="AK636" s="170"/>
      <c r="AL636" s="170"/>
    </row>
    <row r="637" ht="15.75" customHeight="1">
      <c r="A637" s="161"/>
      <c r="B637" s="161"/>
      <c r="C637" s="162"/>
      <c r="D637" s="163"/>
      <c r="E637" s="164"/>
      <c r="F637" s="165"/>
      <c r="G637" s="166"/>
      <c r="H637" s="167"/>
      <c r="I637" s="167"/>
      <c r="J637" s="167"/>
      <c r="K637" s="167"/>
      <c r="L637" s="167"/>
      <c r="M637" s="167"/>
      <c r="N637" s="167"/>
      <c r="O637" s="167"/>
      <c r="P637" s="164"/>
      <c r="Q637" s="165"/>
      <c r="R637" s="165"/>
      <c r="S637" s="167"/>
      <c r="T637" s="167"/>
      <c r="U637" s="167"/>
      <c r="V637" s="168"/>
      <c r="W637" s="168"/>
      <c r="X637" s="168"/>
      <c r="Y637" s="168"/>
      <c r="Z637" s="168"/>
      <c r="AA637" s="168"/>
      <c r="AB637" s="164"/>
      <c r="AC637" s="165"/>
      <c r="AD637" s="165"/>
      <c r="AE637" s="169"/>
      <c r="AF637" s="169"/>
      <c r="AG637" s="169"/>
      <c r="AH637" s="168"/>
      <c r="AI637" s="168"/>
      <c r="AJ637" s="168"/>
      <c r="AK637" s="170"/>
      <c r="AL637" s="170"/>
    </row>
    <row r="638" ht="15.75" customHeight="1">
      <c r="A638" s="161"/>
      <c r="B638" s="161"/>
      <c r="C638" s="162"/>
      <c r="D638" s="163"/>
      <c r="E638" s="164"/>
      <c r="F638" s="165"/>
      <c r="G638" s="166"/>
      <c r="H638" s="167"/>
      <c r="I638" s="167"/>
      <c r="J638" s="167"/>
      <c r="K638" s="167"/>
      <c r="L638" s="167"/>
      <c r="M638" s="167"/>
      <c r="N638" s="167"/>
      <c r="O638" s="167"/>
      <c r="P638" s="164"/>
      <c r="Q638" s="165"/>
      <c r="R638" s="165"/>
      <c r="S638" s="167"/>
      <c r="T638" s="167"/>
      <c r="U638" s="167"/>
      <c r="V638" s="168"/>
      <c r="W638" s="168"/>
      <c r="X638" s="168"/>
      <c r="Y638" s="168"/>
      <c r="Z638" s="168"/>
      <c r="AA638" s="168"/>
      <c r="AB638" s="164"/>
      <c r="AC638" s="165"/>
      <c r="AD638" s="165"/>
      <c r="AE638" s="169"/>
      <c r="AF638" s="169"/>
      <c r="AG638" s="169"/>
      <c r="AH638" s="168"/>
      <c r="AI638" s="168"/>
      <c r="AJ638" s="168"/>
      <c r="AK638" s="170"/>
      <c r="AL638" s="170"/>
    </row>
    <row r="639" ht="15.75" customHeight="1">
      <c r="A639" s="161"/>
      <c r="B639" s="161"/>
      <c r="C639" s="162"/>
      <c r="D639" s="163"/>
      <c r="E639" s="164"/>
      <c r="F639" s="165"/>
      <c r="G639" s="166"/>
      <c r="H639" s="167"/>
      <c r="I639" s="167"/>
      <c r="J639" s="167"/>
      <c r="K639" s="167"/>
      <c r="L639" s="167"/>
      <c r="M639" s="167"/>
      <c r="N639" s="167"/>
      <c r="O639" s="167"/>
      <c r="P639" s="164"/>
      <c r="Q639" s="165"/>
      <c r="R639" s="165"/>
      <c r="S639" s="167"/>
      <c r="T639" s="167"/>
      <c r="U639" s="167"/>
      <c r="V639" s="168"/>
      <c r="W639" s="168"/>
      <c r="X639" s="168"/>
      <c r="Y639" s="168"/>
      <c r="Z639" s="168"/>
      <c r="AA639" s="168"/>
      <c r="AB639" s="164"/>
      <c r="AC639" s="165"/>
      <c r="AD639" s="165"/>
      <c r="AE639" s="169"/>
      <c r="AF639" s="169"/>
      <c r="AG639" s="169"/>
      <c r="AH639" s="168"/>
      <c r="AI639" s="168"/>
      <c r="AJ639" s="168"/>
      <c r="AK639" s="170"/>
      <c r="AL639" s="170"/>
    </row>
    <row r="640" ht="15.75" customHeight="1">
      <c r="A640" s="161"/>
      <c r="B640" s="161"/>
      <c r="C640" s="162"/>
      <c r="D640" s="163"/>
      <c r="E640" s="164"/>
      <c r="F640" s="165"/>
      <c r="G640" s="166"/>
      <c r="H640" s="167"/>
      <c r="I640" s="167"/>
      <c r="J640" s="167"/>
      <c r="K640" s="167"/>
      <c r="L640" s="167"/>
      <c r="M640" s="167"/>
      <c r="N640" s="167"/>
      <c r="O640" s="167"/>
      <c r="P640" s="164"/>
      <c r="Q640" s="165"/>
      <c r="R640" s="165"/>
      <c r="S640" s="167"/>
      <c r="T640" s="167"/>
      <c r="U640" s="167"/>
      <c r="V640" s="168"/>
      <c r="W640" s="168"/>
      <c r="X640" s="168"/>
      <c r="Y640" s="168"/>
      <c r="Z640" s="168"/>
      <c r="AA640" s="168"/>
      <c r="AB640" s="164"/>
      <c r="AC640" s="165"/>
      <c r="AD640" s="165"/>
      <c r="AE640" s="169"/>
      <c r="AF640" s="169"/>
      <c r="AG640" s="169"/>
      <c r="AH640" s="168"/>
      <c r="AI640" s="168"/>
      <c r="AJ640" s="168"/>
      <c r="AK640" s="170"/>
      <c r="AL640" s="170"/>
    </row>
    <row r="641" ht="15.75" customHeight="1">
      <c r="A641" s="161"/>
      <c r="B641" s="161"/>
      <c r="C641" s="162"/>
      <c r="D641" s="163"/>
      <c r="E641" s="164"/>
      <c r="F641" s="165"/>
      <c r="G641" s="166"/>
      <c r="H641" s="167"/>
      <c r="I641" s="167"/>
      <c r="J641" s="167"/>
      <c r="K641" s="167"/>
      <c r="L641" s="167"/>
      <c r="M641" s="167"/>
      <c r="N641" s="167"/>
      <c r="O641" s="167"/>
      <c r="P641" s="164"/>
      <c r="Q641" s="165"/>
      <c r="R641" s="165"/>
      <c r="S641" s="167"/>
      <c r="T641" s="167"/>
      <c r="U641" s="167"/>
      <c r="V641" s="168"/>
      <c r="W641" s="168"/>
      <c r="X641" s="168"/>
      <c r="Y641" s="168"/>
      <c r="Z641" s="168"/>
      <c r="AA641" s="168"/>
      <c r="AB641" s="164"/>
      <c r="AC641" s="165"/>
      <c r="AD641" s="165"/>
      <c r="AE641" s="169"/>
      <c r="AF641" s="169"/>
      <c r="AG641" s="169"/>
      <c r="AH641" s="168"/>
      <c r="AI641" s="168"/>
      <c r="AJ641" s="168"/>
      <c r="AK641" s="170"/>
      <c r="AL641" s="170"/>
    </row>
    <row r="642" ht="15.75" customHeight="1">
      <c r="A642" s="161"/>
      <c r="B642" s="161"/>
      <c r="C642" s="162"/>
      <c r="D642" s="163"/>
      <c r="E642" s="164"/>
      <c r="F642" s="165"/>
      <c r="G642" s="166"/>
      <c r="H642" s="167"/>
      <c r="I642" s="167"/>
      <c r="J642" s="167"/>
      <c r="K642" s="167"/>
      <c r="L642" s="167"/>
      <c r="M642" s="167"/>
      <c r="N642" s="167"/>
      <c r="O642" s="167"/>
      <c r="P642" s="164"/>
      <c r="Q642" s="165"/>
      <c r="R642" s="165"/>
      <c r="S642" s="167"/>
      <c r="T642" s="167"/>
      <c r="U642" s="167"/>
      <c r="V642" s="168"/>
      <c r="W642" s="168"/>
      <c r="X642" s="168"/>
      <c r="Y642" s="168"/>
      <c r="Z642" s="168"/>
      <c r="AA642" s="168"/>
      <c r="AB642" s="164"/>
      <c r="AC642" s="165"/>
      <c r="AD642" s="165"/>
      <c r="AE642" s="169"/>
      <c r="AF642" s="169"/>
      <c r="AG642" s="169"/>
      <c r="AH642" s="168"/>
      <c r="AI642" s="168"/>
      <c r="AJ642" s="168"/>
      <c r="AK642" s="170"/>
      <c r="AL642" s="170"/>
    </row>
    <row r="643" ht="15.75" customHeight="1">
      <c r="A643" s="161"/>
      <c r="B643" s="161"/>
      <c r="C643" s="162"/>
      <c r="D643" s="163"/>
      <c r="E643" s="164"/>
      <c r="F643" s="165"/>
      <c r="G643" s="166"/>
      <c r="H643" s="167"/>
      <c r="I643" s="167"/>
      <c r="J643" s="167"/>
      <c r="K643" s="167"/>
      <c r="L643" s="167"/>
      <c r="M643" s="167"/>
      <c r="N643" s="167"/>
      <c r="O643" s="167"/>
      <c r="P643" s="164"/>
      <c r="Q643" s="165"/>
      <c r="R643" s="165"/>
      <c r="S643" s="167"/>
      <c r="T643" s="167"/>
      <c r="U643" s="167"/>
      <c r="V643" s="168"/>
      <c r="W643" s="168"/>
      <c r="X643" s="168"/>
      <c r="Y643" s="168"/>
      <c r="Z643" s="168"/>
      <c r="AA643" s="168"/>
      <c r="AB643" s="164"/>
      <c r="AC643" s="165"/>
      <c r="AD643" s="165"/>
      <c r="AE643" s="169"/>
      <c r="AF643" s="169"/>
      <c r="AG643" s="169"/>
      <c r="AH643" s="168"/>
      <c r="AI643" s="168"/>
      <c r="AJ643" s="168"/>
      <c r="AK643" s="170"/>
      <c r="AL643" s="170"/>
    </row>
    <row r="644" ht="15.75" customHeight="1">
      <c r="A644" s="161"/>
      <c r="B644" s="161"/>
      <c r="C644" s="162"/>
      <c r="D644" s="163"/>
      <c r="E644" s="164"/>
      <c r="F644" s="165"/>
      <c r="G644" s="166"/>
      <c r="H644" s="167"/>
      <c r="I644" s="167"/>
      <c r="J644" s="167"/>
      <c r="K644" s="167"/>
      <c r="L644" s="167"/>
      <c r="M644" s="167"/>
      <c r="N644" s="167"/>
      <c r="O644" s="167"/>
      <c r="P644" s="164"/>
      <c r="Q644" s="165"/>
      <c r="R644" s="165"/>
      <c r="S644" s="167"/>
      <c r="T644" s="167"/>
      <c r="U644" s="167"/>
      <c r="V644" s="168"/>
      <c r="W644" s="168"/>
      <c r="X644" s="168"/>
      <c r="Y644" s="168"/>
      <c r="Z644" s="168"/>
      <c r="AA644" s="168"/>
      <c r="AB644" s="164"/>
      <c r="AC644" s="165"/>
      <c r="AD644" s="165"/>
      <c r="AE644" s="169"/>
      <c r="AF644" s="169"/>
      <c r="AG644" s="169"/>
      <c r="AH644" s="168"/>
      <c r="AI644" s="168"/>
      <c r="AJ644" s="168"/>
      <c r="AK644" s="170"/>
      <c r="AL644" s="170"/>
    </row>
    <row r="645" ht="15.75" customHeight="1">
      <c r="A645" s="161"/>
      <c r="B645" s="161"/>
      <c r="C645" s="162"/>
      <c r="D645" s="163"/>
      <c r="E645" s="164"/>
      <c r="F645" s="165"/>
      <c r="G645" s="166"/>
      <c r="H645" s="167"/>
      <c r="I645" s="167"/>
      <c r="J645" s="167"/>
      <c r="K645" s="167"/>
      <c r="L645" s="167"/>
      <c r="M645" s="167"/>
      <c r="N645" s="167"/>
      <c r="O645" s="167"/>
      <c r="P645" s="164"/>
      <c r="Q645" s="165"/>
      <c r="R645" s="165"/>
      <c r="S645" s="167"/>
      <c r="T645" s="167"/>
      <c r="U645" s="167"/>
      <c r="V645" s="168"/>
      <c r="W645" s="168"/>
      <c r="X645" s="168"/>
      <c r="Y645" s="168"/>
      <c r="Z645" s="168"/>
      <c r="AA645" s="168"/>
      <c r="AB645" s="164"/>
      <c r="AC645" s="165"/>
      <c r="AD645" s="165"/>
      <c r="AE645" s="169"/>
      <c r="AF645" s="169"/>
      <c r="AG645" s="169"/>
      <c r="AH645" s="168"/>
      <c r="AI645" s="168"/>
      <c r="AJ645" s="168"/>
      <c r="AK645" s="170"/>
      <c r="AL645" s="170"/>
    </row>
    <row r="646" ht="15.75" customHeight="1">
      <c r="A646" s="161"/>
      <c r="B646" s="161"/>
      <c r="C646" s="162"/>
      <c r="D646" s="163"/>
      <c r="E646" s="164"/>
      <c r="F646" s="165"/>
      <c r="G646" s="166"/>
      <c r="H646" s="167"/>
      <c r="I646" s="167"/>
      <c r="J646" s="167"/>
      <c r="K646" s="167"/>
      <c r="L646" s="167"/>
      <c r="M646" s="167"/>
      <c r="N646" s="167"/>
      <c r="O646" s="167"/>
      <c r="P646" s="164"/>
      <c r="Q646" s="165"/>
      <c r="R646" s="165"/>
      <c r="S646" s="167"/>
      <c r="T646" s="167"/>
      <c r="U646" s="167"/>
      <c r="V646" s="168"/>
      <c r="W646" s="168"/>
      <c r="X646" s="168"/>
      <c r="Y646" s="168"/>
      <c r="Z646" s="168"/>
      <c r="AA646" s="168"/>
      <c r="AB646" s="164"/>
      <c r="AC646" s="165"/>
      <c r="AD646" s="165"/>
      <c r="AE646" s="169"/>
      <c r="AF646" s="169"/>
      <c r="AG646" s="169"/>
      <c r="AH646" s="168"/>
      <c r="AI646" s="168"/>
      <c r="AJ646" s="168"/>
      <c r="AK646" s="170"/>
      <c r="AL646" s="170"/>
    </row>
    <row r="647" ht="15.75" customHeight="1">
      <c r="A647" s="161"/>
      <c r="B647" s="161"/>
      <c r="C647" s="162"/>
      <c r="D647" s="163"/>
      <c r="E647" s="164"/>
      <c r="F647" s="165"/>
      <c r="G647" s="166"/>
      <c r="H647" s="167"/>
      <c r="I647" s="167"/>
      <c r="J647" s="167"/>
      <c r="K647" s="167"/>
      <c r="L647" s="167"/>
      <c r="M647" s="167"/>
      <c r="N647" s="167"/>
      <c r="O647" s="167"/>
      <c r="P647" s="164"/>
      <c r="Q647" s="165"/>
      <c r="R647" s="165"/>
      <c r="S647" s="167"/>
      <c r="T647" s="167"/>
      <c r="U647" s="167"/>
      <c r="V647" s="168"/>
      <c r="W647" s="168"/>
      <c r="X647" s="168"/>
      <c r="Y647" s="168"/>
      <c r="Z647" s="168"/>
      <c r="AA647" s="168"/>
      <c r="AB647" s="164"/>
      <c r="AC647" s="165"/>
      <c r="AD647" s="165"/>
      <c r="AE647" s="169"/>
      <c r="AF647" s="169"/>
      <c r="AG647" s="169"/>
      <c r="AH647" s="168"/>
      <c r="AI647" s="168"/>
      <c r="AJ647" s="168"/>
      <c r="AK647" s="170"/>
      <c r="AL647" s="170"/>
    </row>
    <row r="648" ht="15.75" customHeight="1">
      <c r="A648" s="161"/>
      <c r="B648" s="161"/>
      <c r="C648" s="162"/>
      <c r="D648" s="163"/>
      <c r="E648" s="164"/>
      <c r="F648" s="165"/>
      <c r="G648" s="166"/>
      <c r="H648" s="167"/>
      <c r="I648" s="167"/>
      <c r="J648" s="167"/>
      <c r="K648" s="167"/>
      <c r="L648" s="167"/>
      <c r="M648" s="167"/>
      <c r="N648" s="167"/>
      <c r="O648" s="167"/>
      <c r="P648" s="164"/>
      <c r="Q648" s="165"/>
      <c r="R648" s="165"/>
      <c r="S648" s="167"/>
      <c r="T648" s="167"/>
      <c r="U648" s="167"/>
      <c r="V648" s="168"/>
      <c r="W648" s="168"/>
      <c r="X648" s="168"/>
      <c r="Y648" s="168"/>
      <c r="Z648" s="168"/>
      <c r="AA648" s="168"/>
      <c r="AB648" s="164"/>
      <c r="AC648" s="165"/>
      <c r="AD648" s="165"/>
      <c r="AE648" s="169"/>
      <c r="AF648" s="169"/>
      <c r="AG648" s="169"/>
      <c r="AH648" s="168"/>
      <c r="AI648" s="168"/>
      <c r="AJ648" s="168"/>
      <c r="AK648" s="170"/>
      <c r="AL648" s="170"/>
    </row>
    <row r="649" ht="15.75" customHeight="1">
      <c r="A649" s="161"/>
      <c r="B649" s="161"/>
      <c r="C649" s="162"/>
      <c r="D649" s="163"/>
      <c r="E649" s="164"/>
      <c r="F649" s="165"/>
      <c r="G649" s="166"/>
      <c r="H649" s="167"/>
      <c r="I649" s="167"/>
      <c r="J649" s="167"/>
      <c r="K649" s="167"/>
      <c r="L649" s="167"/>
      <c r="M649" s="167"/>
      <c r="N649" s="167"/>
      <c r="O649" s="167"/>
      <c r="P649" s="164"/>
      <c r="Q649" s="165"/>
      <c r="R649" s="165"/>
      <c r="S649" s="167"/>
      <c r="T649" s="167"/>
      <c r="U649" s="167"/>
      <c r="V649" s="168"/>
      <c r="W649" s="168"/>
      <c r="X649" s="168"/>
      <c r="Y649" s="168"/>
      <c r="Z649" s="168"/>
      <c r="AA649" s="168"/>
      <c r="AB649" s="164"/>
      <c r="AC649" s="165"/>
      <c r="AD649" s="165"/>
      <c r="AE649" s="169"/>
      <c r="AF649" s="169"/>
      <c r="AG649" s="169"/>
      <c r="AH649" s="168"/>
      <c r="AI649" s="168"/>
      <c r="AJ649" s="168"/>
      <c r="AK649" s="170"/>
      <c r="AL649" s="170"/>
    </row>
    <row r="650" ht="15.75" customHeight="1">
      <c r="A650" s="161"/>
      <c r="B650" s="161"/>
      <c r="C650" s="162"/>
      <c r="D650" s="163"/>
      <c r="E650" s="164"/>
      <c r="F650" s="165"/>
      <c r="G650" s="166"/>
      <c r="H650" s="167"/>
      <c r="I650" s="167"/>
      <c r="J650" s="167"/>
      <c r="K650" s="167"/>
      <c r="L650" s="167"/>
      <c r="M650" s="167"/>
      <c r="N650" s="167"/>
      <c r="O650" s="167"/>
      <c r="P650" s="164"/>
      <c r="Q650" s="165"/>
      <c r="R650" s="165"/>
      <c r="S650" s="167"/>
      <c r="T650" s="167"/>
      <c r="U650" s="167"/>
      <c r="V650" s="168"/>
      <c r="W650" s="168"/>
      <c r="X650" s="168"/>
      <c r="Y650" s="168"/>
      <c r="Z650" s="168"/>
      <c r="AA650" s="168"/>
      <c r="AB650" s="164"/>
      <c r="AC650" s="165"/>
      <c r="AD650" s="165"/>
      <c r="AE650" s="169"/>
      <c r="AF650" s="169"/>
      <c r="AG650" s="169"/>
      <c r="AH650" s="168"/>
      <c r="AI650" s="168"/>
      <c r="AJ650" s="168"/>
      <c r="AK650" s="170"/>
      <c r="AL650" s="170"/>
    </row>
    <row r="651" ht="15.75" customHeight="1">
      <c r="A651" s="161"/>
      <c r="B651" s="161"/>
      <c r="C651" s="162"/>
      <c r="D651" s="163"/>
      <c r="E651" s="164"/>
      <c r="F651" s="165"/>
      <c r="G651" s="166"/>
      <c r="H651" s="167"/>
      <c r="I651" s="167"/>
      <c r="J651" s="167"/>
      <c r="K651" s="167"/>
      <c r="L651" s="167"/>
      <c r="M651" s="167"/>
      <c r="N651" s="167"/>
      <c r="O651" s="167"/>
      <c r="P651" s="164"/>
      <c r="Q651" s="165"/>
      <c r="R651" s="165"/>
      <c r="S651" s="167"/>
      <c r="T651" s="167"/>
      <c r="U651" s="167"/>
      <c r="V651" s="168"/>
      <c r="W651" s="168"/>
      <c r="X651" s="168"/>
      <c r="Y651" s="168"/>
      <c r="Z651" s="168"/>
      <c r="AA651" s="168"/>
      <c r="AB651" s="164"/>
      <c r="AC651" s="165"/>
      <c r="AD651" s="165"/>
      <c r="AE651" s="169"/>
      <c r="AF651" s="169"/>
      <c r="AG651" s="169"/>
      <c r="AH651" s="168"/>
      <c r="AI651" s="168"/>
      <c r="AJ651" s="168"/>
      <c r="AK651" s="170"/>
      <c r="AL651" s="170"/>
    </row>
    <row r="652" ht="15.75" customHeight="1">
      <c r="A652" s="161"/>
      <c r="B652" s="161"/>
      <c r="C652" s="162"/>
      <c r="D652" s="163"/>
      <c r="E652" s="164"/>
      <c r="F652" s="165"/>
      <c r="G652" s="166"/>
      <c r="H652" s="167"/>
      <c r="I652" s="167"/>
      <c r="J652" s="167"/>
      <c r="K652" s="167"/>
      <c r="L652" s="167"/>
      <c r="M652" s="167"/>
      <c r="N652" s="167"/>
      <c r="O652" s="167"/>
      <c r="P652" s="164"/>
      <c r="Q652" s="165"/>
      <c r="R652" s="165"/>
      <c r="S652" s="167"/>
      <c r="T652" s="167"/>
      <c r="U652" s="167"/>
      <c r="V652" s="168"/>
      <c r="W652" s="168"/>
      <c r="X652" s="168"/>
      <c r="Y652" s="168"/>
      <c r="Z652" s="168"/>
      <c r="AA652" s="168"/>
      <c r="AB652" s="164"/>
      <c r="AC652" s="165"/>
      <c r="AD652" s="165"/>
      <c r="AE652" s="169"/>
      <c r="AF652" s="169"/>
      <c r="AG652" s="169"/>
      <c r="AH652" s="168"/>
      <c r="AI652" s="168"/>
      <c r="AJ652" s="168"/>
      <c r="AK652" s="170"/>
      <c r="AL652" s="170"/>
    </row>
    <row r="653" ht="15.75" customHeight="1">
      <c r="A653" s="161"/>
      <c r="B653" s="161"/>
      <c r="C653" s="162"/>
      <c r="D653" s="163"/>
      <c r="E653" s="164"/>
      <c r="F653" s="165"/>
      <c r="G653" s="166"/>
      <c r="H653" s="167"/>
      <c r="I653" s="167"/>
      <c r="J653" s="167"/>
      <c r="K653" s="167"/>
      <c r="L653" s="167"/>
      <c r="M653" s="167"/>
      <c r="N653" s="167"/>
      <c r="O653" s="167"/>
      <c r="P653" s="164"/>
      <c r="Q653" s="165"/>
      <c r="R653" s="165"/>
      <c r="S653" s="167"/>
      <c r="T653" s="167"/>
      <c r="U653" s="167"/>
      <c r="V653" s="168"/>
      <c r="W653" s="168"/>
      <c r="X653" s="168"/>
      <c r="Y653" s="168"/>
      <c r="Z653" s="168"/>
      <c r="AA653" s="168"/>
      <c r="AB653" s="164"/>
      <c r="AC653" s="165"/>
      <c r="AD653" s="165"/>
      <c r="AE653" s="169"/>
      <c r="AF653" s="169"/>
      <c r="AG653" s="169"/>
      <c r="AH653" s="168"/>
      <c r="AI653" s="168"/>
      <c r="AJ653" s="168"/>
      <c r="AK653" s="170"/>
      <c r="AL653" s="170"/>
    </row>
    <row r="654" ht="15.75" customHeight="1">
      <c r="A654" s="161"/>
      <c r="B654" s="161"/>
      <c r="C654" s="162"/>
      <c r="D654" s="163"/>
      <c r="E654" s="164"/>
      <c r="F654" s="165"/>
      <c r="G654" s="166"/>
      <c r="H654" s="167"/>
      <c r="I654" s="167"/>
      <c r="J654" s="167"/>
      <c r="K654" s="167"/>
      <c r="L654" s="167"/>
      <c r="M654" s="167"/>
      <c r="N654" s="167"/>
      <c r="O654" s="167"/>
      <c r="P654" s="164"/>
      <c r="Q654" s="165"/>
      <c r="R654" s="165"/>
      <c r="S654" s="167"/>
      <c r="T654" s="167"/>
      <c r="U654" s="167"/>
      <c r="V654" s="168"/>
      <c r="W654" s="168"/>
      <c r="X654" s="168"/>
      <c r="Y654" s="168"/>
      <c r="Z654" s="168"/>
      <c r="AA654" s="168"/>
      <c r="AB654" s="164"/>
      <c r="AC654" s="165"/>
      <c r="AD654" s="165"/>
      <c r="AE654" s="169"/>
      <c r="AF654" s="169"/>
      <c r="AG654" s="169"/>
      <c r="AH654" s="168"/>
      <c r="AI654" s="168"/>
      <c r="AJ654" s="168"/>
      <c r="AK654" s="170"/>
      <c r="AL654" s="170"/>
    </row>
    <row r="655" ht="15.75" customHeight="1">
      <c r="A655" s="161"/>
      <c r="B655" s="161"/>
      <c r="C655" s="162"/>
      <c r="D655" s="163"/>
      <c r="E655" s="164"/>
      <c r="F655" s="165"/>
      <c r="G655" s="166"/>
      <c r="H655" s="167"/>
      <c r="I655" s="167"/>
      <c r="J655" s="167"/>
      <c r="K655" s="167"/>
      <c r="L655" s="167"/>
      <c r="M655" s="167"/>
      <c r="N655" s="167"/>
      <c r="O655" s="167"/>
      <c r="P655" s="164"/>
      <c r="Q655" s="165"/>
      <c r="R655" s="165"/>
      <c r="S655" s="167"/>
      <c r="T655" s="167"/>
      <c r="U655" s="167"/>
      <c r="V655" s="168"/>
      <c r="W655" s="168"/>
      <c r="X655" s="168"/>
      <c r="Y655" s="168"/>
      <c r="Z655" s="168"/>
      <c r="AA655" s="168"/>
      <c r="AB655" s="164"/>
      <c r="AC655" s="165"/>
      <c r="AD655" s="165"/>
      <c r="AE655" s="169"/>
      <c r="AF655" s="169"/>
      <c r="AG655" s="169"/>
      <c r="AH655" s="168"/>
      <c r="AI655" s="168"/>
      <c r="AJ655" s="168"/>
      <c r="AK655" s="170"/>
      <c r="AL655" s="170"/>
    </row>
    <row r="656" ht="15.75" customHeight="1">
      <c r="A656" s="161"/>
      <c r="B656" s="161"/>
      <c r="C656" s="162"/>
      <c r="D656" s="163"/>
      <c r="E656" s="164"/>
      <c r="F656" s="165"/>
      <c r="G656" s="166"/>
      <c r="H656" s="167"/>
      <c r="I656" s="167"/>
      <c r="J656" s="167"/>
      <c r="K656" s="167"/>
      <c r="L656" s="167"/>
      <c r="M656" s="167"/>
      <c r="N656" s="167"/>
      <c r="O656" s="167"/>
      <c r="P656" s="164"/>
      <c r="Q656" s="165"/>
      <c r="R656" s="165"/>
      <c r="S656" s="167"/>
      <c r="T656" s="167"/>
      <c r="U656" s="167"/>
      <c r="V656" s="168"/>
      <c r="W656" s="168"/>
      <c r="X656" s="168"/>
      <c r="Y656" s="168"/>
      <c r="Z656" s="168"/>
      <c r="AA656" s="168"/>
      <c r="AB656" s="164"/>
      <c r="AC656" s="165"/>
      <c r="AD656" s="165"/>
      <c r="AE656" s="169"/>
      <c r="AF656" s="169"/>
      <c r="AG656" s="169"/>
      <c r="AH656" s="168"/>
      <c r="AI656" s="168"/>
      <c r="AJ656" s="168"/>
      <c r="AK656" s="170"/>
      <c r="AL656" s="170"/>
    </row>
    <row r="657" ht="15.75" customHeight="1">
      <c r="A657" s="161"/>
      <c r="B657" s="161"/>
      <c r="C657" s="162"/>
      <c r="D657" s="163"/>
      <c r="E657" s="164"/>
      <c r="F657" s="165"/>
      <c r="G657" s="166"/>
      <c r="H657" s="167"/>
      <c r="I657" s="167"/>
      <c r="J657" s="167"/>
      <c r="K657" s="167"/>
      <c r="L657" s="167"/>
      <c r="M657" s="167"/>
      <c r="N657" s="167"/>
      <c r="O657" s="167"/>
      <c r="P657" s="164"/>
      <c r="Q657" s="165"/>
      <c r="R657" s="165"/>
      <c r="S657" s="167"/>
      <c r="T657" s="167"/>
      <c r="U657" s="167"/>
      <c r="V657" s="168"/>
      <c r="W657" s="168"/>
      <c r="X657" s="168"/>
      <c r="Y657" s="168"/>
      <c r="Z657" s="168"/>
      <c r="AA657" s="168"/>
      <c r="AB657" s="164"/>
      <c r="AC657" s="165"/>
      <c r="AD657" s="165"/>
      <c r="AE657" s="169"/>
      <c r="AF657" s="169"/>
      <c r="AG657" s="169"/>
      <c r="AH657" s="168"/>
      <c r="AI657" s="168"/>
      <c r="AJ657" s="168"/>
      <c r="AK657" s="170"/>
      <c r="AL657" s="170"/>
    </row>
    <row r="658" ht="15.75" customHeight="1">
      <c r="A658" s="161"/>
      <c r="B658" s="161"/>
      <c r="C658" s="162"/>
      <c r="D658" s="163"/>
      <c r="E658" s="164"/>
      <c r="F658" s="165"/>
      <c r="G658" s="166"/>
      <c r="H658" s="167"/>
      <c r="I658" s="167"/>
      <c r="J658" s="167"/>
      <c r="K658" s="167"/>
      <c r="L658" s="167"/>
      <c r="M658" s="167"/>
      <c r="N658" s="167"/>
      <c r="O658" s="167"/>
      <c r="P658" s="164"/>
      <c r="Q658" s="165"/>
      <c r="R658" s="165"/>
      <c r="S658" s="167"/>
      <c r="T658" s="167"/>
      <c r="U658" s="167"/>
      <c r="V658" s="168"/>
      <c r="W658" s="168"/>
      <c r="X658" s="168"/>
      <c r="Y658" s="168"/>
      <c r="Z658" s="168"/>
      <c r="AA658" s="168"/>
      <c r="AB658" s="164"/>
      <c r="AC658" s="165"/>
      <c r="AD658" s="165"/>
      <c r="AE658" s="169"/>
      <c r="AF658" s="169"/>
      <c r="AG658" s="169"/>
      <c r="AH658" s="168"/>
      <c r="AI658" s="168"/>
      <c r="AJ658" s="168"/>
      <c r="AK658" s="170"/>
      <c r="AL658" s="170"/>
    </row>
    <row r="659" ht="15.75" customHeight="1">
      <c r="A659" s="161"/>
      <c r="B659" s="161"/>
      <c r="C659" s="162"/>
      <c r="D659" s="163"/>
      <c r="E659" s="164"/>
      <c r="F659" s="165"/>
      <c r="G659" s="166"/>
      <c r="H659" s="167"/>
      <c r="I659" s="167"/>
      <c r="J659" s="167"/>
      <c r="K659" s="167"/>
      <c r="L659" s="167"/>
      <c r="M659" s="167"/>
      <c r="N659" s="167"/>
      <c r="O659" s="167"/>
      <c r="P659" s="164"/>
      <c r="Q659" s="165"/>
      <c r="R659" s="165"/>
      <c r="S659" s="167"/>
      <c r="T659" s="167"/>
      <c r="U659" s="167"/>
      <c r="V659" s="168"/>
      <c r="W659" s="168"/>
      <c r="X659" s="168"/>
      <c r="Y659" s="168"/>
      <c r="Z659" s="168"/>
      <c r="AA659" s="168"/>
      <c r="AB659" s="164"/>
      <c r="AC659" s="165"/>
      <c r="AD659" s="165"/>
      <c r="AE659" s="169"/>
      <c r="AF659" s="169"/>
      <c r="AG659" s="169"/>
      <c r="AH659" s="168"/>
      <c r="AI659" s="168"/>
      <c r="AJ659" s="168"/>
      <c r="AK659" s="170"/>
      <c r="AL659" s="170"/>
    </row>
    <row r="660" ht="15.75" customHeight="1">
      <c r="A660" s="161"/>
      <c r="B660" s="161"/>
      <c r="C660" s="162"/>
      <c r="D660" s="163"/>
      <c r="E660" s="164"/>
      <c r="F660" s="165"/>
      <c r="G660" s="166"/>
      <c r="H660" s="167"/>
      <c r="I660" s="167"/>
      <c r="J660" s="167"/>
      <c r="K660" s="167"/>
      <c r="L660" s="167"/>
      <c r="M660" s="167"/>
      <c r="N660" s="167"/>
      <c r="O660" s="167"/>
      <c r="P660" s="164"/>
      <c r="Q660" s="165"/>
      <c r="R660" s="165"/>
      <c r="S660" s="167"/>
      <c r="T660" s="167"/>
      <c r="U660" s="167"/>
      <c r="V660" s="168"/>
      <c r="W660" s="168"/>
      <c r="X660" s="168"/>
      <c r="Y660" s="168"/>
      <c r="Z660" s="168"/>
      <c r="AA660" s="168"/>
      <c r="AB660" s="164"/>
      <c r="AC660" s="165"/>
      <c r="AD660" s="165"/>
      <c r="AE660" s="169"/>
      <c r="AF660" s="169"/>
      <c r="AG660" s="169"/>
      <c r="AH660" s="168"/>
      <c r="AI660" s="168"/>
      <c r="AJ660" s="168"/>
      <c r="AK660" s="170"/>
      <c r="AL660" s="170"/>
    </row>
    <row r="661" ht="15.75" customHeight="1">
      <c r="A661" s="161"/>
      <c r="B661" s="161"/>
      <c r="C661" s="162"/>
      <c r="D661" s="163"/>
      <c r="E661" s="164"/>
      <c r="F661" s="165"/>
      <c r="G661" s="166"/>
      <c r="H661" s="167"/>
      <c r="I661" s="167"/>
      <c r="J661" s="167"/>
      <c r="K661" s="167"/>
      <c r="L661" s="167"/>
      <c r="M661" s="167"/>
      <c r="N661" s="167"/>
      <c r="O661" s="167"/>
      <c r="P661" s="164"/>
      <c r="Q661" s="165"/>
      <c r="R661" s="165"/>
      <c r="S661" s="167"/>
      <c r="T661" s="167"/>
      <c r="U661" s="167"/>
      <c r="V661" s="168"/>
      <c r="W661" s="168"/>
      <c r="X661" s="168"/>
      <c r="Y661" s="168"/>
      <c r="Z661" s="168"/>
      <c r="AA661" s="168"/>
      <c r="AB661" s="164"/>
      <c r="AC661" s="165"/>
      <c r="AD661" s="165"/>
      <c r="AE661" s="169"/>
      <c r="AF661" s="169"/>
      <c r="AG661" s="169"/>
      <c r="AH661" s="168"/>
      <c r="AI661" s="168"/>
      <c r="AJ661" s="168"/>
      <c r="AK661" s="170"/>
      <c r="AL661" s="170"/>
    </row>
    <row r="662" ht="15.75" customHeight="1">
      <c r="A662" s="161"/>
      <c r="B662" s="161"/>
      <c r="C662" s="162"/>
      <c r="D662" s="163"/>
      <c r="E662" s="164"/>
      <c r="F662" s="165"/>
      <c r="G662" s="166"/>
      <c r="H662" s="167"/>
      <c r="I662" s="167"/>
      <c r="J662" s="167"/>
      <c r="K662" s="167"/>
      <c r="L662" s="167"/>
      <c r="M662" s="167"/>
      <c r="N662" s="167"/>
      <c r="O662" s="167"/>
      <c r="P662" s="164"/>
      <c r="Q662" s="165"/>
      <c r="R662" s="165"/>
      <c r="S662" s="167"/>
      <c r="T662" s="167"/>
      <c r="U662" s="167"/>
      <c r="V662" s="168"/>
      <c r="W662" s="168"/>
      <c r="X662" s="168"/>
      <c r="Y662" s="168"/>
      <c r="Z662" s="168"/>
      <c r="AA662" s="168"/>
      <c r="AB662" s="164"/>
      <c r="AC662" s="165"/>
      <c r="AD662" s="165"/>
      <c r="AE662" s="169"/>
      <c r="AF662" s="169"/>
      <c r="AG662" s="169"/>
      <c r="AH662" s="168"/>
      <c r="AI662" s="168"/>
      <c r="AJ662" s="168"/>
      <c r="AK662" s="170"/>
      <c r="AL662" s="170"/>
    </row>
    <row r="663" ht="15.75" customHeight="1">
      <c r="A663" s="161"/>
      <c r="B663" s="161"/>
      <c r="C663" s="162"/>
      <c r="D663" s="163"/>
      <c r="E663" s="164"/>
      <c r="F663" s="165"/>
      <c r="G663" s="166"/>
      <c r="H663" s="167"/>
      <c r="I663" s="167"/>
      <c r="J663" s="167"/>
      <c r="K663" s="167"/>
      <c r="L663" s="167"/>
      <c r="M663" s="167"/>
      <c r="N663" s="167"/>
      <c r="O663" s="167"/>
      <c r="P663" s="164"/>
      <c r="Q663" s="165"/>
      <c r="R663" s="165"/>
      <c r="S663" s="167"/>
      <c r="T663" s="167"/>
      <c r="U663" s="167"/>
      <c r="V663" s="168"/>
      <c r="W663" s="168"/>
      <c r="X663" s="168"/>
      <c r="Y663" s="168"/>
      <c r="Z663" s="168"/>
      <c r="AA663" s="168"/>
      <c r="AB663" s="164"/>
      <c r="AC663" s="165"/>
      <c r="AD663" s="165"/>
      <c r="AE663" s="169"/>
      <c r="AF663" s="169"/>
      <c r="AG663" s="169"/>
      <c r="AH663" s="168"/>
      <c r="AI663" s="168"/>
      <c r="AJ663" s="168"/>
      <c r="AK663" s="170"/>
      <c r="AL663" s="170"/>
    </row>
    <row r="664" ht="15.75" customHeight="1">
      <c r="A664" s="161"/>
      <c r="B664" s="161"/>
      <c r="C664" s="162"/>
      <c r="D664" s="163"/>
      <c r="E664" s="164"/>
      <c r="F664" s="165"/>
      <c r="G664" s="166"/>
      <c r="H664" s="167"/>
      <c r="I664" s="167"/>
      <c r="J664" s="167"/>
      <c r="K664" s="167"/>
      <c r="L664" s="167"/>
      <c r="M664" s="167"/>
      <c r="N664" s="167"/>
      <c r="O664" s="167"/>
      <c r="P664" s="164"/>
      <c r="Q664" s="165"/>
      <c r="R664" s="165"/>
      <c r="S664" s="167"/>
      <c r="T664" s="167"/>
      <c r="U664" s="167"/>
      <c r="V664" s="168"/>
      <c r="W664" s="168"/>
      <c r="X664" s="168"/>
      <c r="Y664" s="168"/>
      <c r="Z664" s="168"/>
      <c r="AA664" s="168"/>
      <c r="AB664" s="164"/>
      <c r="AC664" s="165"/>
      <c r="AD664" s="165"/>
      <c r="AE664" s="169"/>
      <c r="AF664" s="169"/>
      <c r="AG664" s="169"/>
      <c r="AH664" s="168"/>
      <c r="AI664" s="168"/>
      <c r="AJ664" s="168"/>
      <c r="AK664" s="170"/>
      <c r="AL664" s="170"/>
    </row>
    <row r="665" ht="15.75" customHeight="1">
      <c r="A665" s="161"/>
      <c r="B665" s="161"/>
      <c r="C665" s="162"/>
      <c r="D665" s="163"/>
      <c r="E665" s="164"/>
      <c r="F665" s="165"/>
      <c r="G665" s="166"/>
      <c r="H665" s="167"/>
      <c r="I665" s="167"/>
      <c r="J665" s="167"/>
      <c r="K665" s="167"/>
      <c r="L665" s="167"/>
      <c r="M665" s="167"/>
      <c r="N665" s="167"/>
      <c r="O665" s="167"/>
      <c r="P665" s="164"/>
      <c r="Q665" s="165"/>
      <c r="R665" s="165"/>
      <c r="S665" s="167"/>
      <c r="T665" s="167"/>
      <c r="U665" s="167"/>
      <c r="V665" s="168"/>
      <c r="W665" s="168"/>
      <c r="X665" s="168"/>
      <c r="Y665" s="168"/>
      <c r="Z665" s="168"/>
      <c r="AA665" s="168"/>
      <c r="AB665" s="164"/>
      <c r="AC665" s="165"/>
      <c r="AD665" s="165"/>
      <c r="AE665" s="169"/>
      <c r="AF665" s="169"/>
      <c r="AG665" s="169"/>
      <c r="AH665" s="168"/>
      <c r="AI665" s="168"/>
      <c r="AJ665" s="168"/>
      <c r="AK665" s="170"/>
      <c r="AL665" s="170"/>
    </row>
    <row r="666" ht="15.75" customHeight="1">
      <c r="A666" s="161"/>
      <c r="B666" s="161"/>
      <c r="C666" s="162"/>
      <c r="D666" s="163"/>
      <c r="E666" s="164"/>
      <c r="F666" s="165"/>
      <c r="G666" s="166"/>
      <c r="H666" s="167"/>
      <c r="I666" s="167"/>
      <c r="J666" s="167"/>
      <c r="K666" s="167"/>
      <c r="L666" s="167"/>
      <c r="M666" s="167"/>
      <c r="N666" s="167"/>
      <c r="O666" s="167"/>
      <c r="P666" s="164"/>
      <c r="Q666" s="165"/>
      <c r="R666" s="165"/>
      <c r="S666" s="167"/>
      <c r="T666" s="167"/>
      <c r="U666" s="167"/>
      <c r="V666" s="168"/>
      <c r="W666" s="168"/>
      <c r="X666" s="168"/>
      <c r="Y666" s="168"/>
      <c r="Z666" s="168"/>
      <c r="AA666" s="168"/>
      <c r="AB666" s="164"/>
      <c r="AC666" s="165"/>
      <c r="AD666" s="165"/>
      <c r="AE666" s="169"/>
      <c r="AF666" s="169"/>
      <c r="AG666" s="169"/>
      <c r="AH666" s="168"/>
      <c r="AI666" s="168"/>
      <c r="AJ666" s="168"/>
      <c r="AK666" s="170"/>
      <c r="AL666" s="170"/>
    </row>
    <row r="667" ht="15.75" customHeight="1">
      <c r="A667" s="161"/>
      <c r="B667" s="161"/>
      <c r="C667" s="162"/>
      <c r="D667" s="163"/>
      <c r="E667" s="164"/>
      <c r="F667" s="165"/>
      <c r="G667" s="166"/>
      <c r="H667" s="167"/>
      <c r="I667" s="167"/>
      <c r="J667" s="167"/>
      <c r="K667" s="167"/>
      <c r="L667" s="167"/>
      <c r="M667" s="167"/>
      <c r="N667" s="167"/>
      <c r="O667" s="167"/>
      <c r="P667" s="164"/>
      <c r="Q667" s="165"/>
      <c r="R667" s="165"/>
      <c r="S667" s="167"/>
      <c r="T667" s="167"/>
      <c r="U667" s="167"/>
      <c r="V667" s="168"/>
      <c r="W667" s="168"/>
      <c r="X667" s="168"/>
      <c r="Y667" s="168"/>
      <c r="Z667" s="168"/>
      <c r="AA667" s="168"/>
      <c r="AB667" s="164"/>
      <c r="AC667" s="165"/>
      <c r="AD667" s="165"/>
      <c r="AE667" s="169"/>
      <c r="AF667" s="169"/>
      <c r="AG667" s="169"/>
      <c r="AH667" s="168"/>
      <c r="AI667" s="168"/>
      <c r="AJ667" s="168"/>
      <c r="AK667" s="170"/>
      <c r="AL667" s="170"/>
    </row>
    <row r="668" ht="15.75" customHeight="1">
      <c r="A668" s="161"/>
      <c r="B668" s="161"/>
      <c r="C668" s="162"/>
      <c r="D668" s="163"/>
      <c r="E668" s="164"/>
      <c r="F668" s="165"/>
      <c r="G668" s="166"/>
      <c r="H668" s="167"/>
      <c r="I668" s="167"/>
      <c r="J668" s="167"/>
      <c r="K668" s="167"/>
      <c r="L668" s="167"/>
      <c r="M668" s="167"/>
      <c r="N668" s="167"/>
      <c r="O668" s="167"/>
      <c r="P668" s="164"/>
      <c r="Q668" s="165"/>
      <c r="R668" s="165"/>
      <c r="S668" s="167"/>
      <c r="T668" s="167"/>
      <c r="U668" s="167"/>
      <c r="V668" s="168"/>
      <c r="W668" s="168"/>
      <c r="X668" s="168"/>
      <c r="Y668" s="168"/>
      <c r="Z668" s="168"/>
      <c r="AA668" s="168"/>
      <c r="AB668" s="164"/>
      <c r="AC668" s="165"/>
      <c r="AD668" s="165"/>
      <c r="AE668" s="169"/>
      <c r="AF668" s="169"/>
      <c r="AG668" s="169"/>
      <c r="AH668" s="168"/>
      <c r="AI668" s="168"/>
      <c r="AJ668" s="168"/>
      <c r="AK668" s="170"/>
      <c r="AL668" s="170"/>
    </row>
    <row r="669" ht="15.75" customHeight="1">
      <c r="A669" s="161"/>
      <c r="B669" s="161"/>
      <c r="C669" s="162"/>
      <c r="D669" s="163"/>
      <c r="E669" s="164"/>
      <c r="F669" s="165"/>
      <c r="G669" s="166"/>
      <c r="H669" s="167"/>
      <c r="I669" s="167"/>
      <c r="J669" s="167"/>
      <c r="K669" s="167"/>
      <c r="L669" s="167"/>
      <c r="M669" s="167"/>
      <c r="N669" s="167"/>
      <c r="O669" s="167"/>
      <c r="P669" s="164"/>
      <c r="Q669" s="165"/>
      <c r="R669" s="165"/>
      <c r="S669" s="167"/>
      <c r="T669" s="167"/>
      <c r="U669" s="167"/>
      <c r="V669" s="168"/>
      <c r="W669" s="168"/>
      <c r="X669" s="168"/>
      <c r="Y669" s="168"/>
      <c r="Z669" s="168"/>
      <c r="AA669" s="168"/>
      <c r="AB669" s="164"/>
      <c r="AC669" s="165"/>
      <c r="AD669" s="165"/>
      <c r="AE669" s="169"/>
      <c r="AF669" s="169"/>
      <c r="AG669" s="169"/>
      <c r="AH669" s="168"/>
      <c r="AI669" s="168"/>
      <c r="AJ669" s="168"/>
      <c r="AK669" s="170"/>
      <c r="AL669" s="170"/>
    </row>
    <row r="670" ht="15.75" customHeight="1">
      <c r="A670" s="161"/>
      <c r="B670" s="161"/>
      <c r="C670" s="162"/>
      <c r="D670" s="163"/>
      <c r="E670" s="164"/>
      <c r="F670" s="165"/>
      <c r="G670" s="166"/>
      <c r="H670" s="167"/>
      <c r="I670" s="167"/>
      <c r="J670" s="167"/>
      <c r="K670" s="167"/>
      <c r="L670" s="167"/>
      <c r="M670" s="167"/>
      <c r="N670" s="167"/>
      <c r="O670" s="167"/>
      <c r="P670" s="164"/>
      <c r="Q670" s="165"/>
      <c r="R670" s="165"/>
      <c r="S670" s="167"/>
      <c r="T670" s="167"/>
      <c r="U670" s="167"/>
      <c r="V670" s="168"/>
      <c r="W670" s="168"/>
      <c r="X670" s="168"/>
      <c r="Y670" s="168"/>
      <c r="Z670" s="168"/>
      <c r="AA670" s="168"/>
      <c r="AB670" s="164"/>
      <c r="AC670" s="165"/>
      <c r="AD670" s="165"/>
      <c r="AE670" s="169"/>
      <c r="AF670" s="169"/>
      <c r="AG670" s="169"/>
      <c r="AH670" s="168"/>
      <c r="AI670" s="168"/>
      <c r="AJ670" s="168"/>
      <c r="AK670" s="170"/>
      <c r="AL670" s="170"/>
    </row>
    <row r="671" ht="15.75" customHeight="1">
      <c r="A671" s="161"/>
      <c r="B671" s="161"/>
      <c r="C671" s="162"/>
      <c r="D671" s="163"/>
      <c r="E671" s="164"/>
      <c r="F671" s="165"/>
      <c r="G671" s="166"/>
      <c r="H671" s="167"/>
      <c r="I671" s="167"/>
      <c r="J671" s="167"/>
      <c r="K671" s="167"/>
      <c r="L671" s="167"/>
      <c r="M671" s="167"/>
      <c r="N671" s="167"/>
      <c r="O671" s="167"/>
      <c r="P671" s="164"/>
      <c r="Q671" s="165"/>
      <c r="R671" s="165"/>
      <c r="S671" s="167"/>
      <c r="T671" s="167"/>
      <c r="U671" s="167"/>
      <c r="V671" s="168"/>
      <c r="W671" s="168"/>
      <c r="X671" s="168"/>
      <c r="Y671" s="168"/>
      <c r="Z671" s="168"/>
      <c r="AA671" s="168"/>
      <c r="AB671" s="164"/>
      <c r="AC671" s="165"/>
      <c r="AD671" s="165"/>
      <c r="AE671" s="169"/>
      <c r="AF671" s="169"/>
      <c r="AG671" s="169"/>
      <c r="AH671" s="168"/>
      <c r="AI671" s="168"/>
      <c r="AJ671" s="168"/>
      <c r="AK671" s="170"/>
      <c r="AL671" s="170"/>
    </row>
    <row r="672" ht="15.75" customHeight="1">
      <c r="A672" s="161"/>
      <c r="B672" s="161"/>
      <c r="C672" s="162"/>
      <c r="D672" s="163"/>
      <c r="E672" s="164"/>
      <c r="F672" s="165"/>
      <c r="G672" s="166"/>
      <c r="H672" s="167"/>
      <c r="I672" s="167"/>
      <c r="J672" s="167"/>
      <c r="K672" s="167"/>
      <c r="L672" s="167"/>
      <c r="M672" s="167"/>
      <c r="N672" s="167"/>
      <c r="O672" s="167"/>
      <c r="P672" s="164"/>
      <c r="Q672" s="165"/>
      <c r="R672" s="165"/>
      <c r="S672" s="167"/>
      <c r="T672" s="167"/>
      <c r="U672" s="167"/>
      <c r="V672" s="168"/>
      <c r="W672" s="168"/>
      <c r="X672" s="168"/>
      <c r="Y672" s="168"/>
      <c r="Z672" s="168"/>
      <c r="AA672" s="168"/>
      <c r="AB672" s="164"/>
      <c r="AC672" s="165"/>
      <c r="AD672" s="165"/>
      <c r="AE672" s="169"/>
      <c r="AF672" s="169"/>
      <c r="AG672" s="169"/>
      <c r="AH672" s="168"/>
      <c r="AI672" s="168"/>
      <c r="AJ672" s="168"/>
      <c r="AK672" s="170"/>
      <c r="AL672" s="170"/>
    </row>
    <row r="673" ht="15.75" customHeight="1">
      <c r="A673" s="161"/>
      <c r="B673" s="161"/>
      <c r="C673" s="162"/>
      <c r="D673" s="163"/>
      <c r="E673" s="164"/>
      <c r="F673" s="165"/>
      <c r="G673" s="166"/>
      <c r="H673" s="167"/>
      <c r="I673" s="167"/>
      <c r="J673" s="167"/>
      <c r="K673" s="167"/>
      <c r="L673" s="167"/>
      <c r="M673" s="167"/>
      <c r="N673" s="167"/>
      <c r="O673" s="167"/>
      <c r="P673" s="164"/>
      <c r="Q673" s="165"/>
      <c r="R673" s="165"/>
      <c r="S673" s="167"/>
      <c r="T673" s="167"/>
      <c r="U673" s="167"/>
      <c r="V673" s="168"/>
      <c r="W673" s="168"/>
      <c r="X673" s="168"/>
      <c r="Y673" s="168"/>
      <c r="Z673" s="168"/>
      <c r="AA673" s="168"/>
      <c r="AB673" s="164"/>
      <c r="AC673" s="165"/>
      <c r="AD673" s="165"/>
      <c r="AE673" s="169"/>
      <c r="AF673" s="169"/>
      <c r="AG673" s="169"/>
      <c r="AH673" s="168"/>
      <c r="AI673" s="168"/>
      <c r="AJ673" s="168"/>
      <c r="AK673" s="170"/>
      <c r="AL673" s="170"/>
    </row>
    <row r="674" ht="15.75" customHeight="1">
      <c r="A674" s="161"/>
      <c r="B674" s="161"/>
      <c r="C674" s="162"/>
      <c r="D674" s="163"/>
      <c r="E674" s="164"/>
      <c r="F674" s="165"/>
      <c r="G674" s="166"/>
      <c r="H674" s="167"/>
      <c r="I674" s="167"/>
      <c r="J674" s="167"/>
      <c r="K674" s="167"/>
      <c r="L674" s="167"/>
      <c r="M674" s="167"/>
      <c r="N674" s="167"/>
      <c r="O674" s="167"/>
      <c r="P674" s="164"/>
      <c r="Q674" s="165"/>
      <c r="R674" s="165"/>
      <c r="S674" s="167"/>
      <c r="T674" s="167"/>
      <c r="U674" s="167"/>
      <c r="V674" s="168"/>
      <c r="W674" s="168"/>
      <c r="X674" s="168"/>
      <c r="Y674" s="168"/>
      <c r="Z674" s="168"/>
      <c r="AA674" s="168"/>
      <c r="AB674" s="164"/>
      <c r="AC674" s="165"/>
      <c r="AD674" s="165"/>
      <c r="AE674" s="169"/>
      <c r="AF674" s="169"/>
      <c r="AG674" s="169"/>
      <c r="AH674" s="168"/>
      <c r="AI674" s="168"/>
      <c r="AJ674" s="168"/>
      <c r="AK674" s="170"/>
      <c r="AL674" s="170"/>
    </row>
    <row r="675" ht="15.75" customHeight="1">
      <c r="A675" s="161"/>
      <c r="B675" s="161"/>
      <c r="C675" s="162"/>
      <c r="D675" s="163"/>
      <c r="E675" s="164"/>
      <c r="F675" s="165"/>
      <c r="G675" s="166"/>
      <c r="H675" s="167"/>
      <c r="I675" s="167"/>
      <c r="J675" s="167"/>
      <c r="K675" s="167"/>
      <c r="L675" s="167"/>
      <c r="M675" s="167"/>
      <c r="N675" s="167"/>
      <c r="O675" s="167"/>
      <c r="P675" s="164"/>
      <c r="Q675" s="165"/>
      <c r="R675" s="165"/>
      <c r="S675" s="167"/>
      <c r="T675" s="167"/>
      <c r="U675" s="167"/>
      <c r="V675" s="168"/>
      <c r="W675" s="168"/>
      <c r="X675" s="168"/>
      <c r="Y675" s="168"/>
      <c r="Z675" s="168"/>
      <c r="AA675" s="168"/>
      <c r="AB675" s="164"/>
      <c r="AC675" s="165"/>
      <c r="AD675" s="165"/>
      <c r="AE675" s="169"/>
      <c r="AF675" s="169"/>
      <c r="AG675" s="169"/>
      <c r="AH675" s="168"/>
      <c r="AI675" s="168"/>
      <c r="AJ675" s="168"/>
      <c r="AK675" s="170"/>
      <c r="AL675" s="170"/>
    </row>
    <row r="676" ht="15.75" customHeight="1">
      <c r="A676" s="161"/>
      <c r="B676" s="161"/>
      <c r="C676" s="162"/>
      <c r="D676" s="163"/>
      <c r="E676" s="164"/>
      <c r="F676" s="165"/>
      <c r="G676" s="166"/>
      <c r="H676" s="167"/>
      <c r="I676" s="167"/>
      <c r="J676" s="167"/>
      <c r="K676" s="167"/>
      <c r="L676" s="167"/>
      <c r="M676" s="167"/>
      <c r="N676" s="167"/>
      <c r="O676" s="167"/>
      <c r="P676" s="164"/>
      <c r="Q676" s="165"/>
      <c r="R676" s="165"/>
      <c r="S676" s="167"/>
      <c r="T676" s="167"/>
      <c r="U676" s="167"/>
      <c r="V676" s="168"/>
      <c r="W676" s="168"/>
      <c r="X676" s="168"/>
      <c r="Y676" s="168"/>
      <c r="Z676" s="168"/>
      <c r="AA676" s="168"/>
      <c r="AB676" s="164"/>
      <c r="AC676" s="165"/>
      <c r="AD676" s="165"/>
      <c r="AE676" s="169"/>
      <c r="AF676" s="169"/>
      <c r="AG676" s="169"/>
      <c r="AH676" s="168"/>
      <c r="AI676" s="168"/>
      <c r="AJ676" s="168"/>
      <c r="AK676" s="170"/>
      <c r="AL676" s="170"/>
    </row>
    <row r="677" ht="15.75" customHeight="1">
      <c r="A677" s="161"/>
      <c r="B677" s="161"/>
      <c r="C677" s="162"/>
      <c r="D677" s="163"/>
      <c r="E677" s="164"/>
      <c r="F677" s="165"/>
      <c r="G677" s="166"/>
      <c r="H677" s="167"/>
      <c r="I677" s="167"/>
      <c r="J677" s="167"/>
      <c r="K677" s="167"/>
      <c r="L677" s="167"/>
      <c r="M677" s="167"/>
      <c r="N677" s="167"/>
      <c r="O677" s="167"/>
      <c r="P677" s="164"/>
      <c r="Q677" s="165"/>
      <c r="R677" s="165"/>
      <c r="S677" s="167"/>
      <c r="T677" s="167"/>
      <c r="U677" s="167"/>
      <c r="V677" s="168"/>
      <c r="W677" s="168"/>
      <c r="X677" s="168"/>
      <c r="Y677" s="168"/>
      <c r="Z677" s="168"/>
      <c r="AA677" s="168"/>
      <c r="AB677" s="164"/>
      <c r="AC677" s="165"/>
      <c r="AD677" s="165"/>
      <c r="AE677" s="169"/>
      <c r="AF677" s="169"/>
      <c r="AG677" s="169"/>
      <c r="AH677" s="168"/>
      <c r="AI677" s="168"/>
      <c r="AJ677" s="168"/>
      <c r="AK677" s="170"/>
      <c r="AL677" s="170"/>
    </row>
    <row r="678" ht="15.75" customHeight="1">
      <c r="A678" s="161"/>
      <c r="B678" s="161"/>
      <c r="C678" s="162"/>
      <c r="D678" s="163"/>
      <c r="E678" s="164"/>
      <c r="F678" s="165"/>
      <c r="G678" s="166"/>
      <c r="H678" s="167"/>
      <c r="I678" s="167"/>
      <c r="J678" s="167"/>
      <c r="K678" s="167"/>
      <c r="L678" s="167"/>
      <c r="M678" s="167"/>
      <c r="N678" s="167"/>
      <c r="O678" s="167"/>
      <c r="P678" s="164"/>
      <c r="Q678" s="165"/>
      <c r="R678" s="165"/>
      <c r="S678" s="167"/>
      <c r="T678" s="167"/>
      <c r="U678" s="167"/>
      <c r="V678" s="168"/>
      <c r="W678" s="168"/>
      <c r="X678" s="168"/>
      <c r="Y678" s="168"/>
      <c r="Z678" s="168"/>
      <c r="AA678" s="168"/>
      <c r="AB678" s="164"/>
      <c r="AC678" s="165"/>
      <c r="AD678" s="165"/>
      <c r="AE678" s="169"/>
      <c r="AF678" s="169"/>
      <c r="AG678" s="169"/>
      <c r="AH678" s="168"/>
      <c r="AI678" s="168"/>
      <c r="AJ678" s="168"/>
      <c r="AK678" s="170"/>
      <c r="AL678" s="170"/>
    </row>
    <row r="679" ht="15.75" customHeight="1">
      <c r="A679" s="161"/>
      <c r="B679" s="161"/>
      <c r="C679" s="162"/>
      <c r="D679" s="163"/>
      <c r="E679" s="164"/>
      <c r="F679" s="165"/>
      <c r="G679" s="166"/>
      <c r="H679" s="167"/>
      <c r="I679" s="167"/>
      <c r="J679" s="167"/>
      <c r="K679" s="167"/>
      <c r="L679" s="167"/>
      <c r="M679" s="167"/>
      <c r="N679" s="167"/>
      <c r="O679" s="167"/>
      <c r="P679" s="164"/>
      <c r="Q679" s="165"/>
      <c r="R679" s="165"/>
      <c r="S679" s="167"/>
      <c r="T679" s="167"/>
      <c r="U679" s="167"/>
      <c r="V679" s="168"/>
      <c r="W679" s="168"/>
      <c r="X679" s="168"/>
      <c r="Y679" s="168"/>
      <c r="Z679" s="168"/>
      <c r="AA679" s="168"/>
      <c r="AB679" s="164"/>
      <c r="AC679" s="165"/>
      <c r="AD679" s="165"/>
      <c r="AE679" s="169"/>
      <c r="AF679" s="169"/>
      <c r="AG679" s="169"/>
      <c r="AH679" s="168"/>
      <c r="AI679" s="168"/>
      <c r="AJ679" s="168"/>
      <c r="AK679" s="170"/>
      <c r="AL679" s="170"/>
    </row>
    <row r="680" ht="15.75" customHeight="1">
      <c r="A680" s="161"/>
      <c r="B680" s="161"/>
      <c r="C680" s="162"/>
      <c r="D680" s="163"/>
      <c r="E680" s="164"/>
      <c r="F680" s="165"/>
      <c r="G680" s="166"/>
      <c r="H680" s="167"/>
      <c r="I680" s="167"/>
      <c r="J680" s="167"/>
      <c r="K680" s="167"/>
      <c r="L680" s="167"/>
      <c r="M680" s="167"/>
      <c r="N680" s="167"/>
      <c r="O680" s="167"/>
      <c r="P680" s="164"/>
      <c r="Q680" s="165"/>
      <c r="R680" s="165"/>
      <c r="S680" s="167"/>
      <c r="T680" s="167"/>
      <c r="U680" s="167"/>
      <c r="V680" s="168"/>
      <c r="W680" s="168"/>
      <c r="X680" s="168"/>
      <c r="Y680" s="168"/>
      <c r="Z680" s="168"/>
      <c r="AA680" s="168"/>
      <c r="AB680" s="164"/>
      <c r="AC680" s="165"/>
      <c r="AD680" s="165"/>
      <c r="AE680" s="169"/>
      <c r="AF680" s="169"/>
      <c r="AG680" s="169"/>
      <c r="AH680" s="168"/>
      <c r="AI680" s="168"/>
      <c r="AJ680" s="168"/>
      <c r="AK680" s="170"/>
      <c r="AL680" s="170"/>
    </row>
    <row r="681" ht="15.75" customHeight="1">
      <c r="A681" s="161"/>
      <c r="B681" s="161"/>
      <c r="C681" s="162"/>
      <c r="D681" s="163"/>
      <c r="E681" s="164"/>
      <c r="F681" s="165"/>
      <c r="G681" s="166"/>
      <c r="H681" s="167"/>
      <c r="I681" s="167"/>
      <c r="J681" s="167"/>
      <c r="K681" s="167"/>
      <c r="L681" s="167"/>
      <c r="M681" s="167"/>
      <c r="N681" s="167"/>
      <c r="O681" s="167"/>
      <c r="P681" s="164"/>
      <c r="Q681" s="165"/>
      <c r="R681" s="165"/>
      <c r="S681" s="167"/>
      <c r="T681" s="167"/>
      <c r="U681" s="167"/>
      <c r="V681" s="168"/>
      <c r="W681" s="168"/>
      <c r="X681" s="168"/>
      <c r="Y681" s="168"/>
      <c r="Z681" s="168"/>
      <c r="AA681" s="168"/>
      <c r="AB681" s="164"/>
      <c r="AC681" s="165"/>
      <c r="AD681" s="165"/>
      <c r="AE681" s="169"/>
      <c r="AF681" s="169"/>
      <c r="AG681" s="169"/>
      <c r="AH681" s="168"/>
      <c r="AI681" s="168"/>
      <c r="AJ681" s="168"/>
      <c r="AK681" s="170"/>
      <c r="AL681" s="170"/>
    </row>
    <row r="682" ht="15.75" customHeight="1">
      <c r="A682" s="161"/>
      <c r="B682" s="161"/>
      <c r="C682" s="162"/>
      <c r="D682" s="163"/>
      <c r="E682" s="164"/>
      <c r="F682" s="165"/>
      <c r="G682" s="166"/>
      <c r="H682" s="167"/>
      <c r="I682" s="167"/>
      <c r="J682" s="167"/>
      <c r="K682" s="167"/>
      <c r="L682" s="167"/>
      <c r="M682" s="167"/>
      <c r="N682" s="167"/>
      <c r="O682" s="167"/>
      <c r="P682" s="164"/>
      <c r="Q682" s="165"/>
      <c r="R682" s="165"/>
      <c r="S682" s="167"/>
      <c r="T682" s="167"/>
      <c r="U682" s="167"/>
      <c r="V682" s="168"/>
      <c r="W682" s="168"/>
      <c r="X682" s="168"/>
      <c r="Y682" s="168"/>
      <c r="Z682" s="168"/>
      <c r="AA682" s="168"/>
      <c r="AB682" s="164"/>
      <c r="AC682" s="165"/>
      <c r="AD682" s="165"/>
      <c r="AE682" s="169"/>
      <c r="AF682" s="169"/>
      <c r="AG682" s="169"/>
      <c r="AH682" s="168"/>
      <c r="AI682" s="168"/>
      <c r="AJ682" s="168"/>
      <c r="AK682" s="170"/>
      <c r="AL682" s="170"/>
    </row>
    <row r="683" ht="15.75" customHeight="1">
      <c r="A683" s="161"/>
      <c r="B683" s="161"/>
      <c r="C683" s="162"/>
      <c r="D683" s="163"/>
      <c r="E683" s="164"/>
      <c r="F683" s="165"/>
      <c r="G683" s="166"/>
      <c r="H683" s="167"/>
      <c r="I683" s="167"/>
      <c r="J683" s="167"/>
      <c r="K683" s="167"/>
      <c r="L683" s="167"/>
      <c r="M683" s="167"/>
      <c r="N683" s="167"/>
      <c r="O683" s="167"/>
      <c r="P683" s="164"/>
      <c r="Q683" s="165"/>
      <c r="R683" s="165"/>
      <c r="S683" s="167"/>
      <c r="T683" s="167"/>
      <c r="U683" s="167"/>
      <c r="V683" s="168"/>
      <c r="W683" s="168"/>
      <c r="X683" s="168"/>
      <c r="Y683" s="168"/>
      <c r="Z683" s="168"/>
      <c r="AA683" s="168"/>
      <c r="AB683" s="164"/>
      <c r="AC683" s="165"/>
      <c r="AD683" s="165"/>
      <c r="AE683" s="169"/>
      <c r="AF683" s="169"/>
      <c r="AG683" s="169"/>
      <c r="AH683" s="168"/>
      <c r="AI683" s="168"/>
      <c r="AJ683" s="168"/>
      <c r="AK683" s="170"/>
      <c r="AL683" s="170"/>
    </row>
    <row r="684" ht="15.75" customHeight="1">
      <c r="A684" s="161"/>
      <c r="B684" s="161"/>
      <c r="C684" s="162"/>
      <c r="D684" s="163"/>
      <c r="E684" s="164"/>
      <c r="F684" s="165"/>
      <c r="G684" s="166"/>
      <c r="H684" s="167"/>
      <c r="I684" s="167"/>
      <c r="J684" s="167"/>
      <c r="K684" s="167"/>
      <c r="L684" s="167"/>
      <c r="M684" s="167"/>
      <c r="N684" s="167"/>
      <c r="O684" s="167"/>
      <c r="P684" s="164"/>
      <c r="Q684" s="165"/>
      <c r="R684" s="165"/>
      <c r="S684" s="167"/>
      <c r="T684" s="167"/>
      <c r="U684" s="167"/>
      <c r="V684" s="168"/>
      <c r="W684" s="168"/>
      <c r="X684" s="168"/>
      <c r="Y684" s="168"/>
      <c r="Z684" s="168"/>
      <c r="AA684" s="168"/>
      <c r="AB684" s="164"/>
      <c r="AC684" s="165"/>
      <c r="AD684" s="165"/>
      <c r="AE684" s="169"/>
      <c r="AF684" s="169"/>
      <c r="AG684" s="169"/>
      <c r="AH684" s="168"/>
      <c r="AI684" s="168"/>
      <c r="AJ684" s="168"/>
      <c r="AK684" s="170"/>
      <c r="AL684" s="170"/>
    </row>
    <row r="685" ht="15.75" customHeight="1">
      <c r="A685" s="161"/>
      <c r="B685" s="161"/>
      <c r="C685" s="162"/>
      <c r="D685" s="163"/>
      <c r="E685" s="164"/>
      <c r="F685" s="165"/>
      <c r="G685" s="166"/>
      <c r="H685" s="167"/>
      <c r="I685" s="167"/>
      <c r="J685" s="167"/>
      <c r="K685" s="167"/>
      <c r="L685" s="167"/>
      <c r="M685" s="167"/>
      <c r="N685" s="167"/>
      <c r="O685" s="167"/>
      <c r="P685" s="164"/>
      <c r="Q685" s="165"/>
      <c r="R685" s="165"/>
      <c r="S685" s="167"/>
      <c r="T685" s="167"/>
      <c r="U685" s="167"/>
      <c r="V685" s="168"/>
      <c r="W685" s="168"/>
      <c r="X685" s="168"/>
      <c r="Y685" s="168"/>
      <c r="Z685" s="168"/>
      <c r="AA685" s="168"/>
      <c r="AB685" s="164"/>
      <c r="AC685" s="165"/>
      <c r="AD685" s="165"/>
      <c r="AE685" s="169"/>
      <c r="AF685" s="169"/>
      <c r="AG685" s="169"/>
      <c r="AH685" s="168"/>
      <c r="AI685" s="168"/>
      <c r="AJ685" s="168"/>
      <c r="AK685" s="170"/>
      <c r="AL685" s="170"/>
    </row>
    <row r="686" ht="15.75" customHeight="1">
      <c r="A686" s="161"/>
      <c r="B686" s="161"/>
      <c r="C686" s="162"/>
      <c r="D686" s="163"/>
      <c r="E686" s="164"/>
      <c r="F686" s="165"/>
      <c r="G686" s="166"/>
      <c r="H686" s="167"/>
      <c r="I686" s="167"/>
      <c r="J686" s="167"/>
      <c r="K686" s="167"/>
      <c r="L686" s="167"/>
      <c r="M686" s="167"/>
      <c r="N686" s="167"/>
      <c r="O686" s="167"/>
      <c r="P686" s="164"/>
      <c r="Q686" s="165"/>
      <c r="R686" s="165"/>
      <c r="S686" s="167"/>
      <c r="T686" s="167"/>
      <c r="U686" s="167"/>
      <c r="V686" s="168"/>
      <c r="W686" s="168"/>
      <c r="X686" s="168"/>
      <c r="Y686" s="168"/>
      <c r="Z686" s="168"/>
      <c r="AA686" s="168"/>
      <c r="AB686" s="164"/>
      <c r="AC686" s="165"/>
      <c r="AD686" s="165"/>
      <c r="AE686" s="169"/>
      <c r="AF686" s="169"/>
      <c r="AG686" s="169"/>
      <c r="AH686" s="168"/>
      <c r="AI686" s="168"/>
      <c r="AJ686" s="168"/>
      <c r="AK686" s="170"/>
      <c r="AL686" s="170"/>
    </row>
    <row r="687" ht="15.75" customHeight="1">
      <c r="A687" s="161"/>
      <c r="B687" s="161"/>
      <c r="C687" s="162"/>
      <c r="D687" s="163"/>
      <c r="E687" s="164"/>
      <c r="F687" s="165"/>
      <c r="G687" s="166"/>
      <c r="H687" s="167"/>
      <c r="I687" s="167"/>
      <c r="J687" s="167"/>
      <c r="K687" s="167"/>
      <c r="L687" s="167"/>
      <c r="M687" s="167"/>
      <c r="N687" s="167"/>
      <c r="O687" s="167"/>
      <c r="P687" s="164"/>
      <c r="Q687" s="165"/>
      <c r="R687" s="165"/>
      <c r="S687" s="167"/>
      <c r="T687" s="167"/>
      <c r="U687" s="167"/>
      <c r="V687" s="168"/>
      <c r="W687" s="168"/>
      <c r="X687" s="168"/>
      <c r="Y687" s="168"/>
      <c r="Z687" s="168"/>
      <c r="AA687" s="168"/>
      <c r="AB687" s="164"/>
      <c r="AC687" s="165"/>
      <c r="AD687" s="165"/>
      <c r="AE687" s="169"/>
      <c r="AF687" s="169"/>
      <c r="AG687" s="169"/>
      <c r="AH687" s="168"/>
      <c r="AI687" s="168"/>
      <c r="AJ687" s="168"/>
      <c r="AK687" s="170"/>
      <c r="AL687" s="170"/>
    </row>
    <row r="688" ht="15.75" customHeight="1">
      <c r="A688" s="161"/>
      <c r="B688" s="161"/>
      <c r="C688" s="162"/>
      <c r="D688" s="163"/>
      <c r="E688" s="164"/>
      <c r="F688" s="165"/>
      <c r="G688" s="166"/>
      <c r="H688" s="167"/>
      <c r="I688" s="167"/>
      <c r="J688" s="167"/>
      <c r="K688" s="167"/>
      <c r="L688" s="167"/>
      <c r="M688" s="167"/>
      <c r="N688" s="167"/>
      <c r="O688" s="167"/>
      <c r="P688" s="164"/>
      <c r="Q688" s="165"/>
      <c r="R688" s="165"/>
      <c r="S688" s="167"/>
      <c r="T688" s="167"/>
      <c r="U688" s="167"/>
      <c r="V688" s="168"/>
      <c r="W688" s="168"/>
      <c r="X688" s="168"/>
      <c r="Y688" s="168"/>
      <c r="Z688" s="168"/>
      <c r="AA688" s="168"/>
      <c r="AB688" s="164"/>
      <c r="AC688" s="165"/>
      <c r="AD688" s="165"/>
      <c r="AE688" s="169"/>
      <c r="AF688" s="169"/>
      <c r="AG688" s="169"/>
      <c r="AH688" s="168"/>
      <c r="AI688" s="168"/>
      <c r="AJ688" s="168"/>
      <c r="AK688" s="170"/>
      <c r="AL688" s="170"/>
    </row>
    <row r="689" ht="15.75" customHeight="1">
      <c r="A689" s="161"/>
      <c r="B689" s="161"/>
      <c r="C689" s="162"/>
      <c r="D689" s="163"/>
      <c r="E689" s="164"/>
      <c r="F689" s="165"/>
      <c r="G689" s="166"/>
      <c r="H689" s="167"/>
      <c r="I689" s="167"/>
      <c r="J689" s="167"/>
      <c r="K689" s="167"/>
      <c r="L689" s="167"/>
      <c r="M689" s="167"/>
      <c r="N689" s="167"/>
      <c r="O689" s="167"/>
      <c r="P689" s="164"/>
      <c r="Q689" s="165"/>
      <c r="R689" s="165"/>
      <c r="S689" s="167"/>
      <c r="T689" s="167"/>
      <c r="U689" s="167"/>
      <c r="V689" s="168"/>
      <c r="W689" s="168"/>
      <c r="X689" s="168"/>
      <c r="Y689" s="168"/>
      <c r="Z689" s="168"/>
      <c r="AA689" s="168"/>
      <c r="AB689" s="164"/>
      <c r="AC689" s="165"/>
      <c r="AD689" s="165"/>
      <c r="AE689" s="169"/>
      <c r="AF689" s="169"/>
      <c r="AG689" s="169"/>
      <c r="AH689" s="168"/>
      <c r="AI689" s="168"/>
      <c r="AJ689" s="168"/>
      <c r="AK689" s="170"/>
      <c r="AL689" s="170"/>
    </row>
    <row r="690" ht="15.75" customHeight="1">
      <c r="A690" s="161"/>
      <c r="B690" s="161"/>
      <c r="C690" s="162"/>
      <c r="D690" s="163"/>
      <c r="E690" s="164"/>
      <c r="F690" s="165"/>
      <c r="G690" s="166"/>
      <c r="H690" s="167"/>
      <c r="I690" s="167"/>
      <c r="J690" s="167"/>
      <c r="K690" s="167"/>
      <c r="L690" s="167"/>
      <c r="M690" s="167"/>
      <c r="N690" s="167"/>
      <c r="O690" s="167"/>
      <c r="P690" s="164"/>
      <c r="Q690" s="165"/>
      <c r="R690" s="165"/>
      <c r="S690" s="167"/>
      <c r="T690" s="167"/>
      <c r="U690" s="167"/>
      <c r="V690" s="168"/>
      <c r="W690" s="168"/>
      <c r="X690" s="168"/>
      <c r="Y690" s="168"/>
      <c r="Z690" s="168"/>
      <c r="AA690" s="168"/>
      <c r="AB690" s="164"/>
      <c r="AC690" s="165"/>
      <c r="AD690" s="165"/>
      <c r="AE690" s="169"/>
      <c r="AF690" s="169"/>
      <c r="AG690" s="169"/>
      <c r="AH690" s="168"/>
      <c r="AI690" s="168"/>
      <c r="AJ690" s="168"/>
      <c r="AK690" s="170"/>
      <c r="AL690" s="170"/>
    </row>
    <row r="691" ht="15.75" customHeight="1">
      <c r="A691" s="161"/>
      <c r="B691" s="161"/>
      <c r="C691" s="162"/>
      <c r="D691" s="163"/>
      <c r="E691" s="164"/>
      <c r="F691" s="165"/>
      <c r="G691" s="166"/>
      <c r="H691" s="167"/>
      <c r="I691" s="167"/>
      <c r="J691" s="167"/>
      <c r="K691" s="167"/>
      <c r="L691" s="167"/>
      <c r="M691" s="167"/>
      <c r="N691" s="167"/>
      <c r="O691" s="167"/>
      <c r="P691" s="164"/>
      <c r="Q691" s="165"/>
      <c r="R691" s="165"/>
      <c r="S691" s="167"/>
      <c r="T691" s="167"/>
      <c r="U691" s="167"/>
      <c r="V691" s="168"/>
      <c r="W691" s="168"/>
      <c r="X691" s="168"/>
      <c r="Y691" s="168"/>
      <c r="Z691" s="168"/>
      <c r="AA691" s="168"/>
      <c r="AB691" s="164"/>
      <c r="AC691" s="165"/>
      <c r="AD691" s="165"/>
      <c r="AE691" s="169"/>
      <c r="AF691" s="169"/>
      <c r="AG691" s="169"/>
      <c r="AH691" s="168"/>
      <c r="AI691" s="168"/>
      <c r="AJ691" s="168"/>
      <c r="AK691" s="170"/>
      <c r="AL691" s="170"/>
    </row>
    <row r="692" ht="15.75" customHeight="1">
      <c r="A692" s="161"/>
      <c r="B692" s="161"/>
      <c r="C692" s="162"/>
      <c r="D692" s="163"/>
      <c r="E692" s="164"/>
      <c r="F692" s="165"/>
      <c r="G692" s="166"/>
      <c r="H692" s="167"/>
      <c r="I692" s="167"/>
      <c r="J692" s="167"/>
      <c r="K692" s="167"/>
      <c r="L692" s="167"/>
      <c r="M692" s="167"/>
      <c r="N692" s="167"/>
      <c r="O692" s="167"/>
      <c r="P692" s="164"/>
      <c r="Q692" s="165"/>
      <c r="R692" s="165"/>
      <c r="S692" s="167"/>
      <c r="T692" s="167"/>
      <c r="U692" s="167"/>
      <c r="V692" s="168"/>
      <c r="W692" s="168"/>
      <c r="X692" s="168"/>
      <c r="Y692" s="168"/>
      <c r="Z692" s="168"/>
      <c r="AA692" s="168"/>
      <c r="AB692" s="164"/>
      <c r="AC692" s="165"/>
      <c r="AD692" s="165"/>
      <c r="AE692" s="169"/>
      <c r="AF692" s="169"/>
      <c r="AG692" s="169"/>
      <c r="AH692" s="168"/>
      <c r="AI692" s="168"/>
      <c r="AJ692" s="168"/>
      <c r="AK692" s="170"/>
      <c r="AL692" s="170"/>
    </row>
    <row r="693" ht="15.75" customHeight="1">
      <c r="A693" s="161"/>
      <c r="B693" s="161"/>
      <c r="C693" s="162"/>
      <c r="D693" s="163"/>
      <c r="E693" s="164"/>
      <c r="F693" s="165"/>
      <c r="G693" s="166"/>
      <c r="H693" s="167"/>
      <c r="I693" s="167"/>
      <c r="J693" s="167"/>
      <c r="K693" s="167"/>
      <c r="L693" s="167"/>
      <c r="M693" s="167"/>
      <c r="N693" s="167"/>
      <c r="O693" s="167"/>
      <c r="P693" s="164"/>
      <c r="Q693" s="165"/>
      <c r="R693" s="165"/>
      <c r="S693" s="167"/>
      <c r="T693" s="167"/>
      <c r="U693" s="167"/>
      <c r="V693" s="168"/>
      <c r="W693" s="168"/>
      <c r="X693" s="168"/>
      <c r="Y693" s="168"/>
      <c r="Z693" s="168"/>
      <c r="AA693" s="168"/>
      <c r="AB693" s="164"/>
      <c r="AC693" s="165"/>
      <c r="AD693" s="165"/>
      <c r="AE693" s="169"/>
      <c r="AF693" s="169"/>
      <c r="AG693" s="169"/>
      <c r="AH693" s="168"/>
      <c r="AI693" s="168"/>
      <c r="AJ693" s="168"/>
      <c r="AK693" s="170"/>
      <c r="AL693" s="170"/>
    </row>
    <row r="694" ht="15.75" customHeight="1">
      <c r="A694" s="161"/>
      <c r="B694" s="161"/>
      <c r="C694" s="162"/>
      <c r="D694" s="163"/>
      <c r="E694" s="164"/>
      <c r="F694" s="165"/>
      <c r="G694" s="166"/>
      <c r="H694" s="167"/>
      <c r="I694" s="167"/>
      <c r="J694" s="167"/>
      <c r="K694" s="167"/>
      <c r="L694" s="167"/>
      <c r="M694" s="167"/>
      <c r="N694" s="167"/>
      <c r="O694" s="167"/>
      <c r="P694" s="164"/>
      <c r="Q694" s="165"/>
      <c r="R694" s="165"/>
      <c r="S694" s="167"/>
      <c r="T694" s="167"/>
      <c r="U694" s="167"/>
      <c r="V694" s="168"/>
      <c r="W694" s="168"/>
      <c r="X694" s="168"/>
      <c r="Y694" s="168"/>
      <c r="Z694" s="168"/>
      <c r="AA694" s="168"/>
      <c r="AB694" s="164"/>
      <c r="AC694" s="165"/>
      <c r="AD694" s="165"/>
      <c r="AE694" s="169"/>
      <c r="AF694" s="169"/>
      <c r="AG694" s="169"/>
      <c r="AH694" s="168"/>
      <c r="AI694" s="168"/>
      <c r="AJ694" s="168"/>
      <c r="AK694" s="170"/>
      <c r="AL694" s="170"/>
    </row>
    <row r="695" ht="15.75" customHeight="1">
      <c r="A695" s="161"/>
      <c r="B695" s="161"/>
      <c r="C695" s="162"/>
      <c r="D695" s="163"/>
      <c r="E695" s="164"/>
      <c r="F695" s="165"/>
      <c r="G695" s="166"/>
      <c r="H695" s="167"/>
      <c r="I695" s="167"/>
      <c r="J695" s="167"/>
      <c r="K695" s="167"/>
      <c r="L695" s="167"/>
      <c r="M695" s="167"/>
      <c r="N695" s="167"/>
      <c r="O695" s="167"/>
      <c r="P695" s="164"/>
      <c r="Q695" s="165"/>
      <c r="R695" s="165"/>
      <c r="S695" s="167"/>
      <c r="T695" s="167"/>
      <c r="U695" s="167"/>
      <c r="V695" s="168"/>
      <c r="W695" s="168"/>
      <c r="X695" s="168"/>
      <c r="Y695" s="168"/>
      <c r="Z695" s="168"/>
      <c r="AA695" s="168"/>
      <c r="AB695" s="164"/>
      <c r="AC695" s="165"/>
      <c r="AD695" s="165"/>
      <c r="AE695" s="169"/>
      <c r="AF695" s="169"/>
      <c r="AG695" s="169"/>
      <c r="AH695" s="168"/>
      <c r="AI695" s="168"/>
      <c r="AJ695" s="168"/>
      <c r="AK695" s="170"/>
      <c r="AL695" s="170"/>
    </row>
    <row r="696" ht="15.75" customHeight="1">
      <c r="A696" s="161"/>
      <c r="B696" s="161"/>
      <c r="C696" s="162"/>
      <c r="D696" s="163"/>
      <c r="E696" s="164"/>
      <c r="F696" s="165"/>
      <c r="G696" s="166"/>
      <c r="H696" s="167"/>
      <c r="I696" s="167"/>
      <c r="J696" s="167"/>
      <c r="K696" s="167"/>
      <c r="L696" s="167"/>
      <c r="M696" s="167"/>
      <c r="N696" s="167"/>
      <c r="O696" s="167"/>
      <c r="P696" s="164"/>
      <c r="Q696" s="165"/>
      <c r="R696" s="165"/>
      <c r="S696" s="167"/>
      <c r="T696" s="167"/>
      <c r="U696" s="167"/>
      <c r="V696" s="168"/>
      <c r="W696" s="168"/>
      <c r="X696" s="168"/>
      <c r="Y696" s="168"/>
      <c r="Z696" s="168"/>
      <c r="AA696" s="168"/>
      <c r="AB696" s="164"/>
      <c r="AC696" s="165"/>
      <c r="AD696" s="165"/>
      <c r="AE696" s="169"/>
      <c r="AF696" s="169"/>
      <c r="AG696" s="169"/>
      <c r="AH696" s="168"/>
      <c r="AI696" s="168"/>
      <c r="AJ696" s="168"/>
      <c r="AK696" s="170"/>
      <c r="AL696" s="170"/>
    </row>
    <row r="697" ht="15.75" customHeight="1">
      <c r="A697" s="161"/>
      <c r="B697" s="161"/>
      <c r="C697" s="162"/>
      <c r="D697" s="163"/>
      <c r="E697" s="164"/>
      <c r="F697" s="165"/>
      <c r="G697" s="166"/>
      <c r="H697" s="167"/>
      <c r="I697" s="167"/>
      <c r="J697" s="167"/>
      <c r="K697" s="167"/>
      <c r="L697" s="167"/>
      <c r="M697" s="167"/>
      <c r="N697" s="167"/>
      <c r="O697" s="167"/>
      <c r="P697" s="164"/>
      <c r="Q697" s="165"/>
      <c r="R697" s="165"/>
      <c r="S697" s="167"/>
      <c r="T697" s="167"/>
      <c r="U697" s="167"/>
      <c r="V697" s="168"/>
      <c r="W697" s="168"/>
      <c r="X697" s="168"/>
      <c r="Y697" s="168"/>
      <c r="Z697" s="168"/>
      <c r="AA697" s="168"/>
      <c r="AB697" s="164"/>
      <c r="AC697" s="165"/>
      <c r="AD697" s="165"/>
      <c r="AE697" s="169"/>
      <c r="AF697" s="169"/>
      <c r="AG697" s="169"/>
      <c r="AH697" s="168"/>
      <c r="AI697" s="168"/>
      <c r="AJ697" s="168"/>
      <c r="AK697" s="170"/>
      <c r="AL697" s="170"/>
    </row>
    <row r="698" ht="15.75" customHeight="1">
      <c r="A698" s="161"/>
      <c r="B698" s="161"/>
      <c r="C698" s="162"/>
      <c r="D698" s="163"/>
      <c r="E698" s="164"/>
      <c r="F698" s="165"/>
      <c r="G698" s="166"/>
      <c r="H698" s="167"/>
      <c r="I698" s="167"/>
      <c r="J698" s="167"/>
      <c r="K698" s="167"/>
      <c r="L698" s="167"/>
      <c r="M698" s="167"/>
      <c r="N698" s="167"/>
      <c r="O698" s="167"/>
      <c r="P698" s="164"/>
      <c r="Q698" s="165"/>
      <c r="R698" s="165"/>
      <c r="S698" s="167"/>
      <c r="T698" s="167"/>
      <c r="U698" s="167"/>
      <c r="V698" s="168"/>
      <c r="W698" s="168"/>
      <c r="X698" s="168"/>
      <c r="Y698" s="168"/>
      <c r="Z698" s="168"/>
      <c r="AA698" s="168"/>
      <c r="AB698" s="164"/>
      <c r="AC698" s="165"/>
      <c r="AD698" s="165"/>
      <c r="AE698" s="169"/>
      <c r="AF698" s="169"/>
      <c r="AG698" s="169"/>
      <c r="AH698" s="168"/>
      <c r="AI698" s="168"/>
      <c r="AJ698" s="168"/>
      <c r="AK698" s="170"/>
      <c r="AL698" s="170"/>
    </row>
    <row r="699" ht="15.75" customHeight="1">
      <c r="A699" s="161"/>
      <c r="B699" s="161"/>
      <c r="C699" s="162"/>
      <c r="D699" s="163"/>
      <c r="E699" s="164"/>
      <c r="F699" s="165"/>
      <c r="G699" s="166"/>
      <c r="H699" s="167"/>
      <c r="I699" s="167"/>
      <c r="J699" s="167"/>
      <c r="K699" s="167"/>
      <c r="L699" s="167"/>
      <c r="M699" s="167"/>
      <c r="N699" s="167"/>
      <c r="O699" s="167"/>
      <c r="P699" s="164"/>
      <c r="Q699" s="165"/>
      <c r="R699" s="165"/>
      <c r="S699" s="167"/>
      <c r="T699" s="167"/>
      <c r="U699" s="167"/>
      <c r="V699" s="168"/>
      <c r="W699" s="168"/>
      <c r="X699" s="168"/>
      <c r="Y699" s="168"/>
      <c r="Z699" s="168"/>
      <c r="AA699" s="168"/>
      <c r="AB699" s="164"/>
      <c r="AC699" s="165"/>
      <c r="AD699" s="165"/>
      <c r="AE699" s="169"/>
      <c r="AF699" s="169"/>
      <c r="AG699" s="169"/>
      <c r="AH699" s="168"/>
      <c r="AI699" s="168"/>
      <c r="AJ699" s="168"/>
      <c r="AK699" s="170"/>
      <c r="AL699" s="170"/>
    </row>
    <row r="700" ht="15.75" customHeight="1">
      <c r="A700" s="161"/>
      <c r="B700" s="161"/>
      <c r="C700" s="162"/>
      <c r="D700" s="163"/>
      <c r="E700" s="164"/>
      <c r="F700" s="165"/>
      <c r="G700" s="166"/>
      <c r="H700" s="167"/>
      <c r="I700" s="167"/>
      <c r="J700" s="167"/>
      <c r="K700" s="167"/>
      <c r="L700" s="167"/>
      <c r="M700" s="167"/>
      <c r="N700" s="167"/>
      <c r="O700" s="167"/>
      <c r="P700" s="164"/>
      <c r="Q700" s="165"/>
      <c r="R700" s="165"/>
      <c r="S700" s="167"/>
      <c r="T700" s="167"/>
      <c r="U700" s="167"/>
      <c r="V700" s="168"/>
      <c r="W700" s="168"/>
      <c r="X700" s="168"/>
      <c r="Y700" s="168"/>
      <c r="Z700" s="168"/>
      <c r="AA700" s="168"/>
      <c r="AB700" s="164"/>
      <c r="AC700" s="165"/>
      <c r="AD700" s="165"/>
      <c r="AE700" s="169"/>
      <c r="AF700" s="169"/>
      <c r="AG700" s="169"/>
      <c r="AH700" s="168"/>
      <c r="AI700" s="168"/>
      <c r="AJ700" s="168"/>
      <c r="AK700" s="170"/>
      <c r="AL700" s="170"/>
    </row>
    <row r="701" ht="15.75" customHeight="1">
      <c r="A701" s="161"/>
      <c r="B701" s="161"/>
      <c r="C701" s="162"/>
      <c r="D701" s="163"/>
      <c r="E701" s="164"/>
      <c r="F701" s="165"/>
      <c r="G701" s="166"/>
      <c r="H701" s="167"/>
      <c r="I701" s="167"/>
      <c r="J701" s="167"/>
      <c r="K701" s="167"/>
      <c r="L701" s="167"/>
      <c r="M701" s="167"/>
      <c r="N701" s="167"/>
      <c r="O701" s="167"/>
      <c r="P701" s="164"/>
      <c r="Q701" s="165"/>
      <c r="R701" s="165"/>
      <c r="S701" s="167"/>
      <c r="T701" s="167"/>
      <c r="U701" s="167"/>
      <c r="V701" s="168"/>
      <c r="W701" s="168"/>
      <c r="X701" s="168"/>
      <c r="Y701" s="168"/>
      <c r="Z701" s="168"/>
      <c r="AA701" s="168"/>
      <c r="AB701" s="164"/>
      <c r="AC701" s="165"/>
      <c r="AD701" s="165"/>
      <c r="AE701" s="169"/>
      <c r="AF701" s="169"/>
      <c r="AG701" s="169"/>
      <c r="AH701" s="168"/>
      <c r="AI701" s="168"/>
      <c r="AJ701" s="168"/>
      <c r="AK701" s="170"/>
      <c r="AL701" s="170"/>
    </row>
    <row r="702" ht="15.75" customHeight="1">
      <c r="A702" s="161"/>
      <c r="B702" s="161"/>
      <c r="C702" s="162"/>
      <c r="D702" s="163"/>
      <c r="E702" s="164"/>
      <c r="F702" s="165"/>
      <c r="G702" s="166"/>
      <c r="H702" s="167"/>
      <c r="I702" s="167"/>
      <c r="J702" s="167"/>
      <c r="K702" s="167"/>
      <c r="L702" s="167"/>
      <c r="M702" s="167"/>
      <c r="N702" s="167"/>
      <c r="O702" s="167"/>
      <c r="P702" s="164"/>
      <c r="Q702" s="165"/>
      <c r="R702" s="165"/>
      <c r="S702" s="167"/>
      <c r="T702" s="167"/>
      <c r="U702" s="167"/>
      <c r="V702" s="168"/>
      <c r="W702" s="168"/>
      <c r="X702" s="168"/>
      <c r="Y702" s="168"/>
      <c r="Z702" s="168"/>
      <c r="AA702" s="168"/>
      <c r="AB702" s="164"/>
      <c r="AC702" s="165"/>
      <c r="AD702" s="165"/>
      <c r="AE702" s="169"/>
      <c r="AF702" s="169"/>
      <c r="AG702" s="169"/>
      <c r="AH702" s="168"/>
      <c r="AI702" s="168"/>
      <c r="AJ702" s="168"/>
      <c r="AK702" s="170"/>
      <c r="AL702" s="170"/>
    </row>
    <row r="703" ht="15.75" customHeight="1">
      <c r="A703" s="161"/>
      <c r="B703" s="161"/>
      <c r="C703" s="162"/>
      <c r="D703" s="163"/>
      <c r="E703" s="164"/>
      <c r="F703" s="165"/>
      <c r="G703" s="166"/>
      <c r="H703" s="167"/>
      <c r="I703" s="167"/>
      <c r="J703" s="167"/>
      <c r="K703" s="167"/>
      <c r="L703" s="167"/>
      <c r="M703" s="167"/>
      <c r="N703" s="167"/>
      <c r="O703" s="167"/>
      <c r="P703" s="164"/>
      <c r="Q703" s="165"/>
      <c r="R703" s="165"/>
      <c r="S703" s="167"/>
      <c r="T703" s="167"/>
      <c r="U703" s="167"/>
      <c r="V703" s="168"/>
      <c r="W703" s="168"/>
      <c r="X703" s="168"/>
      <c r="Y703" s="168"/>
      <c r="Z703" s="168"/>
      <c r="AA703" s="168"/>
      <c r="AB703" s="164"/>
      <c r="AC703" s="165"/>
      <c r="AD703" s="165"/>
      <c r="AE703" s="169"/>
      <c r="AF703" s="169"/>
      <c r="AG703" s="169"/>
      <c r="AH703" s="168"/>
      <c r="AI703" s="168"/>
      <c r="AJ703" s="168"/>
      <c r="AK703" s="170"/>
      <c r="AL703" s="170"/>
    </row>
    <row r="704" ht="15.75" customHeight="1">
      <c r="A704" s="161"/>
      <c r="B704" s="161"/>
      <c r="C704" s="162"/>
      <c r="D704" s="163"/>
      <c r="E704" s="164"/>
      <c r="F704" s="165"/>
      <c r="G704" s="166"/>
      <c r="H704" s="167"/>
      <c r="I704" s="167"/>
      <c r="J704" s="167"/>
      <c r="K704" s="167"/>
      <c r="L704" s="167"/>
      <c r="M704" s="167"/>
      <c r="N704" s="167"/>
      <c r="O704" s="167"/>
      <c r="P704" s="164"/>
      <c r="Q704" s="165"/>
      <c r="R704" s="165"/>
      <c r="S704" s="167"/>
      <c r="T704" s="167"/>
      <c r="U704" s="167"/>
      <c r="V704" s="168"/>
      <c r="W704" s="168"/>
      <c r="X704" s="168"/>
      <c r="Y704" s="168"/>
      <c r="Z704" s="168"/>
      <c r="AA704" s="168"/>
      <c r="AB704" s="164"/>
      <c r="AC704" s="165"/>
      <c r="AD704" s="165"/>
      <c r="AE704" s="169"/>
      <c r="AF704" s="169"/>
      <c r="AG704" s="169"/>
      <c r="AH704" s="168"/>
      <c r="AI704" s="168"/>
      <c r="AJ704" s="168"/>
      <c r="AK704" s="170"/>
      <c r="AL704" s="170"/>
    </row>
    <row r="705" ht="15.75" customHeight="1">
      <c r="A705" s="161"/>
      <c r="B705" s="161"/>
      <c r="C705" s="162"/>
      <c r="D705" s="163"/>
      <c r="E705" s="164"/>
      <c r="F705" s="165"/>
      <c r="G705" s="166"/>
      <c r="H705" s="167"/>
      <c r="I705" s="167"/>
      <c r="J705" s="167"/>
      <c r="K705" s="167"/>
      <c r="L705" s="167"/>
      <c r="M705" s="167"/>
      <c r="N705" s="167"/>
      <c r="O705" s="167"/>
      <c r="P705" s="164"/>
      <c r="Q705" s="165"/>
      <c r="R705" s="165"/>
      <c r="S705" s="167"/>
      <c r="T705" s="167"/>
      <c r="U705" s="167"/>
      <c r="V705" s="168"/>
      <c r="W705" s="168"/>
      <c r="X705" s="168"/>
      <c r="Y705" s="168"/>
      <c r="Z705" s="168"/>
      <c r="AA705" s="168"/>
      <c r="AB705" s="164"/>
      <c r="AC705" s="165"/>
      <c r="AD705" s="165"/>
      <c r="AE705" s="169"/>
      <c r="AF705" s="169"/>
      <c r="AG705" s="169"/>
      <c r="AH705" s="168"/>
      <c r="AI705" s="168"/>
      <c r="AJ705" s="168"/>
      <c r="AK705" s="170"/>
      <c r="AL705" s="170"/>
    </row>
    <row r="706" ht="15.75" customHeight="1">
      <c r="A706" s="161"/>
      <c r="B706" s="161"/>
      <c r="C706" s="162"/>
      <c r="D706" s="163"/>
      <c r="E706" s="164"/>
      <c r="F706" s="165"/>
      <c r="G706" s="166"/>
      <c r="H706" s="167"/>
      <c r="I706" s="167"/>
      <c r="J706" s="167"/>
      <c r="K706" s="167"/>
      <c r="L706" s="167"/>
      <c r="M706" s="167"/>
      <c r="N706" s="167"/>
      <c r="O706" s="167"/>
      <c r="P706" s="164"/>
      <c r="Q706" s="165"/>
      <c r="R706" s="165"/>
      <c r="S706" s="167"/>
      <c r="T706" s="167"/>
      <c r="U706" s="167"/>
      <c r="V706" s="168"/>
      <c r="W706" s="168"/>
      <c r="X706" s="168"/>
      <c r="Y706" s="168"/>
      <c r="Z706" s="168"/>
      <c r="AA706" s="168"/>
      <c r="AB706" s="164"/>
      <c r="AC706" s="165"/>
      <c r="AD706" s="165"/>
      <c r="AE706" s="169"/>
      <c r="AF706" s="169"/>
      <c r="AG706" s="169"/>
      <c r="AH706" s="168"/>
      <c r="AI706" s="168"/>
      <c r="AJ706" s="168"/>
      <c r="AK706" s="170"/>
      <c r="AL706" s="170"/>
    </row>
    <row r="707" ht="15.75" customHeight="1">
      <c r="A707" s="161"/>
      <c r="B707" s="161"/>
      <c r="C707" s="162"/>
      <c r="D707" s="163"/>
      <c r="E707" s="164"/>
      <c r="F707" s="165"/>
      <c r="G707" s="166"/>
      <c r="H707" s="167"/>
      <c r="I707" s="167"/>
      <c r="J707" s="167"/>
      <c r="K707" s="167"/>
      <c r="L707" s="167"/>
      <c r="M707" s="167"/>
      <c r="N707" s="167"/>
      <c r="O707" s="167"/>
      <c r="P707" s="164"/>
      <c r="Q707" s="165"/>
      <c r="R707" s="165"/>
      <c r="S707" s="167"/>
      <c r="T707" s="167"/>
      <c r="U707" s="167"/>
      <c r="V707" s="168"/>
      <c r="W707" s="168"/>
      <c r="X707" s="168"/>
      <c r="Y707" s="168"/>
      <c r="Z707" s="168"/>
      <c r="AA707" s="168"/>
      <c r="AB707" s="164"/>
      <c r="AC707" s="165"/>
      <c r="AD707" s="165"/>
      <c r="AE707" s="169"/>
      <c r="AF707" s="169"/>
      <c r="AG707" s="169"/>
      <c r="AH707" s="168"/>
      <c r="AI707" s="168"/>
      <c r="AJ707" s="168"/>
      <c r="AK707" s="170"/>
      <c r="AL707" s="170"/>
    </row>
    <row r="708" ht="15.75" customHeight="1">
      <c r="A708" s="161"/>
      <c r="B708" s="161"/>
      <c r="C708" s="162"/>
      <c r="D708" s="163"/>
      <c r="E708" s="164"/>
      <c r="F708" s="165"/>
      <c r="G708" s="166"/>
      <c r="H708" s="167"/>
      <c r="I708" s="167"/>
      <c r="J708" s="167"/>
      <c r="K708" s="167"/>
      <c r="L708" s="167"/>
      <c r="M708" s="167"/>
      <c r="N708" s="167"/>
      <c r="O708" s="167"/>
      <c r="P708" s="164"/>
      <c r="Q708" s="165"/>
      <c r="R708" s="165"/>
      <c r="S708" s="167"/>
      <c r="T708" s="167"/>
      <c r="U708" s="167"/>
      <c r="V708" s="168"/>
      <c r="W708" s="168"/>
      <c r="X708" s="168"/>
      <c r="Y708" s="168"/>
      <c r="Z708" s="168"/>
      <c r="AA708" s="168"/>
      <c r="AB708" s="164"/>
      <c r="AC708" s="165"/>
      <c r="AD708" s="165"/>
      <c r="AE708" s="169"/>
      <c r="AF708" s="169"/>
      <c r="AG708" s="169"/>
      <c r="AH708" s="168"/>
      <c r="AI708" s="168"/>
      <c r="AJ708" s="168"/>
      <c r="AK708" s="170"/>
      <c r="AL708" s="170"/>
    </row>
    <row r="709" ht="15.75" customHeight="1">
      <c r="A709" s="161"/>
      <c r="B709" s="161"/>
      <c r="C709" s="162"/>
      <c r="D709" s="163"/>
      <c r="E709" s="164"/>
      <c r="F709" s="165"/>
      <c r="G709" s="166"/>
      <c r="H709" s="167"/>
      <c r="I709" s="167"/>
      <c r="J709" s="167"/>
      <c r="K709" s="167"/>
      <c r="L709" s="167"/>
      <c r="M709" s="167"/>
      <c r="N709" s="167"/>
      <c r="O709" s="167"/>
      <c r="P709" s="164"/>
      <c r="Q709" s="165"/>
      <c r="R709" s="165"/>
      <c r="S709" s="167"/>
      <c r="T709" s="167"/>
      <c r="U709" s="167"/>
      <c r="V709" s="168"/>
      <c r="W709" s="168"/>
      <c r="X709" s="168"/>
      <c r="Y709" s="168"/>
      <c r="Z709" s="168"/>
      <c r="AA709" s="168"/>
      <c r="AB709" s="164"/>
      <c r="AC709" s="165"/>
      <c r="AD709" s="165"/>
      <c r="AE709" s="169"/>
      <c r="AF709" s="169"/>
      <c r="AG709" s="169"/>
      <c r="AH709" s="168"/>
      <c r="AI709" s="168"/>
      <c r="AJ709" s="168"/>
      <c r="AK709" s="170"/>
      <c r="AL709" s="170"/>
    </row>
    <row r="710" ht="15.75" customHeight="1">
      <c r="A710" s="161"/>
      <c r="B710" s="161"/>
      <c r="C710" s="162"/>
      <c r="D710" s="163"/>
      <c r="E710" s="164"/>
      <c r="F710" s="165"/>
      <c r="G710" s="166"/>
      <c r="H710" s="167"/>
      <c r="I710" s="167"/>
      <c r="J710" s="167"/>
      <c r="K710" s="167"/>
      <c r="L710" s="167"/>
      <c r="M710" s="167"/>
      <c r="N710" s="167"/>
      <c r="O710" s="167"/>
      <c r="P710" s="164"/>
      <c r="Q710" s="165"/>
      <c r="R710" s="165"/>
      <c r="S710" s="167"/>
      <c r="T710" s="167"/>
      <c r="U710" s="167"/>
      <c r="V710" s="168"/>
      <c r="W710" s="168"/>
      <c r="X710" s="168"/>
      <c r="Y710" s="168"/>
      <c r="Z710" s="168"/>
      <c r="AA710" s="168"/>
      <c r="AB710" s="164"/>
      <c r="AC710" s="165"/>
      <c r="AD710" s="165"/>
      <c r="AE710" s="169"/>
      <c r="AF710" s="169"/>
      <c r="AG710" s="169"/>
      <c r="AH710" s="168"/>
      <c r="AI710" s="168"/>
      <c r="AJ710" s="168"/>
      <c r="AK710" s="170"/>
      <c r="AL710" s="170"/>
    </row>
    <row r="711" ht="15.75" customHeight="1">
      <c r="A711" s="161"/>
      <c r="B711" s="161"/>
      <c r="C711" s="162"/>
      <c r="D711" s="163"/>
      <c r="E711" s="164"/>
      <c r="F711" s="165"/>
      <c r="G711" s="166"/>
      <c r="H711" s="167"/>
      <c r="I711" s="167"/>
      <c r="J711" s="167"/>
      <c r="K711" s="167"/>
      <c r="L711" s="167"/>
      <c r="M711" s="167"/>
      <c r="N711" s="167"/>
      <c r="O711" s="167"/>
      <c r="P711" s="164"/>
      <c r="Q711" s="165"/>
      <c r="R711" s="165"/>
      <c r="S711" s="167"/>
      <c r="T711" s="167"/>
      <c r="U711" s="167"/>
      <c r="V711" s="168"/>
      <c r="W711" s="168"/>
      <c r="X711" s="168"/>
      <c r="Y711" s="168"/>
      <c r="Z711" s="168"/>
      <c r="AA711" s="168"/>
      <c r="AB711" s="164"/>
      <c r="AC711" s="165"/>
      <c r="AD711" s="165"/>
      <c r="AE711" s="169"/>
      <c r="AF711" s="169"/>
      <c r="AG711" s="169"/>
      <c r="AH711" s="168"/>
      <c r="AI711" s="168"/>
      <c r="AJ711" s="168"/>
      <c r="AK711" s="170"/>
      <c r="AL711" s="170"/>
    </row>
    <row r="712" ht="15.75" customHeight="1">
      <c r="A712" s="161"/>
      <c r="B712" s="161"/>
      <c r="C712" s="162"/>
      <c r="D712" s="163"/>
      <c r="E712" s="164"/>
      <c r="F712" s="165"/>
      <c r="G712" s="166"/>
      <c r="H712" s="167"/>
      <c r="I712" s="167"/>
      <c r="J712" s="167"/>
      <c r="K712" s="167"/>
      <c r="L712" s="167"/>
      <c r="M712" s="167"/>
      <c r="N712" s="167"/>
      <c r="O712" s="167"/>
      <c r="P712" s="164"/>
      <c r="Q712" s="165"/>
      <c r="R712" s="165"/>
      <c r="S712" s="167"/>
      <c r="T712" s="167"/>
      <c r="U712" s="167"/>
      <c r="V712" s="168"/>
      <c r="W712" s="168"/>
      <c r="X712" s="168"/>
      <c r="Y712" s="168"/>
      <c r="Z712" s="168"/>
      <c r="AA712" s="168"/>
      <c r="AB712" s="164"/>
      <c r="AC712" s="165"/>
      <c r="AD712" s="165"/>
      <c r="AE712" s="169"/>
      <c r="AF712" s="169"/>
      <c r="AG712" s="169"/>
      <c r="AH712" s="168"/>
      <c r="AI712" s="168"/>
      <c r="AJ712" s="168"/>
      <c r="AK712" s="170"/>
      <c r="AL712" s="170"/>
    </row>
    <row r="713" ht="15.75" customHeight="1">
      <c r="A713" s="161"/>
      <c r="B713" s="161"/>
      <c r="C713" s="162"/>
      <c r="D713" s="163"/>
      <c r="E713" s="164"/>
      <c r="F713" s="165"/>
      <c r="G713" s="166"/>
      <c r="H713" s="167"/>
      <c r="I713" s="167"/>
      <c r="J713" s="167"/>
      <c r="K713" s="167"/>
      <c r="L713" s="167"/>
      <c r="M713" s="167"/>
      <c r="N713" s="167"/>
      <c r="O713" s="167"/>
      <c r="P713" s="164"/>
      <c r="Q713" s="165"/>
      <c r="R713" s="165"/>
      <c r="S713" s="167"/>
      <c r="T713" s="167"/>
      <c r="U713" s="167"/>
      <c r="V713" s="168"/>
      <c r="W713" s="168"/>
      <c r="X713" s="168"/>
      <c r="Y713" s="168"/>
      <c r="Z713" s="168"/>
      <c r="AA713" s="168"/>
      <c r="AB713" s="164"/>
      <c r="AC713" s="165"/>
      <c r="AD713" s="165"/>
      <c r="AE713" s="169"/>
      <c r="AF713" s="169"/>
      <c r="AG713" s="169"/>
      <c r="AH713" s="168"/>
      <c r="AI713" s="168"/>
      <c r="AJ713" s="168"/>
      <c r="AK713" s="170"/>
      <c r="AL713" s="170"/>
    </row>
    <row r="714" ht="15.75" customHeight="1">
      <c r="A714" s="161"/>
      <c r="B714" s="161"/>
      <c r="C714" s="162"/>
      <c r="D714" s="163"/>
      <c r="E714" s="164"/>
      <c r="F714" s="165"/>
      <c r="G714" s="166"/>
      <c r="H714" s="167"/>
      <c r="I714" s="167"/>
      <c r="J714" s="167"/>
      <c r="K714" s="167"/>
      <c r="L714" s="167"/>
      <c r="M714" s="167"/>
      <c r="N714" s="167"/>
      <c r="O714" s="167"/>
      <c r="P714" s="164"/>
      <c r="Q714" s="165"/>
      <c r="R714" s="165"/>
      <c r="S714" s="167"/>
      <c r="T714" s="167"/>
      <c r="U714" s="167"/>
      <c r="V714" s="168"/>
      <c r="W714" s="168"/>
      <c r="X714" s="168"/>
      <c r="Y714" s="168"/>
      <c r="Z714" s="168"/>
      <c r="AA714" s="168"/>
      <c r="AB714" s="164"/>
      <c r="AC714" s="165"/>
      <c r="AD714" s="165"/>
      <c r="AE714" s="169"/>
      <c r="AF714" s="169"/>
      <c r="AG714" s="169"/>
      <c r="AH714" s="168"/>
      <c r="AI714" s="168"/>
      <c r="AJ714" s="168"/>
      <c r="AK714" s="170"/>
      <c r="AL714" s="170"/>
    </row>
    <row r="715" ht="15.75" customHeight="1">
      <c r="A715" s="161"/>
      <c r="B715" s="161"/>
      <c r="C715" s="162"/>
      <c r="D715" s="163"/>
      <c r="E715" s="164"/>
      <c r="F715" s="165"/>
      <c r="G715" s="166"/>
      <c r="H715" s="167"/>
      <c r="I715" s="167"/>
      <c r="J715" s="167"/>
      <c r="K715" s="167"/>
      <c r="L715" s="167"/>
      <c r="M715" s="167"/>
      <c r="N715" s="167"/>
      <c r="O715" s="167"/>
      <c r="P715" s="164"/>
      <c r="Q715" s="165"/>
      <c r="R715" s="165"/>
      <c r="S715" s="167"/>
      <c r="T715" s="167"/>
      <c r="U715" s="167"/>
      <c r="V715" s="168"/>
      <c r="W715" s="168"/>
      <c r="X715" s="168"/>
      <c r="Y715" s="168"/>
      <c r="Z715" s="168"/>
      <c r="AA715" s="168"/>
      <c r="AB715" s="164"/>
      <c r="AC715" s="165"/>
      <c r="AD715" s="165"/>
      <c r="AE715" s="169"/>
      <c r="AF715" s="169"/>
      <c r="AG715" s="169"/>
      <c r="AH715" s="168"/>
      <c r="AI715" s="168"/>
      <c r="AJ715" s="168"/>
      <c r="AK715" s="170"/>
      <c r="AL715" s="170"/>
    </row>
    <row r="716" ht="15.75" customHeight="1">
      <c r="A716" s="161"/>
      <c r="B716" s="161"/>
      <c r="C716" s="162"/>
      <c r="D716" s="163"/>
      <c r="E716" s="164"/>
      <c r="F716" s="165"/>
      <c r="G716" s="166"/>
      <c r="H716" s="167"/>
      <c r="I716" s="167"/>
      <c r="J716" s="167"/>
      <c r="K716" s="167"/>
      <c r="L716" s="167"/>
      <c r="M716" s="167"/>
      <c r="N716" s="167"/>
      <c r="O716" s="167"/>
      <c r="P716" s="164"/>
      <c r="Q716" s="165"/>
      <c r="R716" s="165"/>
      <c r="S716" s="167"/>
      <c r="T716" s="167"/>
      <c r="U716" s="167"/>
      <c r="V716" s="168"/>
      <c r="W716" s="168"/>
      <c r="X716" s="168"/>
      <c r="Y716" s="168"/>
      <c r="Z716" s="168"/>
      <c r="AA716" s="168"/>
      <c r="AB716" s="164"/>
      <c r="AC716" s="165"/>
      <c r="AD716" s="165"/>
      <c r="AE716" s="169"/>
      <c r="AF716" s="169"/>
      <c r="AG716" s="169"/>
      <c r="AH716" s="168"/>
      <c r="AI716" s="168"/>
      <c r="AJ716" s="168"/>
      <c r="AK716" s="170"/>
      <c r="AL716" s="170"/>
    </row>
    <row r="717" ht="15.75" customHeight="1">
      <c r="A717" s="161"/>
      <c r="B717" s="161"/>
      <c r="C717" s="162"/>
      <c r="D717" s="163"/>
      <c r="E717" s="164"/>
      <c r="F717" s="165"/>
      <c r="G717" s="166"/>
      <c r="H717" s="167"/>
      <c r="I717" s="167"/>
      <c r="J717" s="167"/>
      <c r="K717" s="167"/>
      <c r="L717" s="167"/>
      <c r="M717" s="167"/>
      <c r="N717" s="167"/>
      <c r="O717" s="167"/>
      <c r="P717" s="164"/>
      <c r="Q717" s="165"/>
      <c r="R717" s="165"/>
      <c r="S717" s="167"/>
      <c r="T717" s="167"/>
      <c r="U717" s="167"/>
      <c r="V717" s="168"/>
      <c r="W717" s="168"/>
      <c r="X717" s="168"/>
      <c r="Y717" s="168"/>
      <c r="Z717" s="168"/>
      <c r="AA717" s="168"/>
      <c r="AB717" s="164"/>
      <c r="AC717" s="165"/>
      <c r="AD717" s="165"/>
      <c r="AE717" s="169"/>
      <c r="AF717" s="169"/>
      <c r="AG717" s="169"/>
      <c r="AH717" s="168"/>
      <c r="AI717" s="168"/>
      <c r="AJ717" s="168"/>
      <c r="AK717" s="170"/>
      <c r="AL717" s="170"/>
    </row>
    <row r="718" ht="15.75" customHeight="1">
      <c r="A718" s="161"/>
      <c r="B718" s="161"/>
      <c r="C718" s="162"/>
      <c r="D718" s="163"/>
      <c r="E718" s="164"/>
      <c r="F718" s="165"/>
      <c r="G718" s="166"/>
      <c r="H718" s="167"/>
      <c r="I718" s="167"/>
      <c r="J718" s="167"/>
      <c r="K718" s="167"/>
      <c r="L718" s="167"/>
      <c r="M718" s="167"/>
      <c r="N718" s="167"/>
      <c r="O718" s="167"/>
      <c r="P718" s="164"/>
      <c r="Q718" s="165"/>
      <c r="R718" s="165"/>
      <c r="S718" s="167"/>
      <c r="T718" s="167"/>
      <c r="U718" s="167"/>
      <c r="V718" s="168"/>
      <c r="W718" s="168"/>
      <c r="X718" s="168"/>
      <c r="Y718" s="168"/>
      <c r="Z718" s="168"/>
      <c r="AA718" s="168"/>
      <c r="AB718" s="164"/>
      <c r="AC718" s="165"/>
      <c r="AD718" s="165"/>
      <c r="AE718" s="169"/>
      <c r="AF718" s="169"/>
      <c r="AG718" s="169"/>
      <c r="AH718" s="168"/>
      <c r="AI718" s="168"/>
      <c r="AJ718" s="168"/>
      <c r="AK718" s="170"/>
      <c r="AL718" s="170"/>
    </row>
    <row r="719" ht="15.75" customHeight="1">
      <c r="A719" s="161"/>
      <c r="B719" s="161"/>
      <c r="C719" s="162"/>
      <c r="D719" s="163"/>
      <c r="E719" s="164"/>
      <c r="F719" s="165"/>
      <c r="G719" s="166"/>
      <c r="H719" s="167"/>
      <c r="I719" s="167"/>
      <c r="J719" s="167"/>
      <c r="K719" s="167"/>
      <c r="L719" s="167"/>
      <c r="M719" s="167"/>
      <c r="N719" s="167"/>
      <c r="O719" s="167"/>
      <c r="P719" s="164"/>
      <c r="Q719" s="165"/>
      <c r="R719" s="165"/>
      <c r="S719" s="167"/>
      <c r="T719" s="167"/>
      <c r="U719" s="167"/>
      <c r="V719" s="168"/>
      <c r="W719" s="168"/>
      <c r="X719" s="168"/>
      <c r="Y719" s="168"/>
      <c r="Z719" s="168"/>
      <c r="AA719" s="168"/>
      <c r="AB719" s="164"/>
      <c r="AC719" s="165"/>
      <c r="AD719" s="165"/>
      <c r="AE719" s="169"/>
      <c r="AF719" s="169"/>
      <c r="AG719" s="169"/>
      <c r="AH719" s="168"/>
      <c r="AI719" s="168"/>
      <c r="AJ719" s="168"/>
      <c r="AK719" s="170"/>
      <c r="AL719" s="170"/>
    </row>
    <row r="720" ht="15.75" customHeight="1">
      <c r="A720" s="161"/>
      <c r="B720" s="161"/>
      <c r="C720" s="162"/>
      <c r="D720" s="163"/>
      <c r="E720" s="164"/>
      <c r="F720" s="165"/>
      <c r="G720" s="166"/>
      <c r="H720" s="167"/>
      <c r="I720" s="167"/>
      <c r="J720" s="167"/>
      <c r="K720" s="167"/>
      <c r="L720" s="167"/>
      <c r="M720" s="167"/>
      <c r="N720" s="167"/>
      <c r="O720" s="167"/>
      <c r="P720" s="164"/>
      <c r="Q720" s="165"/>
      <c r="R720" s="165"/>
      <c r="S720" s="167"/>
      <c r="T720" s="167"/>
      <c r="U720" s="167"/>
      <c r="V720" s="168"/>
      <c r="W720" s="168"/>
      <c r="X720" s="168"/>
      <c r="Y720" s="168"/>
      <c r="Z720" s="168"/>
      <c r="AA720" s="168"/>
      <c r="AB720" s="164"/>
      <c r="AC720" s="165"/>
      <c r="AD720" s="165"/>
      <c r="AE720" s="169"/>
      <c r="AF720" s="169"/>
      <c r="AG720" s="169"/>
      <c r="AH720" s="168"/>
      <c r="AI720" s="168"/>
      <c r="AJ720" s="168"/>
      <c r="AK720" s="170"/>
      <c r="AL720" s="170"/>
    </row>
    <row r="721" ht="15.75" customHeight="1">
      <c r="A721" s="161"/>
      <c r="B721" s="161"/>
      <c r="C721" s="162"/>
      <c r="D721" s="163"/>
      <c r="E721" s="164"/>
      <c r="F721" s="165"/>
      <c r="G721" s="166"/>
      <c r="H721" s="167"/>
      <c r="I721" s="167"/>
      <c r="J721" s="167"/>
      <c r="K721" s="167"/>
      <c r="L721" s="167"/>
      <c r="M721" s="167"/>
      <c r="N721" s="167"/>
      <c r="O721" s="167"/>
      <c r="P721" s="164"/>
      <c r="Q721" s="165"/>
      <c r="R721" s="165"/>
      <c r="S721" s="167"/>
      <c r="T721" s="167"/>
      <c r="U721" s="167"/>
      <c r="V721" s="168"/>
      <c r="W721" s="168"/>
      <c r="X721" s="168"/>
      <c r="Y721" s="168"/>
      <c r="Z721" s="168"/>
      <c r="AA721" s="168"/>
      <c r="AB721" s="164"/>
      <c r="AC721" s="165"/>
      <c r="AD721" s="165"/>
      <c r="AE721" s="169"/>
      <c r="AF721" s="169"/>
      <c r="AG721" s="169"/>
      <c r="AH721" s="168"/>
      <c r="AI721" s="168"/>
      <c r="AJ721" s="168"/>
      <c r="AK721" s="170"/>
      <c r="AL721" s="170"/>
    </row>
    <row r="722" ht="15.75" customHeight="1">
      <c r="A722" s="161"/>
      <c r="B722" s="161"/>
      <c r="C722" s="162"/>
      <c r="D722" s="163"/>
      <c r="E722" s="164"/>
      <c r="F722" s="165"/>
      <c r="G722" s="166"/>
      <c r="H722" s="167"/>
      <c r="I722" s="167"/>
      <c r="J722" s="167"/>
      <c r="K722" s="167"/>
      <c r="L722" s="167"/>
      <c r="M722" s="167"/>
      <c r="N722" s="167"/>
      <c r="O722" s="167"/>
      <c r="P722" s="164"/>
      <c r="Q722" s="165"/>
      <c r="R722" s="165"/>
      <c r="S722" s="167"/>
      <c r="T722" s="167"/>
      <c r="U722" s="167"/>
      <c r="V722" s="168"/>
      <c r="W722" s="168"/>
      <c r="X722" s="168"/>
      <c r="Y722" s="168"/>
      <c r="Z722" s="168"/>
      <c r="AA722" s="168"/>
      <c r="AB722" s="164"/>
      <c r="AC722" s="165"/>
      <c r="AD722" s="165"/>
      <c r="AE722" s="169"/>
      <c r="AF722" s="169"/>
      <c r="AG722" s="169"/>
      <c r="AH722" s="168"/>
      <c r="AI722" s="168"/>
      <c r="AJ722" s="168"/>
      <c r="AK722" s="170"/>
      <c r="AL722" s="170"/>
    </row>
    <row r="723" ht="15.75" customHeight="1">
      <c r="A723" s="161"/>
      <c r="B723" s="161"/>
      <c r="C723" s="162"/>
      <c r="D723" s="163"/>
      <c r="E723" s="164"/>
      <c r="F723" s="165"/>
      <c r="G723" s="166"/>
      <c r="H723" s="167"/>
      <c r="I723" s="167"/>
      <c r="J723" s="167"/>
      <c r="K723" s="167"/>
      <c r="L723" s="167"/>
      <c r="M723" s="167"/>
      <c r="N723" s="167"/>
      <c r="O723" s="167"/>
      <c r="P723" s="164"/>
      <c r="Q723" s="165"/>
      <c r="R723" s="165"/>
      <c r="S723" s="167"/>
      <c r="T723" s="167"/>
      <c r="U723" s="167"/>
      <c r="V723" s="168"/>
      <c r="W723" s="168"/>
      <c r="X723" s="168"/>
      <c r="Y723" s="168"/>
      <c r="Z723" s="168"/>
      <c r="AA723" s="168"/>
      <c r="AB723" s="164"/>
      <c r="AC723" s="165"/>
      <c r="AD723" s="165"/>
      <c r="AE723" s="169"/>
      <c r="AF723" s="169"/>
      <c r="AG723" s="169"/>
      <c r="AH723" s="168"/>
      <c r="AI723" s="168"/>
      <c r="AJ723" s="168"/>
      <c r="AK723" s="170"/>
      <c r="AL723" s="170"/>
    </row>
    <row r="724" ht="15.75" customHeight="1">
      <c r="A724" s="161"/>
      <c r="B724" s="161"/>
      <c r="C724" s="162"/>
      <c r="D724" s="163"/>
      <c r="E724" s="164"/>
      <c r="F724" s="165"/>
      <c r="G724" s="166"/>
      <c r="H724" s="167"/>
      <c r="I724" s="167"/>
      <c r="J724" s="167"/>
      <c r="K724" s="167"/>
      <c r="L724" s="167"/>
      <c r="M724" s="167"/>
      <c r="N724" s="167"/>
      <c r="O724" s="167"/>
      <c r="P724" s="164"/>
      <c r="Q724" s="165"/>
      <c r="R724" s="165"/>
      <c r="S724" s="167"/>
      <c r="T724" s="167"/>
      <c r="U724" s="167"/>
      <c r="V724" s="168"/>
      <c r="W724" s="168"/>
      <c r="X724" s="168"/>
      <c r="Y724" s="168"/>
      <c r="Z724" s="168"/>
      <c r="AA724" s="168"/>
      <c r="AB724" s="164"/>
      <c r="AC724" s="165"/>
      <c r="AD724" s="165"/>
      <c r="AE724" s="169"/>
      <c r="AF724" s="169"/>
      <c r="AG724" s="169"/>
      <c r="AH724" s="168"/>
      <c r="AI724" s="168"/>
      <c r="AJ724" s="168"/>
      <c r="AK724" s="170"/>
      <c r="AL724" s="170"/>
    </row>
    <row r="725" ht="15.75" customHeight="1">
      <c r="A725" s="161"/>
      <c r="B725" s="161"/>
      <c r="C725" s="162"/>
      <c r="D725" s="163"/>
      <c r="E725" s="164"/>
      <c r="F725" s="165"/>
      <c r="G725" s="166"/>
      <c r="H725" s="167"/>
      <c r="I725" s="167"/>
      <c r="J725" s="167"/>
      <c r="K725" s="167"/>
      <c r="L725" s="167"/>
      <c r="M725" s="167"/>
      <c r="N725" s="167"/>
      <c r="O725" s="167"/>
      <c r="P725" s="164"/>
      <c r="Q725" s="165"/>
      <c r="R725" s="165"/>
      <c r="S725" s="167"/>
      <c r="T725" s="167"/>
      <c r="U725" s="167"/>
      <c r="V725" s="168"/>
      <c r="W725" s="168"/>
      <c r="X725" s="168"/>
      <c r="Y725" s="168"/>
      <c r="Z725" s="168"/>
      <c r="AA725" s="168"/>
      <c r="AB725" s="164"/>
      <c r="AC725" s="165"/>
      <c r="AD725" s="165"/>
      <c r="AE725" s="169"/>
      <c r="AF725" s="169"/>
      <c r="AG725" s="169"/>
      <c r="AH725" s="168"/>
      <c r="AI725" s="168"/>
      <c r="AJ725" s="168"/>
      <c r="AK725" s="170"/>
      <c r="AL725" s="170"/>
    </row>
    <row r="726" ht="15.75" customHeight="1">
      <c r="A726" s="161"/>
      <c r="B726" s="161"/>
      <c r="C726" s="162"/>
      <c r="D726" s="163"/>
      <c r="E726" s="164"/>
      <c r="F726" s="165"/>
      <c r="G726" s="166"/>
      <c r="H726" s="167"/>
      <c r="I726" s="167"/>
      <c r="J726" s="167"/>
      <c r="K726" s="167"/>
      <c r="L726" s="167"/>
      <c r="M726" s="167"/>
      <c r="N726" s="167"/>
      <c r="O726" s="167"/>
      <c r="P726" s="164"/>
      <c r="Q726" s="165"/>
      <c r="R726" s="165"/>
      <c r="S726" s="167"/>
      <c r="T726" s="167"/>
      <c r="U726" s="167"/>
      <c r="V726" s="168"/>
      <c r="W726" s="168"/>
      <c r="X726" s="168"/>
      <c r="Y726" s="168"/>
      <c r="Z726" s="168"/>
      <c r="AA726" s="168"/>
      <c r="AB726" s="164"/>
      <c r="AC726" s="165"/>
      <c r="AD726" s="165"/>
      <c r="AE726" s="169"/>
      <c r="AF726" s="169"/>
      <c r="AG726" s="169"/>
      <c r="AH726" s="168"/>
      <c r="AI726" s="168"/>
      <c r="AJ726" s="168"/>
      <c r="AK726" s="170"/>
      <c r="AL726" s="170"/>
    </row>
    <row r="727" ht="15.75" customHeight="1">
      <c r="A727" s="161"/>
      <c r="B727" s="161"/>
      <c r="C727" s="162"/>
      <c r="D727" s="163"/>
      <c r="E727" s="164"/>
      <c r="F727" s="165"/>
      <c r="G727" s="166"/>
      <c r="H727" s="167"/>
      <c r="I727" s="167"/>
      <c r="J727" s="167"/>
      <c r="K727" s="167"/>
      <c r="L727" s="167"/>
      <c r="M727" s="167"/>
      <c r="N727" s="167"/>
      <c r="O727" s="167"/>
      <c r="P727" s="164"/>
      <c r="Q727" s="165"/>
      <c r="R727" s="165"/>
      <c r="S727" s="167"/>
      <c r="T727" s="167"/>
      <c r="U727" s="167"/>
      <c r="V727" s="168"/>
      <c r="W727" s="168"/>
      <c r="X727" s="168"/>
      <c r="Y727" s="168"/>
      <c r="Z727" s="168"/>
      <c r="AA727" s="168"/>
      <c r="AB727" s="164"/>
      <c r="AC727" s="165"/>
      <c r="AD727" s="165"/>
      <c r="AE727" s="169"/>
      <c r="AF727" s="169"/>
      <c r="AG727" s="169"/>
      <c r="AH727" s="168"/>
      <c r="AI727" s="168"/>
      <c r="AJ727" s="168"/>
      <c r="AK727" s="170"/>
      <c r="AL727" s="170"/>
    </row>
    <row r="728" ht="15.75" customHeight="1">
      <c r="A728" s="161"/>
      <c r="B728" s="161"/>
      <c r="C728" s="162"/>
      <c r="D728" s="163"/>
      <c r="E728" s="164"/>
      <c r="F728" s="165"/>
      <c r="G728" s="166"/>
      <c r="H728" s="167"/>
      <c r="I728" s="167"/>
      <c r="J728" s="167"/>
      <c r="K728" s="167"/>
      <c r="L728" s="167"/>
      <c r="M728" s="167"/>
      <c r="N728" s="167"/>
      <c r="O728" s="167"/>
      <c r="P728" s="164"/>
      <c r="Q728" s="165"/>
      <c r="R728" s="165"/>
      <c r="S728" s="167"/>
      <c r="T728" s="167"/>
      <c r="U728" s="167"/>
      <c r="V728" s="168"/>
      <c r="W728" s="168"/>
      <c r="X728" s="168"/>
      <c r="Y728" s="168"/>
      <c r="Z728" s="168"/>
      <c r="AA728" s="168"/>
      <c r="AB728" s="164"/>
      <c r="AC728" s="165"/>
      <c r="AD728" s="165"/>
      <c r="AE728" s="169"/>
      <c r="AF728" s="169"/>
      <c r="AG728" s="169"/>
      <c r="AH728" s="168"/>
      <c r="AI728" s="168"/>
      <c r="AJ728" s="168"/>
      <c r="AK728" s="170"/>
      <c r="AL728" s="170"/>
    </row>
    <row r="729" ht="15.75" customHeight="1">
      <c r="A729" s="161"/>
      <c r="B729" s="161"/>
      <c r="C729" s="162"/>
      <c r="D729" s="163"/>
      <c r="E729" s="164"/>
      <c r="F729" s="165"/>
      <c r="G729" s="166"/>
      <c r="H729" s="167"/>
      <c r="I729" s="167"/>
      <c r="J729" s="167"/>
      <c r="K729" s="167"/>
      <c r="L729" s="167"/>
      <c r="M729" s="167"/>
      <c r="N729" s="167"/>
      <c r="O729" s="167"/>
      <c r="P729" s="164"/>
      <c r="Q729" s="165"/>
      <c r="R729" s="165"/>
      <c r="S729" s="167"/>
      <c r="T729" s="167"/>
      <c r="U729" s="167"/>
      <c r="V729" s="168"/>
      <c r="W729" s="168"/>
      <c r="X729" s="168"/>
      <c r="Y729" s="168"/>
      <c r="Z729" s="168"/>
      <c r="AA729" s="168"/>
      <c r="AB729" s="164"/>
      <c r="AC729" s="165"/>
      <c r="AD729" s="165"/>
      <c r="AE729" s="169"/>
      <c r="AF729" s="169"/>
      <c r="AG729" s="169"/>
      <c r="AH729" s="168"/>
      <c r="AI729" s="168"/>
      <c r="AJ729" s="168"/>
      <c r="AK729" s="170"/>
      <c r="AL729" s="170"/>
    </row>
    <row r="730" ht="15.75" customHeight="1">
      <c r="A730" s="161"/>
      <c r="B730" s="161"/>
      <c r="C730" s="162"/>
      <c r="D730" s="163"/>
      <c r="E730" s="164"/>
      <c r="F730" s="165"/>
      <c r="G730" s="166"/>
      <c r="H730" s="167"/>
      <c r="I730" s="167"/>
      <c r="J730" s="167"/>
      <c r="K730" s="167"/>
      <c r="L730" s="167"/>
      <c r="M730" s="167"/>
      <c r="N730" s="167"/>
      <c r="O730" s="167"/>
      <c r="P730" s="164"/>
      <c r="Q730" s="165"/>
      <c r="R730" s="165"/>
      <c r="S730" s="167"/>
      <c r="T730" s="167"/>
      <c r="U730" s="167"/>
      <c r="V730" s="168"/>
      <c r="W730" s="168"/>
      <c r="X730" s="168"/>
      <c r="Y730" s="168"/>
      <c r="Z730" s="168"/>
      <c r="AA730" s="168"/>
      <c r="AB730" s="164"/>
      <c r="AC730" s="165"/>
      <c r="AD730" s="165"/>
      <c r="AE730" s="169"/>
      <c r="AF730" s="169"/>
      <c r="AG730" s="169"/>
      <c r="AH730" s="168"/>
      <c r="AI730" s="168"/>
      <c r="AJ730" s="168"/>
      <c r="AK730" s="170"/>
      <c r="AL730" s="170"/>
    </row>
    <row r="731" ht="15.75" customHeight="1">
      <c r="A731" s="161"/>
      <c r="B731" s="161"/>
      <c r="C731" s="162"/>
      <c r="D731" s="163"/>
      <c r="E731" s="164"/>
      <c r="F731" s="165"/>
      <c r="G731" s="166"/>
      <c r="H731" s="167"/>
      <c r="I731" s="167"/>
      <c r="J731" s="167"/>
      <c r="K731" s="167"/>
      <c r="L731" s="167"/>
      <c r="M731" s="167"/>
      <c r="N731" s="167"/>
      <c r="O731" s="167"/>
      <c r="P731" s="164"/>
      <c r="Q731" s="165"/>
      <c r="R731" s="165"/>
      <c r="S731" s="167"/>
      <c r="T731" s="167"/>
      <c r="U731" s="167"/>
      <c r="V731" s="168"/>
      <c r="W731" s="168"/>
      <c r="X731" s="168"/>
      <c r="Y731" s="168"/>
      <c r="Z731" s="168"/>
      <c r="AA731" s="168"/>
      <c r="AB731" s="164"/>
      <c r="AC731" s="165"/>
      <c r="AD731" s="165"/>
      <c r="AE731" s="169"/>
      <c r="AF731" s="169"/>
      <c r="AG731" s="169"/>
      <c r="AH731" s="168"/>
      <c r="AI731" s="168"/>
      <c r="AJ731" s="168"/>
      <c r="AK731" s="170"/>
      <c r="AL731" s="170"/>
    </row>
    <row r="732" ht="15.75" customHeight="1">
      <c r="A732" s="161"/>
      <c r="B732" s="161"/>
      <c r="C732" s="162"/>
      <c r="D732" s="163"/>
      <c r="E732" s="164"/>
      <c r="F732" s="165"/>
      <c r="G732" s="166"/>
      <c r="H732" s="167"/>
      <c r="I732" s="167"/>
      <c r="J732" s="167"/>
      <c r="K732" s="167"/>
      <c r="L732" s="167"/>
      <c r="M732" s="167"/>
      <c r="N732" s="167"/>
      <c r="O732" s="167"/>
      <c r="P732" s="164"/>
      <c r="Q732" s="165"/>
      <c r="R732" s="165"/>
      <c r="S732" s="167"/>
      <c r="T732" s="167"/>
      <c r="U732" s="167"/>
      <c r="V732" s="168"/>
      <c r="W732" s="168"/>
      <c r="X732" s="168"/>
      <c r="Y732" s="168"/>
      <c r="Z732" s="168"/>
      <c r="AA732" s="168"/>
      <c r="AB732" s="164"/>
      <c r="AC732" s="165"/>
      <c r="AD732" s="165"/>
      <c r="AE732" s="169"/>
      <c r="AF732" s="169"/>
      <c r="AG732" s="169"/>
      <c r="AH732" s="168"/>
      <c r="AI732" s="168"/>
      <c r="AJ732" s="168"/>
      <c r="AK732" s="170"/>
      <c r="AL732" s="170"/>
    </row>
    <row r="733" ht="15.75" customHeight="1">
      <c r="A733" s="161"/>
      <c r="B733" s="161"/>
      <c r="C733" s="162"/>
      <c r="D733" s="163"/>
      <c r="E733" s="164"/>
      <c r="F733" s="165"/>
      <c r="G733" s="166"/>
      <c r="H733" s="167"/>
      <c r="I733" s="167"/>
      <c r="J733" s="167"/>
      <c r="K733" s="167"/>
      <c r="L733" s="167"/>
      <c r="M733" s="167"/>
      <c r="N733" s="167"/>
      <c r="O733" s="167"/>
      <c r="P733" s="164"/>
      <c r="Q733" s="165"/>
      <c r="R733" s="165"/>
      <c r="S733" s="167"/>
      <c r="T733" s="167"/>
      <c r="U733" s="167"/>
      <c r="V733" s="168"/>
      <c r="W733" s="168"/>
      <c r="X733" s="168"/>
      <c r="Y733" s="168"/>
      <c r="Z733" s="168"/>
      <c r="AA733" s="168"/>
      <c r="AB733" s="164"/>
      <c r="AC733" s="165"/>
      <c r="AD733" s="165"/>
      <c r="AE733" s="169"/>
      <c r="AF733" s="169"/>
      <c r="AG733" s="169"/>
      <c r="AH733" s="168"/>
      <c r="AI733" s="168"/>
      <c r="AJ733" s="168"/>
      <c r="AK733" s="170"/>
      <c r="AL733" s="170"/>
    </row>
    <row r="734" ht="15.75" customHeight="1">
      <c r="A734" s="161"/>
      <c r="B734" s="161"/>
      <c r="C734" s="162"/>
      <c r="D734" s="163"/>
      <c r="E734" s="164"/>
      <c r="F734" s="165"/>
      <c r="G734" s="166"/>
      <c r="H734" s="167"/>
      <c r="I734" s="167"/>
      <c r="J734" s="167"/>
      <c r="K734" s="167"/>
      <c r="L734" s="167"/>
      <c r="M734" s="167"/>
      <c r="N734" s="167"/>
      <c r="O734" s="167"/>
      <c r="P734" s="164"/>
      <c r="Q734" s="165"/>
      <c r="R734" s="165"/>
      <c r="S734" s="167"/>
      <c r="T734" s="167"/>
      <c r="U734" s="167"/>
      <c r="V734" s="168"/>
      <c r="W734" s="168"/>
      <c r="X734" s="168"/>
      <c r="Y734" s="168"/>
      <c r="Z734" s="168"/>
      <c r="AA734" s="168"/>
      <c r="AB734" s="164"/>
      <c r="AC734" s="165"/>
      <c r="AD734" s="165"/>
      <c r="AE734" s="169"/>
      <c r="AF734" s="169"/>
      <c r="AG734" s="169"/>
      <c r="AH734" s="168"/>
      <c r="AI734" s="168"/>
      <c r="AJ734" s="168"/>
      <c r="AK734" s="170"/>
      <c r="AL734" s="170"/>
    </row>
    <row r="735" ht="15.75" customHeight="1">
      <c r="A735" s="161"/>
      <c r="B735" s="161"/>
      <c r="C735" s="162"/>
      <c r="D735" s="163"/>
      <c r="E735" s="164"/>
      <c r="F735" s="165"/>
      <c r="G735" s="166"/>
      <c r="H735" s="167"/>
      <c r="I735" s="167"/>
      <c r="J735" s="167"/>
      <c r="K735" s="167"/>
      <c r="L735" s="167"/>
      <c r="M735" s="167"/>
      <c r="N735" s="167"/>
      <c r="O735" s="167"/>
      <c r="P735" s="164"/>
      <c r="Q735" s="165"/>
      <c r="R735" s="165"/>
      <c r="S735" s="167"/>
      <c r="T735" s="167"/>
      <c r="U735" s="167"/>
      <c r="V735" s="168"/>
      <c r="W735" s="168"/>
      <c r="X735" s="168"/>
      <c r="Y735" s="168"/>
      <c r="Z735" s="168"/>
      <c r="AA735" s="168"/>
      <c r="AB735" s="164"/>
      <c r="AC735" s="165"/>
      <c r="AD735" s="165"/>
      <c r="AE735" s="169"/>
      <c r="AF735" s="169"/>
      <c r="AG735" s="169"/>
      <c r="AH735" s="168"/>
      <c r="AI735" s="168"/>
      <c r="AJ735" s="168"/>
      <c r="AK735" s="170"/>
      <c r="AL735" s="170"/>
    </row>
    <row r="736" ht="15.75" customHeight="1">
      <c r="A736" s="161"/>
      <c r="B736" s="161"/>
      <c r="C736" s="162"/>
      <c r="D736" s="163"/>
      <c r="E736" s="164"/>
      <c r="F736" s="165"/>
      <c r="G736" s="166"/>
      <c r="H736" s="167"/>
      <c r="I736" s="167"/>
      <c r="J736" s="167"/>
      <c r="K736" s="167"/>
      <c r="L736" s="167"/>
      <c r="M736" s="167"/>
      <c r="N736" s="167"/>
      <c r="O736" s="167"/>
      <c r="P736" s="164"/>
      <c r="Q736" s="165"/>
      <c r="R736" s="165"/>
      <c r="S736" s="167"/>
      <c r="T736" s="167"/>
      <c r="U736" s="167"/>
      <c r="V736" s="168"/>
      <c r="W736" s="168"/>
      <c r="X736" s="168"/>
      <c r="Y736" s="168"/>
      <c r="Z736" s="168"/>
      <c r="AA736" s="168"/>
      <c r="AB736" s="164"/>
      <c r="AC736" s="165"/>
      <c r="AD736" s="165"/>
      <c r="AE736" s="169"/>
      <c r="AF736" s="169"/>
      <c r="AG736" s="169"/>
      <c r="AH736" s="168"/>
      <c r="AI736" s="168"/>
      <c r="AJ736" s="168"/>
      <c r="AK736" s="170"/>
      <c r="AL736" s="170"/>
    </row>
    <row r="737" ht="15.75" customHeight="1">
      <c r="A737" s="161"/>
      <c r="B737" s="161"/>
      <c r="C737" s="162"/>
      <c r="D737" s="163"/>
      <c r="E737" s="164"/>
      <c r="F737" s="165"/>
      <c r="G737" s="166"/>
      <c r="H737" s="167"/>
      <c r="I737" s="167"/>
      <c r="J737" s="167"/>
      <c r="K737" s="167"/>
      <c r="L737" s="167"/>
      <c r="M737" s="167"/>
      <c r="N737" s="167"/>
      <c r="O737" s="167"/>
      <c r="P737" s="164"/>
      <c r="Q737" s="165"/>
      <c r="R737" s="165"/>
      <c r="S737" s="167"/>
      <c r="T737" s="167"/>
      <c r="U737" s="167"/>
      <c r="V737" s="168"/>
      <c r="W737" s="168"/>
      <c r="X737" s="168"/>
      <c r="Y737" s="168"/>
      <c r="Z737" s="168"/>
      <c r="AA737" s="168"/>
      <c r="AB737" s="164"/>
      <c r="AC737" s="165"/>
      <c r="AD737" s="165"/>
      <c r="AE737" s="169"/>
      <c r="AF737" s="169"/>
      <c r="AG737" s="169"/>
      <c r="AH737" s="168"/>
      <c r="AI737" s="168"/>
      <c r="AJ737" s="168"/>
      <c r="AK737" s="170"/>
      <c r="AL737" s="170"/>
    </row>
    <row r="738" ht="15.75" customHeight="1">
      <c r="A738" s="161"/>
      <c r="B738" s="161"/>
      <c r="C738" s="162"/>
      <c r="D738" s="163"/>
      <c r="E738" s="164"/>
      <c r="F738" s="165"/>
      <c r="G738" s="166"/>
      <c r="H738" s="167"/>
      <c r="I738" s="167"/>
      <c r="J738" s="167"/>
      <c r="K738" s="167"/>
      <c r="L738" s="167"/>
      <c r="M738" s="167"/>
      <c r="N738" s="167"/>
      <c r="O738" s="167"/>
      <c r="P738" s="164"/>
      <c r="Q738" s="165"/>
      <c r="R738" s="165"/>
      <c r="S738" s="167"/>
      <c r="T738" s="167"/>
      <c r="U738" s="167"/>
      <c r="V738" s="168"/>
      <c r="W738" s="168"/>
      <c r="X738" s="168"/>
      <c r="Y738" s="168"/>
      <c r="Z738" s="168"/>
      <c r="AA738" s="168"/>
      <c r="AB738" s="164"/>
      <c r="AC738" s="165"/>
      <c r="AD738" s="165"/>
      <c r="AE738" s="169"/>
      <c r="AF738" s="169"/>
      <c r="AG738" s="169"/>
      <c r="AH738" s="168"/>
      <c r="AI738" s="168"/>
      <c r="AJ738" s="168"/>
      <c r="AK738" s="170"/>
      <c r="AL738" s="170"/>
    </row>
    <row r="739" ht="15.75" customHeight="1">
      <c r="A739" s="161"/>
      <c r="B739" s="161"/>
      <c r="C739" s="162"/>
      <c r="D739" s="163"/>
      <c r="E739" s="164"/>
      <c r="F739" s="165"/>
      <c r="G739" s="166"/>
      <c r="H739" s="167"/>
      <c r="I739" s="167"/>
      <c r="J739" s="167"/>
      <c r="K739" s="167"/>
      <c r="L739" s="167"/>
      <c r="M739" s="167"/>
      <c r="N739" s="167"/>
      <c r="O739" s="167"/>
      <c r="P739" s="164"/>
      <c r="Q739" s="165"/>
      <c r="R739" s="165"/>
      <c r="S739" s="167"/>
      <c r="T739" s="167"/>
      <c r="U739" s="167"/>
      <c r="V739" s="168"/>
      <c r="W739" s="168"/>
      <c r="X739" s="168"/>
      <c r="Y739" s="168"/>
      <c r="Z739" s="168"/>
      <c r="AA739" s="168"/>
      <c r="AB739" s="164"/>
      <c r="AC739" s="165"/>
      <c r="AD739" s="165"/>
      <c r="AE739" s="169"/>
      <c r="AF739" s="169"/>
      <c r="AG739" s="169"/>
      <c r="AH739" s="168"/>
      <c r="AI739" s="168"/>
      <c r="AJ739" s="168"/>
      <c r="AK739" s="170"/>
      <c r="AL739" s="170"/>
    </row>
    <row r="740" ht="15.75" customHeight="1">
      <c r="A740" s="161"/>
      <c r="B740" s="161"/>
      <c r="C740" s="162"/>
      <c r="D740" s="163"/>
      <c r="E740" s="164"/>
      <c r="F740" s="165"/>
      <c r="G740" s="166"/>
      <c r="H740" s="167"/>
      <c r="I740" s="167"/>
      <c r="J740" s="167"/>
      <c r="K740" s="167"/>
      <c r="L740" s="167"/>
      <c r="M740" s="167"/>
      <c r="N740" s="167"/>
      <c r="O740" s="167"/>
      <c r="P740" s="164"/>
      <c r="Q740" s="165"/>
      <c r="R740" s="165"/>
      <c r="S740" s="167"/>
      <c r="T740" s="167"/>
      <c r="U740" s="167"/>
      <c r="V740" s="168"/>
      <c r="W740" s="168"/>
      <c r="X740" s="168"/>
      <c r="Y740" s="168"/>
      <c r="Z740" s="168"/>
      <c r="AA740" s="168"/>
      <c r="AB740" s="164"/>
      <c r="AC740" s="165"/>
      <c r="AD740" s="165"/>
      <c r="AE740" s="169"/>
      <c r="AF740" s="169"/>
      <c r="AG740" s="169"/>
      <c r="AH740" s="168"/>
      <c r="AI740" s="168"/>
      <c r="AJ740" s="168"/>
      <c r="AK740" s="170"/>
      <c r="AL740" s="170"/>
    </row>
    <row r="741" ht="15.75" customHeight="1">
      <c r="A741" s="161"/>
      <c r="B741" s="161"/>
      <c r="C741" s="162"/>
      <c r="D741" s="163"/>
      <c r="E741" s="164"/>
      <c r="F741" s="165"/>
      <c r="G741" s="166"/>
      <c r="H741" s="167"/>
      <c r="I741" s="167"/>
      <c r="J741" s="167"/>
      <c r="K741" s="167"/>
      <c r="L741" s="167"/>
      <c r="M741" s="167"/>
      <c r="N741" s="167"/>
      <c r="O741" s="167"/>
      <c r="P741" s="164"/>
      <c r="Q741" s="165"/>
      <c r="R741" s="165"/>
      <c r="S741" s="167"/>
      <c r="T741" s="167"/>
      <c r="U741" s="167"/>
      <c r="V741" s="168"/>
      <c r="W741" s="168"/>
      <c r="X741" s="168"/>
      <c r="Y741" s="168"/>
      <c r="Z741" s="168"/>
      <c r="AA741" s="168"/>
      <c r="AB741" s="164"/>
      <c r="AC741" s="165"/>
      <c r="AD741" s="165"/>
      <c r="AE741" s="169"/>
      <c r="AF741" s="169"/>
      <c r="AG741" s="169"/>
      <c r="AH741" s="168"/>
      <c r="AI741" s="168"/>
      <c r="AJ741" s="168"/>
      <c r="AK741" s="170"/>
      <c r="AL741" s="170"/>
    </row>
    <row r="742" ht="15.75" customHeight="1">
      <c r="A742" s="161"/>
      <c r="B742" s="161"/>
      <c r="C742" s="162"/>
      <c r="D742" s="163"/>
      <c r="E742" s="164"/>
      <c r="F742" s="165"/>
      <c r="G742" s="166"/>
      <c r="H742" s="167"/>
      <c r="I742" s="167"/>
      <c r="J742" s="167"/>
      <c r="K742" s="167"/>
      <c r="L742" s="167"/>
      <c r="M742" s="167"/>
      <c r="N742" s="167"/>
      <c r="O742" s="167"/>
      <c r="P742" s="164"/>
      <c r="Q742" s="165"/>
      <c r="R742" s="165"/>
      <c r="S742" s="167"/>
      <c r="T742" s="167"/>
      <c r="U742" s="167"/>
      <c r="V742" s="168"/>
      <c r="W742" s="168"/>
      <c r="X742" s="168"/>
      <c r="Y742" s="168"/>
      <c r="Z742" s="168"/>
      <c r="AA742" s="168"/>
      <c r="AB742" s="164"/>
      <c r="AC742" s="165"/>
      <c r="AD742" s="165"/>
      <c r="AE742" s="169"/>
      <c r="AF742" s="169"/>
      <c r="AG742" s="169"/>
      <c r="AH742" s="168"/>
      <c r="AI742" s="168"/>
      <c r="AJ742" s="168"/>
      <c r="AK742" s="170"/>
      <c r="AL742" s="170"/>
    </row>
    <row r="743" ht="15.75" customHeight="1">
      <c r="A743" s="161"/>
      <c r="B743" s="161"/>
      <c r="C743" s="162"/>
      <c r="D743" s="163"/>
      <c r="E743" s="164"/>
      <c r="F743" s="165"/>
      <c r="G743" s="166"/>
      <c r="H743" s="167"/>
      <c r="I743" s="167"/>
      <c r="J743" s="167"/>
      <c r="K743" s="167"/>
      <c r="L743" s="167"/>
      <c r="M743" s="167"/>
      <c r="N743" s="167"/>
      <c r="O743" s="167"/>
      <c r="P743" s="164"/>
      <c r="Q743" s="165"/>
      <c r="R743" s="165"/>
      <c r="S743" s="167"/>
      <c r="T743" s="167"/>
      <c r="U743" s="167"/>
      <c r="V743" s="168"/>
      <c r="W743" s="168"/>
      <c r="X743" s="168"/>
      <c r="Y743" s="168"/>
      <c r="Z743" s="168"/>
      <c r="AA743" s="168"/>
      <c r="AB743" s="164"/>
      <c r="AC743" s="165"/>
      <c r="AD743" s="165"/>
      <c r="AE743" s="169"/>
      <c r="AF743" s="169"/>
      <c r="AG743" s="169"/>
      <c r="AH743" s="168"/>
      <c r="AI743" s="168"/>
      <c r="AJ743" s="168"/>
      <c r="AK743" s="170"/>
      <c r="AL743" s="170"/>
    </row>
    <row r="744" ht="15.75" customHeight="1">
      <c r="A744" s="161"/>
      <c r="B744" s="161"/>
      <c r="C744" s="162"/>
      <c r="D744" s="163"/>
      <c r="E744" s="164"/>
      <c r="F744" s="165"/>
      <c r="G744" s="166"/>
      <c r="H744" s="167"/>
      <c r="I744" s="167"/>
      <c r="J744" s="167"/>
      <c r="K744" s="167"/>
      <c r="L744" s="167"/>
      <c r="M744" s="167"/>
      <c r="N744" s="167"/>
      <c r="O744" s="167"/>
      <c r="P744" s="164"/>
      <c r="Q744" s="165"/>
      <c r="R744" s="165"/>
      <c r="S744" s="167"/>
      <c r="T744" s="167"/>
      <c r="U744" s="167"/>
      <c r="V744" s="168"/>
      <c r="W744" s="168"/>
      <c r="X744" s="168"/>
      <c r="Y744" s="168"/>
      <c r="Z744" s="168"/>
      <c r="AA744" s="168"/>
      <c r="AB744" s="164"/>
      <c r="AC744" s="165"/>
      <c r="AD744" s="165"/>
      <c r="AE744" s="169"/>
      <c r="AF744" s="169"/>
      <c r="AG744" s="169"/>
      <c r="AH744" s="168"/>
      <c r="AI744" s="168"/>
      <c r="AJ744" s="168"/>
      <c r="AK744" s="170"/>
      <c r="AL744" s="170"/>
    </row>
    <row r="745" ht="15.75" customHeight="1">
      <c r="A745" s="161"/>
      <c r="B745" s="161"/>
      <c r="C745" s="162"/>
      <c r="D745" s="163"/>
      <c r="E745" s="164"/>
      <c r="F745" s="165"/>
      <c r="G745" s="166"/>
      <c r="H745" s="167"/>
      <c r="I745" s="167"/>
      <c r="J745" s="167"/>
      <c r="K745" s="167"/>
      <c r="L745" s="167"/>
      <c r="M745" s="167"/>
      <c r="N745" s="167"/>
      <c r="O745" s="167"/>
      <c r="P745" s="164"/>
      <c r="Q745" s="165"/>
      <c r="R745" s="165"/>
      <c r="S745" s="167"/>
      <c r="T745" s="167"/>
      <c r="U745" s="167"/>
      <c r="V745" s="168"/>
      <c r="W745" s="168"/>
      <c r="X745" s="168"/>
      <c r="Y745" s="168"/>
      <c r="Z745" s="168"/>
      <c r="AA745" s="168"/>
      <c r="AB745" s="164"/>
      <c r="AC745" s="165"/>
      <c r="AD745" s="165"/>
      <c r="AE745" s="169"/>
      <c r="AF745" s="169"/>
      <c r="AG745" s="169"/>
      <c r="AH745" s="168"/>
      <c r="AI745" s="168"/>
      <c r="AJ745" s="168"/>
      <c r="AK745" s="170"/>
      <c r="AL745" s="170"/>
    </row>
    <row r="746" ht="15.75" customHeight="1">
      <c r="A746" s="161"/>
      <c r="B746" s="161"/>
      <c r="C746" s="162"/>
      <c r="D746" s="163"/>
      <c r="E746" s="164"/>
      <c r="F746" s="165"/>
      <c r="G746" s="166"/>
      <c r="H746" s="167"/>
      <c r="I746" s="167"/>
      <c r="J746" s="167"/>
      <c r="K746" s="167"/>
      <c r="L746" s="167"/>
      <c r="M746" s="167"/>
      <c r="N746" s="167"/>
      <c r="O746" s="167"/>
      <c r="P746" s="164"/>
      <c r="Q746" s="165"/>
      <c r="R746" s="165"/>
      <c r="S746" s="167"/>
      <c r="T746" s="167"/>
      <c r="U746" s="167"/>
      <c r="V746" s="168"/>
      <c r="W746" s="168"/>
      <c r="X746" s="168"/>
      <c r="Y746" s="168"/>
      <c r="Z746" s="168"/>
      <c r="AA746" s="168"/>
      <c r="AB746" s="164"/>
      <c r="AC746" s="165"/>
      <c r="AD746" s="165"/>
      <c r="AE746" s="169"/>
      <c r="AF746" s="169"/>
      <c r="AG746" s="169"/>
      <c r="AH746" s="168"/>
      <c r="AI746" s="168"/>
      <c r="AJ746" s="168"/>
      <c r="AK746" s="170"/>
      <c r="AL746" s="170"/>
    </row>
    <row r="747" ht="15.75" customHeight="1">
      <c r="A747" s="161"/>
      <c r="B747" s="161"/>
      <c r="C747" s="162"/>
      <c r="D747" s="163"/>
      <c r="E747" s="164"/>
      <c r="F747" s="165"/>
      <c r="G747" s="166"/>
      <c r="H747" s="167"/>
      <c r="I747" s="167"/>
      <c r="J747" s="167"/>
      <c r="K747" s="167"/>
      <c r="L747" s="167"/>
      <c r="M747" s="167"/>
      <c r="N747" s="167"/>
      <c r="O747" s="167"/>
      <c r="P747" s="164"/>
      <c r="Q747" s="165"/>
      <c r="R747" s="165"/>
      <c r="S747" s="167"/>
      <c r="T747" s="167"/>
      <c r="U747" s="167"/>
      <c r="V747" s="168"/>
      <c r="W747" s="168"/>
      <c r="X747" s="168"/>
      <c r="Y747" s="168"/>
      <c r="Z747" s="168"/>
      <c r="AA747" s="168"/>
      <c r="AB747" s="164"/>
      <c r="AC747" s="165"/>
      <c r="AD747" s="165"/>
      <c r="AE747" s="169"/>
      <c r="AF747" s="169"/>
      <c r="AG747" s="169"/>
      <c r="AH747" s="168"/>
      <c r="AI747" s="168"/>
      <c r="AJ747" s="168"/>
      <c r="AK747" s="170"/>
      <c r="AL747" s="170"/>
    </row>
    <row r="748" ht="15.75" customHeight="1">
      <c r="A748" s="161"/>
      <c r="B748" s="161"/>
      <c r="C748" s="162"/>
      <c r="D748" s="163"/>
      <c r="E748" s="164"/>
      <c r="F748" s="165"/>
      <c r="G748" s="166"/>
      <c r="H748" s="167"/>
      <c r="I748" s="167"/>
      <c r="J748" s="167"/>
      <c r="K748" s="167"/>
      <c r="L748" s="167"/>
      <c r="M748" s="167"/>
      <c r="N748" s="167"/>
      <c r="O748" s="167"/>
      <c r="P748" s="164"/>
      <c r="Q748" s="165"/>
      <c r="R748" s="165"/>
      <c r="S748" s="167"/>
      <c r="T748" s="167"/>
      <c r="U748" s="167"/>
      <c r="V748" s="168"/>
      <c r="W748" s="168"/>
      <c r="X748" s="168"/>
      <c r="Y748" s="168"/>
      <c r="Z748" s="168"/>
      <c r="AA748" s="168"/>
      <c r="AB748" s="164"/>
      <c r="AC748" s="165"/>
      <c r="AD748" s="165"/>
      <c r="AE748" s="169"/>
      <c r="AF748" s="169"/>
      <c r="AG748" s="169"/>
      <c r="AH748" s="168"/>
      <c r="AI748" s="168"/>
      <c r="AJ748" s="168"/>
      <c r="AK748" s="170"/>
      <c r="AL748" s="170"/>
    </row>
    <row r="749" ht="15.75" customHeight="1">
      <c r="A749" s="161"/>
      <c r="B749" s="161"/>
      <c r="C749" s="162"/>
      <c r="D749" s="163"/>
      <c r="E749" s="164"/>
      <c r="F749" s="165"/>
      <c r="G749" s="166"/>
      <c r="H749" s="167"/>
      <c r="I749" s="167"/>
      <c r="J749" s="167"/>
      <c r="K749" s="167"/>
      <c r="L749" s="167"/>
      <c r="M749" s="167"/>
      <c r="N749" s="167"/>
      <c r="O749" s="167"/>
      <c r="P749" s="164"/>
      <c r="Q749" s="165"/>
      <c r="R749" s="165"/>
      <c r="S749" s="167"/>
      <c r="T749" s="167"/>
      <c r="U749" s="167"/>
      <c r="V749" s="168"/>
      <c r="W749" s="168"/>
      <c r="X749" s="168"/>
      <c r="Y749" s="168"/>
      <c r="Z749" s="168"/>
      <c r="AA749" s="168"/>
      <c r="AB749" s="164"/>
      <c r="AC749" s="165"/>
      <c r="AD749" s="165"/>
      <c r="AE749" s="169"/>
      <c r="AF749" s="169"/>
      <c r="AG749" s="169"/>
      <c r="AH749" s="168"/>
      <c r="AI749" s="168"/>
      <c r="AJ749" s="168"/>
      <c r="AK749" s="170"/>
      <c r="AL749" s="170"/>
    </row>
    <row r="750" ht="15.75" customHeight="1">
      <c r="A750" s="161"/>
      <c r="B750" s="161"/>
      <c r="C750" s="162"/>
      <c r="D750" s="163"/>
      <c r="E750" s="164"/>
      <c r="F750" s="165"/>
      <c r="G750" s="166"/>
      <c r="H750" s="167"/>
      <c r="I750" s="167"/>
      <c r="J750" s="167"/>
      <c r="K750" s="167"/>
      <c r="L750" s="167"/>
      <c r="M750" s="167"/>
      <c r="N750" s="167"/>
      <c r="O750" s="167"/>
      <c r="P750" s="164"/>
      <c r="Q750" s="165"/>
      <c r="R750" s="165"/>
      <c r="S750" s="167"/>
      <c r="T750" s="167"/>
      <c r="U750" s="167"/>
      <c r="V750" s="168"/>
      <c r="W750" s="168"/>
      <c r="X750" s="168"/>
      <c r="Y750" s="168"/>
      <c r="Z750" s="168"/>
      <c r="AA750" s="168"/>
      <c r="AB750" s="164"/>
      <c r="AC750" s="165"/>
      <c r="AD750" s="165"/>
      <c r="AE750" s="169"/>
      <c r="AF750" s="169"/>
      <c r="AG750" s="169"/>
      <c r="AH750" s="168"/>
      <c r="AI750" s="168"/>
      <c r="AJ750" s="168"/>
      <c r="AK750" s="170"/>
      <c r="AL750" s="170"/>
    </row>
    <row r="751" ht="15.75" customHeight="1">
      <c r="A751" s="161"/>
      <c r="B751" s="161"/>
      <c r="C751" s="162"/>
      <c r="D751" s="163"/>
      <c r="E751" s="164"/>
      <c r="F751" s="165"/>
      <c r="G751" s="166"/>
      <c r="H751" s="167"/>
      <c r="I751" s="167"/>
      <c r="J751" s="167"/>
      <c r="K751" s="167"/>
      <c r="L751" s="167"/>
      <c r="M751" s="167"/>
      <c r="N751" s="167"/>
      <c r="O751" s="167"/>
      <c r="P751" s="164"/>
      <c r="Q751" s="165"/>
      <c r="R751" s="165"/>
      <c r="S751" s="167"/>
      <c r="T751" s="167"/>
      <c r="U751" s="167"/>
      <c r="V751" s="168"/>
      <c r="W751" s="168"/>
      <c r="X751" s="168"/>
      <c r="Y751" s="168"/>
      <c r="Z751" s="168"/>
      <c r="AA751" s="168"/>
      <c r="AB751" s="164"/>
      <c r="AC751" s="165"/>
      <c r="AD751" s="165"/>
      <c r="AE751" s="169"/>
      <c r="AF751" s="169"/>
      <c r="AG751" s="169"/>
      <c r="AH751" s="168"/>
      <c r="AI751" s="168"/>
      <c r="AJ751" s="168"/>
      <c r="AK751" s="170"/>
      <c r="AL751" s="170"/>
    </row>
    <row r="752" ht="15.75" customHeight="1">
      <c r="A752" s="161"/>
      <c r="B752" s="161"/>
      <c r="C752" s="162"/>
      <c r="D752" s="163"/>
      <c r="E752" s="164"/>
      <c r="F752" s="165"/>
      <c r="G752" s="166"/>
      <c r="H752" s="167"/>
      <c r="I752" s="167"/>
      <c r="J752" s="167"/>
      <c r="K752" s="167"/>
      <c r="L752" s="167"/>
      <c r="M752" s="167"/>
      <c r="N752" s="167"/>
      <c r="O752" s="167"/>
      <c r="P752" s="164"/>
      <c r="Q752" s="165"/>
      <c r="R752" s="165"/>
      <c r="S752" s="167"/>
      <c r="T752" s="167"/>
      <c r="U752" s="167"/>
      <c r="V752" s="168"/>
      <c r="W752" s="168"/>
      <c r="X752" s="168"/>
      <c r="Y752" s="168"/>
      <c r="Z752" s="168"/>
      <c r="AA752" s="168"/>
      <c r="AB752" s="164"/>
      <c r="AC752" s="165"/>
      <c r="AD752" s="165"/>
      <c r="AE752" s="169"/>
      <c r="AF752" s="169"/>
      <c r="AG752" s="169"/>
      <c r="AH752" s="168"/>
      <c r="AI752" s="168"/>
      <c r="AJ752" s="168"/>
      <c r="AK752" s="170"/>
      <c r="AL752" s="170"/>
    </row>
    <row r="753" ht="15.75" customHeight="1">
      <c r="A753" s="161"/>
      <c r="B753" s="161"/>
      <c r="C753" s="162"/>
      <c r="D753" s="163"/>
      <c r="E753" s="164"/>
      <c r="F753" s="165"/>
      <c r="G753" s="166"/>
      <c r="H753" s="167"/>
      <c r="I753" s="167"/>
      <c r="J753" s="167"/>
      <c r="K753" s="167"/>
      <c r="L753" s="167"/>
      <c r="M753" s="167"/>
      <c r="N753" s="167"/>
      <c r="O753" s="167"/>
      <c r="P753" s="164"/>
      <c r="Q753" s="165"/>
      <c r="R753" s="165"/>
      <c r="S753" s="167"/>
      <c r="T753" s="167"/>
      <c r="U753" s="167"/>
      <c r="V753" s="168"/>
      <c r="W753" s="168"/>
      <c r="X753" s="168"/>
      <c r="Y753" s="168"/>
      <c r="Z753" s="168"/>
      <c r="AA753" s="168"/>
      <c r="AB753" s="164"/>
      <c r="AC753" s="165"/>
      <c r="AD753" s="165"/>
      <c r="AE753" s="169"/>
      <c r="AF753" s="169"/>
      <c r="AG753" s="169"/>
      <c r="AH753" s="168"/>
      <c r="AI753" s="168"/>
      <c r="AJ753" s="168"/>
      <c r="AK753" s="170"/>
      <c r="AL753" s="170"/>
    </row>
    <row r="754" ht="15.75" customHeight="1">
      <c r="A754" s="161"/>
      <c r="B754" s="161"/>
      <c r="C754" s="162"/>
      <c r="D754" s="163"/>
      <c r="E754" s="164"/>
      <c r="F754" s="165"/>
      <c r="G754" s="166"/>
      <c r="H754" s="167"/>
      <c r="I754" s="167"/>
      <c r="J754" s="167"/>
      <c r="K754" s="167"/>
      <c r="L754" s="167"/>
      <c r="M754" s="167"/>
      <c r="N754" s="167"/>
      <c r="O754" s="167"/>
      <c r="P754" s="164"/>
      <c r="Q754" s="165"/>
      <c r="R754" s="165"/>
      <c r="S754" s="167"/>
      <c r="T754" s="167"/>
      <c r="U754" s="167"/>
      <c r="V754" s="168"/>
      <c r="W754" s="168"/>
      <c r="X754" s="168"/>
      <c r="Y754" s="168"/>
      <c r="Z754" s="168"/>
      <c r="AA754" s="168"/>
      <c r="AB754" s="164"/>
      <c r="AC754" s="165"/>
      <c r="AD754" s="165"/>
      <c r="AE754" s="169"/>
      <c r="AF754" s="169"/>
      <c r="AG754" s="169"/>
      <c r="AH754" s="168"/>
      <c r="AI754" s="168"/>
      <c r="AJ754" s="168"/>
      <c r="AK754" s="170"/>
      <c r="AL754" s="170"/>
    </row>
    <row r="755" ht="15.75" customHeight="1">
      <c r="A755" s="161"/>
      <c r="B755" s="161"/>
      <c r="C755" s="162"/>
      <c r="D755" s="163"/>
      <c r="E755" s="164"/>
      <c r="F755" s="165"/>
      <c r="G755" s="166"/>
      <c r="H755" s="167"/>
      <c r="I755" s="167"/>
      <c r="J755" s="167"/>
      <c r="K755" s="167"/>
      <c r="L755" s="167"/>
      <c r="M755" s="167"/>
      <c r="N755" s="167"/>
      <c r="O755" s="167"/>
      <c r="P755" s="164"/>
      <c r="Q755" s="165"/>
      <c r="R755" s="165"/>
      <c r="S755" s="167"/>
      <c r="T755" s="167"/>
      <c r="U755" s="167"/>
      <c r="V755" s="168"/>
      <c r="W755" s="168"/>
      <c r="X755" s="168"/>
      <c r="Y755" s="168"/>
      <c r="Z755" s="168"/>
      <c r="AA755" s="168"/>
      <c r="AB755" s="164"/>
      <c r="AC755" s="165"/>
      <c r="AD755" s="165"/>
      <c r="AE755" s="169"/>
      <c r="AF755" s="169"/>
      <c r="AG755" s="169"/>
      <c r="AH755" s="168"/>
      <c r="AI755" s="168"/>
      <c r="AJ755" s="168"/>
      <c r="AK755" s="170"/>
      <c r="AL755" s="170"/>
    </row>
    <row r="756" ht="15.75" customHeight="1">
      <c r="A756" s="161"/>
      <c r="B756" s="161"/>
      <c r="C756" s="162"/>
      <c r="D756" s="163"/>
      <c r="E756" s="164"/>
      <c r="F756" s="165"/>
      <c r="G756" s="166"/>
      <c r="H756" s="167"/>
      <c r="I756" s="167"/>
      <c r="J756" s="167"/>
      <c r="K756" s="167"/>
      <c r="L756" s="167"/>
      <c r="M756" s="167"/>
      <c r="N756" s="167"/>
      <c r="O756" s="167"/>
      <c r="P756" s="164"/>
      <c r="Q756" s="165"/>
      <c r="R756" s="165"/>
      <c r="S756" s="167"/>
      <c r="T756" s="167"/>
      <c r="U756" s="167"/>
      <c r="V756" s="168"/>
      <c r="W756" s="168"/>
      <c r="X756" s="168"/>
      <c r="Y756" s="168"/>
      <c r="Z756" s="168"/>
      <c r="AA756" s="168"/>
      <c r="AB756" s="164"/>
      <c r="AC756" s="165"/>
      <c r="AD756" s="165"/>
      <c r="AE756" s="169"/>
      <c r="AF756" s="169"/>
      <c r="AG756" s="169"/>
      <c r="AH756" s="168"/>
      <c r="AI756" s="168"/>
      <c r="AJ756" s="168"/>
      <c r="AK756" s="170"/>
      <c r="AL756" s="170"/>
    </row>
    <row r="757" ht="15.75" customHeight="1">
      <c r="A757" s="161"/>
      <c r="B757" s="161"/>
      <c r="C757" s="162"/>
      <c r="D757" s="163"/>
      <c r="E757" s="164"/>
      <c r="F757" s="165"/>
      <c r="G757" s="166"/>
      <c r="H757" s="167"/>
      <c r="I757" s="167"/>
      <c r="J757" s="167"/>
      <c r="K757" s="167"/>
      <c r="L757" s="167"/>
      <c r="M757" s="167"/>
      <c r="N757" s="167"/>
      <c r="O757" s="167"/>
      <c r="P757" s="164"/>
      <c r="Q757" s="165"/>
      <c r="R757" s="165"/>
      <c r="S757" s="167"/>
      <c r="T757" s="167"/>
      <c r="U757" s="167"/>
      <c r="V757" s="168"/>
      <c r="W757" s="168"/>
      <c r="X757" s="168"/>
      <c r="Y757" s="168"/>
      <c r="Z757" s="168"/>
      <c r="AA757" s="168"/>
      <c r="AB757" s="164"/>
      <c r="AC757" s="165"/>
      <c r="AD757" s="165"/>
      <c r="AE757" s="169"/>
      <c r="AF757" s="169"/>
      <c r="AG757" s="169"/>
      <c r="AH757" s="168"/>
      <c r="AI757" s="168"/>
      <c r="AJ757" s="168"/>
      <c r="AK757" s="170"/>
      <c r="AL757" s="170"/>
    </row>
    <row r="758" ht="15.75" customHeight="1">
      <c r="A758" s="161"/>
      <c r="B758" s="161"/>
      <c r="C758" s="162"/>
      <c r="D758" s="163"/>
      <c r="E758" s="164"/>
      <c r="F758" s="165"/>
      <c r="G758" s="166"/>
      <c r="H758" s="167"/>
      <c r="I758" s="167"/>
      <c r="J758" s="167"/>
      <c r="K758" s="167"/>
      <c r="L758" s="167"/>
      <c r="M758" s="167"/>
      <c r="N758" s="167"/>
      <c r="O758" s="167"/>
      <c r="P758" s="164"/>
      <c r="Q758" s="165"/>
      <c r="R758" s="165"/>
      <c r="S758" s="167"/>
      <c r="T758" s="167"/>
      <c r="U758" s="167"/>
      <c r="V758" s="168"/>
      <c r="W758" s="168"/>
      <c r="X758" s="168"/>
      <c r="Y758" s="168"/>
      <c r="Z758" s="168"/>
      <c r="AA758" s="168"/>
      <c r="AB758" s="164"/>
      <c r="AC758" s="165"/>
      <c r="AD758" s="165"/>
      <c r="AE758" s="169"/>
      <c r="AF758" s="169"/>
      <c r="AG758" s="169"/>
      <c r="AH758" s="168"/>
      <c r="AI758" s="168"/>
      <c r="AJ758" s="168"/>
      <c r="AK758" s="170"/>
      <c r="AL758" s="170"/>
    </row>
    <row r="759" ht="15.75" customHeight="1">
      <c r="A759" s="161"/>
      <c r="B759" s="161"/>
      <c r="C759" s="162"/>
      <c r="D759" s="163"/>
      <c r="E759" s="164"/>
      <c r="F759" s="165"/>
      <c r="G759" s="166"/>
      <c r="H759" s="167"/>
      <c r="I759" s="167"/>
      <c r="J759" s="167"/>
      <c r="K759" s="167"/>
      <c r="L759" s="167"/>
      <c r="M759" s="167"/>
      <c r="N759" s="167"/>
      <c r="O759" s="167"/>
      <c r="P759" s="164"/>
      <c r="Q759" s="165"/>
      <c r="R759" s="165"/>
      <c r="S759" s="167"/>
      <c r="T759" s="167"/>
      <c r="U759" s="167"/>
      <c r="V759" s="168"/>
      <c r="W759" s="168"/>
      <c r="X759" s="168"/>
      <c r="Y759" s="168"/>
      <c r="Z759" s="168"/>
      <c r="AA759" s="168"/>
      <c r="AB759" s="164"/>
      <c r="AC759" s="165"/>
      <c r="AD759" s="165"/>
      <c r="AE759" s="169"/>
      <c r="AF759" s="169"/>
      <c r="AG759" s="169"/>
      <c r="AH759" s="168"/>
      <c r="AI759" s="168"/>
      <c r="AJ759" s="168"/>
      <c r="AK759" s="170"/>
      <c r="AL759" s="170"/>
    </row>
    <row r="760" ht="15.75" customHeight="1">
      <c r="A760" s="161"/>
      <c r="B760" s="161"/>
      <c r="C760" s="162"/>
      <c r="D760" s="163"/>
      <c r="E760" s="164"/>
      <c r="F760" s="165"/>
      <c r="G760" s="166"/>
      <c r="H760" s="167"/>
      <c r="I760" s="167"/>
      <c r="J760" s="167"/>
      <c r="K760" s="167"/>
      <c r="L760" s="167"/>
      <c r="M760" s="167"/>
      <c r="N760" s="167"/>
      <c r="O760" s="167"/>
      <c r="P760" s="164"/>
      <c r="Q760" s="165"/>
      <c r="R760" s="165"/>
      <c r="S760" s="167"/>
      <c r="T760" s="167"/>
      <c r="U760" s="167"/>
      <c r="V760" s="168"/>
      <c r="W760" s="168"/>
      <c r="X760" s="168"/>
      <c r="Y760" s="168"/>
      <c r="Z760" s="168"/>
      <c r="AA760" s="168"/>
      <c r="AB760" s="164"/>
      <c r="AC760" s="165"/>
      <c r="AD760" s="165"/>
      <c r="AE760" s="169"/>
      <c r="AF760" s="169"/>
      <c r="AG760" s="169"/>
      <c r="AH760" s="168"/>
      <c r="AI760" s="168"/>
      <c r="AJ760" s="168"/>
      <c r="AK760" s="170"/>
      <c r="AL760" s="170"/>
    </row>
    <row r="761" ht="15.75" customHeight="1">
      <c r="A761" s="161"/>
      <c r="B761" s="161"/>
      <c r="C761" s="162"/>
      <c r="D761" s="163"/>
      <c r="E761" s="164"/>
      <c r="F761" s="165"/>
      <c r="G761" s="166"/>
      <c r="H761" s="167"/>
      <c r="I761" s="167"/>
      <c r="J761" s="167"/>
      <c r="K761" s="167"/>
      <c r="L761" s="167"/>
      <c r="M761" s="167"/>
      <c r="N761" s="167"/>
      <c r="O761" s="167"/>
      <c r="P761" s="164"/>
      <c r="Q761" s="165"/>
      <c r="R761" s="165"/>
      <c r="S761" s="167"/>
      <c r="T761" s="167"/>
      <c r="U761" s="167"/>
      <c r="V761" s="168"/>
      <c r="W761" s="168"/>
      <c r="X761" s="168"/>
      <c r="Y761" s="168"/>
      <c r="Z761" s="168"/>
      <c r="AA761" s="168"/>
      <c r="AB761" s="164"/>
      <c r="AC761" s="165"/>
      <c r="AD761" s="165"/>
      <c r="AE761" s="169"/>
      <c r="AF761" s="169"/>
      <c r="AG761" s="169"/>
      <c r="AH761" s="168"/>
      <c r="AI761" s="168"/>
      <c r="AJ761" s="168"/>
      <c r="AK761" s="170"/>
      <c r="AL761" s="170"/>
    </row>
    <row r="762" ht="15.75" customHeight="1">
      <c r="A762" s="161"/>
      <c r="B762" s="161"/>
      <c r="C762" s="162"/>
      <c r="D762" s="163"/>
      <c r="E762" s="164"/>
      <c r="F762" s="165"/>
      <c r="G762" s="166"/>
      <c r="H762" s="167"/>
      <c r="I762" s="167"/>
      <c r="J762" s="167"/>
      <c r="K762" s="167"/>
      <c r="L762" s="167"/>
      <c r="M762" s="167"/>
      <c r="N762" s="167"/>
      <c r="O762" s="167"/>
      <c r="P762" s="164"/>
      <c r="Q762" s="165"/>
      <c r="R762" s="165"/>
      <c r="S762" s="167"/>
      <c r="T762" s="167"/>
      <c r="U762" s="167"/>
      <c r="V762" s="168"/>
      <c r="W762" s="168"/>
      <c r="X762" s="168"/>
      <c r="Y762" s="168"/>
      <c r="Z762" s="168"/>
      <c r="AA762" s="168"/>
      <c r="AB762" s="164"/>
      <c r="AC762" s="165"/>
      <c r="AD762" s="165"/>
      <c r="AE762" s="169"/>
      <c r="AF762" s="169"/>
      <c r="AG762" s="169"/>
      <c r="AH762" s="168"/>
      <c r="AI762" s="168"/>
      <c r="AJ762" s="168"/>
      <c r="AK762" s="170"/>
      <c r="AL762" s="170"/>
    </row>
    <row r="763" ht="15.75" customHeight="1">
      <c r="A763" s="161"/>
      <c r="B763" s="161"/>
      <c r="C763" s="162"/>
      <c r="D763" s="163"/>
      <c r="E763" s="164"/>
      <c r="F763" s="165"/>
      <c r="G763" s="166"/>
      <c r="H763" s="167"/>
      <c r="I763" s="167"/>
      <c r="J763" s="167"/>
      <c r="K763" s="167"/>
      <c r="L763" s="167"/>
      <c r="M763" s="167"/>
      <c r="N763" s="167"/>
      <c r="O763" s="167"/>
      <c r="P763" s="164"/>
      <c r="Q763" s="165"/>
      <c r="R763" s="165"/>
      <c r="S763" s="167"/>
      <c r="T763" s="167"/>
      <c r="U763" s="167"/>
      <c r="V763" s="168"/>
      <c r="W763" s="168"/>
      <c r="X763" s="168"/>
      <c r="Y763" s="168"/>
      <c r="Z763" s="168"/>
      <c r="AA763" s="168"/>
      <c r="AB763" s="164"/>
      <c r="AC763" s="165"/>
      <c r="AD763" s="165"/>
      <c r="AE763" s="169"/>
      <c r="AF763" s="169"/>
      <c r="AG763" s="169"/>
      <c r="AH763" s="168"/>
      <c r="AI763" s="168"/>
      <c r="AJ763" s="168"/>
      <c r="AK763" s="170"/>
      <c r="AL763" s="170"/>
    </row>
    <row r="764" ht="15.75" customHeight="1">
      <c r="A764" s="161"/>
      <c r="B764" s="161"/>
      <c r="C764" s="162"/>
      <c r="D764" s="163"/>
      <c r="E764" s="164"/>
      <c r="F764" s="165"/>
      <c r="G764" s="166"/>
      <c r="H764" s="167"/>
      <c r="I764" s="167"/>
      <c r="J764" s="167"/>
      <c r="K764" s="167"/>
      <c r="L764" s="167"/>
      <c r="M764" s="167"/>
      <c r="N764" s="167"/>
      <c r="O764" s="167"/>
      <c r="P764" s="164"/>
      <c r="Q764" s="165"/>
      <c r="R764" s="165"/>
      <c r="S764" s="167"/>
      <c r="T764" s="167"/>
      <c r="U764" s="167"/>
      <c r="V764" s="168"/>
      <c r="W764" s="168"/>
      <c r="X764" s="168"/>
      <c r="Y764" s="168"/>
      <c r="Z764" s="168"/>
      <c r="AA764" s="168"/>
      <c r="AB764" s="164"/>
      <c r="AC764" s="165"/>
      <c r="AD764" s="165"/>
      <c r="AE764" s="169"/>
      <c r="AF764" s="169"/>
      <c r="AG764" s="169"/>
      <c r="AH764" s="168"/>
      <c r="AI764" s="168"/>
      <c r="AJ764" s="168"/>
      <c r="AK764" s="170"/>
      <c r="AL764" s="170"/>
    </row>
    <row r="765" ht="15.75" customHeight="1">
      <c r="A765" s="161"/>
      <c r="B765" s="161"/>
      <c r="C765" s="162"/>
      <c r="D765" s="163"/>
      <c r="E765" s="164"/>
      <c r="F765" s="165"/>
      <c r="G765" s="166"/>
      <c r="H765" s="167"/>
      <c r="I765" s="167"/>
      <c r="J765" s="167"/>
      <c r="K765" s="167"/>
      <c r="L765" s="167"/>
      <c r="M765" s="167"/>
      <c r="N765" s="167"/>
      <c r="O765" s="167"/>
      <c r="P765" s="164"/>
      <c r="Q765" s="165"/>
      <c r="R765" s="165"/>
      <c r="S765" s="167"/>
      <c r="T765" s="167"/>
      <c r="U765" s="167"/>
      <c r="V765" s="168"/>
      <c r="W765" s="168"/>
      <c r="X765" s="168"/>
      <c r="Y765" s="168"/>
      <c r="Z765" s="168"/>
      <c r="AA765" s="168"/>
      <c r="AB765" s="164"/>
      <c r="AC765" s="165"/>
      <c r="AD765" s="165"/>
      <c r="AE765" s="169"/>
      <c r="AF765" s="169"/>
      <c r="AG765" s="169"/>
      <c r="AH765" s="168"/>
      <c r="AI765" s="168"/>
      <c r="AJ765" s="168"/>
      <c r="AK765" s="170"/>
      <c r="AL765" s="170"/>
    </row>
    <row r="766" ht="15.75" customHeight="1">
      <c r="A766" s="161"/>
      <c r="B766" s="161"/>
      <c r="C766" s="162"/>
      <c r="D766" s="163"/>
      <c r="E766" s="164"/>
      <c r="F766" s="165"/>
      <c r="G766" s="166"/>
      <c r="H766" s="167"/>
      <c r="I766" s="167"/>
      <c r="J766" s="167"/>
      <c r="K766" s="167"/>
      <c r="L766" s="167"/>
      <c r="M766" s="167"/>
      <c r="N766" s="167"/>
      <c r="O766" s="167"/>
      <c r="P766" s="164"/>
      <c r="Q766" s="165"/>
      <c r="R766" s="165"/>
      <c r="S766" s="167"/>
      <c r="T766" s="167"/>
      <c r="U766" s="167"/>
      <c r="V766" s="168"/>
      <c r="W766" s="168"/>
      <c r="X766" s="168"/>
      <c r="Y766" s="168"/>
      <c r="Z766" s="168"/>
      <c r="AA766" s="168"/>
      <c r="AB766" s="164"/>
      <c r="AC766" s="165"/>
      <c r="AD766" s="165"/>
      <c r="AE766" s="169"/>
      <c r="AF766" s="169"/>
      <c r="AG766" s="169"/>
      <c r="AH766" s="168"/>
      <c r="AI766" s="168"/>
      <c r="AJ766" s="168"/>
      <c r="AK766" s="170"/>
      <c r="AL766" s="170"/>
    </row>
    <row r="767" ht="15.75" customHeight="1">
      <c r="A767" s="161"/>
      <c r="B767" s="161"/>
      <c r="C767" s="162"/>
      <c r="D767" s="163"/>
      <c r="E767" s="164"/>
      <c r="F767" s="165"/>
      <c r="G767" s="166"/>
      <c r="H767" s="167"/>
      <c r="I767" s="167"/>
      <c r="J767" s="167"/>
      <c r="K767" s="167"/>
      <c r="L767" s="167"/>
      <c r="M767" s="167"/>
      <c r="N767" s="167"/>
      <c r="O767" s="167"/>
      <c r="P767" s="164"/>
      <c r="Q767" s="165"/>
      <c r="R767" s="165"/>
      <c r="S767" s="167"/>
      <c r="T767" s="167"/>
      <c r="U767" s="167"/>
      <c r="V767" s="168"/>
      <c r="W767" s="168"/>
      <c r="X767" s="168"/>
      <c r="Y767" s="168"/>
      <c r="Z767" s="168"/>
      <c r="AA767" s="168"/>
      <c r="AB767" s="164"/>
      <c r="AC767" s="165"/>
      <c r="AD767" s="165"/>
      <c r="AE767" s="169"/>
      <c r="AF767" s="169"/>
      <c r="AG767" s="169"/>
      <c r="AH767" s="168"/>
      <c r="AI767" s="168"/>
      <c r="AJ767" s="168"/>
      <c r="AK767" s="170"/>
      <c r="AL767" s="170"/>
    </row>
    <row r="768" ht="15.75" customHeight="1">
      <c r="A768" s="161"/>
      <c r="B768" s="161"/>
      <c r="C768" s="162"/>
      <c r="D768" s="163"/>
      <c r="E768" s="164"/>
      <c r="F768" s="165"/>
      <c r="G768" s="166"/>
      <c r="H768" s="167"/>
      <c r="I768" s="167"/>
      <c r="J768" s="167"/>
      <c r="K768" s="167"/>
      <c r="L768" s="167"/>
      <c r="M768" s="167"/>
      <c r="N768" s="167"/>
      <c r="O768" s="167"/>
      <c r="P768" s="164"/>
      <c r="Q768" s="165"/>
      <c r="R768" s="165"/>
      <c r="S768" s="167"/>
      <c r="T768" s="167"/>
      <c r="U768" s="167"/>
      <c r="V768" s="168"/>
      <c r="W768" s="168"/>
      <c r="X768" s="168"/>
      <c r="Y768" s="168"/>
      <c r="Z768" s="168"/>
      <c r="AA768" s="168"/>
      <c r="AB768" s="164"/>
      <c r="AC768" s="165"/>
      <c r="AD768" s="165"/>
      <c r="AE768" s="169"/>
      <c r="AF768" s="169"/>
      <c r="AG768" s="169"/>
      <c r="AH768" s="168"/>
      <c r="AI768" s="168"/>
      <c r="AJ768" s="168"/>
      <c r="AK768" s="170"/>
      <c r="AL768" s="170"/>
    </row>
    <row r="769" ht="15.75" customHeight="1">
      <c r="A769" s="161"/>
      <c r="B769" s="161"/>
      <c r="C769" s="162"/>
      <c r="D769" s="163"/>
      <c r="E769" s="164"/>
      <c r="F769" s="165"/>
      <c r="G769" s="166"/>
      <c r="H769" s="167"/>
      <c r="I769" s="167"/>
      <c r="J769" s="167"/>
      <c r="K769" s="167"/>
      <c r="L769" s="167"/>
      <c r="M769" s="167"/>
      <c r="N769" s="167"/>
      <c r="O769" s="167"/>
      <c r="P769" s="164"/>
      <c r="Q769" s="165"/>
      <c r="R769" s="165"/>
      <c r="S769" s="167"/>
      <c r="T769" s="167"/>
      <c r="U769" s="167"/>
      <c r="V769" s="168"/>
      <c r="W769" s="168"/>
      <c r="X769" s="168"/>
      <c r="Y769" s="168"/>
      <c r="Z769" s="168"/>
      <c r="AA769" s="168"/>
      <c r="AB769" s="164"/>
      <c r="AC769" s="165"/>
      <c r="AD769" s="165"/>
      <c r="AE769" s="169"/>
      <c r="AF769" s="169"/>
      <c r="AG769" s="169"/>
      <c r="AH769" s="168"/>
      <c r="AI769" s="168"/>
      <c r="AJ769" s="168"/>
      <c r="AK769" s="170"/>
      <c r="AL769" s="170"/>
    </row>
    <row r="770" ht="15.75" customHeight="1">
      <c r="A770" s="161"/>
      <c r="B770" s="161"/>
      <c r="C770" s="162"/>
      <c r="D770" s="163"/>
      <c r="E770" s="164"/>
      <c r="F770" s="165"/>
      <c r="G770" s="166"/>
      <c r="H770" s="167"/>
      <c r="I770" s="167"/>
      <c r="J770" s="167"/>
      <c r="K770" s="167"/>
      <c r="L770" s="167"/>
      <c r="M770" s="167"/>
      <c r="N770" s="167"/>
      <c r="O770" s="167"/>
      <c r="P770" s="164"/>
      <c r="Q770" s="165"/>
      <c r="R770" s="165"/>
      <c r="S770" s="167"/>
      <c r="T770" s="167"/>
      <c r="U770" s="167"/>
      <c r="V770" s="168"/>
      <c r="W770" s="168"/>
      <c r="X770" s="168"/>
      <c r="Y770" s="168"/>
      <c r="Z770" s="168"/>
      <c r="AA770" s="168"/>
      <c r="AB770" s="164"/>
      <c r="AC770" s="165"/>
      <c r="AD770" s="165"/>
      <c r="AE770" s="169"/>
      <c r="AF770" s="169"/>
      <c r="AG770" s="169"/>
      <c r="AH770" s="168"/>
      <c r="AI770" s="168"/>
      <c r="AJ770" s="168"/>
      <c r="AK770" s="170"/>
      <c r="AL770" s="170"/>
    </row>
    <row r="771" ht="15.75" customHeight="1">
      <c r="A771" s="161"/>
      <c r="B771" s="161"/>
      <c r="C771" s="162"/>
      <c r="D771" s="163"/>
      <c r="E771" s="164"/>
      <c r="F771" s="165"/>
      <c r="G771" s="166"/>
      <c r="H771" s="167"/>
      <c r="I771" s="167"/>
      <c r="J771" s="167"/>
      <c r="K771" s="167"/>
      <c r="L771" s="167"/>
      <c r="M771" s="167"/>
      <c r="N771" s="167"/>
      <c r="O771" s="167"/>
      <c r="P771" s="164"/>
      <c r="Q771" s="165"/>
      <c r="R771" s="165"/>
      <c r="S771" s="167"/>
      <c r="T771" s="167"/>
      <c r="U771" s="167"/>
      <c r="V771" s="168"/>
      <c r="W771" s="168"/>
      <c r="X771" s="168"/>
      <c r="Y771" s="168"/>
      <c r="Z771" s="168"/>
      <c r="AA771" s="168"/>
      <c r="AB771" s="164"/>
      <c r="AC771" s="165"/>
      <c r="AD771" s="165"/>
      <c r="AE771" s="169"/>
      <c r="AF771" s="169"/>
      <c r="AG771" s="169"/>
      <c r="AH771" s="168"/>
      <c r="AI771" s="168"/>
      <c r="AJ771" s="168"/>
      <c r="AK771" s="170"/>
      <c r="AL771" s="170"/>
    </row>
    <row r="772" ht="15.75" customHeight="1">
      <c r="A772" s="161"/>
      <c r="B772" s="161"/>
      <c r="C772" s="162"/>
      <c r="D772" s="163"/>
      <c r="E772" s="164"/>
      <c r="F772" s="165"/>
      <c r="G772" s="166"/>
      <c r="H772" s="167"/>
      <c r="I772" s="167"/>
      <c r="J772" s="167"/>
      <c r="K772" s="167"/>
      <c r="L772" s="167"/>
      <c r="M772" s="167"/>
      <c r="N772" s="167"/>
      <c r="O772" s="167"/>
      <c r="P772" s="164"/>
      <c r="Q772" s="165"/>
      <c r="R772" s="165"/>
      <c r="S772" s="167"/>
      <c r="T772" s="167"/>
      <c r="U772" s="167"/>
      <c r="V772" s="168"/>
      <c r="W772" s="168"/>
      <c r="X772" s="168"/>
      <c r="Y772" s="168"/>
      <c r="Z772" s="168"/>
      <c r="AA772" s="168"/>
      <c r="AB772" s="164"/>
      <c r="AC772" s="165"/>
      <c r="AD772" s="165"/>
      <c r="AE772" s="169"/>
      <c r="AF772" s="169"/>
      <c r="AG772" s="169"/>
      <c r="AH772" s="168"/>
      <c r="AI772" s="168"/>
      <c r="AJ772" s="168"/>
      <c r="AK772" s="170"/>
      <c r="AL772" s="170"/>
    </row>
    <row r="773" ht="15.75" customHeight="1">
      <c r="A773" s="161"/>
      <c r="B773" s="161"/>
      <c r="C773" s="162"/>
      <c r="D773" s="163"/>
      <c r="E773" s="164"/>
      <c r="F773" s="165"/>
      <c r="G773" s="166"/>
      <c r="H773" s="167"/>
      <c r="I773" s="167"/>
      <c r="J773" s="167"/>
      <c r="K773" s="167"/>
      <c r="L773" s="167"/>
      <c r="M773" s="167"/>
      <c r="N773" s="167"/>
      <c r="O773" s="167"/>
      <c r="P773" s="164"/>
      <c r="Q773" s="165"/>
      <c r="R773" s="165"/>
      <c r="S773" s="167"/>
      <c r="T773" s="167"/>
      <c r="U773" s="167"/>
      <c r="V773" s="168"/>
      <c r="W773" s="168"/>
      <c r="X773" s="168"/>
      <c r="Y773" s="168"/>
      <c r="Z773" s="168"/>
      <c r="AA773" s="168"/>
      <c r="AB773" s="164"/>
      <c r="AC773" s="165"/>
      <c r="AD773" s="165"/>
      <c r="AE773" s="169"/>
      <c r="AF773" s="169"/>
      <c r="AG773" s="169"/>
      <c r="AH773" s="168"/>
      <c r="AI773" s="168"/>
      <c r="AJ773" s="168"/>
      <c r="AK773" s="170"/>
      <c r="AL773" s="170"/>
    </row>
    <row r="774" ht="15.75" customHeight="1">
      <c r="A774" s="161"/>
      <c r="B774" s="161"/>
      <c r="C774" s="162"/>
      <c r="D774" s="163"/>
      <c r="E774" s="164"/>
      <c r="F774" s="165"/>
      <c r="G774" s="166"/>
      <c r="H774" s="167"/>
      <c r="I774" s="167"/>
      <c r="J774" s="167"/>
      <c r="K774" s="167"/>
      <c r="L774" s="167"/>
      <c r="M774" s="167"/>
      <c r="N774" s="167"/>
      <c r="O774" s="167"/>
      <c r="P774" s="164"/>
      <c r="Q774" s="165"/>
      <c r="R774" s="165"/>
      <c r="S774" s="167"/>
      <c r="T774" s="167"/>
      <c r="U774" s="167"/>
      <c r="V774" s="168"/>
      <c r="W774" s="168"/>
      <c r="X774" s="168"/>
      <c r="Y774" s="168"/>
      <c r="Z774" s="168"/>
      <c r="AA774" s="168"/>
      <c r="AB774" s="164"/>
      <c r="AC774" s="165"/>
      <c r="AD774" s="165"/>
      <c r="AE774" s="169"/>
      <c r="AF774" s="169"/>
      <c r="AG774" s="169"/>
      <c r="AH774" s="168"/>
      <c r="AI774" s="168"/>
      <c r="AJ774" s="168"/>
      <c r="AK774" s="170"/>
      <c r="AL774" s="170"/>
    </row>
    <row r="775" ht="15.75" customHeight="1">
      <c r="A775" s="161"/>
      <c r="B775" s="161"/>
      <c r="C775" s="162"/>
      <c r="D775" s="163"/>
      <c r="E775" s="164"/>
      <c r="F775" s="165"/>
      <c r="G775" s="166"/>
      <c r="H775" s="167"/>
      <c r="I775" s="167"/>
      <c r="J775" s="167"/>
      <c r="K775" s="167"/>
      <c r="L775" s="167"/>
      <c r="M775" s="167"/>
      <c r="N775" s="167"/>
      <c r="O775" s="167"/>
      <c r="P775" s="164"/>
      <c r="Q775" s="165"/>
      <c r="R775" s="165"/>
      <c r="S775" s="167"/>
      <c r="T775" s="167"/>
      <c r="U775" s="167"/>
      <c r="V775" s="168"/>
      <c r="W775" s="168"/>
      <c r="X775" s="168"/>
      <c r="Y775" s="168"/>
      <c r="Z775" s="168"/>
      <c r="AA775" s="168"/>
      <c r="AB775" s="164"/>
      <c r="AC775" s="165"/>
      <c r="AD775" s="165"/>
      <c r="AE775" s="169"/>
      <c r="AF775" s="169"/>
      <c r="AG775" s="169"/>
      <c r="AH775" s="168"/>
      <c r="AI775" s="168"/>
      <c r="AJ775" s="168"/>
      <c r="AK775" s="170"/>
      <c r="AL775" s="170"/>
    </row>
    <row r="776" ht="15.75" customHeight="1">
      <c r="A776" s="161"/>
      <c r="B776" s="161"/>
      <c r="C776" s="162"/>
      <c r="D776" s="163"/>
      <c r="E776" s="164"/>
      <c r="F776" s="165"/>
      <c r="G776" s="166"/>
      <c r="H776" s="167"/>
      <c r="I776" s="167"/>
      <c r="J776" s="167"/>
      <c r="K776" s="167"/>
      <c r="L776" s="167"/>
      <c r="M776" s="167"/>
      <c r="N776" s="167"/>
      <c r="O776" s="167"/>
      <c r="P776" s="164"/>
      <c r="Q776" s="165"/>
      <c r="R776" s="165"/>
      <c r="S776" s="167"/>
      <c r="T776" s="167"/>
      <c r="U776" s="167"/>
      <c r="V776" s="168"/>
      <c r="W776" s="168"/>
      <c r="X776" s="168"/>
      <c r="Y776" s="168"/>
      <c r="Z776" s="168"/>
      <c r="AA776" s="168"/>
      <c r="AB776" s="164"/>
      <c r="AC776" s="165"/>
      <c r="AD776" s="165"/>
      <c r="AE776" s="169"/>
      <c r="AF776" s="169"/>
      <c r="AG776" s="169"/>
      <c r="AH776" s="168"/>
      <c r="AI776" s="168"/>
      <c r="AJ776" s="168"/>
      <c r="AK776" s="170"/>
      <c r="AL776" s="170"/>
    </row>
    <row r="777" ht="15.75" customHeight="1">
      <c r="A777" s="161"/>
      <c r="B777" s="161"/>
      <c r="C777" s="162"/>
      <c r="D777" s="163"/>
      <c r="E777" s="164"/>
      <c r="F777" s="165"/>
      <c r="G777" s="166"/>
      <c r="H777" s="167"/>
      <c r="I777" s="167"/>
      <c r="J777" s="167"/>
      <c r="K777" s="167"/>
      <c r="L777" s="167"/>
      <c r="M777" s="167"/>
      <c r="N777" s="167"/>
      <c r="O777" s="167"/>
      <c r="P777" s="164"/>
      <c r="Q777" s="165"/>
      <c r="R777" s="165"/>
      <c r="S777" s="167"/>
      <c r="T777" s="167"/>
      <c r="U777" s="167"/>
      <c r="V777" s="168"/>
      <c r="W777" s="168"/>
      <c r="X777" s="168"/>
      <c r="Y777" s="168"/>
      <c r="Z777" s="168"/>
      <c r="AA777" s="168"/>
      <c r="AB777" s="164"/>
      <c r="AC777" s="165"/>
      <c r="AD777" s="165"/>
      <c r="AE777" s="169"/>
      <c r="AF777" s="169"/>
      <c r="AG777" s="169"/>
      <c r="AH777" s="168"/>
      <c r="AI777" s="168"/>
      <c r="AJ777" s="168"/>
      <c r="AK777" s="170"/>
      <c r="AL777" s="170"/>
    </row>
    <row r="778" ht="15.75" customHeight="1">
      <c r="A778" s="161"/>
      <c r="B778" s="161"/>
      <c r="C778" s="162"/>
      <c r="D778" s="163"/>
      <c r="E778" s="164"/>
      <c r="F778" s="165"/>
      <c r="G778" s="166"/>
      <c r="H778" s="167"/>
      <c r="I778" s="167"/>
      <c r="J778" s="167"/>
      <c r="K778" s="167"/>
      <c r="L778" s="167"/>
      <c r="M778" s="167"/>
      <c r="N778" s="167"/>
      <c r="O778" s="167"/>
      <c r="P778" s="164"/>
      <c r="Q778" s="165"/>
      <c r="R778" s="165"/>
      <c r="S778" s="167"/>
      <c r="T778" s="167"/>
      <c r="U778" s="167"/>
      <c r="V778" s="168"/>
      <c r="W778" s="168"/>
      <c r="X778" s="168"/>
      <c r="Y778" s="168"/>
      <c r="Z778" s="168"/>
      <c r="AA778" s="168"/>
      <c r="AB778" s="164"/>
      <c r="AC778" s="165"/>
      <c r="AD778" s="165"/>
      <c r="AE778" s="169"/>
      <c r="AF778" s="169"/>
      <c r="AG778" s="169"/>
      <c r="AH778" s="168"/>
      <c r="AI778" s="168"/>
      <c r="AJ778" s="168"/>
      <c r="AK778" s="170"/>
      <c r="AL778" s="170"/>
    </row>
    <row r="779" ht="15.75" customHeight="1">
      <c r="A779" s="161"/>
      <c r="B779" s="161"/>
      <c r="C779" s="162"/>
      <c r="D779" s="163"/>
      <c r="E779" s="164"/>
      <c r="F779" s="165"/>
      <c r="G779" s="166"/>
      <c r="H779" s="167"/>
      <c r="I779" s="167"/>
      <c r="J779" s="167"/>
      <c r="K779" s="167"/>
      <c r="L779" s="167"/>
      <c r="M779" s="167"/>
      <c r="N779" s="167"/>
      <c r="O779" s="167"/>
      <c r="P779" s="164"/>
      <c r="Q779" s="165"/>
      <c r="R779" s="165"/>
      <c r="S779" s="167"/>
      <c r="T779" s="167"/>
      <c r="U779" s="167"/>
      <c r="V779" s="168"/>
      <c r="W779" s="168"/>
      <c r="X779" s="168"/>
      <c r="Y779" s="168"/>
      <c r="Z779" s="168"/>
      <c r="AA779" s="168"/>
      <c r="AB779" s="164"/>
      <c r="AC779" s="165"/>
      <c r="AD779" s="165"/>
      <c r="AE779" s="169"/>
      <c r="AF779" s="169"/>
      <c r="AG779" s="169"/>
      <c r="AH779" s="168"/>
      <c r="AI779" s="168"/>
      <c r="AJ779" s="168"/>
      <c r="AK779" s="170"/>
      <c r="AL779" s="170"/>
    </row>
    <row r="780" ht="15.75" customHeight="1">
      <c r="A780" s="161"/>
      <c r="B780" s="161"/>
      <c r="C780" s="162"/>
      <c r="D780" s="163"/>
      <c r="E780" s="164"/>
      <c r="F780" s="165"/>
      <c r="G780" s="166"/>
      <c r="H780" s="167"/>
      <c r="I780" s="167"/>
      <c r="J780" s="167"/>
      <c r="K780" s="167"/>
      <c r="L780" s="167"/>
      <c r="M780" s="167"/>
      <c r="N780" s="167"/>
      <c r="O780" s="167"/>
      <c r="P780" s="164"/>
      <c r="Q780" s="165"/>
      <c r="R780" s="165"/>
      <c r="S780" s="167"/>
      <c r="T780" s="167"/>
      <c r="U780" s="167"/>
      <c r="V780" s="168"/>
      <c r="W780" s="168"/>
      <c r="X780" s="168"/>
      <c r="Y780" s="168"/>
      <c r="Z780" s="168"/>
      <c r="AA780" s="168"/>
      <c r="AB780" s="164"/>
      <c r="AC780" s="165"/>
      <c r="AD780" s="165"/>
      <c r="AE780" s="169"/>
      <c r="AF780" s="169"/>
      <c r="AG780" s="169"/>
      <c r="AH780" s="168"/>
      <c r="AI780" s="168"/>
      <c r="AJ780" s="168"/>
      <c r="AK780" s="170"/>
      <c r="AL780" s="170"/>
    </row>
    <row r="781" ht="15.75" customHeight="1">
      <c r="A781" s="161"/>
      <c r="B781" s="161"/>
      <c r="C781" s="162"/>
      <c r="D781" s="163"/>
      <c r="E781" s="164"/>
      <c r="F781" s="165"/>
      <c r="G781" s="166"/>
      <c r="H781" s="167"/>
      <c r="I781" s="167"/>
      <c r="J781" s="167"/>
      <c r="K781" s="167"/>
      <c r="L781" s="167"/>
      <c r="M781" s="167"/>
      <c r="N781" s="167"/>
      <c r="O781" s="167"/>
      <c r="P781" s="164"/>
      <c r="Q781" s="165"/>
      <c r="R781" s="165"/>
      <c r="S781" s="167"/>
      <c r="T781" s="167"/>
      <c r="U781" s="167"/>
      <c r="V781" s="168"/>
      <c r="W781" s="168"/>
      <c r="X781" s="168"/>
      <c r="Y781" s="168"/>
      <c r="Z781" s="168"/>
      <c r="AA781" s="168"/>
      <c r="AB781" s="164"/>
      <c r="AC781" s="165"/>
      <c r="AD781" s="165"/>
      <c r="AE781" s="169"/>
      <c r="AF781" s="169"/>
      <c r="AG781" s="169"/>
      <c r="AH781" s="168"/>
      <c r="AI781" s="168"/>
      <c r="AJ781" s="168"/>
      <c r="AK781" s="170"/>
      <c r="AL781" s="170"/>
    </row>
    <row r="782" ht="15.75" customHeight="1">
      <c r="A782" s="161"/>
      <c r="B782" s="161"/>
      <c r="C782" s="162"/>
      <c r="D782" s="163"/>
      <c r="E782" s="164"/>
      <c r="F782" s="165"/>
      <c r="G782" s="166"/>
      <c r="H782" s="167"/>
      <c r="I782" s="167"/>
      <c r="J782" s="167"/>
      <c r="K782" s="167"/>
      <c r="L782" s="167"/>
      <c r="M782" s="167"/>
      <c r="N782" s="167"/>
      <c r="O782" s="167"/>
      <c r="P782" s="164"/>
      <c r="Q782" s="165"/>
      <c r="R782" s="165"/>
      <c r="S782" s="167"/>
      <c r="T782" s="167"/>
      <c r="U782" s="167"/>
      <c r="V782" s="168"/>
      <c r="W782" s="168"/>
      <c r="X782" s="168"/>
      <c r="Y782" s="168"/>
      <c r="Z782" s="168"/>
      <c r="AA782" s="168"/>
      <c r="AB782" s="164"/>
      <c r="AC782" s="165"/>
      <c r="AD782" s="165"/>
      <c r="AE782" s="169"/>
      <c r="AF782" s="169"/>
      <c r="AG782" s="169"/>
      <c r="AH782" s="168"/>
      <c r="AI782" s="168"/>
      <c r="AJ782" s="168"/>
      <c r="AK782" s="170"/>
      <c r="AL782" s="170"/>
    </row>
    <row r="783" ht="15.75" customHeight="1">
      <c r="A783" s="161"/>
      <c r="B783" s="161"/>
      <c r="C783" s="162"/>
      <c r="D783" s="163"/>
      <c r="E783" s="164"/>
      <c r="F783" s="165"/>
      <c r="G783" s="166"/>
      <c r="H783" s="167"/>
      <c r="I783" s="167"/>
      <c r="J783" s="167"/>
      <c r="K783" s="167"/>
      <c r="L783" s="167"/>
      <c r="M783" s="167"/>
      <c r="N783" s="167"/>
      <c r="O783" s="167"/>
      <c r="P783" s="164"/>
      <c r="Q783" s="165"/>
      <c r="R783" s="165"/>
      <c r="S783" s="167"/>
      <c r="T783" s="167"/>
      <c r="U783" s="167"/>
      <c r="V783" s="168"/>
      <c r="W783" s="168"/>
      <c r="X783" s="168"/>
      <c r="Y783" s="168"/>
      <c r="Z783" s="168"/>
      <c r="AA783" s="168"/>
      <c r="AB783" s="164"/>
      <c r="AC783" s="165"/>
      <c r="AD783" s="165"/>
      <c r="AE783" s="169"/>
      <c r="AF783" s="169"/>
      <c r="AG783" s="169"/>
      <c r="AH783" s="168"/>
      <c r="AI783" s="168"/>
      <c r="AJ783" s="168"/>
      <c r="AK783" s="170"/>
      <c r="AL783" s="170"/>
    </row>
    <row r="784" ht="15.75" customHeight="1">
      <c r="A784" s="161"/>
      <c r="B784" s="161"/>
      <c r="C784" s="162"/>
      <c r="D784" s="163"/>
      <c r="E784" s="164"/>
      <c r="F784" s="165"/>
      <c r="G784" s="166"/>
      <c r="H784" s="167"/>
      <c r="I784" s="167"/>
      <c r="J784" s="167"/>
      <c r="K784" s="167"/>
      <c r="L784" s="167"/>
      <c r="M784" s="167"/>
      <c r="N784" s="167"/>
      <c r="O784" s="167"/>
      <c r="P784" s="164"/>
      <c r="Q784" s="165"/>
      <c r="R784" s="165"/>
      <c r="S784" s="167"/>
      <c r="T784" s="167"/>
      <c r="U784" s="167"/>
      <c r="V784" s="168"/>
      <c r="W784" s="168"/>
      <c r="X784" s="168"/>
      <c r="Y784" s="168"/>
      <c r="Z784" s="168"/>
      <c r="AA784" s="168"/>
      <c r="AB784" s="164"/>
      <c r="AC784" s="165"/>
      <c r="AD784" s="165"/>
      <c r="AE784" s="169"/>
      <c r="AF784" s="169"/>
      <c r="AG784" s="169"/>
      <c r="AH784" s="168"/>
      <c r="AI784" s="168"/>
      <c r="AJ784" s="168"/>
      <c r="AK784" s="170"/>
      <c r="AL784" s="170"/>
    </row>
    <row r="785" ht="15.75" customHeight="1">
      <c r="A785" s="161"/>
      <c r="B785" s="161"/>
      <c r="C785" s="162"/>
      <c r="D785" s="163"/>
      <c r="E785" s="164"/>
      <c r="F785" s="165"/>
      <c r="G785" s="166"/>
      <c r="H785" s="167"/>
      <c r="I785" s="167"/>
      <c r="J785" s="167"/>
      <c r="K785" s="167"/>
      <c r="L785" s="167"/>
      <c r="M785" s="167"/>
      <c r="N785" s="167"/>
      <c r="O785" s="167"/>
      <c r="P785" s="164"/>
      <c r="Q785" s="165"/>
      <c r="R785" s="165"/>
      <c r="S785" s="167"/>
      <c r="T785" s="167"/>
      <c r="U785" s="167"/>
      <c r="V785" s="168"/>
      <c r="W785" s="168"/>
      <c r="X785" s="168"/>
      <c r="Y785" s="168"/>
      <c r="Z785" s="168"/>
      <c r="AA785" s="168"/>
      <c r="AB785" s="164"/>
      <c r="AC785" s="165"/>
      <c r="AD785" s="165"/>
      <c r="AE785" s="169"/>
      <c r="AF785" s="169"/>
      <c r="AG785" s="169"/>
      <c r="AH785" s="168"/>
      <c r="AI785" s="168"/>
      <c r="AJ785" s="168"/>
      <c r="AK785" s="170"/>
      <c r="AL785" s="170"/>
    </row>
    <row r="786" ht="15.75" customHeight="1">
      <c r="A786" s="161"/>
      <c r="B786" s="161"/>
      <c r="C786" s="162"/>
      <c r="D786" s="163"/>
      <c r="E786" s="164"/>
      <c r="F786" s="165"/>
      <c r="G786" s="166"/>
      <c r="H786" s="167"/>
      <c r="I786" s="167"/>
      <c r="J786" s="167"/>
      <c r="K786" s="167"/>
      <c r="L786" s="167"/>
      <c r="M786" s="167"/>
      <c r="N786" s="167"/>
      <c r="O786" s="167"/>
      <c r="P786" s="164"/>
      <c r="Q786" s="165"/>
      <c r="R786" s="165"/>
      <c r="S786" s="167"/>
      <c r="T786" s="167"/>
      <c r="U786" s="167"/>
      <c r="V786" s="168"/>
      <c r="W786" s="168"/>
      <c r="X786" s="168"/>
      <c r="Y786" s="168"/>
      <c r="Z786" s="168"/>
      <c r="AA786" s="168"/>
      <c r="AB786" s="164"/>
      <c r="AC786" s="165"/>
      <c r="AD786" s="165"/>
      <c r="AE786" s="169"/>
      <c r="AF786" s="169"/>
      <c r="AG786" s="169"/>
      <c r="AH786" s="168"/>
      <c r="AI786" s="168"/>
      <c r="AJ786" s="168"/>
      <c r="AK786" s="170"/>
      <c r="AL786" s="170"/>
    </row>
    <row r="787" ht="15.75" customHeight="1">
      <c r="A787" s="161"/>
      <c r="B787" s="161"/>
      <c r="C787" s="162"/>
      <c r="D787" s="163"/>
      <c r="E787" s="164"/>
      <c r="F787" s="165"/>
      <c r="G787" s="166"/>
      <c r="H787" s="167"/>
      <c r="I787" s="167"/>
      <c r="J787" s="167"/>
      <c r="K787" s="167"/>
      <c r="L787" s="167"/>
      <c r="M787" s="167"/>
      <c r="N787" s="167"/>
      <c r="O787" s="167"/>
      <c r="P787" s="164"/>
      <c r="Q787" s="165"/>
      <c r="R787" s="165"/>
      <c r="S787" s="167"/>
      <c r="T787" s="167"/>
      <c r="U787" s="167"/>
      <c r="V787" s="168"/>
      <c r="W787" s="168"/>
      <c r="X787" s="168"/>
      <c r="Y787" s="168"/>
      <c r="Z787" s="168"/>
      <c r="AA787" s="168"/>
      <c r="AB787" s="164"/>
      <c r="AC787" s="165"/>
      <c r="AD787" s="165"/>
      <c r="AE787" s="169"/>
      <c r="AF787" s="169"/>
      <c r="AG787" s="169"/>
      <c r="AH787" s="168"/>
      <c r="AI787" s="168"/>
      <c r="AJ787" s="168"/>
      <c r="AK787" s="170"/>
      <c r="AL787" s="170"/>
    </row>
    <row r="788" ht="15.75" customHeight="1">
      <c r="A788" s="161"/>
      <c r="B788" s="161"/>
      <c r="C788" s="162"/>
      <c r="D788" s="163"/>
      <c r="E788" s="164"/>
      <c r="F788" s="165"/>
      <c r="G788" s="166"/>
      <c r="H788" s="167"/>
      <c r="I788" s="167"/>
      <c r="J788" s="167"/>
      <c r="K788" s="167"/>
      <c r="L788" s="167"/>
      <c r="M788" s="167"/>
      <c r="N788" s="167"/>
      <c r="O788" s="167"/>
      <c r="P788" s="164"/>
      <c r="Q788" s="165"/>
      <c r="R788" s="165"/>
      <c r="S788" s="167"/>
      <c r="T788" s="167"/>
      <c r="U788" s="167"/>
      <c r="V788" s="168"/>
      <c r="W788" s="168"/>
      <c r="X788" s="168"/>
      <c r="Y788" s="168"/>
      <c r="Z788" s="168"/>
      <c r="AA788" s="168"/>
      <c r="AB788" s="164"/>
      <c r="AC788" s="165"/>
      <c r="AD788" s="165"/>
      <c r="AE788" s="169"/>
      <c r="AF788" s="169"/>
      <c r="AG788" s="169"/>
      <c r="AH788" s="168"/>
      <c r="AI788" s="168"/>
      <c r="AJ788" s="168"/>
      <c r="AK788" s="170"/>
      <c r="AL788" s="170"/>
    </row>
    <row r="789" ht="15.75" customHeight="1">
      <c r="A789" s="161"/>
      <c r="B789" s="161"/>
      <c r="C789" s="162"/>
      <c r="D789" s="163"/>
      <c r="E789" s="164"/>
      <c r="F789" s="165"/>
      <c r="G789" s="166"/>
      <c r="H789" s="167"/>
      <c r="I789" s="167"/>
      <c r="J789" s="167"/>
      <c r="K789" s="167"/>
      <c r="L789" s="167"/>
      <c r="M789" s="167"/>
      <c r="N789" s="167"/>
      <c r="O789" s="167"/>
      <c r="P789" s="164"/>
      <c r="Q789" s="165"/>
      <c r="R789" s="165"/>
      <c r="S789" s="167"/>
      <c r="T789" s="167"/>
      <c r="U789" s="167"/>
      <c r="V789" s="168"/>
      <c r="W789" s="168"/>
      <c r="X789" s="168"/>
      <c r="Y789" s="168"/>
      <c r="Z789" s="168"/>
      <c r="AA789" s="168"/>
      <c r="AB789" s="164"/>
      <c r="AC789" s="165"/>
      <c r="AD789" s="165"/>
      <c r="AE789" s="169"/>
      <c r="AF789" s="169"/>
      <c r="AG789" s="169"/>
      <c r="AH789" s="168"/>
      <c r="AI789" s="168"/>
      <c r="AJ789" s="168"/>
      <c r="AK789" s="170"/>
      <c r="AL789" s="170"/>
    </row>
    <row r="790" ht="15.75" customHeight="1">
      <c r="A790" s="161"/>
      <c r="B790" s="161"/>
      <c r="C790" s="162"/>
      <c r="D790" s="163"/>
      <c r="E790" s="164"/>
      <c r="F790" s="165"/>
      <c r="G790" s="166"/>
      <c r="H790" s="167"/>
      <c r="I790" s="167"/>
      <c r="J790" s="167"/>
      <c r="K790" s="167"/>
      <c r="L790" s="167"/>
      <c r="M790" s="167"/>
      <c r="N790" s="167"/>
      <c r="O790" s="167"/>
      <c r="P790" s="164"/>
      <c r="Q790" s="165"/>
      <c r="R790" s="165"/>
      <c r="S790" s="167"/>
      <c r="T790" s="167"/>
      <c r="U790" s="167"/>
      <c r="V790" s="168"/>
      <c r="W790" s="168"/>
      <c r="X790" s="168"/>
      <c r="Y790" s="168"/>
      <c r="Z790" s="168"/>
      <c r="AA790" s="168"/>
      <c r="AB790" s="164"/>
      <c r="AC790" s="165"/>
      <c r="AD790" s="165"/>
      <c r="AE790" s="169"/>
      <c r="AF790" s="169"/>
      <c r="AG790" s="169"/>
      <c r="AH790" s="168"/>
      <c r="AI790" s="168"/>
      <c r="AJ790" s="168"/>
      <c r="AK790" s="170"/>
      <c r="AL790" s="170"/>
    </row>
    <row r="791" ht="15.75" customHeight="1">
      <c r="A791" s="161"/>
      <c r="B791" s="161"/>
      <c r="C791" s="162"/>
      <c r="D791" s="163"/>
      <c r="E791" s="164"/>
      <c r="F791" s="165"/>
      <c r="G791" s="166"/>
      <c r="H791" s="167"/>
      <c r="I791" s="167"/>
      <c r="J791" s="167"/>
      <c r="K791" s="167"/>
      <c r="L791" s="167"/>
      <c r="M791" s="167"/>
      <c r="N791" s="167"/>
      <c r="O791" s="167"/>
      <c r="P791" s="164"/>
      <c r="Q791" s="165"/>
      <c r="R791" s="165"/>
      <c r="S791" s="167"/>
      <c r="T791" s="167"/>
      <c r="U791" s="167"/>
      <c r="V791" s="168"/>
      <c r="W791" s="168"/>
      <c r="X791" s="168"/>
      <c r="Y791" s="168"/>
      <c r="Z791" s="168"/>
      <c r="AA791" s="168"/>
      <c r="AB791" s="164"/>
      <c r="AC791" s="165"/>
      <c r="AD791" s="165"/>
      <c r="AE791" s="169"/>
      <c r="AF791" s="169"/>
      <c r="AG791" s="169"/>
      <c r="AH791" s="168"/>
      <c r="AI791" s="168"/>
      <c r="AJ791" s="168"/>
      <c r="AK791" s="170"/>
      <c r="AL791" s="170"/>
    </row>
    <row r="792" ht="15.75" customHeight="1">
      <c r="A792" s="161"/>
      <c r="B792" s="161"/>
      <c r="C792" s="162"/>
      <c r="D792" s="163"/>
      <c r="E792" s="164"/>
      <c r="F792" s="165"/>
      <c r="G792" s="166"/>
      <c r="H792" s="167"/>
      <c r="I792" s="167"/>
      <c r="J792" s="167"/>
      <c r="K792" s="167"/>
      <c r="L792" s="167"/>
      <c r="M792" s="167"/>
      <c r="N792" s="167"/>
      <c r="O792" s="167"/>
      <c r="P792" s="164"/>
      <c r="Q792" s="165"/>
      <c r="R792" s="165"/>
      <c r="S792" s="167"/>
      <c r="T792" s="167"/>
      <c r="U792" s="167"/>
      <c r="V792" s="168"/>
      <c r="W792" s="168"/>
      <c r="X792" s="168"/>
      <c r="Y792" s="168"/>
      <c r="Z792" s="168"/>
      <c r="AA792" s="168"/>
      <c r="AB792" s="164"/>
      <c r="AC792" s="165"/>
      <c r="AD792" s="165"/>
      <c r="AE792" s="169"/>
      <c r="AF792" s="169"/>
      <c r="AG792" s="169"/>
      <c r="AH792" s="168"/>
      <c r="AI792" s="168"/>
      <c r="AJ792" s="168"/>
      <c r="AK792" s="170"/>
      <c r="AL792" s="170"/>
    </row>
    <row r="793" ht="15.75" customHeight="1">
      <c r="A793" s="161"/>
      <c r="B793" s="161"/>
      <c r="C793" s="162"/>
      <c r="D793" s="163"/>
      <c r="E793" s="164"/>
      <c r="F793" s="165"/>
      <c r="G793" s="166"/>
      <c r="H793" s="167"/>
      <c r="I793" s="167"/>
      <c r="J793" s="167"/>
      <c r="K793" s="167"/>
      <c r="L793" s="167"/>
      <c r="M793" s="167"/>
      <c r="N793" s="167"/>
      <c r="O793" s="167"/>
      <c r="P793" s="164"/>
      <c r="Q793" s="165"/>
      <c r="R793" s="165"/>
      <c r="S793" s="167"/>
      <c r="T793" s="167"/>
      <c r="U793" s="167"/>
      <c r="V793" s="168"/>
      <c r="W793" s="168"/>
      <c r="X793" s="168"/>
      <c r="Y793" s="168"/>
      <c r="Z793" s="168"/>
      <c r="AA793" s="168"/>
      <c r="AB793" s="164"/>
      <c r="AC793" s="165"/>
      <c r="AD793" s="165"/>
      <c r="AE793" s="169"/>
      <c r="AF793" s="169"/>
      <c r="AG793" s="169"/>
      <c r="AH793" s="168"/>
      <c r="AI793" s="168"/>
      <c r="AJ793" s="168"/>
      <c r="AK793" s="170"/>
      <c r="AL793" s="170"/>
    </row>
    <row r="794" ht="15.75" customHeight="1">
      <c r="A794" s="161"/>
      <c r="B794" s="161"/>
      <c r="C794" s="162"/>
      <c r="D794" s="163"/>
      <c r="E794" s="164"/>
      <c r="F794" s="165"/>
      <c r="G794" s="166"/>
      <c r="H794" s="167"/>
      <c r="I794" s="167"/>
      <c r="J794" s="167"/>
      <c r="K794" s="167"/>
      <c r="L794" s="167"/>
      <c r="M794" s="167"/>
      <c r="N794" s="167"/>
      <c r="O794" s="167"/>
      <c r="P794" s="164"/>
      <c r="Q794" s="165"/>
      <c r="R794" s="165"/>
      <c r="S794" s="167"/>
      <c r="T794" s="167"/>
      <c r="U794" s="167"/>
      <c r="V794" s="168"/>
      <c r="W794" s="168"/>
      <c r="X794" s="168"/>
      <c r="Y794" s="168"/>
      <c r="Z794" s="168"/>
      <c r="AA794" s="168"/>
      <c r="AB794" s="164"/>
      <c r="AC794" s="165"/>
      <c r="AD794" s="165"/>
      <c r="AE794" s="169"/>
      <c r="AF794" s="169"/>
      <c r="AG794" s="169"/>
      <c r="AH794" s="168"/>
      <c r="AI794" s="168"/>
      <c r="AJ794" s="168"/>
      <c r="AK794" s="170"/>
      <c r="AL794" s="170"/>
    </row>
    <row r="795" ht="15.75" customHeight="1">
      <c r="A795" s="161"/>
      <c r="B795" s="161"/>
      <c r="C795" s="162"/>
      <c r="D795" s="163"/>
      <c r="E795" s="164"/>
      <c r="F795" s="165"/>
      <c r="G795" s="166"/>
      <c r="H795" s="167"/>
      <c r="I795" s="167"/>
      <c r="J795" s="167"/>
      <c r="K795" s="167"/>
      <c r="L795" s="167"/>
      <c r="M795" s="167"/>
      <c r="N795" s="167"/>
      <c r="O795" s="167"/>
      <c r="P795" s="164"/>
      <c r="Q795" s="165"/>
      <c r="R795" s="165"/>
      <c r="S795" s="167"/>
      <c r="T795" s="167"/>
      <c r="U795" s="167"/>
      <c r="V795" s="168"/>
      <c r="W795" s="168"/>
      <c r="X795" s="168"/>
      <c r="Y795" s="168"/>
      <c r="Z795" s="168"/>
      <c r="AA795" s="168"/>
      <c r="AB795" s="164"/>
      <c r="AC795" s="165"/>
      <c r="AD795" s="165"/>
      <c r="AE795" s="169"/>
      <c r="AF795" s="169"/>
      <c r="AG795" s="169"/>
      <c r="AH795" s="168"/>
      <c r="AI795" s="168"/>
      <c r="AJ795" s="168"/>
      <c r="AK795" s="170"/>
      <c r="AL795" s="170"/>
    </row>
    <row r="796" ht="15.75" customHeight="1">
      <c r="A796" s="161"/>
      <c r="B796" s="161"/>
      <c r="C796" s="162"/>
      <c r="D796" s="163"/>
      <c r="E796" s="164"/>
      <c r="F796" s="165"/>
      <c r="G796" s="166"/>
      <c r="H796" s="167"/>
      <c r="I796" s="167"/>
      <c r="J796" s="167"/>
      <c r="K796" s="167"/>
      <c r="L796" s="167"/>
      <c r="M796" s="167"/>
      <c r="N796" s="167"/>
      <c r="O796" s="167"/>
      <c r="P796" s="164"/>
      <c r="Q796" s="165"/>
      <c r="R796" s="165"/>
      <c r="S796" s="167"/>
      <c r="T796" s="167"/>
      <c r="U796" s="167"/>
      <c r="V796" s="168"/>
      <c r="W796" s="168"/>
      <c r="X796" s="168"/>
      <c r="Y796" s="168"/>
      <c r="Z796" s="168"/>
      <c r="AA796" s="168"/>
      <c r="AB796" s="164"/>
      <c r="AC796" s="165"/>
      <c r="AD796" s="165"/>
      <c r="AE796" s="169"/>
      <c r="AF796" s="169"/>
      <c r="AG796" s="169"/>
      <c r="AH796" s="168"/>
      <c r="AI796" s="168"/>
      <c r="AJ796" s="168"/>
      <c r="AK796" s="170"/>
      <c r="AL796" s="170"/>
    </row>
    <row r="797" ht="15.75" customHeight="1">
      <c r="A797" s="161"/>
      <c r="B797" s="161"/>
      <c r="C797" s="162"/>
      <c r="D797" s="163"/>
      <c r="E797" s="164"/>
      <c r="F797" s="165"/>
      <c r="G797" s="166"/>
      <c r="H797" s="167"/>
      <c r="I797" s="167"/>
      <c r="J797" s="167"/>
      <c r="K797" s="167"/>
      <c r="L797" s="167"/>
      <c r="M797" s="167"/>
      <c r="N797" s="167"/>
      <c r="O797" s="167"/>
      <c r="P797" s="164"/>
      <c r="Q797" s="165"/>
      <c r="R797" s="165"/>
      <c r="S797" s="167"/>
      <c r="T797" s="167"/>
      <c r="U797" s="167"/>
      <c r="V797" s="168"/>
      <c r="W797" s="168"/>
      <c r="X797" s="168"/>
      <c r="Y797" s="168"/>
      <c r="Z797" s="168"/>
      <c r="AA797" s="168"/>
      <c r="AB797" s="164"/>
      <c r="AC797" s="165"/>
      <c r="AD797" s="165"/>
      <c r="AE797" s="169"/>
      <c r="AF797" s="169"/>
      <c r="AG797" s="169"/>
      <c r="AH797" s="168"/>
      <c r="AI797" s="168"/>
      <c r="AJ797" s="168"/>
      <c r="AK797" s="170"/>
      <c r="AL797" s="170"/>
    </row>
    <row r="798" ht="15.75" customHeight="1">
      <c r="A798" s="161"/>
      <c r="B798" s="161"/>
      <c r="C798" s="162"/>
      <c r="D798" s="163"/>
      <c r="E798" s="164"/>
      <c r="F798" s="165"/>
      <c r="G798" s="166"/>
      <c r="H798" s="167"/>
      <c r="I798" s="167"/>
      <c r="J798" s="167"/>
      <c r="K798" s="167"/>
      <c r="L798" s="167"/>
      <c r="M798" s="167"/>
      <c r="N798" s="167"/>
      <c r="O798" s="167"/>
      <c r="P798" s="164"/>
      <c r="Q798" s="165"/>
      <c r="R798" s="165"/>
      <c r="S798" s="167"/>
      <c r="T798" s="167"/>
      <c r="U798" s="167"/>
      <c r="V798" s="168"/>
      <c r="W798" s="168"/>
      <c r="X798" s="168"/>
      <c r="Y798" s="168"/>
      <c r="Z798" s="168"/>
      <c r="AA798" s="168"/>
      <c r="AB798" s="164"/>
      <c r="AC798" s="165"/>
      <c r="AD798" s="165"/>
      <c r="AE798" s="169"/>
      <c r="AF798" s="169"/>
      <c r="AG798" s="169"/>
      <c r="AH798" s="168"/>
      <c r="AI798" s="168"/>
      <c r="AJ798" s="168"/>
      <c r="AK798" s="170"/>
      <c r="AL798" s="170"/>
    </row>
    <row r="799" ht="15.75" customHeight="1">
      <c r="A799" s="161"/>
      <c r="B799" s="161"/>
      <c r="C799" s="162"/>
      <c r="D799" s="163"/>
      <c r="E799" s="164"/>
      <c r="F799" s="165"/>
      <c r="G799" s="166"/>
      <c r="H799" s="167"/>
      <c r="I799" s="167"/>
      <c r="J799" s="167"/>
      <c r="K799" s="167"/>
      <c r="L799" s="167"/>
      <c r="M799" s="167"/>
      <c r="N799" s="167"/>
      <c r="O799" s="167"/>
      <c r="P799" s="164"/>
      <c r="Q799" s="165"/>
      <c r="R799" s="165"/>
      <c r="S799" s="167"/>
      <c r="T799" s="167"/>
      <c r="U799" s="167"/>
      <c r="V799" s="168"/>
      <c r="W799" s="168"/>
      <c r="X799" s="168"/>
      <c r="Y799" s="168"/>
      <c r="Z799" s="168"/>
      <c r="AA799" s="168"/>
      <c r="AB799" s="164"/>
      <c r="AC799" s="165"/>
      <c r="AD799" s="165"/>
      <c r="AE799" s="169"/>
      <c r="AF799" s="169"/>
      <c r="AG799" s="169"/>
      <c r="AH799" s="168"/>
      <c r="AI799" s="168"/>
      <c r="AJ799" s="168"/>
      <c r="AK799" s="170"/>
      <c r="AL799" s="170"/>
    </row>
    <row r="800" ht="15.75" customHeight="1">
      <c r="A800" s="161"/>
      <c r="B800" s="161"/>
      <c r="C800" s="162"/>
      <c r="D800" s="163"/>
      <c r="E800" s="164"/>
      <c r="F800" s="165"/>
      <c r="G800" s="166"/>
      <c r="H800" s="167"/>
      <c r="I800" s="167"/>
      <c r="J800" s="167"/>
      <c r="K800" s="167"/>
      <c r="L800" s="167"/>
      <c r="M800" s="167"/>
      <c r="N800" s="167"/>
      <c r="O800" s="167"/>
      <c r="P800" s="164"/>
      <c r="Q800" s="165"/>
      <c r="R800" s="165"/>
      <c r="S800" s="167"/>
      <c r="T800" s="167"/>
      <c r="U800" s="167"/>
      <c r="V800" s="168"/>
      <c r="W800" s="168"/>
      <c r="X800" s="168"/>
      <c r="Y800" s="168"/>
      <c r="Z800" s="168"/>
      <c r="AA800" s="168"/>
      <c r="AB800" s="164"/>
      <c r="AC800" s="165"/>
      <c r="AD800" s="165"/>
      <c r="AE800" s="169"/>
      <c r="AF800" s="169"/>
      <c r="AG800" s="169"/>
      <c r="AH800" s="168"/>
      <c r="AI800" s="168"/>
      <c r="AJ800" s="168"/>
      <c r="AK800" s="170"/>
      <c r="AL800" s="170"/>
    </row>
    <row r="801" ht="15.75" customHeight="1">
      <c r="A801" s="161"/>
      <c r="B801" s="161"/>
      <c r="C801" s="162"/>
      <c r="D801" s="163"/>
      <c r="E801" s="164"/>
      <c r="F801" s="165"/>
      <c r="G801" s="166"/>
      <c r="H801" s="167"/>
      <c r="I801" s="167"/>
      <c r="J801" s="167"/>
      <c r="K801" s="167"/>
      <c r="L801" s="167"/>
      <c r="M801" s="167"/>
      <c r="N801" s="167"/>
      <c r="O801" s="167"/>
      <c r="P801" s="164"/>
      <c r="Q801" s="165"/>
      <c r="R801" s="165"/>
      <c r="S801" s="167"/>
      <c r="T801" s="167"/>
      <c r="U801" s="167"/>
      <c r="V801" s="168"/>
      <c r="W801" s="168"/>
      <c r="X801" s="168"/>
      <c r="Y801" s="168"/>
      <c r="Z801" s="168"/>
      <c r="AA801" s="168"/>
      <c r="AB801" s="164"/>
      <c r="AC801" s="165"/>
      <c r="AD801" s="165"/>
      <c r="AE801" s="169"/>
      <c r="AF801" s="169"/>
      <c r="AG801" s="169"/>
      <c r="AH801" s="168"/>
      <c r="AI801" s="168"/>
      <c r="AJ801" s="168"/>
      <c r="AK801" s="170"/>
      <c r="AL801" s="170"/>
    </row>
    <row r="802" ht="15.75" customHeight="1">
      <c r="A802" s="161"/>
      <c r="B802" s="161"/>
      <c r="C802" s="162"/>
      <c r="D802" s="163"/>
      <c r="E802" s="164"/>
      <c r="F802" s="165"/>
      <c r="G802" s="166"/>
      <c r="H802" s="167"/>
      <c r="I802" s="167"/>
      <c r="J802" s="167"/>
      <c r="K802" s="167"/>
      <c r="L802" s="167"/>
      <c r="M802" s="167"/>
      <c r="N802" s="167"/>
      <c r="O802" s="167"/>
      <c r="P802" s="164"/>
      <c r="Q802" s="165"/>
      <c r="R802" s="165"/>
      <c r="S802" s="167"/>
      <c r="T802" s="167"/>
      <c r="U802" s="167"/>
      <c r="V802" s="168"/>
      <c r="W802" s="168"/>
      <c r="X802" s="168"/>
      <c r="Y802" s="168"/>
      <c r="Z802" s="168"/>
      <c r="AA802" s="168"/>
      <c r="AB802" s="164"/>
      <c r="AC802" s="165"/>
      <c r="AD802" s="165"/>
      <c r="AE802" s="169"/>
      <c r="AF802" s="169"/>
      <c r="AG802" s="169"/>
      <c r="AH802" s="168"/>
      <c r="AI802" s="168"/>
      <c r="AJ802" s="168"/>
      <c r="AK802" s="170"/>
      <c r="AL802" s="170"/>
    </row>
    <row r="803" ht="15.75" customHeight="1">
      <c r="A803" s="161"/>
      <c r="B803" s="161"/>
      <c r="C803" s="162"/>
      <c r="D803" s="163"/>
      <c r="E803" s="164"/>
      <c r="F803" s="165"/>
      <c r="G803" s="166"/>
      <c r="H803" s="167"/>
      <c r="I803" s="167"/>
      <c r="J803" s="167"/>
      <c r="K803" s="167"/>
      <c r="L803" s="167"/>
      <c r="M803" s="167"/>
      <c r="N803" s="167"/>
      <c r="O803" s="167"/>
      <c r="P803" s="164"/>
      <c r="Q803" s="165"/>
      <c r="R803" s="165"/>
      <c r="S803" s="167"/>
      <c r="T803" s="167"/>
      <c r="U803" s="167"/>
      <c r="V803" s="168"/>
      <c r="W803" s="168"/>
      <c r="X803" s="168"/>
      <c r="Y803" s="168"/>
      <c r="Z803" s="168"/>
      <c r="AA803" s="168"/>
      <c r="AB803" s="164"/>
      <c r="AC803" s="165"/>
      <c r="AD803" s="165"/>
      <c r="AE803" s="169"/>
      <c r="AF803" s="169"/>
      <c r="AG803" s="169"/>
      <c r="AH803" s="168"/>
      <c r="AI803" s="168"/>
      <c r="AJ803" s="168"/>
      <c r="AK803" s="170"/>
      <c r="AL803" s="170"/>
    </row>
    <row r="804" ht="15.75" customHeight="1">
      <c r="A804" s="161"/>
      <c r="B804" s="161"/>
      <c r="C804" s="162"/>
      <c r="D804" s="163"/>
      <c r="E804" s="164"/>
      <c r="F804" s="165"/>
      <c r="G804" s="166"/>
      <c r="H804" s="167"/>
      <c r="I804" s="167"/>
      <c r="J804" s="167"/>
      <c r="K804" s="167"/>
      <c r="L804" s="167"/>
      <c r="M804" s="167"/>
      <c r="N804" s="167"/>
      <c r="O804" s="167"/>
      <c r="P804" s="164"/>
      <c r="Q804" s="165"/>
      <c r="R804" s="165"/>
      <c r="S804" s="167"/>
      <c r="T804" s="167"/>
      <c r="U804" s="167"/>
      <c r="V804" s="168"/>
      <c r="W804" s="168"/>
      <c r="X804" s="168"/>
      <c r="Y804" s="168"/>
      <c r="Z804" s="168"/>
      <c r="AA804" s="168"/>
      <c r="AB804" s="164"/>
      <c r="AC804" s="165"/>
      <c r="AD804" s="165"/>
      <c r="AE804" s="169"/>
      <c r="AF804" s="169"/>
      <c r="AG804" s="169"/>
      <c r="AH804" s="168"/>
      <c r="AI804" s="168"/>
      <c r="AJ804" s="168"/>
      <c r="AK804" s="170"/>
      <c r="AL804" s="170"/>
    </row>
    <row r="805" ht="15.75" customHeight="1">
      <c r="A805" s="161"/>
      <c r="B805" s="161"/>
      <c r="C805" s="162"/>
      <c r="D805" s="163"/>
      <c r="E805" s="164"/>
      <c r="F805" s="165"/>
      <c r="G805" s="166"/>
      <c r="H805" s="167"/>
      <c r="I805" s="167"/>
      <c r="J805" s="167"/>
      <c r="K805" s="167"/>
      <c r="L805" s="167"/>
      <c r="M805" s="167"/>
      <c r="N805" s="167"/>
      <c r="O805" s="167"/>
      <c r="P805" s="164"/>
      <c r="Q805" s="165"/>
      <c r="R805" s="165"/>
      <c r="S805" s="167"/>
      <c r="T805" s="167"/>
      <c r="U805" s="167"/>
      <c r="V805" s="168"/>
      <c r="W805" s="168"/>
      <c r="X805" s="168"/>
      <c r="Y805" s="168"/>
      <c r="Z805" s="168"/>
      <c r="AA805" s="168"/>
      <c r="AB805" s="164"/>
      <c r="AC805" s="165"/>
      <c r="AD805" s="165"/>
      <c r="AE805" s="169"/>
      <c r="AF805" s="169"/>
      <c r="AG805" s="169"/>
      <c r="AH805" s="168"/>
      <c r="AI805" s="168"/>
      <c r="AJ805" s="168"/>
      <c r="AK805" s="170"/>
      <c r="AL805" s="170"/>
    </row>
    <row r="806" ht="15.75" customHeight="1">
      <c r="A806" s="161"/>
      <c r="B806" s="161"/>
      <c r="C806" s="162"/>
      <c r="D806" s="163"/>
      <c r="E806" s="164"/>
      <c r="F806" s="165"/>
      <c r="G806" s="166"/>
      <c r="H806" s="167"/>
      <c r="I806" s="167"/>
      <c r="J806" s="167"/>
      <c r="K806" s="167"/>
      <c r="L806" s="167"/>
      <c r="M806" s="167"/>
      <c r="N806" s="167"/>
      <c r="O806" s="167"/>
      <c r="P806" s="164"/>
      <c r="Q806" s="165"/>
      <c r="R806" s="165"/>
      <c r="S806" s="167"/>
      <c r="T806" s="167"/>
      <c r="U806" s="167"/>
      <c r="V806" s="168"/>
      <c r="W806" s="168"/>
      <c r="X806" s="168"/>
      <c r="Y806" s="168"/>
      <c r="Z806" s="168"/>
      <c r="AA806" s="168"/>
      <c r="AB806" s="164"/>
      <c r="AC806" s="165"/>
      <c r="AD806" s="165"/>
      <c r="AE806" s="169"/>
      <c r="AF806" s="169"/>
      <c r="AG806" s="169"/>
      <c r="AH806" s="168"/>
      <c r="AI806" s="168"/>
      <c r="AJ806" s="168"/>
      <c r="AK806" s="170"/>
      <c r="AL806" s="170"/>
    </row>
    <row r="807" ht="15.75" customHeight="1">
      <c r="A807" s="161"/>
      <c r="B807" s="161"/>
      <c r="C807" s="162"/>
      <c r="D807" s="163"/>
      <c r="E807" s="164"/>
      <c r="F807" s="165"/>
      <c r="G807" s="166"/>
      <c r="H807" s="167"/>
      <c r="I807" s="167"/>
      <c r="J807" s="167"/>
      <c r="K807" s="167"/>
      <c r="L807" s="167"/>
      <c r="M807" s="167"/>
      <c r="N807" s="167"/>
      <c r="O807" s="167"/>
      <c r="P807" s="164"/>
      <c r="Q807" s="165"/>
      <c r="R807" s="165"/>
      <c r="S807" s="167"/>
      <c r="T807" s="167"/>
      <c r="U807" s="167"/>
      <c r="V807" s="168"/>
      <c r="W807" s="168"/>
      <c r="X807" s="168"/>
      <c r="Y807" s="168"/>
      <c r="Z807" s="168"/>
      <c r="AA807" s="168"/>
      <c r="AB807" s="164"/>
      <c r="AC807" s="165"/>
      <c r="AD807" s="165"/>
      <c r="AE807" s="169"/>
      <c r="AF807" s="169"/>
      <c r="AG807" s="169"/>
      <c r="AH807" s="168"/>
      <c r="AI807" s="168"/>
      <c r="AJ807" s="168"/>
      <c r="AK807" s="170"/>
      <c r="AL807" s="170"/>
    </row>
    <row r="808" ht="15.75" customHeight="1">
      <c r="A808" s="161"/>
      <c r="B808" s="161"/>
      <c r="C808" s="162"/>
      <c r="D808" s="163"/>
      <c r="E808" s="164"/>
      <c r="F808" s="165"/>
      <c r="G808" s="166"/>
      <c r="H808" s="167"/>
      <c r="I808" s="167"/>
      <c r="J808" s="167"/>
      <c r="K808" s="167"/>
      <c r="L808" s="167"/>
      <c r="M808" s="167"/>
      <c r="N808" s="167"/>
      <c r="O808" s="167"/>
      <c r="P808" s="164"/>
      <c r="Q808" s="165"/>
      <c r="R808" s="165"/>
      <c r="S808" s="167"/>
      <c r="T808" s="167"/>
      <c r="U808" s="167"/>
      <c r="V808" s="168"/>
      <c r="W808" s="168"/>
      <c r="X808" s="168"/>
      <c r="Y808" s="168"/>
      <c r="Z808" s="168"/>
      <c r="AA808" s="168"/>
      <c r="AB808" s="164"/>
      <c r="AC808" s="165"/>
      <c r="AD808" s="165"/>
      <c r="AE808" s="169"/>
      <c r="AF808" s="169"/>
      <c r="AG808" s="169"/>
      <c r="AH808" s="168"/>
      <c r="AI808" s="168"/>
      <c r="AJ808" s="168"/>
      <c r="AK808" s="170"/>
      <c r="AL808" s="170"/>
    </row>
    <row r="809" ht="15.75" customHeight="1">
      <c r="A809" s="161"/>
      <c r="B809" s="161"/>
      <c r="C809" s="162"/>
      <c r="D809" s="163"/>
      <c r="E809" s="164"/>
      <c r="F809" s="165"/>
      <c r="G809" s="166"/>
      <c r="H809" s="167"/>
      <c r="I809" s="167"/>
      <c r="J809" s="167"/>
      <c r="K809" s="167"/>
      <c r="L809" s="167"/>
      <c r="M809" s="167"/>
      <c r="N809" s="167"/>
      <c r="O809" s="167"/>
      <c r="P809" s="164"/>
      <c r="Q809" s="165"/>
      <c r="R809" s="165"/>
      <c r="S809" s="167"/>
      <c r="T809" s="167"/>
      <c r="U809" s="167"/>
      <c r="V809" s="168"/>
      <c r="W809" s="168"/>
      <c r="X809" s="168"/>
      <c r="Y809" s="168"/>
      <c r="Z809" s="168"/>
      <c r="AA809" s="168"/>
      <c r="AB809" s="164"/>
      <c r="AC809" s="165"/>
      <c r="AD809" s="165"/>
      <c r="AE809" s="169"/>
      <c r="AF809" s="169"/>
      <c r="AG809" s="169"/>
      <c r="AH809" s="168"/>
      <c r="AI809" s="168"/>
      <c r="AJ809" s="168"/>
      <c r="AK809" s="170"/>
      <c r="AL809" s="170"/>
    </row>
    <row r="810" ht="15.75" customHeight="1">
      <c r="A810" s="161"/>
      <c r="B810" s="161"/>
      <c r="C810" s="162"/>
      <c r="D810" s="163"/>
      <c r="E810" s="164"/>
      <c r="F810" s="165"/>
      <c r="G810" s="166"/>
      <c r="H810" s="167"/>
      <c r="I810" s="167"/>
      <c r="J810" s="167"/>
      <c r="K810" s="167"/>
      <c r="L810" s="167"/>
      <c r="M810" s="167"/>
      <c r="N810" s="167"/>
      <c r="O810" s="167"/>
      <c r="P810" s="164"/>
      <c r="Q810" s="165"/>
      <c r="R810" s="165"/>
      <c r="S810" s="167"/>
      <c r="T810" s="167"/>
      <c r="U810" s="167"/>
      <c r="V810" s="168"/>
      <c r="W810" s="168"/>
      <c r="X810" s="168"/>
      <c r="Y810" s="168"/>
      <c r="Z810" s="168"/>
      <c r="AA810" s="168"/>
      <c r="AB810" s="164"/>
      <c r="AC810" s="165"/>
      <c r="AD810" s="165"/>
      <c r="AE810" s="169"/>
      <c r="AF810" s="169"/>
      <c r="AG810" s="169"/>
      <c r="AH810" s="168"/>
      <c r="AI810" s="168"/>
      <c r="AJ810" s="168"/>
      <c r="AK810" s="170"/>
      <c r="AL810" s="170"/>
    </row>
    <row r="811" ht="15.75" customHeight="1">
      <c r="A811" s="161"/>
      <c r="B811" s="161"/>
      <c r="C811" s="162"/>
      <c r="D811" s="163"/>
      <c r="E811" s="164"/>
      <c r="F811" s="165"/>
      <c r="G811" s="166"/>
      <c r="H811" s="167"/>
      <c r="I811" s="167"/>
      <c r="J811" s="167"/>
      <c r="K811" s="167"/>
      <c r="L811" s="167"/>
      <c r="M811" s="167"/>
      <c r="N811" s="167"/>
      <c r="O811" s="167"/>
      <c r="P811" s="164"/>
      <c r="Q811" s="165"/>
      <c r="R811" s="165"/>
      <c r="S811" s="167"/>
      <c r="T811" s="167"/>
      <c r="U811" s="167"/>
      <c r="V811" s="168"/>
      <c r="W811" s="168"/>
      <c r="X811" s="168"/>
      <c r="Y811" s="168"/>
      <c r="Z811" s="168"/>
      <c r="AA811" s="168"/>
      <c r="AB811" s="164"/>
      <c r="AC811" s="165"/>
      <c r="AD811" s="165"/>
      <c r="AE811" s="169"/>
      <c r="AF811" s="169"/>
      <c r="AG811" s="169"/>
      <c r="AH811" s="168"/>
      <c r="AI811" s="168"/>
      <c r="AJ811" s="168"/>
      <c r="AK811" s="170"/>
      <c r="AL811" s="170"/>
    </row>
    <row r="812" ht="15.75" customHeight="1">
      <c r="A812" s="161"/>
      <c r="B812" s="161"/>
      <c r="C812" s="162"/>
      <c r="D812" s="163"/>
      <c r="E812" s="164"/>
      <c r="F812" s="165"/>
      <c r="G812" s="166"/>
      <c r="H812" s="167"/>
      <c r="I812" s="167"/>
      <c r="J812" s="167"/>
      <c r="K812" s="167"/>
      <c r="L812" s="167"/>
      <c r="M812" s="167"/>
      <c r="N812" s="167"/>
      <c r="O812" s="167"/>
      <c r="P812" s="164"/>
      <c r="Q812" s="165"/>
      <c r="R812" s="165"/>
      <c r="S812" s="167"/>
      <c r="T812" s="167"/>
      <c r="U812" s="167"/>
      <c r="V812" s="168"/>
      <c r="W812" s="168"/>
      <c r="X812" s="168"/>
      <c r="Y812" s="168"/>
      <c r="Z812" s="168"/>
      <c r="AA812" s="168"/>
      <c r="AB812" s="164"/>
      <c r="AC812" s="165"/>
      <c r="AD812" s="165"/>
      <c r="AE812" s="169"/>
      <c r="AF812" s="169"/>
      <c r="AG812" s="169"/>
      <c r="AH812" s="168"/>
      <c r="AI812" s="168"/>
      <c r="AJ812" s="168"/>
      <c r="AK812" s="170"/>
      <c r="AL812" s="170"/>
    </row>
    <row r="813" ht="15.75" customHeight="1">
      <c r="A813" s="161"/>
      <c r="B813" s="161"/>
      <c r="C813" s="162"/>
      <c r="D813" s="163"/>
      <c r="E813" s="164"/>
      <c r="F813" s="165"/>
      <c r="G813" s="166"/>
      <c r="H813" s="167"/>
      <c r="I813" s="167"/>
      <c r="J813" s="167"/>
      <c r="K813" s="167"/>
      <c r="L813" s="167"/>
      <c r="M813" s="167"/>
      <c r="N813" s="167"/>
      <c r="O813" s="167"/>
      <c r="P813" s="164"/>
      <c r="Q813" s="165"/>
      <c r="R813" s="165"/>
      <c r="S813" s="167"/>
      <c r="T813" s="167"/>
      <c r="U813" s="167"/>
      <c r="V813" s="168"/>
      <c r="W813" s="168"/>
      <c r="X813" s="168"/>
      <c r="Y813" s="168"/>
      <c r="Z813" s="168"/>
      <c r="AA813" s="168"/>
      <c r="AB813" s="164"/>
      <c r="AC813" s="165"/>
      <c r="AD813" s="165"/>
      <c r="AE813" s="169"/>
      <c r="AF813" s="169"/>
      <c r="AG813" s="169"/>
      <c r="AH813" s="168"/>
      <c r="AI813" s="168"/>
      <c r="AJ813" s="168"/>
      <c r="AK813" s="170"/>
      <c r="AL813" s="170"/>
    </row>
    <row r="814" ht="15.75" customHeight="1">
      <c r="A814" s="161"/>
      <c r="B814" s="161"/>
      <c r="C814" s="162"/>
      <c r="D814" s="163"/>
      <c r="E814" s="164"/>
      <c r="F814" s="165"/>
      <c r="G814" s="166"/>
      <c r="H814" s="167"/>
      <c r="I814" s="167"/>
      <c r="J814" s="167"/>
      <c r="K814" s="167"/>
      <c r="L814" s="167"/>
      <c r="M814" s="167"/>
      <c r="N814" s="167"/>
      <c r="O814" s="167"/>
      <c r="P814" s="164"/>
      <c r="Q814" s="165"/>
      <c r="R814" s="165"/>
      <c r="S814" s="167"/>
      <c r="T814" s="167"/>
      <c r="U814" s="167"/>
      <c r="V814" s="168"/>
      <c r="W814" s="168"/>
      <c r="X814" s="168"/>
      <c r="Y814" s="168"/>
      <c r="Z814" s="168"/>
      <c r="AA814" s="168"/>
      <c r="AB814" s="164"/>
      <c r="AC814" s="165"/>
      <c r="AD814" s="165"/>
      <c r="AE814" s="169"/>
      <c r="AF814" s="169"/>
      <c r="AG814" s="169"/>
      <c r="AH814" s="168"/>
      <c r="AI814" s="168"/>
      <c r="AJ814" s="168"/>
      <c r="AK814" s="170"/>
      <c r="AL814" s="170"/>
    </row>
    <row r="815" ht="15.75" customHeight="1">
      <c r="A815" s="161"/>
      <c r="B815" s="161"/>
      <c r="C815" s="162"/>
      <c r="D815" s="163"/>
      <c r="E815" s="164"/>
      <c r="F815" s="165"/>
      <c r="G815" s="166"/>
      <c r="H815" s="167"/>
      <c r="I815" s="167"/>
      <c r="J815" s="167"/>
      <c r="K815" s="167"/>
      <c r="L815" s="167"/>
      <c r="M815" s="167"/>
      <c r="N815" s="167"/>
      <c r="O815" s="167"/>
      <c r="P815" s="164"/>
      <c r="Q815" s="165"/>
      <c r="R815" s="165"/>
      <c r="S815" s="167"/>
      <c r="T815" s="167"/>
      <c r="U815" s="167"/>
      <c r="V815" s="168"/>
      <c r="W815" s="168"/>
      <c r="X815" s="168"/>
      <c r="Y815" s="168"/>
      <c r="Z815" s="168"/>
      <c r="AA815" s="168"/>
      <c r="AB815" s="164"/>
      <c r="AC815" s="165"/>
      <c r="AD815" s="165"/>
      <c r="AE815" s="169"/>
      <c r="AF815" s="169"/>
      <c r="AG815" s="169"/>
      <c r="AH815" s="168"/>
      <c r="AI815" s="168"/>
      <c r="AJ815" s="168"/>
      <c r="AK815" s="170"/>
      <c r="AL815" s="170"/>
    </row>
    <row r="816" ht="15.75" customHeight="1">
      <c r="A816" s="161"/>
      <c r="B816" s="161"/>
      <c r="C816" s="162"/>
      <c r="D816" s="163"/>
      <c r="E816" s="164"/>
      <c r="F816" s="165"/>
      <c r="G816" s="166"/>
      <c r="H816" s="167"/>
      <c r="I816" s="167"/>
      <c r="J816" s="167"/>
      <c r="K816" s="167"/>
      <c r="L816" s="167"/>
      <c r="M816" s="167"/>
      <c r="N816" s="167"/>
      <c r="O816" s="167"/>
      <c r="P816" s="164"/>
      <c r="Q816" s="165"/>
      <c r="R816" s="165"/>
      <c r="S816" s="167"/>
      <c r="T816" s="167"/>
      <c r="U816" s="167"/>
      <c r="V816" s="168"/>
      <c r="W816" s="168"/>
      <c r="X816" s="168"/>
      <c r="Y816" s="168"/>
      <c r="Z816" s="168"/>
      <c r="AA816" s="168"/>
      <c r="AB816" s="164"/>
      <c r="AC816" s="165"/>
      <c r="AD816" s="165"/>
      <c r="AE816" s="169"/>
      <c r="AF816" s="169"/>
      <c r="AG816" s="169"/>
      <c r="AH816" s="168"/>
      <c r="AI816" s="168"/>
      <c r="AJ816" s="168"/>
      <c r="AK816" s="170"/>
      <c r="AL816" s="170"/>
    </row>
    <row r="817" ht="15.75" customHeight="1">
      <c r="A817" s="161"/>
      <c r="B817" s="161"/>
      <c r="C817" s="162"/>
      <c r="D817" s="163"/>
      <c r="E817" s="164"/>
      <c r="F817" s="165"/>
      <c r="G817" s="166"/>
      <c r="H817" s="167"/>
      <c r="I817" s="167"/>
      <c r="J817" s="167"/>
      <c r="K817" s="167"/>
      <c r="L817" s="167"/>
      <c r="M817" s="167"/>
      <c r="N817" s="167"/>
      <c r="O817" s="167"/>
      <c r="P817" s="164"/>
      <c r="Q817" s="165"/>
      <c r="R817" s="165"/>
      <c r="S817" s="167"/>
      <c r="T817" s="167"/>
      <c r="U817" s="167"/>
      <c r="V817" s="168"/>
      <c r="W817" s="168"/>
      <c r="X817" s="168"/>
      <c r="Y817" s="168"/>
      <c r="Z817" s="168"/>
      <c r="AA817" s="168"/>
      <c r="AB817" s="164"/>
      <c r="AC817" s="165"/>
      <c r="AD817" s="165"/>
      <c r="AE817" s="169"/>
      <c r="AF817" s="169"/>
      <c r="AG817" s="169"/>
      <c r="AH817" s="168"/>
      <c r="AI817" s="168"/>
      <c r="AJ817" s="168"/>
      <c r="AK817" s="170"/>
      <c r="AL817" s="170"/>
    </row>
    <row r="818" ht="15.75" customHeight="1">
      <c r="A818" s="161"/>
      <c r="B818" s="161"/>
      <c r="C818" s="162"/>
      <c r="D818" s="163"/>
      <c r="E818" s="164"/>
      <c r="F818" s="165"/>
      <c r="G818" s="166"/>
      <c r="H818" s="167"/>
      <c r="I818" s="167"/>
      <c r="J818" s="167"/>
      <c r="K818" s="167"/>
      <c r="L818" s="167"/>
      <c r="M818" s="167"/>
      <c r="N818" s="167"/>
      <c r="O818" s="167"/>
      <c r="P818" s="164"/>
      <c r="Q818" s="165"/>
      <c r="R818" s="165"/>
      <c r="S818" s="167"/>
      <c r="T818" s="167"/>
      <c r="U818" s="167"/>
      <c r="V818" s="168"/>
      <c r="W818" s="168"/>
      <c r="X818" s="168"/>
      <c r="Y818" s="168"/>
      <c r="Z818" s="168"/>
      <c r="AA818" s="168"/>
      <c r="AB818" s="164"/>
      <c r="AC818" s="165"/>
      <c r="AD818" s="165"/>
      <c r="AE818" s="169"/>
      <c r="AF818" s="169"/>
      <c r="AG818" s="169"/>
      <c r="AH818" s="168"/>
      <c r="AI818" s="168"/>
      <c r="AJ818" s="168"/>
      <c r="AK818" s="170"/>
      <c r="AL818" s="170"/>
    </row>
    <row r="819" ht="15.75" customHeight="1">
      <c r="A819" s="161"/>
      <c r="B819" s="161"/>
      <c r="C819" s="162"/>
      <c r="D819" s="163"/>
      <c r="E819" s="164"/>
      <c r="F819" s="165"/>
      <c r="G819" s="166"/>
      <c r="H819" s="167"/>
      <c r="I819" s="167"/>
      <c r="J819" s="167"/>
      <c r="K819" s="167"/>
      <c r="L819" s="167"/>
      <c r="M819" s="167"/>
      <c r="N819" s="167"/>
      <c r="O819" s="167"/>
      <c r="P819" s="164"/>
      <c r="Q819" s="165"/>
      <c r="R819" s="165"/>
      <c r="S819" s="167"/>
      <c r="T819" s="167"/>
      <c r="U819" s="167"/>
      <c r="V819" s="168"/>
      <c r="W819" s="168"/>
      <c r="X819" s="168"/>
      <c r="Y819" s="168"/>
      <c r="Z819" s="168"/>
      <c r="AA819" s="168"/>
      <c r="AB819" s="164"/>
      <c r="AC819" s="165"/>
      <c r="AD819" s="165"/>
      <c r="AE819" s="169"/>
      <c r="AF819" s="169"/>
      <c r="AG819" s="169"/>
      <c r="AH819" s="168"/>
      <c r="AI819" s="168"/>
      <c r="AJ819" s="168"/>
      <c r="AK819" s="170"/>
      <c r="AL819" s="170"/>
    </row>
    <row r="820" ht="15.75" customHeight="1">
      <c r="A820" s="161"/>
      <c r="B820" s="161"/>
      <c r="C820" s="162"/>
      <c r="D820" s="163"/>
      <c r="E820" s="164"/>
      <c r="F820" s="165"/>
      <c r="G820" s="166"/>
      <c r="H820" s="167"/>
      <c r="I820" s="167"/>
      <c r="J820" s="167"/>
      <c r="K820" s="167"/>
      <c r="L820" s="167"/>
      <c r="M820" s="167"/>
      <c r="N820" s="167"/>
      <c r="O820" s="167"/>
      <c r="P820" s="164"/>
      <c r="Q820" s="165"/>
      <c r="R820" s="165"/>
      <c r="S820" s="167"/>
      <c r="T820" s="167"/>
      <c r="U820" s="167"/>
      <c r="V820" s="168"/>
      <c r="W820" s="168"/>
      <c r="X820" s="168"/>
      <c r="Y820" s="168"/>
      <c r="Z820" s="168"/>
      <c r="AA820" s="168"/>
      <c r="AB820" s="164"/>
      <c r="AC820" s="165"/>
      <c r="AD820" s="165"/>
      <c r="AE820" s="169"/>
      <c r="AF820" s="169"/>
      <c r="AG820" s="169"/>
      <c r="AH820" s="168"/>
      <c r="AI820" s="168"/>
      <c r="AJ820" s="168"/>
      <c r="AK820" s="170"/>
      <c r="AL820" s="170"/>
    </row>
    <row r="821" ht="15.75" customHeight="1">
      <c r="A821" s="161"/>
      <c r="B821" s="161"/>
      <c r="C821" s="162"/>
      <c r="D821" s="163"/>
      <c r="E821" s="164"/>
      <c r="F821" s="165"/>
      <c r="G821" s="166"/>
      <c r="H821" s="167"/>
      <c r="I821" s="167"/>
      <c r="J821" s="167"/>
      <c r="K821" s="167"/>
      <c r="L821" s="167"/>
      <c r="M821" s="167"/>
      <c r="N821" s="167"/>
      <c r="O821" s="167"/>
      <c r="P821" s="164"/>
      <c r="Q821" s="165"/>
      <c r="R821" s="165"/>
      <c r="S821" s="167"/>
      <c r="T821" s="167"/>
      <c r="U821" s="167"/>
      <c r="V821" s="168"/>
      <c r="W821" s="168"/>
      <c r="X821" s="168"/>
      <c r="Y821" s="168"/>
      <c r="Z821" s="168"/>
      <c r="AA821" s="168"/>
      <c r="AB821" s="164"/>
      <c r="AC821" s="165"/>
      <c r="AD821" s="165"/>
      <c r="AE821" s="169"/>
      <c r="AF821" s="169"/>
      <c r="AG821" s="169"/>
      <c r="AH821" s="168"/>
      <c r="AI821" s="168"/>
      <c r="AJ821" s="168"/>
      <c r="AK821" s="170"/>
      <c r="AL821" s="170"/>
    </row>
    <row r="822" ht="15.75" customHeight="1">
      <c r="A822" s="161"/>
      <c r="B822" s="161"/>
      <c r="C822" s="162"/>
      <c r="D822" s="163"/>
      <c r="E822" s="164"/>
      <c r="F822" s="165"/>
      <c r="G822" s="166"/>
      <c r="H822" s="167"/>
      <c r="I822" s="167"/>
      <c r="J822" s="167"/>
      <c r="K822" s="167"/>
      <c r="L822" s="167"/>
      <c r="M822" s="167"/>
      <c r="N822" s="167"/>
      <c r="O822" s="167"/>
      <c r="P822" s="164"/>
      <c r="Q822" s="165"/>
      <c r="R822" s="165"/>
      <c r="S822" s="167"/>
      <c r="T822" s="167"/>
      <c r="U822" s="167"/>
      <c r="V822" s="168"/>
      <c r="W822" s="168"/>
      <c r="X822" s="168"/>
      <c r="Y822" s="168"/>
      <c r="Z822" s="168"/>
      <c r="AA822" s="168"/>
      <c r="AB822" s="164"/>
      <c r="AC822" s="165"/>
      <c r="AD822" s="165"/>
      <c r="AE822" s="169"/>
      <c r="AF822" s="169"/>
      <c r="AG822" s="169"/>
      <c r="AH822" s="168"/>
      <c r="AI822" s="168"/>
      <c r="AJ822" s="168"/>
      <c r="AK822" s="170"/>
      <c r="AL822" s="170"/>
    </row>
    <row r="823" ht="15.75" customHeight="1">
      <c r="A823" s="161"/>
      <c r="B823" s="161"/>
      <c r="C823" s="162"/>
      <c r="D823" s="163"/>
      <c r="E823" s="164"/>
      <c r="F823" s="165"/>
      <c r="G823" s="166"/>
      <c r="H823" s="167"/>
      <c r="I823" s="167"/>
      <c r="J823" s="167"/>
      <c r="K823" s="167"/>
      <c r="L823" s="167"/>
      <c r="M823" s="167"/>
      <c r="N823" s="167"/>
      <c r="O823" s="167"/>
      <c r="P823" s="164"/>
      <c r="Q823" s="165"/>
      <c r="R823" s="165"/>
      <c r="S823" s="167"/>
      <c r="T823" s="167"/>
      <c r="U823" s="167"/>
      <c r="V823" s="168"/>
      <c r="W823" s="168"/>
      <c r="X823" s="168"/>
      <c r="Y823" s="168"/>
      <c r="Z823" s="168"/>
      <c r="AA823" s="168"/>
      <c r="AB823" s="164"/>
      <c r="AC823" s="165"/>
      <c r="AD823" s="165"/>
      <c r="AE823" s="169"/>
      <c r="AF823" s="169"/>
      <c r="AG823" s="169"/>
      <c r="AH823" s="168"/>
      <c r="AI823" s="168"/>
      <c r="AJ823" s="168"/>
      <c r="AK823" s="170"/>
      <c r="AL823" s="170"/>
    </row>
    <row r="824" ht="15.75" customHeight="1">
      <c r="A824" s="161"/>
      <c r="B824" s="161"/>
      <c r="C824" s="162"/>
      <c r="D824" s="163"/>
      <c r="E824" s="164"/>
      <c r="F824" s="165"/>
      <c r="G824" s="166"/>
      <c r="H824" s="167"/>
      <c r="I824" s="167"/>
      <c r="J824" s="167"/>
      <c r="K824" s="167"/>
      <c r="L824" s="167"/>
      <c r="M824" s="167"/>
      <c r="N824" s="167"/>
      <c r="O824" s="167"/>
      <c r="P824" s="164"/>
      <c r="Q824" s="165"/>
      <c r="R824" s="165"/>
      <c r="S824" s="167"/>
      <c r="T824" s="167"/>
      <c r="U824" s="167"/>
      <c r="V824" s="168"/>
      <c r="W824" s="168"/>
      <c r="X824" s="168"/>
      <c r="Y824" s="168"/>
      <c r="Z824" s="168"/>
      <c r="AA824" s="168"/>
      <c r="AB824" s="164"/>
      <c r="AC824" s="165"/>
      <c r="AD824" s="165"/>
      <c r="AE824" s="169"/>
      <c r="AF824" s="169"/>
      <c r="AG824" s="169"/>
      <c r="AH824" s="168"/>
      <c r="AI824" s="168"/>
      <c r="AJ824" s="168"/>
      <c r="AK824" s="170"/>
      <c r="AL824" s="170"/>
    </row>
    <row r="825" ht="15.75" customHeight="1">
      <c r="A825" s="161"/>
      <c r="B825" s="161"/>
      <c r="C825" s="162"/>
      <c r="D825" s="163"/>
      <c r="E825" s="164"/>
      <c r="F825" s="165"/>
      <c r="G825" s="166"/>
      <c r="H825" s="167"/>
      <c r="I825" s="167"/>
      <c r="J825" s="167"/>
      <c r="K825" s="167"/>
      <c r="L825" s="167"/>
      <c r="M825" s="167"/>
      <c r="N825" s="167"/>
      <c r="O825" s="167"/>
      <c r="P825" s="164"/>
      <c r="Q825" s="165"/>
      <c r="R825" s="165"/>
      <c r="S825" s="167"/>
      <c r="T825" s="167"/>
      <c r="U825" s="167"/>
      <c r="V825" s="168"/>
      <c r="W825" s="168"/>
      <c r="X825" s="168"/>
      <c r="Y825" s="168"/>
      <c r="Z825" s="168"/>
      <c r="AA825" s="168"/>
      <c r="AB825" s="164"/>
      <c r="AC825" s="165"/>
      <c r="AD825" s="165"/>
      <c r="AE825" s="169"/>
      <c r="AF825" s="169"/>
      <c r="AG825" s="169"/>
      <c r="AH825" s="168"/>
      <c r="AI825" s="168"/>
      <c r="AJ825" s="168"/>
      <c r="AK825" s="170"/>
      <c r="AL825" s="170"/>
    </row>
    <row r="826" ht="15.75" customHeight="1">
      <c r="A826" s="161"/>
      <c r="B826" s="161"/>
      <c r="C826" s="162"/>
      <c r="D826" s="163"/>
      <c r="E826" s="164"/>
      <c r="F826" s="165"/>
      <c r="G826" s="166"/>
      <c r="H826" s="167"/>
      <c r="I826" s="167"/>
      <c r="J826" s="167"/>
      <c r="K826" s="167"/>
      <c r="L826" s="167"/>
      <c r="M826" s="167"/>
      <c r="N826" s="167"/>
      <c r="O826" s="167"/>
      <c r="P826" s="164"/>
      <c r="Q826" s="165"/>
      <c r="R826" s="165"/>
      <c r="S826" s="167"/>
      <c r="T826" s="167"/>
      <c r="U826" s="167"/>
      <c r="V826" s="168"/>
      <c r="W826" s="168"/>
      <c r="X826" s="168"/>
      <c r="Y826" s="168"/>
      <c r="Z826" s="168"/>
      <c r="AA826" s="168"/>
      <c r="AB826" s="164"/>
      <c r="AC826" s="165"/>
      <c r="AD826" s="165"/>
      <c r="AE826" s="169"/>
      <c r="AF826" s="169"/>
      <c r="AG826" s="169"/>
      <c r="AH826" s="168"/>
      <c r="AI826" s="168"/>
      <c r="AJ826" s="168"/>
      <c r="AK826" s="170"/>
      <c r="AL826" s="170"/>
    </row>
    <row r="827" ht="15.75" customHeight="1">
      <c r="A827" s="161"/>
      <c r="B827" s="161"/>
      <c r="C827" s="162"/>
      <c r="D827" s="163"/>
      <c r="E827" s="164"/>
      <c r="F827" s="165"/>
      <c r="G827" s="166"/>
      <c r="H827" s="167"/>
      <c r="I827" s="167"/>
      <c r="J827" s="167"/>
      <c r="K827" s="167"/>
      <c r="L827" s="167"/>
      <c r="M827" s="167"/>
      <c r="N827" s="167"/>
      <c r="O827" s="167"/>
      <c r="P827" s="164"/>
      <c r="Q827" s="165"/>
      <c r="R827" s="165"/>
      <c r="S827" s="167"/>
      <c r="T827" s="167"/>
      <c r="U827" s="167"/>
      <c r="V827" s="168"/>
      <c r="W827" s="168"/>
      <c r="X827" s="168"/>
      <c r="Y827" s="168"/>
      <c r="Z827" s="168"/>
      <c r="AA827" s="168"/>
      <c r="AB827" s="164"/>
      <c r="AC827" s="165"/>
      <c r="AD827" s="165"/>
      <c r="AE827" s="169"/>
      <c r="AF827" s="169"/>
      <c r="AG827" s="169"/>
      <c r="AH827" s="168"/>
      <c r="AI827" s="168"/>
      <c r="AJ827" s="168"/>
      <c r="AK827" s="170"/>
      <c r="AL827" s="170"/>
    </row>
    <row r="828" ht="15.75" customHeight="1">
      <c r="A828" s="161"/>
      <c r="B828" s="161"/>
      <c r="C828" s="162"/>
      <c r="D828" s="163"/>
      <c r="E828" s="164"/>
      <c r="F828" s="165"/>
      <c r="G828" s="166"/>
      <c r="H828" s="167"/>
      <c r="I828" s="167"/>
      <c r="J828" s="167"/>
      <c r="K828" s="167"/>
      <c r="L828" s="167"/>
      <c r="M828" s="167"/>
      <c r="N828" s="167"/>
      <c r="O828" s="167"/>
      <c r="P828" s="164"/>
      <c r="Q828" s="165"/>
      <c r="R828" s="165"/>
      <c r="S828" s="167"/>
      <c r="T828" s="167"/>
      <c r="U828" s="167"/>
      <c r="V828" s="168"/>
      <c r="W828" s="168"/>
      <c r="X828" s="168"/>
      <c r="Y828" s="168"/>
      <c r="Z828" s="168"/>
      <c r="AA828" s="168"/>
      <c r="AB828" s="164"/>
      <c r="AC828" s="165"/>
      <c r="AD828" s="165"/>
      <c r="AE828" s="169"/>
      <c r="AF828" s="169"/>
      <c r="AG828" s="169"/>
      <c r="AH828" s="168"/>
      <c r="AI828" s="168"/>
      <c r="AJ828" s="168"/>
      <c r="AK828" s="170"/>
      <c r="AL828" s="170"/>
    </row>
    <row r="829" ht="15.75" customHeight="1">
      <c r="A829" s="161"/>
      <c r="B829" s="161"/>
      <c r="C829" s="162"/>
      <c r="D829" s="163"/>
      <c r="E829" s="164"/>
      <c r="F829" s="165"/>
      <c r="G829" s="166"/>
      <c r="H829" s="167"/>
      <c r="I829" s="167"/>
      <c r="J829" s="167"/>
      <c r="K829" s="167"/>
      <c r="L829" s="167"/>
      <c r="M829" s="167"/>
      <c r="N829" s="167"/>
      <c r="O829" s="167"/>
      <c r="P829" s="164"/>
      <c r="Q829" s="165"/>
      <c r="R829" s="165"/>
      <c r="S829" s="167"/>
      <c r="T829" s="167"/>
      <c r="U829" s="167"/>
      <c r="V829" s="168"/>
      <c r="W829" s="168"/>
      <c r="X829" s="168"/>
      <c r="Y829" s="168"/>
      <c r="Z829" s="168"/>
      <c r="AA829" s="168"/>
      <c r="AB829" s="164"/>
      <c r="AC829" s="165"/>
      <c r="AD829" s="165"/>
      <c r="AE829" s="169"/>
      <c r="AF829" s="169"/>
      <c r="AG829" s="169"/>
      <c r="AH829" s="168"/>
      <c r="AI829" s="168"/>
      <c r="AJ829" s="168"/>
      <c r="AK829" s="170"/>
      <c r="AL829" s="170"/>
    </row>
    <row r="830" ht="15.75" customHeight="1">
      <c r="A830" s="161"/>
      <c r="B830" s="161"/>
      <c r="C830" s="162"/>
      <c r="D830" s="163"/>
      <c r="E830" s="164"/>
      <c r="F830" s="165"/>
      <c r="G830" s="166"/>
      <c r="H830" s="167"/>
      <c r="I830" s="167"/>
      <c r="J830" s="167"/>
      <c r="K830" s="167"/>
      <c r="L830" s="167"/>
      <c r="M830" s="167"/>
      <c r="N830" s="167"/>
      <c r="O830" s="167"/>
      <c r="P830" s="164"/>
      <c r="Q830" s="165"/>
      <c r="R830" s="165"/>
      <c r="S830" s="167"/>
      <c r="T830" s="167"/>
      <c r="U830" s="167"/>
      <c r="V830" s="168"/>
      <c r="W830" s="168"/>
      <c r="X830" s="168"/>
      <c r="Y830" s="168"/>
      <c r="Z830" s="168"/>
      <c r="AA830" s="168"/>
      <c r="AB830" s="164"/>
      <c r="AC830" s="165"/>
      <c r="AD830" s="165"/>
      <c r="AE830" s="169"/>
      <c r="AF830" s="169"/>
      <c r="AG830" s="169"/>
      <c r="AH830" s="168"/>
      <c r="AI830" s="168"/>
      <c r="AJ830" s="168"/>
      <c r="AK830" s="170"/>
      <c r="AL830" s="170"/>
    </row>
    <row r="831" ht="15.75" customHeight="1">
      <c r="A831" s="161"/>
      <c r="B831" s="161"/>
      <c r="C831" s="162"/>
      <c r="D831" s="163"/>
      <c r="E831" s="164"/>
      <c r="F831" s="165"/>
      <c r="G831" s="166"/>
      <c r="H831" s="167"/>
      <c r="I831" s="167"/>
      <c r="J831" s="167"/>
      <c r="K831" s="167"/>
      <c r="L831" s="167"/>
      <c r="M831" s="167"/>
      <c r="N831" s="167"/>
      <c r="O831" s="167"/>
      <c r="P831" s="164"/>
      <c r="Q831" s="165"/>
      <c r="R831" s="165"/>
      <c r="S831" s="167"/>
      <c r="T831" s="167"/>
      <c r="U831" s="167"/>
      <c r="V831" s="168"/>
      <c r="W831" s="168"/>
      <c r="X831" s="168"/>
      <c r="Y831" s="168"/>
      <c r="Z831" s="168"/>
      <c r="AA831" s="168"/>
      <c r="AB831" s="164"/>
      <c r="AC831" s="165"/>
      <c r="AD831" s="165"/>
      <c r="AE831" s="169"/>
      <c r="AF831" s="169"/>
      <c r="AG831" s="169"/>
      <c r="AH831" s="168"/>
      <c r="AI831" s="168"/>
      <c r="AJ831" s="168"/>
      <c r="AK831" s="170"/>
      <c r="AL831" s="170"/>
    </row>
    <row r="832" ht="15.75" customHeight="1">
      <c r="A832" s="161"/>
      <c r="B832" s="161"/>
      <c r="C832" s="162"/>
      <c r="D832" s="163"/>
      <c r="E832" s="164"/>
      <c r="F832" s="165"/>
      <c r="G832" s="166"/>
      <c r="H832" s="167"/>
      <c r="I832" s="167"/>
      <c r="J832" s="167"/>
      <c r="K832" s="167"/>
      <c r="L832" s="167"/>
      <c r="M832" s="167"/>
      <c r="N832" s="167"/>
      <c r="O832" s="167"/>
      <c r="P832" s="164"/>
      <c r="Q832" s="165"/>
      <c r="R832" s="165"/>
      <c r="S832" s="167"/>
      <c r="T832" s="167"/>
      <c r="U832" s="167"/>
      <c r="V832" s="168"/>
      <c r="W832" s="168"/>
      <c r="X832" s="168"/>
      <c r="Y832" s="168"/>
      <c r="Z832" s="168"/>
      <c r="AA832" s="168"/>
      <c r="AB832" s="164"/>
      <c r="AC832" s="165"/>
      <c r="AD832" s="165"/>
      <c r="AE832" s="169"/>
      <c r="AF832" s="169"/>
      <c r="AG832" s="169"/>
      <c r="AH832" s="168"/>
      <c r="AI832" s="168"/>
      <c r="AJ832" s="168"/>
      <c r="AK832" s="170"/>
      <c r="AL832" s="170"/>
    </row>
    <row r="833" ht="15.75" customHeight="1">
      <c r="A833" s="161"/>
      <c r="B833" s="161"/>
      <c r="C833" s="162"/>
      <c r="D833" s="163"/>
      <c r="E833" s="164"/>
      <c r="F833" s="165"/>
      <c r="G833" s="166"/>
      <c r="H833" s="167"/>
      <c r="I833" s="167"/>
      <c r="J833" s="167"/>
      <c r="K833" s="167"/>
      <c r="L833" s="167"/>
      <c r="M833" s="167"/>
      <c r="N833" s="167"/>
      <c r="O833" s="167"/>
      <c r="P833" s="164"/>
      <c r="Q833" s="165"/>
      <c r="R833" s="165"/>
      <c r="S833" s="167"/>
      <c r="T833" s="167"/>
      <c r="U833" s="167"/>
      <c r="V833" s="168"/>
      <c r="W833" s="168"/>
      <c r="X833" s="168"/>
      <c r="Y833" s="168"/>
      <c r="Z833" s="168"/>
      <c r="AA833" s="168"/>
      <c r="AB833" s="164"/>
      <c r="AC833" s="165"/>
      <c r="AD833" s="165"/>
      <c r="AE833" s="169"/>
      <c r="AF833" s="169"/>
      <c r="AG833" s="169"/>
      <c r="AH833" s="168"/>
      <c r="AI833" s="168"/>
      <c r="AJ833" s="168"/>
      <c r="AK833" s="170"/>
      <c r="AL833" s="170"/>
    </row>
    <row r="834" ht="15.75" customHeight="1">
      <c r="A834" s="161"/>
      <c r="B834" s="161"/>
      <c r="C834" s="162"/>
      <c r="D834" s="163"/>
      <c r="E834" s="164"/>
      <c r="F834" s="165"/>
      <c r="G834" s="166"/>
      <c r="H834" s="167"/>
      <c r="I834" s="167"/>
      <c r="J834" s="167"/>
      <c r="K834" s="167"/>
      <c r="L834" s="167"/>
      <c r="M834" s="167"/>
      <c r="N834" s="167"/>
      <c r="O834" s="167"/>
      <c r="P834" s="164"/>
      <c r="Q834" s="165"/>
      <c r="R834" s="165"/>
      <c r="S834" s="167"/>
      <c r="T834" s="167"/>
      <c r="U834" s="167"/>
      <c r="V834" s="168"/>
      <c r="W834" s="168"/>
      <c r="X834" s="168"/>
      <c r="Y834" s="168"/>
      <c r="Z834" s="168"/>
      <c r="AA834" s="168"/>
      <c r="AB834" s="164"/>
      <c r="AC834" s="165"/>
      <c r="AD834" s="165"/>
      <c r="AE834" s="169"/>
      <c r="AF834" s="169"/>
      <c r="AG834" s="169"/>
      <c r="AH834" s="168"/>
      <c r="AI834" s="168"/>
      <c r="AJ834" s="168"/>
      <c r="AK834" s="170"/>
      <c r="AL834" s="170"/>
    </row>
    <row r="835" ht="15.75" customHeight="1">
      <c r="A835" s="161"/>
      <c r="B835" s="161"/>
      <c r="C835" s="162"/>
      <c r="D835" s="163"/>
      <c r="E835" s="164"/>
      <c r="F835" s="165"/>
      <c r="G835" s="166"/>
      <c r="H835" s="167"/>
      <c r="I835" s="167"/>
      <c r="J835" s="167"/>
      <c r="K835" s="167"/>
      <c r="L835" s="167"/>
      <c r="M835" s="167"/>
      <c r="N835" s="167"/>
      <c r="O835" s="167"/>
      <c r="P835" s="164"/>
      <c r="Q835" s="165"/>
      <c r="R835" s="165"/>
      <c r="S835" s="167"/>
      <c r="T835" s="167"/>
      <c r="U835" s="167"/>
      <c r="V835" s="168"/>
      <c r="W835" s="168"/>
      <c r="X835" s="168"/>
      <c r="Y835" s="168"/>
      <c r="Z835" s="168"/>
      <c r="AA835" s="168"/>
      <c r="AB835" s="164"/>
      <c r="AC835" s="165"/>
      <c r="AD835" s="165"/>
      <c r="AE835" s="169"/>
      <c r="AF835" s="169"/>
      <c r="AG835" s="169"/>
      <c r="AH835" s="168"/>
      <c r="AI835" s="168"/>
      <c r="AJ835" s="168"/>
      <c r="AK835" s="170"/>
      <c r="AL835" s="170"/>
    </row>
    <row r="836" ht="15.75" customHeight="1">
      <c r="A836" s="161"/>
      <c r="B836" s="161"/>
      <c r="C836" s="162"/>
      <c r="D836" s="163"/>
      <c r="E836" s="164"/>
      <c r="F836" s="165"/>
      <c r="G836" s="166"/>
      <c r="H836" s="167"/>
      <c r="I836" s="167"/>
      <c r="J836" s="167"/>
      <c r="K836" s="167"/>
      <c r="L836" s="167"/>
      <c r="M836" s="167"/>
      <c r="N836" s="167"/>
      <c r="O836" s="167"/>
      <c r="P836" s="164"/>
      <c r="Q836" s="165"/>
      <c r="R836" s="165"/>
      <c r="S836" s="167"/>
      <c r="T836" s="167"/>
      <c r="U836" s="167"/>
      <c r="V836" s="168"/>
      <c r="W836" s="168"/>
      <c r="X836" s="168"/>
      <c r="Y836" s="168"/>
      <c r="Z836" s="168"/>
      <c r="AA836" s="168"/>
      <c r="AB836" s="164"/>
      <c r="AC836" s="165"/>
      <c r="AD836" s="165"/>
      <c r="AE836" s="169"/>
      <c r="AF836" s="169"/>
      <c r="AG836" s="169"/>
      <c r="AH836" s="168"/>
      <c r="AI836" s="168"/>
      <c r="AJ836" s="168"/>
      <c r="AK836" s="170"/>
      <c r="AL836" s="170"/>
    </row>
    <row r="837" ht="15.75" customHeight="1">
      <c r="A837" s="161"/>
      <c r="B837" s="161"/>
      <c r="C837" s="162"/>
      <c r="D837" s="163"/>
      <c r="E837" s="164"/>
      <c r="F837" s="165"/>
      <c r="G837" s="166"/>
      <c r="H837" s="167"/>
      <c r="I837" s="167"/>
      <c r="J837" s="167"/>
      <c r="K837" s="167"/>
      <c r="L837" s="167"/>
      <c r="M837" s="167"/>
      <c r="N837" s="167"/>
      <c r="O837" s="167"/>
      <c r="P837" s="164"/>
      <c r="Q837" s="165"/>
      <c r="R837" s="165"/>
      <c r="S837" s="167"/>
      <c r="T837" s="167"/>
      <c r="U837" s="167"/>
      <c r="V837" s="168"/>
      <c r="W837" s="168"/>
      <c r="X837" s="168"/>
      <c r="Y837" s="168"/>
      <c r="Z837" s="168"/>
      <c r="AA837" s="168"/>
      <c r="AB837" s="164"/>
      <c r="AC837" s="165"/>
      <c r="AD837" s="165"/>
      <c r="AE837" s="169"/>
      <c r="AF837" s="169"/>
      <c r="AG837" s="169"/>
      <c r="AH837" s="168"/>
      <c r="AI837" s="168"/>
      <c r="AJ837" s="168"/>
      <c r="AK837" s="170"/>
      <c r="AL837" s="170"/>
    </row>
    <row r="838" ht="15.75" customHeight="1">
      <c r="A838" s="161"/>
      <c r="B838" s="161"/>
      <c r="C838" s="162"/>
      <c r="D838" s="163"/>
      <c r="E838" s="164"/>
      <c r="F838" s="165"/>
      <c r="G838" s="166"/>
      <c r="H838" s="167"/>
      <c r="I838" s="167"/>
      <c r="J838" s="167"/>
      <c r="K838" s="167"/>
      <c r="L838" s="167"/>
      <c r="M838" s="167"/>
      <c r="N838" s="167"/>
      <c r="O838" s="167"/>
      <c r="P838" s="164"/>
      <c r="Q838" s="165"/>
      <c r="R838" s="165"/>
      <c r="S838" s="167"/>
      <c r="T838" s="167"/>
      <c r="U838" s="167"/>
      <c r="V838" s="168"/>
      <c r="W838" s="168"/>
      <c r="X838" s="168"/>
      <c r="Y838" s="168"/>
      <c r="Z838" s="168"/>
      <c r="AA838" s="168"/>
      <c r="AB838" s="164"/>
      <c r="AC838" s="165"/>
      <c r="AD838" s="165"/>
      <c r="AE838" s="169"/>
      <c r="AF838" s="169"/>
      <c r="AG838" s="169"/>
      <c r="AH838" s="168"/>
      <c r="AI838" s="168"/>
      <c r="AJ838" s="168"/>
      <c r="AK838" s="170"/>
      <c r="AL838" s="170"/>
    </row>
    <row r="839" ht="15.75" customHeight="1">
      <c r="A839" s="161"/>
      <c r="B839" s="161"/>
      <c r="C839" s="162"/>
      <c r="D839" s="163"/>
      <c r="E839" s="164"/>
      <c r="F839" s="165"/>
      <c r="G839" s="166"/>
      <c r="H839" s="167"/>
      <c r="I839" s="167"/>
      <c r="J839" s="167"/>
      <c r="K839" s="167"/>
      <c r="L839" s="167"/>
      <c r="M839" s="167"/>
      <c r="N839" s="167"/>
      <c r="O839" s="167"/>
      <c r="P839" s="164"/>
      <c r="Q839" s="165"/>
      <c r="R839" s="165"/>
      <c r="S839" s="167"/>
      <c r="T839" s="167"/>
      <c r="U839" s="167"/>
      <c r="V839" s="168"/>
      <c r="W839" s="168"/>
      <c r="X839" s="168"/>
      <c r="Y839" s="168"/>
      <c r="Z839" s="168"/>
      <c r="AA839" s="168"/>
      <c r="AB839" s="164"/>
      <c r="AC839" s="165"/>
      <c r="AD839" s="165"/>
      <c r="AE839" s="169"/>
      <c r="AF839" s="169"/>
      <c r="AG839" s="169"/>
      <c r="AH839" s="168"/>
      <c r="AI839" s="168"/>
      <c r="AJ839" s="168"/>
      <c r="AK839" s="170"/>
      <c r="AL839" s="170"/>
    </row>
    <row r="840" ht="15.75" customHeight="1">
      <c r="A840" s="161"/>
      <c r="B840" s="161"/>
      <c r="C840" s="162"/>
      <c r="D840" s="163"/>
      <c r="E840" s="164"/>
      <c r="F840" s="165"/>
      <c r="G840" s="166"/>
      <c r="H840" s="167"/>
      <c r="I840" s="167"/>
      <c r="J840" s="167"/>
      <c r="K840" s="167"/>
      <c r="L840" s="167"/>
      <c r="M840" s="167"/>
      <c r="N840" s="167"/>
      <c r="O840" s="167"/>
      <c r="P840" s="164"/>
      <c r="Q840" s="165"/>
      <c r="R840" s="165"/>
      <c r="S840" s="167"/>
      <c r="T840" s="167"/>
      <c r="U840" s="167"/>
      <c r="V840" s="168"/>
      <c r="W840" s="168"/>
      <c r="X840" s="168"/>
      <c r="Y840" s="168"/>
      <c r="Z840" s="168"/>
      <c r="AA840" s="168"/>
      <c r="AB840" s="164"/>
      <c r="AC840" s="165"/>
      <c r="AD840" s="165"/>
      <c r="AE840" s="169"/>
      <c r="AF840" s="169"/>
      <c r="AG840" s="169"/>
      <c r="AH840" s="168"/>
      <c r="AI840" s="168"/>
      <c r="AJ840" s="168"/>
      <c r="AK840" s="170"/>
      <c r="AL840" s="170"/>
    </row>
    <row r="841" ht="15.75" customHeight="1">
      <c r="A841" s="161"/>
      <c r="B841" s="161"/>
      <c r="C841" s="162"/>
      <c r="D841" s="163"/>
      <c r="E841" s="164"/>
      <c r="F841" s="165"/>
      <c r="G841" s="166"/>
      <c r="H841" s="167"/>
      <c r="I841" s="167"/>
      <c r="J841" s="167"/>
      <c r="K841" s="167"/>
      <c r="L841" s="167"/>
      <c r="M841" s="167"/>
      <c r="N841" s="167"/>
      <c r="O841" s="167"/>
      <c r="P841" s="164"/>
      <c r="Q841" s="165"/>
      <c r="R841" s="165"/>
      <c r="S841" s="167"/>
      <c r="T841" s="167"/>
      <c r="U841" s="167"/>
      <c r="V841" s="168"/>
      <c r="W841" s="168"/>
      <c r="X841" s="168"/>
      <c r="Y841" s="168"/>
      <c r="Z841" s="168"/>
      <c r="AA841" s="168"/>
      <c r="AB841" s="164"/>
      <c r="AC841" s="165"/>
      <c r="AD841" s="165"/>
      <c r="AE841" s="169"/>
      <c r="AF841" s="169"/>
      <c r="AG841" s="169"/>
      <c r="AH841" s="168"/>
      <c r="AI841" s="168"/>
      <c r="AJ841" s="168"/>
      <c r="AK841" s="170"/>
      <c r="AL841" s="170"/>
    </row>
    <row r="842" ht="15.75" customHeight="1">
      <c r="A842" s="161"/>
      <c r="B842" s="161"/>
      <c r="C842" s="162"/>
      <c r="D842" s="163"/>
      <c r="E842" s="164"/>
      <c r="F842" s="165"/>
      <c r="G842" s="166"/>
      <c r="H842" s="167"/>
      <c r="I842" s="167"/>
      <c r="J842" s="167"/>
      <c r="K842" s="167"/>
      <c r="L842" s="167"/>
      <c r="M842" s="167"/>
      <c r="N842" s="167"/>
      <c r="O842" s="167"/>
      <c r="P842" s="164"/>
      <c r="Q842" s="165"/>
      <c r="R842" s="165"/>
      <c r="S842" s="167"/>
      <c r="T842" s="167"/>
      <c r="U842" s="167"/>
      <c r="V842" s="168"/>
      <c r="W842" s="168"/>
      <c r="X842" s="168"/>
      <c r="Y842" s="168"/>
      <c r="Z842" s="168"/>
      <c r="AA842" s="168"/>
      <c r="AB842" s="164"/>
      <c r="AC842" s="165"/>
      <c r="AD842" s="165"/>
      <c r="AE842" s="169"/>
      <c r="AF842" s="169"/>
      <c r="AG842" s="169"/>
      <c r="AH842" s="168"/>
      <c r="AI842" s="168"/>
      <c r="AJ842" s="168"/>
      <c r="AK842" s="170"/>
      <c r="AL842" s="170"/>
    </row>
    <row r="843" ht="15.75" customHeight="1">
      <c r="A843" s="161"/>
      <c r="B843" s="161"/>
      <c r="C843" s="162"/>
      <c r="D843" s="163"/>
      <c r="E843" s="164"/>
      <c r="F843" s="165"/>
      <c r="G843" s="166"/>
      <c r="H843" s="167"/>
      <c r="I843" s="167"/>
      <c r="J843" s="167"/>
      <c r="K843" s="167"/>
      <c r="L843" s="167"/>
      <c r="M843" s="167"/>
      <c r="N843" s="167"/>
      <c r="O843" s="167"/>
      <c r="P843" s="164"/>
      <c r="Q843" s="165"/>
      <c r="R843" s="165"/>
      <c r="S843" s="167"/>
      <c r="T843" s="167"/>
      <c r="U843" s="167"/>
      <c r="V843" s="168"/>
      <c r="W843" s="168"/>
      <c r="X843" s="168"/>
      <c r="Y843" s="168"/>
      <c r="Z843" s="168"/>
      <c r="AA843" s="168"/>
      <c r="AB843" s="164"/>
      <c r="AC843" s="165"/>
      <c r="AD843" s="165"/>
      <c r="AE843" s="169"/>
      <c r="AF843" s="169"/>
      <c r="AG843" s="169"/>
      <c r="AH843" s="168"/>
      <c r="AI843" s="168"/>
      <c r="AJ843" s="168"/>
      <c r="AK843" s="170"/>
      <c r="AL843" s="170"/>
    </row>
    <row r="844" ht="15.75" customHeight="1">
      <c r="A844" s="161"/>
      <c r="B844" s="161"/>
      <c r="C844" s="162"/>
      <c r="D844" s="163"/>
      <c r="E844" s="164"/>
      <c r="F844" s="165"/>
      <c r="G844" s="166"/>
      <c r="H844" s="167"/>
      <c r="I844" s="167"/>
      <c r="J844" s="167"/>
      <c r="K844" s="167"/>
      <c r="L844" s="167"/>
      <c r="M844" s="167"/>
      <c r="N844" s="167"/>
      <c r="O844" s="167"/>
      <c r="P844" s="164"/>
      <c r="Q844" s="165"/>
      <c r="R844" s="165"/>
      <c r="S844" s="167"/>
      <c r="T844" s="167"/>
      <c r="U844" s="167"/>
      <c r="V844" s="168"/>
      <c r="W844" s="168"/>
      <c r="X844" s="168"/>
      <c r="Y844" s="168"/>
      <c r="Z844" s="168"/>
      <c r="AA844" s="168"/>
      <c r="AB844" s="164"/>
      <c r="AC844" s="165"/>
      <c r="AD844" s="165"/>
      <c r="AE844" s="169"/>
      <c r="AF844" s="169"/>
      <c r="AG844" s="169"/>
      <c r="AH844" s="168"/>
      <c r="AI844" s="168"/>
      <c r="AJ844" s="168"/>
      <c r="AK844" s="170"/>
      <c r="AL844" s="170"/>
    </row>
    <row r="845" ht="15.75" customHeight="1">
      <c r="A845" s="161"/>
      <c r="B845" s="161"/>
      <c r="C845" s="162"/>
      <c r="D845" s="163"/>
      <c r="E845" s="164"/>
      <c r="F845" s="165"/>
      <c r="G845" s="166"/>
      <c r="H845" s="167"/>
      <c r="I845" s="167"/>
      <c r="J845" s="167"/>
      <c r="K845" s="167"/>
      <c r="L845" s="167"/>
      <c r="M845" s="167"/>
      <c r="N845" s="167"/>
      <c r="O845" s="167"/>
      <c r="P845" s="164"/>
      <c r="Q845" s="165"/>
      <c r="R845" s="165"/>
      <c r="S845" s="167"/>
      <c r="T845" s="167"/>
      <c r="U845" s="167"/>
      <c r="V845" s="168"/>
      <c r="W845" s="168"/>
      <c r="X845" s="168"/>
      <c r="Y845" s="168"/>
      <c r="Z845" s="168"/>
      <c r="AA845" s="168"/>
      <c r="AB845" s="164"/>
      <c r="AC845" s="165"/>
      <c r="AD845" s="165"/>
      <c r="AE845" s="169"/>
      <c r="AF845" s="169"/>
      <c r="AG845" s="169"/>
      <c r="AH845" s="168"/>
      <c r="AI845" s="168"/>
      <c r="AJ845" s="168"/>
      <c r="AK845" s="170"/>
      <c r="AL845" s="170"/>
    </row>
    <row r="846" ht="15.75" customHeight="1">
      <c r="A846" s="161"/>
      <c r="B846" s="161"/>
      <c r="C846" s="162"/>
      <c r="D846" s="163"/>
      <c r="E846" s="164"/>
      <c r="F846" s="165"/>
      <c r="G846" s="166"/>
      <c r="H846" s="167"/>
      <c r="I846" s="167"/>
      <c r="J846" s="167"/>
      <c r="K846" s="167"/>
      <c r="L846" s="167"/>
      <c r="M846" s="167"/>
      <c r="N846" s="167"/>
      <c r="O846" s="167"/>
      <c r="P846" s="164"/>
      <c r="Q846" s="165"/>
      <c r="R846" s="165"/>
      <c r="S846" s="167"/>
      <c r="T846" s="167"/>
      <c r="U846" s="167"/>
      <c r="V846" s="168"/>
      <c r="W846" s="168"/>
      <c r="X846" s="168"/>
      <c r="Y846" s="168"/>
      <c r="Z846" s="168"/>
      <c r="AA846" s="168"/>
      <c r="AB846" s="164"/>
      <c r="AC846" s="165"/>
      <c r="AD846" s="165"/>
      <c r="AE846" s="169"/>
      <c r="AF846" s="169"/>
      <c r="AG846" s="169"/>
      <c r="AH846" s="168"/>
      <c r="AI846" s="168"/>
      <c r="AJ846" s="168"/>
      <c r="AK846" s="170"/>
      <c r="AL846" s="170"/>
    </row>
    <row r="847" ht="15.75" customHeight="1">
      <c r="A847" s="161"/>
      <c r="B847" s="161"/>
      <c r="C847" s="162"/>
      <c r="D847" s="163"/>
      <c r="E847" s="164"/>
      <c r="F847" s="165"/>
      <c r="G847" s="166"/>
      <c r="H847" s="167"/>
      <c r="I847" s="167"/>
      <c r="J847" s="167"/>
      <c r="K847" s="167"/>
      <c r="L847" s="167"/>
      <c r="M847" s="167"/>
      <c r="N847" s="167"/>
      <c r="O847" s="167"/>
      <c r="P847" s="164"/>
      <c r="Q847" s="165"/>
      <c r="R847" s="165"/>
      <c r="S847" s="167"/>
      <c r="T847" s="167"/>
      <c r="U847" s="167"/>
      <c r="V847" s="168"/>
      <c r="W847" s="168"/>
      <c r="X847" s="168"/>
      <c r="Y847" s="168"/>
      <c r="Z847" s="168"/>
      <c r="AA847" s="168"/>
      <c r="AB847" s="164"/>
      <c r="AC847" s="165"/>
      <c r="AD847" s="165"/>
      <c r="AE847" s="169"/>
      <c r="AF847" s="169"/>
      <c r="AG847" s="169"/>
      <c r="AH847" s="168"/>
      <c r="AI847" s="168"/>
      <c r="AJ847" s="168"/>
      <c r="AK847" s="170"/>
      <c r="AL847" s="170"/>
    </row>
    <row r="848" ht="15.75" customHeight="1">
      <c r="A848" s="161"/>
      <c r="B848" s="161"/>
      <c r="C848" s="162"/>
      <c r="D848" s="163"/>
      <c r="E848" s="164"/>
      <c r="F848" s="165"/>
      <c r="G848" s="166"/>
      <c r="H848" s="167"/>
      <c r="I848" s="167"/>
      <c r="J848" s="167"/>
      <c r="K848" s="167"/>
      <c r="L848" s="167"/>
      <c r="M848" s="167"/>
      <c r="N848" s="167"/>
      <c r="O848" s="167"/>
      <c r="P848" s="164"/>
      <c r="Q848" s="165"/>
      <c r="R848" s="165"/>
      <c r="S848" s="167"/>
      <c r="T848" s="167"/>
      <c r="U848" s="167"/>
      <c r="V848" s="168"/>
      <c r="W848" s="168"/>
      <c r="X848" s="168"/>
      <c r="Y848" s="168"/>
      <c r="Z848" s="168"/>
      <c r="AA848" s="168"/>
      <c r="AB848" s="164"/>
      <c r="AC848" s="165"/>
      <c r="AD848" s="165"/>
      <c r="AE848" s="169"/>
      <c r="AF848" s="169"/>
      <c r="AG848" s="169"/>
      <c r="AH848" s="168"/>
      <c r="AI848" s="168"/>
      <c r="AJ848" s="168"/>
      <c r="AK848" s="170"/>
      <c r="AL848" s="170"/>
    </row>
    <row r="849" ht="15.75" customHeight="1">
      <c r="A849" s="161"/>
      <c r="B849" s="161"/>
      <c r="C849" s="162"/>
      <c r="D849" s="163"/>
      <c r="E849" s="164"/>
      <c r="F849" s="165"/>
      <c r="G849" s="166"/>
      <c r="H849" s="167"/>
      <c r="I849" s="167"/>
      <c r="J849" s="167"/>
      <c r="K849" s="167"/>
      <c r="L849" s="167"/>
      <c r="M849" s="167"/>
      <c r="N849" s="167"/>
      <c r="O849" s="167"/>
      <c r="P849" s="164"/>
      <c r="Q849" s="165"/>
      <c r="R849" s="165"/>
      <c r="S849" s="167"/>
      <c r="T849" s="167"/>
      <c r="U849" s="167"/>
      <c r="V849" s="168"/>
      <c r="W849" s="168"/>
      <c r="X849" s="168"/>
      <c r="Y849" s="168"/>
      <c r="Z849" s="168"/>
      <c r="AA849" s="168"/>
      <c r="AB849" s="164"/>
      <c r="AC849" s="165"/>
      <c r="AD849" s="165"/>
      <c r="AE849" s="169"/>
      <c r="AF849" s="169"/>
      <c r="AG849" s="169"/>
      <c r="AH849" s="168"/>
      <c r="AI849" s="168"/>
      <c r="AJ849" s="168"/>
      <c r="AK849" s="170"/>
      <c r="AL849" s="170"/>
    </row>
    <row r="850" ht="15.75" customHeight="1">
      <c r="A850" s="161"/>
      <c r="B850" s="161"/>
      <c r="C850" s="162"/>
      <c r="D850" s="163"/>
      <c r="E850" s="164"/>
      <c r="F850" s="165"/>
      <c r="G850" s="166"/>
      <c r="H850" s="167"/>
      <c r="I850" s="167"/>
      <c r="J850" s="167"/>
      <c r="K850" s="167"/>
      <c r="L850" s="167"/>
      <c r="M850" s="167"/>
      <c r="N850" s="167"/>
      <c r="O850" s="167"/>
      <c r="P850" s="164"/>
      <c r="Q850" s="165"/>
      <c r="R850" s="165"/>
      <c r="S850" s="167"/>
      <c r="T850" s="167"/>
      <c r="U850" s="167"/>
      <c r="V850" s="168"/>
      <c r="W850" s="168"/>
      <c r="X850" s="168"/>
      <c r="Y850" s="168"/>
      <c r="Z850" s="168"/>
      <c r="AA850" s="168"/>
      <c r="AB850" s="164"/>
      <c r="AC850" s="165"/>
      <c r="AD850" s="165"/>
      <c r="AE850" s="169"/>
      <c r="AF850" s="169"/>
      <c r="AG850" s="169"/>
      <c r="AH850" s="168"/>
      <c r="AI850" s="168"/>
      <c r="AJ850" s="168"/>
      <c r="AK850" s="170"/>
      <c r="AL850" s="170"/>
    </row>
    <row r="851" ht="15.75" customHeight="1">
      <c r="A851" s="161"/>
      <c r="B851" s="161"/>
      <c r="C851" s="162"/>
      <c r="D851" s="163"/>
      <c r="E851" s="164"/>
      <c r="F851" s="165"/>
      <c r="G851" s="166"/>
      <c r="H851" s="167"/>
      <c r="I851" s="167"/>
      <c r="J851" s="167"/>
      <c r="K851" s="167"/>
      <c r="L851" s="167"/>
      <c r="M851" s="167"/>
      <c r="N851" s="167"/>
      <c r="O851" s="167"/>
      <c r="P851" s="164"/>
      <c r="Q851" s="165"/>
      <c r="R851" s="165"/>
      <c r="S851" s="167"/>
      <c r="T851" s="167"/>
      <c r="U851" s="167"/>
      <c r="V851" s="168"/>
      <c r="W851" s="168"/>
      <c r="X851" s="168"/>
      <c r="Y851" s="168"/>
      <c r="Z851" s="168"/>
      <c r="AA851" s="168"/>
      <c r="AB851" s="164"/>
      <c r="AC851" s="165"/>
      <c r="AD851" s="165"/>
      <c r="AE851" s="169"/>
      <c r="AF851" s="169"/>
      <c r="AG851" s="169"/>
      <c r="AH851" s="168"/>
      <c r="AI851" s="168"/>
      <c r="AJ851" s="168"/>
      <c r="AK851" s="170"/>
      <c r="AL851" s="170"/>
    </row>
    <row r="852" ht="15.75" customHeight="1">
      <c r="A852" s="161"/>
      <c r="B852" s="161"/>
      <c r="C852" s="162"/>
      <c r="D852" s="163"/>
      <c r="E852" s="164"/>
      <c r="F852" s="165"/>
      <c r="G852" s="166"/>
      <c r="H852" s="167"/>
      <c r="I852" s="167"/>
      <c r="J852" s="167"/>
      <c r="K852" s="167"/>
      <c r="L852" s="167"/>
      <c r="M852" s="167"/>
      <c r="N852" s="167"/>
      <c r="O852" s="167"/>
      <c r="P852" s="164"/>
      <c r="Q852" s="165"/>
      <c r="R852" s="165"/>
      <c r="S852" s="167"/>
      <c r="T852" s="167"/>
      <c r="U852" s="167"/>
      <c r="V852" s="168"/>
      <c r="W852" s="168"/>
      <c r="X852" s="168"/>
      <c r="Y852" s="168"/>
      <c r="Z852" s="168"/>
      <c r="AA852" s="168"/>
      <c r="AB852" s="164"/>
      <c r="AC852" s="165"/>
      <c r="AD852" s="165"/>
      <c r="AE852" s="169"/>
      <c r="AF852" s="169"/>
      <c r="AG852" s="169"/>
      <c r="AH852" s="168"/>
      <c r="AI852" s="168"/>
      <c r="AJ852" s="168"/>
      <c r="AK852" s="170"/>
      <c r="AL852" s="170"/>
    </row>
    <row r="853" ht="15.75" customHeight="1">
      <c r="A853" s="161"/>
      <c r="B853" s="161"/>
      <c r="C853" s="162"/>
      <c r="D853" s="163"/>
      <c r="E853" s="164"/>
      <c r="F853" s="165"/>
      <c r="G853" s="166"/>
      <c r="H853" s="167"/>
      <c r="I853" s="167"/>
      <c r="J853" s="167"/>
      <c r="K853" s="167"/>
      <c r="L853" s="167"/>
      <c r="M853" s="167"/>
      <c r="N853" s="167"/>
      <c r="O853" s="167"/>
      <c r="P853" s="164"/>
      <c r="Q853" s="165"/>
      <c r="R853" s="165"/>
      <c r="S853" s="167"/>
      <c r="T853" s="167"/>
      <c r="U853" s="167"/>
      <c r="V853" s="168"/>
      <c r="W853" s="168"/>
      <c r="X853" s="168"/>
      <c r="Y853" s="168"/>
      <c r="Z853" s="168"/>
      <c r="AA853" s="168"/>
      <c r="AB853" s="164"/>
      <c r="AC853" s="165"/>
      <c r="AD853" s="165"/>
      <c r="AE853" s="169"/>
      <c r="AF853" s="169"/>
      <c r="AG853" s="169"/>
      <c r="AH853" s="168"/>
      <c r="AI853" s="168"/>
      <c r="AJ853" s="168"/>
      <c r="AK853" s="170"/>
      <c r="AL853" s="170"/>
    </row>
    <row r="854" ht="15.75" customHeight="1">
      <c r="A854" s="161"/>
      <c r="B854" s="161"/>
      <c r="C854" s="162"/>
      <c r="D854" s="163"/>
      <c r="E854" s="164"/>
      <c r="F854" s="165"/>
      <c r="G854" s="166"/>
      <c r="H854" s="167"/>
      <c r="I854" s="167"/>
      <c r="J854" s="167"/>
      <c r="K854" s="167"/>
      <c r="L854" s="167"/>
      <c r="M854" s="167"/>
      <c r="N854" s="167"/>
      <c r="O854" s="167"/>
      <c r="P854" s="164"/>
      <c r="Q854" s="165"/>
      <c r="R854" s="165"/>
      <c r="S854" s="167"/>
      <c r="T854" s="167"/>
      <c r="U854" s="167"/>
      <c r="V854" s="168"/>
      <c r="W854" s="168"/>
      <c r="X854" s="168"/>
      <c r="Y854" s="168"/>
      <c r="Z854" s="168"/>
      <c r="AA854" s="168"/>
      <c r="AB854" s="164"/>
      <c r="AC854" s="165"/>
      <c r="AD854" s="165"/>
      <c r="AE854" s="169"/>
      <c r="AF854" s="169"/>
      <c r="AG854" s="169"/>
      <c r="AH854" s="168"/>
      <c r="AI854" s="168"/>
      <c r="AJ854" s="168"/>
      <c r="AK854" s="170"/>
      <c r="AL854" s="170"/>
    </row>
    <row r="855" ht="15.75" customHeight="1">
      <c r="A855" s="161"/>
      <c r="B855" s="161"/>
      <c r="C855" s="162"/>
      <c r="D855" s="163"/>
      <c r="E855" s="164"/>
      <c r="F855" s="165"/>
      <c r="G855" s="166"/>
      <c r="H855" s="167"/>
      <c r="I855" s="167"/>
      <c r="J855" s="167"/>
      <c r="K855" s="167"/>
      <c r="L855" s="167"/>
      <c r="M855" s="167"/>
      <c r="N855" s="167"/>
      <c r="O855" s="167"/>
      <c r="P855" s="164"/>
      <c r="Q855" s="165"/>
      <c r="R855" s="165"/>
      <c r="S855" s="167"/>
      <c r="T855" s="167"/>
      <c r="U855" s="167"/>
      <c r="V855" s="168"/>
      <c r="W855" s="168"/>
      <c r="X855" s="168"/>
      <c r="Y855" s="168"/>
      <c r="Z855" s="168"/>
      <c r="AA855" s="168"/>
      <c r="AB855" s="164"/>
      <c r="AC855" s="165"/>
      <c r="AD855" s="165"/>
      <c r="AE855" s="169"/>
      <c r="AF855" s="169"/>
      <c r="AG855" s="169"/>
      <c r="AH855" s="168"/>
      <c r="AI855" s="168"/>
      <c r="AJ855" s="168"/>
      <c r="AK855" s="170"/>
      <c r="AL855" s="170"/>
    </row>
    <row r="856" ht="15.75" customHeight="1">
      <c r="A856" s="161"/>
      <c r="B856" s="161"/>
      <c r="C856" s="162"/>
      <c r="D856" s="163"/>
      <c r="E856" s="164"/>
      <c r="F856" s="165"/>
      <c r="G856" s="166"/>
      <c r="H856" s="167"/>
      <c r="I856" s="167"/>
      <c r="J856" s="167"/>
      <c r="K856" s="167"/>
      <c r="L856" s="167"/>
      <c r="M856" s="167"/>
      <c r="N856" s="167"/>
      <c r="O856" s="167"/>
      <c r="P856" s="164"/>
      <c r="Q856" s="165"/>
      <c r="R856" s="165"/>
      <c r="S856" s="167"/>
      <c r="T856" s="167"/>
      <c r="U856" s="167"/>
      <c r="V856" s="168"/>
      <c r="W856" s="168"/>
      <c r="X856" s="168"/>
      <c r="Y856" s="168"/>
      <c r="Z856" s="168"/>
      <c r="AA856" s="168"/>
      <c r="AB856" s="164"/>
      <c r="AC856" s="165"/>
      <c r="AD856" s="165"/>
      <c r="AE856" s="169"/>
      <c r="AF856" s="169"/>
      <c r="AG856" s="169"/>
      <c r="AH856" s="168"/>
      <c r="AI856" s="168"/>
      <c r="AJ856" s="168"/>
      <c r="AK856" s="170"/>
      <c r="AL856" s="170"/>
    </row>
    <row r="857" ht="15.75" customHeight="1">
      <c r="A857" s="161"/>
      <c r="B857" s="161"/>
      <c r="C857" s="162"/>
      <c r="D857" s="163"/>
      <c r="E857" s="164"/>
      <c r="F857" s="165"/>
      <c r="G857" s="166"/>
      <c r="H857" s="167"/>
      <c r="I857" s="167"/>
      <c r="J857" s="167"/>
      <c r="K857" s="167"/>
      <c r="L857" s="167"/>
      <c r="M857" s="167"/>
      <c r="N857" s="167"/>
      <c r="O857" s="167"/>
      <c r="P857" s="164"/>
      <c r="Q857" s="165"/>
      <c r="R857" s="165"/>
      <c r="S857" s="167"/>
      <c r="T857" s="167"/>
      <c r="U857" s="167"/>
      <c r="V857" s="168"/>
      <c r="W857" s="168"/>
      <c r="X857" s="168"/>
      <c r="Y857" s="168"/>
      <c r="Z857" s="168"/>
      <c r="AA857" s="168"/>
      <c r="AB857" s="164"/>
      <c r="AC857" s="165"/>
      <c r="AD857" s="165"/>
      <c r="AE857" s="169"/>
      <c r="AF857" s="169"/>
      <c r="AG857" s="169"/>
      <c r="AH857" s="168"/>
      <c r="AI857" s="168"/>
      <c r="AJ857" s="168"/>
      <c r="AK857" s="170"/>
      <c r="AL857" s="170"/>
    </row>
    <row r="858" ht="15.75" customHeight="1">
      <c r="A858" s="161"/>
      <c r="B858" s="161"/>
      <c r="C858" s="162"/>
      <c r="D858" s="163"/>
      <c r="E858" s="164"/>
      <c r="F858" s="165"/>
      <c r="G858" s="166"/>
      <c r="H858" s="167"/>
      <c r="I858" s="167"/>
      <c r="J858" s="167"/>
      <c r="K858" s="167"/>
      <c r="L858" s="167"/>
      <c r="M858" s="167"/>
      <c r="N858" s="167"/>
      <c r="O858" s="167"/>
      <c r="P858" s="164"/>
      <c r="Q858" s="165"/>
      <c r="R858" s="165"/>
      <c r="S858" s="167"/>
      <c r="T858" s="167"/>
      <c r="U858" s="167"/>
      <c r="V858" s="168"/>
      <c r="W858" s="168"/>
      <c r="X858" s="168"/>
      <c r="Y858" s="168"/>
      <c r="Z858" s="168"/>
      <c r="AA858" s="168"/>
      <c r="AB858" s="164"/>
      <c r="AC858" s="165"/>
      <c r="AD858" s="165"/>
      <c r="AE858" s="169"/>
      <c r="AF858" s="169"/>
      <c r="AG858" s="169"/>
      <c r="AH858" s="168"/>
      <c r="AI858" s="168"/>
      <c r="AJ858" s="168"/>
      <c r="AK858" s="170"/>
      <c r="AL858" s="170"/>
    </row>
    <row r="859" ht="15.75" customHeight="1">
      <c r="A859" s="161"/>
      <c r="B859" s="161"/>
      <c r="C859" s="162"/>
      <c r="D859" s="163"/>
      <c r="E859" s="164"/>
      <c r="F859" s="165"/>
      <c r="G859" s="166"/>
      <c r="H859" s="167"/>
      <c r="I859" s="167"/>
      <c r="J859" s="167"/>
      <c r="K859" s="167"/>
      <c r="L859" s="167"/>
      <c r="M859" s="167"/>
      <c r="N859" s="167"/>
      <c r="O859" s="167"/>
      <c r="P859" s="164"/>
      <c r="Q859" s="165"/>
      <c r="R859" s="165"/>
      <c r="S859" s="167"/>
      <c r="T859" s="167"/>
      <c r="U859" s="167"/>
      <c r="V859" s="168"/>
      <c r="W859" s="168"/>
      <c r="X859" s="168"/>
      <c r="Y859" s="168"/>
      <c r="Z859" s="168"/>
      <c r="AA859" s="168"/>
      <c r="AB859" s="164"/>
      <c r="AC859" s="165"/>
      <c r="AD859" s="165"/>
      <c r="AE859" s="169"/>
      <c r="AF859" s="169"/>
      <c r="AG859" s="169"/>
      <c r="AH859" s="168"/>
      <c r="AI859" s="168"/>
      <c r="AJ859" s="168"/>
      <c r="AK859" s="170"/>
      <c r="AL859" s="170"/>
    </row>
    <row r="860" ht="15.75" customHeight="1">
      <c r="A860" s="161"/>
      <c r="B860" s="161"/>
      <c r="C860" s="162"/>
      <c r="D860" s="163"/>
      <c r="E860" s="164"/>
      <c r="F860" s="165"/>
      <c r="G860" s="166"/>
      <c r="H860" s="167"/>
      <c r="I860" s="167"/>
      <c r="J860" s="167"/>
      <c r="K860" s="167"/>
      <c r="L860" s="167"/>
      <c r="M860" s="167"/>
      <c r="N860" s="167"/>
      <c r="O860" s="167"/>
      <c r="P860" s="164"/>
      <c r="Q860" s="165"/>
      <c r="R860" s="165"/>
      <c r="S860" s="167"/>
      <c r="T860" s="167"/>
      <c r="U860" s="167"/>
      <c r="V860" s="168"/>
      <c r="W860" s="168"/>
      <c r="X860" s="168"/>
      <c r="Y860" s="168"/>
      <c r="Z860" s="168"/>
      <c r="AA860" s="168"/>
      <c r="AB860" s="164"/>
      <c r="AC860" s="165"/>
      <c r="AD860" s="165"/>
      <c r="AE860" s="169"/>
      <c r="AF860" s="169"/>
      <c r="AG860" s="169"/>
      <c r="AH860" s="168"/>
      <c r="AI860" s="168"/>
      <c r="AJ860" s="168"/>
      <c r="AK860" s="170"/>
      <c r="AL860" s="170"/>
    </row>
    <row r="861" ht="15.75" customHeight="1">
      <c r="A861" s="161"/>
      <c r="B861" s="161"/>
      <c r="C861" s="162"/>
      <c r="D861" s="163"/>
      <c r="E861" s="164"/>
      <c r="F861" s="165"/>
      <c r="G861" s="166"/>
      <c r="H861" s="167"/>
      <c r="I861" s="167"/>
      <c r="J861" s="167"/>
      <c r="K861" s="167"/>
      <c r="L861" s="167"/>
      <c r="M861" s="167"/>
      <c r="N861" s="167"/>
      <c r="O861" s="167"/>
      <c r="P861" s="164"/>
      <c r="Q861" s="165"/>
      <c r="R861" s="165"/>
      <c r="S861" s="167"/>
      <c r="T861" s="167"/>
      <c r="U861" s="167"/>
      <c r="V861" s="168"/>
      <c r="W861" s="168"/>
      <c r="X861" s="168"/>
      <c r="Y861" s="168"/>
      <c r="Z861" s="168"/>
      <c r="AA861" s="168"/>
      <c r="AB861" s="164"/>
      <c r="AC861" s="165"/>
      <c r="AD861" s="165"/>
      <c r="AE861" s="169"/>
      <c r="AF861" s="169"/>
      <c r="AG861" s="169"/>
      <c r="AH861" s="168"/>
      <c r="AI861" s="168"/>
      <c r="AJ861" s="168"/>
      <c r="AK861" s="170"/>
      <c r="AL861" s="170"/>
    </row>
    <row r="862" ht="15.75" customHeight="1">
      <c r="A862" s="161"/>
      <c r="B862" s="161"/>
      <c r="C862" s="162"/>
      <c r="D862" s="163"/>
      <c r="E862" s="164"/>
      <c r="F862" s="165"/>
      <c r="G862" s="166"/>
      <c r="H862" s="167"/>
      <c r="I862" s="167"/>
      <c r="J862" s="167"/>
      <c r="K862" s="167"/>
      <c r="L862" s="167"/>
      <c r="M862" s="167"/>
      <c r="N862" s="167"/>
      <c r="O862" s="167"/>
      <c r="P862" s="164"/>
      <c r="Q862" s="165"/>
      <c r="R862" s="165"/>
      <c r="S862" s="167"/>
      <c r="T862" s="167"/>
      <c r="U862" s="167"/>
      <c r="V862" s="168"/>
      <c r="W862" s="168"/>
      <c r="X862" s="168"/>
      <c r="Y862" s="168"/>
      <c r="Z862" s="168"/>
      <c r="AA862" s="168"/>
      <c r="AB862" s="164"/>
      <c r="AC862" s="165"/>
      <c r="AD862" s="165"/>
      <c r="AE862" s="169"/>
      <c r="AF862" s="169"/>
      <c r="AG862" s="169"/>
      <c r="AH862" s="168"/>
      <c r="AI862" s="168"/>
      <c r="AJ862" s="168"/>
      <c r="AK862" s="170"/>
      <c r="AL862" s="170"/>
    </row>
    <row r="863" ht="15.75" customHeight="1">
      <c r="A863" s="161"/>
      <c r="B863" s="161"/>
      <c r="C863" s="162"/>
      <c r="D863" s="163"/>
      <c r="E863" s="164"/>
      <c r="F863" s="165"/>
      <c r="G863" s="166"/>
      <c r="H863" s="167"/>
      <c r="I863" s="167"/>
      <c r="J863" s="167"/>
      <c r="K863" s="167"/>
      <c r="L863" s="167"/>
      <c r="M863" s="167"/>
      <c r="N863" s="167"/>
      <c r="O863" s="167"/>
      <c r="P863" s="164"/>
      <c r="Q863" s="165"/>
      <c r="R863" s="165"/>
      <c r="S863" s="167"/>
      <c r="T863" s="167"/>
      <c r="U863" s="167"/>
      <c r="V863" s="168"/>
      <c r="W863" s="168"/>
      <c r="X863" s="168"/>
      <c r="Y863" s="168"/>
      <c r="Z863" s="168"/>
      <c r="AA863" s="168"/>
      <c r="AB863" s="164"/>
      <c r="AC863" s="165"/>
      <c r="AD863" s="165"/>
      <c r="AE863" s="169"/>
      <c r="AF863" s="169"/>
      <c r="AG863" s="169"/>
      <c r="AH863" s="168"/>
      <c r="AI863" s="168"/>
      <c r="AJ863" s="168"/>
      <c r="AK863" s="170"/>
      <c r="AL863" s="170"/>
    </row>
    <row r="864" ht="15.75" customHeight="1">
      <c r="A864" s="161"/>
      <c r="B864" s="161"/>
      <c r="C864" s="162"/>
      <c r="D864" s="163"/>
      <c r="E864" s="164"/>
      <c r="F864" s="165"/>
      <c r="G864" s="166"/>
      <c r="H864" s="167"/>
      <c r="I864" s="167"/>
      <c r="J864" s="167"/>
      <c r="K864" s="167"/>
      <c r="L864" s="167"/>
      <c r="M864" s="167"/>
      <c r="N864" s="167"/>
      <c r="O864" s="167"/>
      <c r="P864" s="164"/>
      <c r="Q864" s="165"/>
      <c r="R864" s="165"/>
      <c r="S864" s="167"/>
      <c r="T864" s="167"/>
      <c r="U864" s="167"/>
      <c r="V864" s="168"/>
      <c r="W864" s="168"/>
      <c r="X864" s="168"/>
      <c r="Y864" s="168"/>
      <c r="Z864" s="168"/>
      <c r="AA864" s="168"/>
      <c r="AB864" s="164"/>
      <c r="AC864" s="165"/>
      <c r="AD864" s="165"/>
      <c r="AE864" s="169"/>
      <c r="AF864" s="169"/>
      <c r="AG864" s="169"/>
      <c r="AH864" s="168"/>
      <c r="AI864" s="168"/>
      <c r="AJ864" s="168"/>
      <c r="AK864" s="170"/>
      <c r="AL864" s="170"/>
    </row>
    <row r="865" ht="15.75" customHeight="1">
      <c r="A865" s="161"/>
      <c r="B865" s="161"/>
      <c r="C865" s="162"/>
      <c r="D865" s="163"/>
      <c r="E865" s="164"/>
      <c r="F865" s="165"/>
      <c r="G865" s="166"/>
      <c r="H865" s="167"/>
      <c r="I865" s="167"/>
      <c r="J865" s="167"/>
      <c r="K865" s="167"/>
      <c r="L865" s="167"/>
      <c r="M865" s="167"/>
      <c r="N865" s="167"/>
      <c r="O865" s="167"/>
      <c r="P865" s="164"/>
      <c r="Q865" s="165"/>
      <c r="R865" s="165"/>
      <c r="S865" s="167"/>
      <c r="T865" s="167"/>
      <c r="U865" s="167"/>
      <c r="V865" s="168"/>
      <c r="W865" s="168"/>
      <c r="X865" s="168"/>
      <c r="Y865" s="168"/>
      <c r="Z865" s="168"/>
      <c r="AA865" s="168"/>
      <c r="AB865" s="164"/>
      <c r="AC865" s="165"/>
      <c r="AD865" s="165"/>
      <c r="AE865" s="169"/>
      <c r="AF865" s="169"/>
      <c r="AG865" s="169"/>
      <c r="AH865" s="168"/>
      <c r="AI865" s="168"/>
      <c r="AJ865" s="168"/>
      <c r="AK865" s="170"/>
      <c r="AL865" s="170"/>
    </row>
    <row r="866" ht="15.75" customHeight="1">
      <c r="A866" s="161"/>
      <c r="B866" s="161"/>
      <c r="C866" s="162"/>
      <c r="D866" s="163"/>
      <c r="E866" s="164"/>
      <c r="F866" s="165"/>
      <c r="G866" s="166"/>
      <c r="H866" s="167"/>
      <c r="I866" s="167"/>
      <c r="J866" s="167"/>
      <c r="K866" s="167"/>
      <c r="L866" s="167"/>
      <c r="M866" s="167"/>
      <c r="N866" s="167"/>
      <c r="O866" s="167"/>
      <c r="P866" s="164"/>
      <c r="Q866" s="165"/>
      <c r="R866" s="165"/>
      <c r="S866" s="167"/>
      <c r="T866" s="167"/>
      <c r="U866" s="167"/>
      <c r="V866" s="168"/>
      <c r="W866" s="168"/>
      <c r="X866" s="168"/>
      <c r="Y866" s="168"/>
      <c r="Z866" s="168"/>
      <c r="AA866" s="168"/>
      <c r="AB866" s="164"/>
      <c r="AC866" s="165"/>
      <c r="AD866" s="165"/>
      <c r="AE866" s="169"/>
      <c r="AF866" s="169"/>
      <c r="AG866" s="169"/>
      <c r="AH866" s="168"/>
      <c r="AI866" s="168"/>
      <c r="AJ866" s="168"/>
      <c r="AK866" s="170"/>
      <c r="AL866" s="170"/>
    </row>
    <row r="867" ht="15.75" customHeight="1">
      <c r="A867" s="161"/>
      <c r="B867" s="161"/>
      <c r="C867" s="162"/>
      <c r="D867" s="163"/>
      <c r="E867" s="164"/>
      <c r="F867" s="165"/>
      <c r="G867" s="166"/>
      <c r="H867" s="167"/>
      <c r="I867" s="167"/>
      <c r="J867" s="167"/>
      <c r="K867" s="167"/>
      <c r="L867" s="167"/>
      <c r="M867" s="167"/>
      <c r="N867" s="167"/>
      <c r="O867" s="167"/>
      <c r="P867" s="164"/>
      <c r="Q867" s="165"/>
      <c r="R867" s="165"/>
      <c r="S867" s="167"/>
      <c r="T867" s="167"/>
      <c r="U867" s="167"/>
      <c r="V867" s="168"/>
      <c r="W867" s="168"/>
      <c r="X867" s="168"/>
      <c r="Y867" s="168"/>
      <c r="Z867" s="168"/>
      <c r="AA867" s="168"/>
      <c r="AB867" s="164"/>
      <c r="AC867" s="165"/>
      <c r="AD867" s="165"/>
      <c r="AE867" s="169"/>
      <c r="AF867" s="169"/>
      <c r="AG867" s="169"/>
      <c r="AH867" s="168"/>
      <c r="AI867" s="168"/>
      <c r="AJ867" s="168"/>
      <c r="AK867" s="170"/>
      <c r="AL867" s="170"/>
    </row>
    <row r="868" ht="15.75" customHeight="1">
      <c r="A868" s="161"/>
      <c r="B868" s="161"/>
      <c r="C868" s="162"/>
      <c r="D868" s="163"/>
      <c r="E868" s="164"/>
      <c r="F868" s="165"/>
      <c r="G868" s="166"/>
      <c r="H868" s="167"/>
      <c r="I868" s="167"/>
      <c r="J868" s="167"/>
      <c r="K868" s="167"/>
      <c r="L868" s="167"/>
      <c r="M868" s="167"/>
      <c r="N868" s="167"/>
      <c r="O868" s="167"/>
      <c r="P868" s="164"/>
      <c r="Q868" s="165"/>
      <c r="R868" s="165"/>
      <c r="S868" s="167"/>
      <c r="T868" s="167"/>
      <c r="U868" s="167"/>
      <c r="V868" s="168"/>
      <c r="W868" s="168"/>
      <c r="X868" s="168"/>
      <c r="Y868" s="168"/>
      <c r="Z868" s="168"/>
      <c r="AA868" s="168"/>
      <c r="AB868" s="164"/>
      <c r="AC868" s="165"/>
      <c r="AD868" s="165"/>
      <c r="AE868" s="169"/>
      <c r="AF868" s="169"/>
      <c r="AG868" s="169"/>
      <c r="AH868" s="168"/>
      <c r="AI868" s="168"/>
      <c r="AJ868" s="168"/>
      <c r="AK868" s="170"/>
      <c r="AL868" s="170"/>
    </row>
    <row r="869" ht="15.75" customHeight="1">
      <c r="A869" s="161"/>
      <c r="B869" s="161"/>
      <c r="C869" s="162"/>
      <c r="D869" s="163"/>
      <c r="E869" s="164"/>
      <c r="F869" s="165"/>
      <c r="G869" s="166"/>
      <c r="H869" s="167"/>
      <c r="I869" s="167"/>
      <c r="J869" s="167"/>
      <c r="K869" s="167"/>
      <c r="L869" s="167"/>
      <c r="M869" s="167"/>
      <c r="N869" s="167"/>
      <c r="O869" s="167"/>
      <c r="P869" s="164"/>
      <c r="Q869" s="165"/>
      <c r="R869" s="165"/>
      <c r="S869" s="167"/>
      <c r="T869" s="167"/>
      <c r="U869" s="167"/>
      <c r="V869" s="168"/>
      <c r="W869" s="168"/>
      <c r="X869" s="168"/>
      <c r="Y869" s="168"/>
      <c r="Z869" s="168"/>
      <c r="AA869" s="168"/>
      <c r="AB869" s="164"/>
      <c r="AC869" s="165"/>
      <c r="AD869" s="165"/>
      <c r="AE869" s="169"/>
      <c r="AF869" s="169"/>
      <c r="AG869" s="169"/>
      <c r="AH869" s="168"/>
      <c r="AI869" s="168"/>
      <c r="AJ869" s="168"/>
      <c r="AK869" s="170"/>
      <c r="AL869" s="170"/>
    </row>
    <row r="870" ht="15.75" customHeight="1">
      <c r="A870" s="161"/>
      <c r="B870" s="161"/>
      <c r="C870" s="162"/>
      <c r="D870" s="163"/>
      <c r="E870" s="164"/>
      <c r="F870" s="165"/>
      <c r="G870" s="166"/>
      <c r="H870" s="167"/>
      <c r="I870" s="167"/>
      <c r="J870" s="167"/>
      <c r="K870" s="167"/>
      <c r="L870" s="167"/>
      <c r="M870" s="167"/>
      <c r="N870" s="167"/>
      <c r="O870" s="167"/>
      <c r="P870" s="164"/>
      <c r="Q870" s="165"/>
      <c r="R870" s="165"/>
      <c r="S870" s="167"/>
      <c r="T870" s="167"/>
      <c r="U870" s="167"/>
      <c r="V870" s="168"/>
      <c r="W870" s="168"/>
      <c r="X870" s="168"/>
      <c r="Y870" s="168"/>
      <c r="Z870" s="168"/>
      <c r="AA870" s="168"/>
      <c r="AB870" s="164"/>
      <c r="AC870" s="165"/>
      <c r="AD870" s="165"/>
      <c r="AE870" s="169"/>
      <c r="AF870" s="169"/>
      <c r="AG870" s="169"/>
      <c r="AH870" s="168"/>
      <c r="AI870" s="168"/>
      <c r="AJ870" s="168"/>
      <c r="AK870" s="170"/>
      <c r="AL870" s="170"/>
    </row>
    <row r="871" ht="15.75" customHeight="1">
      <c r="A871" s="161"/>
      <c r="B871" s="161"/>
      <c r="C871" s="162"/>
      <c r="D871" s="163"/>
      <c r="E871" s="164"/>
      <c r="F871" s="165"/>
      <c r="G871" s="166"/>
      <c r="H871" s="167"/>
      <c r="I871" s="167"/>
      <c r="J871" s="167"/>
      <c r="K871" s="167"/>
      <c r="L871" s="167"/>
      <c r="M871" s="167"/>
      <c r="N871" s="167"/>
      <c r="O871" s="167"/>
      <c r="P871" s="164"/>
      <c r="Q871" s="165"/>
      <c r="R871" s="165"/>
      <c r="S871" s="167"/>
      <c r="T871" s="167"/>
      <c r="U871" s="167"/>
      <c r="V871" s="168"/>
      <c r="W871" s="168"/>
      <c r="X871" s="168"/>
      <c r="Y871" s="168"/>
      <c r="Z871" s="168"/>
      <c r="AA871" s="168"/>
      <c r="AB871" s="164"/>
      <c r="AC871" s="165"/>
      <c r="AD871" s="165"/>
      <c r="AE871" s="169"/>
      <c r="AF871" s="169"/>
      <c r="AG871" s="169"/>
      <c r="AH871" s="168"/>
      <c r="AI871" s="168"/>
      <c r="AJ871" s="168"/>
      <c r="AK871" s="170"/>
      <c r="AL871" s="170"/>
    </row>
    <row r="872" ht="15.75" customHeight="1">
      <c r="A872" s="161"/>
      <c r="B872" s="161"/>
      <c r="C872" s="162"/>
      <c r="D872" s="163"/>
      <c r="E872" s="164"/>
      <c r="F872" s="165"/>
      <c r="G872" s="166"/>
      <c r="H872" s="167"/>
      <c r="I872" s="167"/>
      <c r="J872" s="167"/>
      <c r="K872" s="167"/>
      <c r="L872" s="167"/>
      <c r="M872" s="167"/>
      <c r="N872" s="167"/>
      <c r="O872" s="167"/>
      <c r="P872" s="164"/>
      <c r="Q872" s="165"/>
      <c r="R872" s="165"/>
      <c r="S872" s="167"/>
      <c r="T872" s="167"/>
      <c r="U872" s="167"/>
      <c r="V872" s="168"/>
      <c r="W872" s="168"/>
      <c r="X872" s="168"/>
      <c r="Y872" s="168"/>
      <c r="Z872" s="168"/>
      <c r="AA872" s="168"/>
      <c r="AB872" s="164"/>
      <c r="AC872" s="165"/>
      <c r="AD872" s="165"/>
      <c r="AE872" s="169"/>
      <c r="AF872" s="169"/>
      <c r="AG872" s="169"/>
      <c r="AH872" s="168"/>
      <c r="AI872" s="168"/>
      <c r="AJ872" s="168"/>
      <c r="AK872" s="170"/>
      <c r="AL872" s="170"/>
    </row>
    <row r="873" ht="15.75" customHeight="1">
      <c r="A873" s="161"/>
      <c r="B873" s="161"/>
      <c r="C873" s="162"/>
      <c r="D873" s="163"/>
      <c r="E873" s="164"/>
      <c r="F873" s="165"/>
      <c r="G873" s="166"/>
      <c r="H873" s="167"/>
      <c r="I873" s="167"/>
      <c r="J873" s="167"/>
      <c r="K873" s="167"/>
      <c r="L873" s="167"/>
      <c r="M873" s="167"/>
      <c r="N873" s="167"/>
      <c r="O873" s="167"/>
      <c r="P873" s="164"/>
      <c r="Q873" s="165"/>
      <c r="R873" s="165"/>
      <c r="S873" s="167"/>
      <c r="T873" s="167"/>
      <c r="U873" s="167"/>
      <c r="V873" s="168"/>
      <c r="W873" s="168"/>
      <c r="X873" s="168"/>
      <c r="Y873" s="168"/>
      <c r="Z873" s="168"/>
      <c r="AA873" s="168"/>
      <c r="AB873" s="164"/>
      <c r="AC873" s="165"/>
      <c r="AD873" s="165"/>
      <c r="AE873" s="169"/>
      <c r="AF873" s="169"/>
      <c r="AG873" s="169"/>
      <c r="AH873" s="168"/>
      <c r="AI873" s="168"/>
      <c r="AJ873" s="168"/>
      <c r="AK873" s="170"/>
      <c r="AL873" s="170"/>
    </row>
    <row r="874" ht="15.75" customHeight="1">
      <c r="A874" s="161"/>
      <c r="B874" s="161"/>
      <c r="C874" s="162"/>
      <c r="D874" s="163"/>
      <c r="E874" s="164"/>
      <c r="F874" s="165"/>
      <c r="G874" s="166"/>
      <c r="H874" s="167"/>
      <c r="I874" s="167"/>
      <c r="J874" s="167"/>
      <c r="K874" s="167"/>
      <c r="L874" s="167"/>
      <c r="M874" s="167"/>
      <c r="N874" s="167"/>
      <c r="O874" s="167"/>
      <c r="P874" s="164"/>
      <c r="Q874" s="165"/>
      <c r="R874" s="165"/>
      <c r="S874" s="167"/>
      <c r="T874" s="167"/>
      <c r="U874" s="167"/>
      <c r="V874" s="168"/>
      <c r="W874" s="168"/>
      <c r="X874" s="168"/>
      <c r="Y874" s="168"/>
      <c r="Z874" s="168"/>
      <c r="AA874" s="168"/>
      <c r="AB874" s="164"/>
      <c r="AC874" s="165"/>
      <c r="AD874" s="165"/>
      <c r="AE874" s="169"/>
      <c r="AF874" s="169"/>
      <c r="AG874" s="169"/>
      <c r="AH874" s="168"/>
      <c r="AI874" s="168"/>
      <c r="AJ874" s="168"/>
      <c r="AK874" s="170"/>
      <c r="AL874" s="170"/>
    </row>
    <row r="875" ht="15.75" customHeight="1">
      <c r="A875" s="161"/>
      <c r="B875" s="161"/>
      <c r="C875" s="162"/>
      <c r="D875" s="163"/>
      <c r="E875" s="164"/>
      <c r="F875" s="165"/>
      <c r="G875" s="166"/>
      <c r="H875" s="167"/>
      <c r="I875" s="167"/>
      <c r="J875" s="167"/>
      <c r="K875" s="167"/>
      <c r="L875" s="167"/>
      <c r="M875" s="167"/>
      <c r="N875" s="167"/>
      <c r="O875" s="167"/>
      <c r="P875" s="164"/>
      <c r="Q875" s="165"/>
      <c r="R875" s="165"/>
      <c r="S875" s="167"/>
      <c r="T875" s="167"/>
      <c r="U875" s="167"/>
      <c r="V875" s="168"/>
      <c r="W875" s="168"/>
      <c r="X875" s="168"/>
      <c r="Y875" s="168"/>
      <c r="Z875" s="168"/>
      <c r="AA875" s="168"/>
      <c r="AB875" s="164"/>
      <c r="AC875" s="165"/>
      <c r="AD875" s="165"/>
      <c r="AE875" s="169"/>
      <c r="AF875" s="169"/>
      <c r="AG875" s="169"/>
      <c r="AH875" s="168"/>
      <c r="AI875" s="168"/>
      <c r="AJ875" s="168"/>
      <c r="AK875" s="170"/>
      <c r="AL875" s="170"/>
    </row>
    <row r="876" ht="15.75" customHeight="1">
      <c r="A876" s="161"/>
      <c r="B876" s="161"/>
      <c r="C876" s="162"/>
      <c r="D876" s="163"/>
      <c r="E876" s="164"/>
      <c r="F876" s="165"/>
      <c r="G876" s="166"/>
      <c r="H876" s="167"/>
      <c r="I876" s="167"/>
      <c r="J876" s="167"/>
      <c r="K876" s="167"/>
      <c r="L876" s="167"/>
      <c r="M876" s="167"/>
      <c r="N876" s="167"/>
      <c r="O876" s="167"/>
      <c r="P876" s="164"/>
      <c r="Q876" s="165"/>
      <c r="R876" s="165"/>
      <c r="S876" s="167"/>
      <c r="T876" s="167"/>
      <c r="U876" s="167"/>
      <c r="V876" s="168"/>
      <c r="W876" s="168"/>
      <c r="X876" s="168"/>
      <c r="Y876" s="168"/>
      <c r="Z876" s="168"/>
      <c r="AA876" s="168"/>
      <c r="AB876" s="164"/>
      <c r="AC876" s="165"/>
      <c r="AD876" s="165"/>
      <c r="AE876" s="169"/>
      <c r="AF876" s="169"/>
      <c r="AG876" s="169"/>
      <c r="AH876" s="168"/>
      <c r="AI876" s="168"/>
      <c r="AJ876" s="168"/>
      <c r="AK876" s="170"/>
      <c r="AL876" s="170"/>
    </row>
    <row r="877" ht="15.75" customHeight="1">
      <c r="A877" s="161"/>
      <c r="B877" s="161"/>
      <c r="C877" s="162"/>
      <c r="D877" s="163"/>
      <c r="E877" s="164"/>
      <c r="F877" s="165"/>
      <c r="G877" s="166"/>
      <c r="H877" s="167"/>
      <c r="I877" s="167"/>
      <c r="J877" s="167"/>
      <c r="K877" s="167"/>
      <c r="L877" s="167"/>
      <c r="M877" s="167"/>
      <c r="N877" s="167"/>
      <c r="O877" s="167"/>
      <c r="P877" s="164"/>
      <c r="Q877" s="165"/>
      <c r="R877" s="165"/>
      <c r="S877" s="167"/>
      <c r="T877" s="167"/>
      <c r="U877" s="167"/>
      <c r="V877" s="168"/>
      <c r="W877" s="168"/>
      <c r="X877" s="168"/>
      <c r="Y877" s="168"/>
      <c r="Z877" s="168"/>
      <c r="AA877" s="168"/>
      <c r="AB877" s="164"/>
      <c r="AC877" s="165"/>
      <c r="AD877" s="165"/>
      <c r="AE877" s="169"/>
      <c r="AF877" s="169"/>
      <c r="AG877" s="169"/>
      <c r="AH877" s="168"/>
      <c r="AI877" s="168"/>
      <c r="AJ877" s="168"/>
      <c r="AK877" s="170"/>
      <c r="AL877" s="170"/>
    </row>
    <row r="878" ht="15.75" customHeight="1">
      <c r="A878" s="161"/>
      <c r="B878" s="161"/>
      <c r="C878" s="162"/>
      <c r="D878" s="163"/>
      <c r="E878" s="164"/>
      <c r="F878" s="165"/>
      <c r="G878" s="166"/>
      <c r="H878" s="167"/>
      <c r="I878" s="167"/>
      <c r="J878" s="167"/>
      <c r="K878" s="167"/>
      <c r="L878" s="167"/>
      <c r="M878" s="167"/>
      <c r="N878" s="167"/>
      <c r="O878" s="167"/>
      <c r="P878" s="164"/>
      <c r="Q878" s="165"/>
      <c r="R878" s="165"/>
      <c r="S878" s="167"/>
      <c r="T878" s="167"/>
      <c r="U878" s="167"/>
      <c r="V878" s="168"/>
      <c r="W878" s="168"/>
      <c r="X878" s="168"/>
      <c r="Y878" s="168"/>
      <c r="Z878" s="168"/>
      <c r="AA878" s="168"/>
      <c r="AB878" s="164"/>
      <c r="AC878" s="165"/>
      <c r="AD878" s="165"/>
      <c r="AE878" s="169"/>
      <c r="AF878" s="169"/>
      <c r="AG878" s="169"/>
      <c r="AH878" s="168"/>
      <c r="AI878" s="168"/>
      <c r="AJ878" s="168"/>
      <c r="AK878" s="170"/>
      <c r="AL878" s="170"/>
    </row>
    <row r="879" ht="15.75" customHeight="1">
      <c r="A879" s="161"/>
      <c r="B879" s="161"/>
      <c r="C879" s="162"/>
      <c r="D879" s="163"/>
      <c r="E879" s="164"/>
      <c r="F879" s="165"/>
      <c r="G879" s="166"/>
      <c r="H879" s="167"/>
      <c r="I879" s="167"/>
      <c r="J879" s="167"/>
      <c r="K879" s="167"/>
      <c r="L879" s="167"/>
      <c r="M879" s="167"/>
      <c r="N879" s="167"/>
      <c r="O879" s="167"/>
      <c r="P879" s="164"/>
      <c r="Q879" s="165"/>
      <c r="R879" s="165"/>
      <c r="S879" s="167"/>
      <c r="T879" s="167"/>
      <c r="U879" s="167"/>
      <c r="V879" s="168"/>
      <c r="W879" s="168"/>
      <c r="X879" s="168"/>
      <c r="Y879" s="168"/>
      <c r="Z879" s="168"/>
      <c r="AA879" s="168"/>
      <c r="AB879" s="164"/>
      <c r="AC879" s="165"/>
      <c r="AD879" s="165"/>
      <c r="AE879" s="169"/>
      <c r="AF879" s="169"/>
      <c r="AG879" s="169"/>
      <c r="AH879" s="168"/>
      <c r="AI879" s="168"/>
      <c r="AJ879" s="168"/>
      <c r="AK879" s="170"/>
      <c r="AL879" s="170"/>
    </row>
    <row r="880" ht="15.75" customHeight="1">
      <c r="A880" s="161"/>
      <c r="B880" s="161"/>
      <c r="C880" s="162"/>
      <c r="D880" s="163"/>
      <c r="E880" s="164"/>
      <c r="F880" s="165"/>
      <c r="G880" s="166"/>
      <c r="H880" s="167"/>
      <c r="I880" s="167"/>
      <c r="J880" s="167"/>
      <c r="K880" s="167"/>
      <c r="L880" s="167"/>
      <c r="M880" s="167"/>
      <c r="N880" s="167"/>
      <c r="O880" s="167"/>
      <c r="P880" s="164"/>
      <c r="Q880" s="165"/>
      <c r="R880" s="165"/>
      <c r="S880" s="167"/>
      <c r="T880" s="167"/>
      <c r="U880" s="167"/>
      <c r="V880" s="168"/>
      <c r="W880" s="168"/>
      <c r="X880" s="168"/>
      <c r="Y880" s="168"/>
      <c r="Z880" s="168"/>
      <c r="AA880" s="168"/>
      <c r="AB880" s="164"/>
      <c r="AC880" s="165"/>
      <c r="AD880" s="165"/>
      <c r="AE880" s="169"/>
      <c r="AF880" s="169"/>
      <c r="AG880" s="169"/>
      <c r="AH880" s="168"/>
      <c r="AI880" s="168"/>
      <c r="AJ880" s="168"/>
      <c r="AK880" s="170"/>
      <c r="AL880" s="170"/>
    </row>
    <row r="881" ht="15.75" customHeight="1">
      <c r="A881" s="161"/>
      <c r="B881" s="161"/>
      <c r="C881" s="162"/>
      <c r="D881" s="163"/>
      <c r="E881" s="164"/>
      <c r="F881" s="165"/>
      <c r="G881" s="166"/>
      <c r="H881" s="167"/>
      <c r="I881" s="167"/>
      <c r="J881" s="167"/>
      <c r="K881" s="167"/>
      <c r="L881" s="167"/>
      <c r="M881" s="167"/>
      <c r="N881" s="167"/>
      <c r="O881" s="167"/>
      <c r="P881" s="164"/>
      <c r="Q881" s="165"/>
      <c r="R881" s="165"/>
      <c r="S881" s="167"/>
      <c r="T881" s="167"/>
      <c r="U881" s="167"/>
      <c r="V881" s="168"/>
      <c r="W881" s="168"/>
      <c r="X881" s="168"/>
      <c r="Y881" s="168"/>
      <c r="Z881" s="168"/>
      <c r="AA881" s="168"/>
      <c r="AB881" s="164"/>
      <c r="AC881" s="165"/>
      <c r="AD881" s="165"/>
      <c r="AE881" s="169"/>
      <c r="AF881" s="169"/>
      <c r="AG881" s="169"/>
      <c r="AH881" s="168"/>
      <c r="AI881" s="168"/>
      <c r="AJ881" s="168"/>
      <c r="AK881" s="170"/>
      <c r="AL881" s="170"/>
    </row>
    <row r="882" ht="15.75" customHeight="1">
      <c r="A882" s="161"/>
      <c r="B882" s="161"/>
      <c r="C882" s="162"/>
      <c r="D882" s="163"/>
      <c r="E882" s="164"/>
      <c r="F882" s="165"/>
      <c r="G882" s="166"/>
      <c r="H882" s="167"/>
      <c r="I882" s="167"/>
      <c r="J882" s="167"/>
      <c r="K882" s="167"/>
      <c r="L882" s="167"/>
      <c r="M882" s="167"/>
      <c r="N882" s="167"/>
      <c r="O882" s="167"/>
      <c r="P882" s="164"/>
      <c r="Q882" s="165"/>
      <c r="R882" s="165"/>
      <c r="S882" s="167"/>
      <c r="T882" s="167"/>
      <c r="U882" s="167"/>
      <c r="V882" s="168"/>
      <c r="W882" s="168"/>
      <c r="X882" s="168"/>
      <c r="Y882" s="168"/>
      <c r="Z882" s="168"/>
      <c r="AA882" s="168"/>
      <c r="AB882" s="164"/>
      <c r="AC882" s="165"/>
      <c r="AD882" s="165"/>
      <c r="AE882" s="169"/>
      <c r="AF882" s="169"/>
      <c r="AG882" s="169"/>
      <c r="AH882" s="168"/>
      <c r="AI882" s="168"/>
      <c r="AJ882" s="168"/>
      <c r="AK882" s="170"/>
      <c r="AL882" s="170"/>
    </row>
    <row r="883" ht="15.75" customHeight="1">
      <c r="A883" s="161"/>
      <c r="B883" s="161"/>
      <c r="C883" s="162"/>
      <c r="D883" s="163"/>
      <c r="E883" s="164"/>
      <c r="F883" s="165"/>
      <c r="G883" s="166"/>
      <c r="H883" s="167"/>
      <c r="I883" s="167"/>
      <c r="J883" s="167"/>
      <c r="K883" s="167"/>
      <c r="L883" s="167"/>
      <c r="M883" s="167"/>
      <c r="N883" s="167"/>
      <c r="O883" s="167"/>
      <c r="P883" s="164"/>
      <c r="Q883" s="165"/>
      <c r="R883" s="165"/>
      <c r="S883" s="167"/>
      <c r="T883" s="167"/>
      <c r="U883" s="167"/>
      <c r="V883" s="168"/>
      <c r="W883" s="168"/>
      <c r="X883" s="168"/>
      <c r="Y883" s="168"/>
      <c r="Z883" s="168"/>
      <c r="AA883" s="168"/>
      <c r="AB883" s="164"/>
      <c r="AC883" s="165"/>
      <c r="AD883" s="165"/>
      <c r="AE883" s="169"/>
      <c r="AF883" s="169"/>
      <c r="AG883" s="169"/>
      <c r="AH883" s="168"/>
      <c r="AI883" s="168"/>
      <c r="AJ883" s="168"/>
      <c r="AK883" s="170"/>
      <c r="AL883" s="170"/>
    </row>
    <row r="884" ht="15.75" customHeight="1">
      <c r="A884" s="161"/>
      <c r="B884" s="161"/>
      <c r="C884" s="162"/>
      <c r="D884" s="163"/>
      <c r="E884" s="164"/>
      <c r="F884" s="165"/>
      <c r="G884" s="166"/>
      <c r="H884" s="167"/>
      <c r="I884" s="167"/>
      <c r="J884" s="167"/>
      <c r="K884" s="167"/>
      <c r="L884" s="167"/>
      <c r="M884" s="167"/>
      <c r="N884" s="167"/>
      <c r="O884" s="167"/>
      <c r="P884" s="164"/>
      <c r="Q884" s="165"/>
      <c r="R884" s="165"/>
      <c r="S884" s="167"/>
      <c r="T884" s="167"/>
      <c r="U884" s="167"/>
      <c r="V884" s="168"/>
      <c r="W884" s="168"/>
      <c r="X884" s="168"/>
      <c r="Y884" s="168"/>
      <c r="Z884" s="168"/>
      <c r="AA884" s="168"/>
      <c r="AB884" s="164"/>
      <c r="AC884" s="165"/>
      <c r="AD884" s="165"/>
      <c r="AE884" s="169"/>
      <c r="AF884" s="169"/>
      <c r="AG884" s="169"/>
      <c r="AH884" s="168"/>
      <c r="AI884" s="168"/>
      <c r="AJ884" s="168"/>
      <c r="AK884" s="170"/>
      <c r="AL884" s="170"/>
    </row>
    <row r="885" ht="15.75" customHeight="1">
      <c r="A885" s="161"/>
      <c r="B885" s="161"/>
      <c r="C885" s="162"/>
      <c r="D885" s="163"/>
      <c r="E885" s="164"/>
      <c r="F885" s="165"/>
      <c r="G885" s="166"/>
      <c r="H885" s="167"/>
      <c r="I885" s="167"/>
      <c r="J885" s="167"/>
      <c r="K885" s="167"/>
      <c r="L885" s="167"/>
      <c r="M885" s="167"/>
      <c r="N885" s="167"/>
      <c r="O885" s="167"/>
      <c r="P885" s="164"/>
      <c r="Q885" s="165"/>
      <c r="R885" s="165"/>
      <c r="S885" s="167"/>
      <c r="T885" s="167"/>
      <c r="U885" s="167"/>
      <c r="V885" s="168"/>
      <c r="W885" s="168"/>
      <c r="X885" s="168"/>
      <c r="Y885" s="168"/>
      <c r="Z885" s="168"/>
      <c r="AA885" s="168"/>
      <c r="AB885" s="164"/>
      <c r="AC885" s="165"/>
      <c r="AD885" s="165"/>
      <c r="AE885" s="169"/>
      <c r="AF885" s="169"/>
      <c r="AG885" s="169"/>
      <c r="AH885" s="168"/>
      <c r="AI885" s="168"/>
      <c r="AJ885" s="168"/>
      <c r="AK885" s="170"/>
      <c r="AL885" s="170"/>
    </row>
    <row r="886" ht="15.75" customHeight="1">
      <c r="A886" s="161"/>
      <c r="B886" s="161"/>
      <c r="C886" s="162"/>
      <c r="D886" s="163"/>
      <c r="E886" s="164"/>
      <c r="F886" s="165"/>
      <c r="G886" s="166"/>
      <c r="H886" s="167"/>
      <c r="I886" s="167"/>
      <c r="J886" s="167"/>
      <c r="K886" s="167"/>
      <c r="L886" s="167"/>
      <c r="M886" s="167"/>
      <c r="N886" s="167"/>
      <c r="O886" s="167"/>
      <c r="P886" s="164"/>
      <c r="Q886" s="165"/>
      <c r="R886" s="165"/>
      <c r="S886" s="167"/>
      <c r="T886" s="167"/>
      <c r="U886" s="167"/>
      <c r="V886" s="168"/>
      <c r="W886" s="168"/>
      <c r="X886" s="168"/>
      <c r="Y886" s="168"/>
      <c r="Z886" s="168"/>
      <c r="AA886" s="168"/>
      <c r="AB886" s="164"/>
      <c r="AC886" s="165"/>
      <c r="AD886" s="165"/>
      <c r="AE886" s="169"/>
      <c r="AF886" s="169"/>
      <c r="AG886" s="169"/>
      <c r="AH886" s="168"/>
      <c r="AI886" s="168"/>
      <c r="AJ886" s="168"/>
      <c r="AK886" s="170"/>
      <c r="AL886" s="170"/>
    </row>
    <row r="887" ht="15.75" customHeight="1">
      <c r="A887" s="161"/>
      <c r="B887" s="161"/>
      <c r="C887" s="162"/>
      <c r="D887" s="163"/>
      <c r="E887" s="164"/>
      <c r="F887" s="165"/>
      <c r="G887" s="166"/>
      <c r="H887" s="167"/>
      <c r="I887" s="167"/>
      <c r="J887" s="167"/>
      <c r="K887" s="167"/>
      <c r="L887" s="167"/>
      <c r="M887" s="167"/>
      <c r="N887" s="167"/>
      <c r="O887" s="167"/>
      <c r="P887" s="164"/>
      <c r="Q887" s="165"/>
      <c r="R887" s="165"/>
      <c r="S887" s="167"/>
      <c r="T887" s="167"/>
      <c r="U887" s="167"/>
      <c r="V887" s="168"/>
      <c r="W887" s="168"/>
      <c r="X887" s="168"/>
      <c r="Y887" s="168"/>
      <c r="Z887" s="168"/>
      <c r="AA887" s="168"/>
      <c r="AB887" s="164"/>
      <c r="AC887" s="165"/>
      <c r="AD887" s="165"/>
      <c r="AE887" s="169"/>
      <c r="AF887" s="169"/>
      <c r="AG887" s="169"/>
      <c r="AH887" s="168"/>
      <c r="AI887" s="168"/>
      <c r="AJ887" s="168"/>
      <c r="AK887" s="170"/>
      <c r="AL887" s="170"/>
    </row>
    <row r="888" ht="15.75" customHeight="1">
      <c r="A888" s="161"/>
      <c r="B888" s="161"/>
      <c r="C888" s="162"/>
      <c r="D888" s="163"/>
      <c r="E888" s="164"/>
      <c r="F888" s="165"/>
      <c r="G888" s="166"/>
      <c r="H888" s="167"/>
      <c r="I888" s="167"/>
      <c r="J888" s="167"/>
      <c r="K888" s="167"/>
      <c r="L888" s="167"/>
      <c r="M888" s="167"/>
      <c r="N888" s="167"/>
      <c r="O888" s="167"/>
      <c r="P888" s="164"/>
      <c r="Q888" s="165"/>
      <c r="R888" s="165"/>
      <c r="S888" s="167"/>
      <c r="T888" s="167"/>
      <c r="U888" s="167"/>
      <c r="V888" s="168"/>
      <c r="W888" s="168"/>
      <c r="X888" s="168"/>
      <c r="Y888" s="168"/>
      <c r="Z888" s="168"/>
      <c r="AA888" s="168"/>
      <c r="AB888" s="164"/>
      <c r="AC888" s="165"/>
      <c r="AD888" s="165"/>
      <c r="AE888" s="169"/>
      <c r="AF888" s="169"/>
      <c r="AG888" s="169"/>
      <c r="AH888" s="168"/>
      <c r="AI888" s="168"/>
      <c r="AJ888" s="168"/>
      <c r="AK888" s="170"/>
      <c r="AL888" s="170"/>
    </row>
    <row r="889" ht="15.75" customHeight="1">
      <c r="A889" s="161"/>
      <c r="B889" s="161"/>
      <c r="C889" s="162"/>
      <c r="D889" s="163"/>
      <c r="E889" s="164"/>
      <c r="F889" s="165"/>
      <c r="G889" s="166"/>
      <c r="H889" s="167"/>
      <c r="I889" s="167"/>
      <c r="J889" s="167"/>
      <c r="K889" s="167"/>
      <c r="L889" s="167"/>
      <c r="M889" s="167"/>
      <c r="N889" s="167"/>
      <c r="O889" s="167"/>
      <c r="P889" s="164"/>
      <c r="Q889" s="165"/>
      <c r="R889" s="165"/>
      <c r="S889" s="167"/>
      <c r="T889" s="167"/>
      <c r="U889" s="167"/>
      <c r="V889" s="168"/>
      <c r="W889" s="168"/>
      <c r="X889" s="168"/>
      <c r="Y889" s="168"/>
      <c r="Z889" s="168"/>
      <c r="AA889" s="168"/>
      <c r="AB889" s="164"/>
      <c r="AC889" s="165"/>
      <c r="AD889" s="165"/>
      <c r="AE889" s="169"/>
      <c r="AF889" s="169"/>
      <c r="AG889" s="169"/>
      <c r="AH889" s="168"/>
      <c r="AI889" s="168"/>
      <c r="AJ889" s="168"/>
      <c r="AK889" s="170"/>
      <c r="AL889" s="170"/>
    </row>
    <row r="890" ht="15.75" customHeight="1">
      <c r="A890" s="161"/>
      <c r="B890" s="161"/>
      <c r="C890" s="162"/>
      <c r="D890" s="163"/>
      <c r="E890" s="164"/>
      <c r="F890" s="165"/>
      <c r="G890" s="166"/>
      <c r="H890" s="167"/>
      <c r="I890" s="167"/>
      <c r="J890" s="167"/>
      <c r="K890" s="167"/>
      <c r="L890" s="167"/>
      <c r="M890" s="167"/>
      <c r="N890" s="167"/>
      <c r="O890" s="167"/>
      <c r="P890" s="164"/>
      <c r="Q890" s="165"/>
      <c r="R890" s="165"/>
      <c r="S890" s="167"/>
      <c r="T890" s="167"/>
      <c r="U890" s="167"/>
      <c r="V890" s="168"/>
      <c r="W890" s="168"/>
      <c r="X890" s="168"/>
      <c r="Y890" s="168"/>
      <c r="Z890" s="168"/>
      <c r="AA890" s="168"/>
      <c r="AB890" s="164"/>
      <c r="AC890" s="165"/>
      <c r="AD890" s="165"/>
      <c r="AE890" s="169"/>
      <c r="AF890" s="169"/>
      <c r="AG890" s="169"/>
      <c r="AH890" s="168"/>
      <c r="AI890" s="168"/>
      <c r="AJ890" s="168"/>
      <c r="AK890" s="170"/>
      <c r="AL890" s="170"/>
    </row>
    <row r="891" ht="15.75" customHeight="1">
      <c r="A891" s="161"/>
      <c r="B891" s="161"/>
      <c r="C891" s="162"/>
      <c r="D891" s="163"/>
      <c r="E891" s="164"/>
      <c r="F891" s="165"/>
      <c r="G891" s="166"/>
      <c r="H891" s="167"/>
      <c r="I891" s="167"/>
      <c r="J891" s="167"/>
      <c r="K891" s="167"/>
      <c r="L891" s="167"/>
      <c r="M891" s="167"/>
      <c r="N891" s="167"/>
      <c r="O891" s="167"/>
      <c r="P891" s="164"/>
      <c r="Q891" s="165"/>
      <c r="R891" s="165"/>
      <c r="S891" s="167"/>
      <c r="T891" s="167"/>
      <c r="U891" s="167"/>
      <c r="V891" s="168"/>
      <c r="W891" s="168"/>
      <c r="X891" s="168"/>
      <c r="Y891" s="168"/>
      <c r="Z891" s="168"/>
      <c r="AA891" s="168"/>
      <c r="AB891" s="164"/>
      <c r="AC891" s="165"/>
      <c r="AD891" s="165"/>
      <c r="AE891" s="169"/>
      <c r="AF891" s="169"/>
      <c r="AG891" s="169"/>
      <c r="AH891" s="168"/>
      <c r="AI891" s="168"/>
      <c r="AJ891" s="168"/>
      <c r="AK891" s="170"/>
      <c r="AL891" s="170"/>
    </row>
    <row r="892" ht="15.75" customHeight="1">
      <c r="A892" s="161"/>
      <c r="B892" s="161"/>
      <c r="C892" s="162"/>
      <c r="D892" s="163"/>
      <c r="E892" s="164"/>
      <c r="F892" s="165"/>
      <c r="G892" s="166"/>
      <c r="H892" s="167"/>
      <c r="I892" s="167"/>
      <c r="J892" s="167"/>
      <c r="K892" s="167"/>
      <c r="L892" s="167"/>
      <c r="M892" s="167"/>
      <c r="N892" s="167"/>
      <c r="O892" s="167"/>
      <c r="P892" s="164"/>
      <c r="Q892" s="165"/>
      <c r="R892" s="165"/>
      <c r="S892" s="167"/>
      <c r="T892" s="167"/>
      <c r="U892" s="167"/>
      <c r="V892" s="168"/>
      <c r="W892" s="168"/>
      <c r="X892" s="168"/>
      <c r="Y892" s="168"/>
      <c r="Z892" s="168"/>
      <c r="AA892" s="168"/>
      <c r="AB892" s="164"/>
      <c r="AC892" s="165"/>
      <c r="AD892" s="165"/>
      <c r="AE892" s="169"/>
      <c r="AF892" s="169"/>
      <c r="AG892" s="169"/>
      <c r="AH892" s="168"/>
      <c r="AI892" s="168"/>
      <c r="AJ892" s="168"/>
      <c r="AK892" s="170"/>
      <c r="AL892" s="170"/>
    </row>
    <row r="893" ht="15.75" customHeight="1">
      <c r="A893" s="161"/>
      <c r="B893" s="161"/>
      <c r="C893" s="162"/>
      <c r="D893" s="163"/>
      <c r="E893" s="164"/>
      <c r="F893" s="165"/>
      <c r="G893" s="166"/>
      <c r="H893" s="167"/>
      <c r="I893" s="167"/>
      <c r="J893" s="167"/>
      <c r="K893" s="167"/>
      <c r="L893" s="167"/>
      <c r="M893" s="167"/>
      <c r="N893" s="167"/>
      <c r="O893" s="167"/>
      <c r="P893" s="164"/>
      <c r="Q893" s="165"/>
      <c r="R893" s="165"/>
      <c r="S893" s="167"/>
      <c r="T893" s="167"/>
      <c r="U893" s="167"/>
      <c r="V893" s="168"/>
      <c r="W893" s="168"/>
      <c r="X893" s="168"/>
      <c r="Y893" s="168"/>
      <c r="Z893" s="168"/>
      <c r="AA893" s="168"/>
      <c r="AB893" s="164"/>
      <c r="AC893" s="165"/>
      <c r="AD893" s="165"/>
      <c r="AE893" s="169"/>
      <c r="AF893" s="169"/>
      <c r="AG893" s="169"/>
      <c r="AH893" s="168"/>
      <c r="AI893" s="168"/>
      <c r="AJ893" s="168"/>
      <c r="AK893" s="170"/>
      <c r="AL893" s="170"/>
    </row>
    <row r="894" ht="15.75" customHeight="1">
      <c r="A894" s="161"/>
      <c r="B894" s="161"/>
      <c r="C894" s="162"/>
      <c r="D894" s="163"/>
      <c r="E894" s="164"/>
      <c r="F894" s="165"/>
      <c r="G894" s="166"/>
      <c r="H894" s="167"/>
      <c r="I894" s="167"/>
      <c r="J894" s="167"/>
      <c r="K894" s="167"/>
      <c r="L894" s="167"/>
      <c r="M894" s="167"/>
      <c r="N894" s="167"/>
      <c r="O894" s="167"/>
      <c r="P894" s="164"/>
      <c r="Q894" s="165"/>
      <c r="R894" s="165"/>
      <c r="S894" s="167"/>
      <c r="T894" s="167"/>
      <c r="U894" s="167"/>
      <c r="V894" s="168"/>
      <c r="W894" s="168"/>
      <c r="X894" s="168"/>
      <c r="Y894" s="168"/>
      <c r="Z894" s="168"/>
      <c r="AA894" s="168"/>
      <c r="AB894" s="164"/>
      <c r="AC894" s="165"/>
      <c r="AD894" s="165"/>
      <c r="AE894" s="169"/>
      <c r="AF894" s="169"/>
      <c r="AG894" s="169"/>
      <c r="AH894" s="168"/>
      <c r="AI894" s="168"/>
      <c r="AJ894" s="168"/>
      <c r="AK894" s="170"/>
      <c r="AL894" s="170"/>
    </row>
    <row r="895" ht="15.75" customHeight="1">
      <c r="A895" s="161"/>
      <c r="B895" s="161"/>
      <c r="C895" s="162"/>
      <c r="D895" s="163"/>
      <c r="E895" s="164"/>
      <c r="F895" s="165"/>
      <c r="G895" s="166"/>
      <c r="H895" s="167"/>
      <c r="I895" s="167"/>
      <c r="J895" s="167"/>
      <c r="K895" s="167"/>
      <c r="L895" s="167"/>
      <c r="M895" s="167"/>
      <c r="N895" s="167"/>
      <c r="O895" s="167"/>
      <c r="P895" s="164"/>
      <c r="Q895" s="165"/>
      <c r="R895" s="165"/>
      <c r="S895" s="167"/>
      <c r="T895" s="167"/>
      <c r="U895" s="167"/>
      <c r="V895" s="168"/>
      <c r="W895" s="168"/>
      <c r="X895" s="168"/>
      <c r="Y895" s="168"/>
      <c r="Z895" s="168"/>
      <c r="AA895" s="168"/>
      <c r="AB895" s="164"/>
      <c r="AC895" s="165"/>
      <c r="AD895" s="165"/>
      <c r="AE895" s="169"/>
      <c r="AF895" s="169"/>
      <c r="AG895" s="169"/>
      <c r="AH895" s="168"/>
      <c r="AI895" s="168"/>
      <c r="AJ895" s="168"/>
      <c r="AK895" s="170"/>
      <c r="AL895" s="170"/>
    </row>
    <row r="896" ht="15.75" customHeight="1">
      <c r="A896" s="161"/>
      <c r="B896" s="161"/>
      <c r="C896" s="162"/>
      <c r="D896" s="163"/>
      <c r="E896" s="164"/>
      <c r="F896" s="165"/>
      <c r="G896" s="166"/>
      <c r="H896" s="167"/>
      <c r="I896" s="167"/>
      <c r="J896" s="167"/>
      <c r="K896" s="167"/>
      <c r="L896" s="167"/>
      <c r="M896" s="167"/>
      <c r="N896" s="167"/>
      <c r="O896" s="167"/>
      <c r="P896" s="164"/>
      <c r="Q896" s="165"/>
      <c r="R896" s="165"/>
      <c r="S896" s="167"/>
      <c r="T896" s="167"/>
      <c r="U896" s="167"/>
      <c r="V896" s="168"/>
      <c r="W896" s="168"/>
      <c r="X896" s="168"/>
      <c r="Y896" s="168"/>
      <c r="Z896" s="168"/>
      <c r="AA896" s="168"/>
      <c r="AB896" s="164"/>
      <c r="AC896" s="165"/>
      <c r="AD896" s="165"/>
      <c r="AE896" s="169"/>
      <c r="AF896" s="169"/>
      <c r="AG896" s="169"/>
      <c r="AH896" s="168"/>
      <c r="AI896" s="168"/>
      <c r="AJ896" s="168"/>
      <c r="AK896" s="170"/>
      <c r="AL896" s="170"/>
    </row>
    <row r="897" ht="15.75" customHeight="1">
      <c r="A897" s="161"/>
      <c r="B897" s="161"/>
      <c r="C897" s="162"/>
      <c r="D897" s="163"/>
      <c r="E897" s="164"/>
      <c r="F897" s="165"/>
      <c r="G897" s="166"/>
      <c r="H897" s="167"/>
      <c r="I897" s="167"/>
      <c r="J897" s="167"/>
      <c r="K897" s="167"/>
      <c r="L897" s="167"/>
      <c r="M897" s="167"/>
      <c r="N897" s="167"/>
      <c r="O897" s="167"/>
      <c r="P897" s="164"/>
      <c r="Q897" s="165"/>
      <c r="R897" s="165"/>
      <c r="S897" s="167"/>
      <c r="T897" s="167"/>
      <c r="U897" s="167"/>
      <c r="V897" s="168"/>
      <c r="W897" s="168"/>
      <c r="X897" s="168"/>
      <c r="Y897" s="168"/>
      <c r="Z897" s="168"/>
      <c r="AA897" s="168"/>
      <c r="AB897" s="164"/>
      <c r="AC897" s="165"/>
      <c r="AD897" s="165"/>
      <c r="AE897" s="169"/>
      <c r="AF897" s="169"/>
      <c r="AG897" s="169"/>
      <c r="AH897" s="168"/>
      <c r="AI897" s="168"/>
      <c r="AJ897" s="168"/>
      <c r="AK897" s="170"/>
      <c r="AL897" s="170"/>
    </row>
    <row r="898" ht="15.75" customHeight="1">
      <c r="A898" s="161"/>
      <c r="B898" s="161"/>
      <c r="C898" s="162"/>
      <c r="D898" s="163"/>
      <c r="E898" s="164"/>
      <c r="F898" s="165"/>
      <c r="G898" s="166"/>
      <c r="H898" s="167"/>
      <c r="I898" s="167"/>
      <c r="J898" s="167"/>
      <c r="K898" s="167"/>
      <c r="L898" s="167"/>
      <c r="M898" s="167"/>
      <c r="N898" s="167"/>
      <c r="O898" s="167"/>
      <c r="P898" s="164"/>
      <c r="Q898" s="165"/>
      <c r="R898" s="165"/>
      <c r="S898" s="167"/>
      <c r="T898" s="167"/>
      <c r="U898" s="167"/>
      <c r="V898" s="168"/>
      <c r="W898" s="168"/>
      <c r="X898" s="168"/>
      <c r="Y898" s="168"/>
      <c r="Z898" s="168"/>
      <c r="AA898" s="168"/>
      <c r="AB898" s="164"/>
      <c r="AC898" s="165"/>
      <c r="AD898" s="165"/>
      <c r="AE898" s="169"/>
      <c r="AF898" s="169"/>
      <c r="AG898" s="169"/>
      <c r="AH898" s="168"/>
      <c r="AI898" s="168"/>
      <c r="AJ898" s="168"/>
      <c r="AK898" s="170"/>
      <c r="AL898" s="170"/>
    </row>
    <row r="899" ht="15.75" customHeight="1">
      <c r="A899" s="161"/>
      <c r="B899" s="161"/>
      <c r="C899" s="162"/>
      <c r="D899" s="163"/>
      <c r="E899" s="164"/>
      <c r="F899" s="165"/>
      <c r="G899" s="166"/>
      <c r="H899" s="167"/>
      <c r="I899" s="167"/>
      <c r="J899" s="167"/>
      <c r="K899" s="167"/>
      <c r="L899" s="167"/>
      <c r="M899" s="167"/>
      <c r="N899" s="167"/>
      <c r="O899" s="167"/>
      <c r="P899" s="164"/>
      <c r="Q899" s="165"/>
      <c r="R899" s="165"/>
      <c r="S899" s="167"/>
      <c r="T899" s="167"/>
      <c r="U899" s="167"/>
      <c r="V899" s="168"/>
      <c r="W899" s="168"/>
      <c r="X899" s="168"/>
      <c r="Y899" s="168"/>
      <c r="Z899" s="168"/>
      <c r="AA899" s="168"/>
      <c r="AB899" s="164"/>
      <c r="AC899" s="165"/>
      <c r="AD899" s="165"/>
      <c r="AE899" s="169"/>
      <c r="AF899" s="169"/>
      <c r="AG899" s="169"/>
      <c r="AH899" s="168"/>
      <c r="AI899" s="168"/>
      <c r="AJ899" s="168"/>
      <c r="AK899" s="170"/>
      <c r="AL899" s="170"/>
    </row>
    <row r="900" ht="15.75" customHeight="1">
      <c r="A900" s="161"/>
      <c r="B900" s="161"/>
      <c r="C900" s="162"/>
      <c r="D900" s="163"/>
      <c r="E900" s="164"/>
      <c r="F900" s="165"/>
      <c r="G900" s="166"/>
      <c r="H900" s="167"/>
      <c r="I900" s="167"/>
      <c r="J900" s="167"/>
      <c r="K900" s="167"/>
      <c r="L900" s="167"/>
      <c r="M900" s="167"/>
      <c r="N900" s="167"/>
      <c r="O900" s="167"/>
      <c r="P900" s="164"/>
      <c r="Q900" s="165"/>
      <c r="R900" s="165"/>
      <c r="S900" s="167"/>
      <c r="T900" s="167"/>
      <c r="U900" s="167"/>
      <c r="V900" s="168"/>
      <c r="W900" s="168"/>
      <c r="X900" s="168"/>
      <c r="Y900" s="168"/>
      <c r="Z900" s="168"/>
      <c r="AA900" s="168"/>
      <c r="AB900" s="164"/>
      <c r="AC900" s="165"/>
      <c r="AD900" s="165"/>
      <c r="AE900" s="169"/>
      <c r="AF900" s="169"/>
      <c r="AG900" s="169"/>
      <c r="AH900" s="168"/>
      <c r="AI900" s="168"/>
      <c r="AJ900" s="168"/>
      <c r="AK900" s="170"/>
      <c r="AL900" s="170"/>
    </row>
    <row r="901" ht="15.75" customHeight="1">
      <c r="A901" s="161"/>
      <c r="B901" s="161"/>
      <c r="C901" s="162"/>
      <c r="D901" s="163"/>
      <c r="E901" s="164"/>
      <c r="F901" s="165"/>
      <c r="G901" s="166"/>
      <c r="H901" s="167"/>
      <c r="I901" s="167"/>
      <c r="J901" s="167"/>
      <c r="K901" s="167"/>
      <c r="L901" s="167"/>
      <c r="M901" s="167"/>
      <c r="N901" s="167"/>
      <c r="O901" s="167"/>
      <c r="P901" s="164"/>
      <c r="Q901" s="165"/>
      <c r="R901" s="165"/>
      <c r="S901" s="167"/>
      <c r="T901" s="167"/>
      <c r="U901" s="167"/>
      <c r="V901" s="168"/>
      <c r="W901" s="168"/>
      <c r="X901" s="168"/>
      <c r="Y901" s="168"/>
      <c r="Z901" s="168"/>
      <c r="AA901" s="168"/>
      <c r="AB901" s="164"/>
      <c r="AC901" s="165"/>
      <c r="AD901" s="165"/>
      <c r="AE901" s="169"/>
      <c r="AF901" s="169"/>
      <c r="AG901" s="169"/>
      <c r="AH901" s="168"/>
      <c r="AI901" s="168"/>
      <c r="AJ901" s="168"/>
      <c r="AK901" s="170"/>
      <c r="AL901" s="170"/>
    </row>
    <row r="902" ht="15.75" customHeight="1">
      <c r="A902" s="161"/>
      <c r="B902" s="161"/>
      <c r="C902" s="162"/>
      <c r="D902" s="163"/>
      <c r="E902" s="164"/>
      <c r="F902" s="165"/>
      <c r="G902" s="166"/>
      <c r="H902" s="167"/>
      <c r="I902" s="167"/>
      <c r="J902" s="167"/>
      <c r="K902" s="167"/>
      <c r="L902" s="167"/>
      <c r="M902" s="167"/>
      <c r="N902" s="167"/>
      <c r="O902" s="167"/>
      <c r="P902" s="164"/>
      <c r="Q902" s="165"/>
      <c r="R902" s="165"/>
      <c r="S902" s="167"/>
      <c r="T902" s="167"/>
      <c r="U902" s="167"/>
      <c r="V902" s="168"/>
      <c r="W902" s="168"/>
      <c r="X902" s="168"/>
      <c r="Y902" s="168"/>
      <c r="Z902" s="168"/>
      <c r="AA902" s="168"/>
      <c r="AB902" s="164"/>
      <c r="AC902" s="165"/>
      <c r="AD902" s="165"/>
      <c r="AE902" s="169"/>
      <c r="AF902" s="169"/>
      <c r="AG902" s="169"/>
      <c r="AH902" s="168"/>
      <c r="AI902" s="168"/>
      <c r="AJ902" s="168"/>
      <c r="AK902" s="170"/>
      <c r="AL902" s="170"/>
    </row>
    <row r="903" ht="15.75" customHeight="1">
      <c r="A903" s="161"/>
      <c r="B903" s="161"/>
      <c r="C903" s="162"/>
      <c r="D903" s="163"/>
      <c r="E903" s="164"/>
      <c r="F903" s="165"/>
      <c r="G903" s="166"/>
      <c r="H903" s="167"/>
      <c r="I903" s="167"/>
      <c r="J903" s="167"/>
      <c r="K903" s="167"/>
      <c r="L903" s="167"/>
      <c r="M903" s="167"/>
      <c r="N903" s="167"/>
      <c r="O903" s="167"/>
      <c r="P903" s="164"/>
      <c r="Q903" s="165"/>
      <c r="R903" s="165"/>
      <c r="S903" s="167"/>
      <c r="T903" s="167"/>
      <c r="U903" s="167"/>
      <c r="V903" s="168"/>
      <c r="W903" s="168"/>
      <c r="X903" s="168"/>
      <c r="Y903" s="168"/>
      <c r="Z903" s="168"/>
      <c r="AA903" s="168"/>
      <c r="AB903" s="164"/>
      <c r="AC903" s="165"/>
      <c r="AD903" s="165"/>
      <c r="AE903" s="169"/>
      <c r="AF903" s="169"/>
      <c r="AG903" s="169"/>
      <c r="AH903" s="168"/>
      <c r="AI903" s="168"/>
      <c r="AJ903" s="168"/>
      <c r="AK903" s="170"/>
      <c r="AL903" s="170"/>
    </row>
    <row r="904" ht="15.75" customHeight="1">
      <c r="A904" s="161"/>
      <c r="B904" s="161"/>
      <c r="C904" s="162"/>
      <c r="D904" s="163"/>
      <c r="E904" s="164"/>
      <c r="F904" s="165"/>
      <c r="G904" s="166"/>
      <c r="H904" s="167"/>
      <c r="I904" s="167"/>
      <c r="J904" s="167"/>
      <c r="K904" s="167"/>
      <c r="L904" s="167"/>
      <c r="M904" s="167"/>
      <c r="N904" s="167"/>
      <c r="O904" s="167"/>
      <c r="P904" s="164"/>
      <c r="Q904" s="165"/>
      <c r="R904" s="165"/>
      <c r="S904" s="167"/>
      <c r="T904" s="167"/>
      <c r="U904" s="167"/>
      <c r="V904" s="168"/>
      <c r="W904" s="168"/>
      <c r="X904" s="168"/>
      <c r="Y904" s="168"/>
      <c r="Z904" s="168"/>
      <c r="AA904" s="168"/>
      <c r="AB904" s="164"/>
      <c r="AC904" s="165"/>
      <c r="AD904" s="165"/>
      <c r="AE904" s="169"/>
      <c r="AF904" s="169"/>
      <c r="AG904" s="169"/>
      <c r="AH904" s="168"/>
      <c r="AI904" s="168"/>
      <c r="AJ904" s="168"/>
      <c r="AK904" s="170"/>
      <c r="AL904" s="170"/>
    </row>
    <row r="905" ht="15.75" customHeight="1">
      <c r="A905" s="161"/>
      <c r="B905" s="161"/>
      <c r="C905" s="162"/>
      <c r="D905" s="163"/>
      <c r="E905" s="164"/>
      <c r="F905" s="165"/>
      <c r="G905" s="166"/>
      <c r="H905" s="167"/>
      <c r="I905" s="167"/>
      <c r="J905" s="167"/>
      <c r="K905" s="167"/>
      <c r="L905" s="167"/>
      <c r="M905" s="167"/>
      <c r="N905" s="167"/>
      <c r="O905" s="167"/>
      <c r="P905" s="164"/>
      <c r="Q905" s="165"/>
      <c r="R905" s="165"/>
      <c r="S905" s="167"/>
      <c r="T905" s="167"/>
      <c r="U905" s="167"/>
      <c r="V905" s="168"/>
      <c r="W905" s="168"/>
      <c r="X905" s="168"/>
      <c r="Y905" s="168"/>
      <c r="Z905" s="168"/>
      <c r="AA905" s="168"/>
      <c r="AB905" s="164"/>
      <c r="AC905" s="165"/>
      <c r="AD905" s="165"/>
      <c r="AE905" s="169"/>
      <c r="AF905" s="169"/>
      <c r="AG905" s="169"/>
      <c r="AH905" s="168"/>
      <c r="AI905" s="168"/>
      <c r="AJ905" s="168"/>
      <c r="AK905" s="170"/>
      <c r="AL905" s="170"/>
    </row>
    <row r="906" ht="15.75" customHeight="1">
      <c r="A906" s="161"/>
      <c r="B906" s="161"/>
      <c r="C906" s="162"/>
      <c r="D906" s="163"/>
      <c r="E906" s="164"/>
      <c r="F906" s="165"/>
      <c r="G906" s="166"/>
      <c r="H906" s="167"/>
      <c r="I906" s="167"/>
      <c r="J906" s="167"/>
      <c r="K906" s="167"/>
      <c r="L906" s="167"/>
      <c r="M906" s="167"/>
      <c r="N906" s="167"/>
      <c r="O906" s="167"/>
      <c r="P906" s="164"/>
      <c r="Q906" s="165"/>
      <c r="R906" s="165"/>
      <c r="S906" s="167"/>
      <c r="T906" s="167"/>
      <c r="U906" s="167"/>
      <c r="V906" s="168"/>
      <c r="W906" s="168"/>
      <c r="X906" s="168"/>
      <c r="Y906" s="168"/>
      <c r="Z906" s="168"/>
      <c r="AA906" s="168"/>
      <c r="AB906" s="164"/>
      <c r="AC906" s="165"/>
      <c r="AD906" s="165"/>
      <c r="AE906" s="169"/>
      <c r="AF906" s="169"/>
      <c r="AG906" s="169"/>
      <c r="AH906" s="168"/>
      <c r="AI906" s="168"/>
      <c r="AJ906" s="168"/>
      <c r="AK906" s="170"/>
      <c r="AL906" s="170"/>
    </row>
    <row r="907" ht="15.75" customHeight="1">
      <c r="A907" s="161"/>
      <c r="B907" s="161"/>
      <c r="C907" s="162"/>
      <c r="D907" s="163"/>
      <c r="E907" s="164"/>
      <c r="F907" s="165"/>
      <c r="G907" s="166"/>
      <c r="H907" s="167"/>
      <c r="I907" s="167"/>
      <c r="J907" s="167"/>
      <c r="K907" s="167"/>
      <c r="L907" s="167"/>
      <c r="M907" s="167"/>
      <c r="N907" s="167"/>
      <c r="O907" s="167"/>
      <c r="P907" s="164"/>
      <c r="Q907" s="165"/>
      <c r="R907" s="165"/>
      <c r="S907" s="167"/>
      <c r="T907" s="167"/>
      <c r="U907" s="167"/>
      <c r="V907" s="168"/>
      <c r="W907" s="168"/>
      <c r="X907" s="168"/>
      <c r="Y907" s="168"/>
      <c r="Z907" s="168"/>
      <c r="AA907" s="168"/>
      <c r="AB907" s="164"/>
      <c r="AC907" s="165"/>
      <c r="AD907" s="165"/>
      <c r="AE907" s="169"/>
      <c r="AF907" s="169"/>
      <c r="AG907" s="169"/>
      <c r="AH907" s="168"/>
      <c r="AI907" s="168"/>
      <c r="AJ907" s="168"/>
      <c r="AK907" s="170"/>
      <c r="AL907" s="170"/>
    </row>
    <row r="908" ht="15.75" customHeight="1">
      <c r="A908" s="161"/>
      <c r="B908" s="161"/>
      <c r="C908" s="162"/>
      <c r="D908" s="163"/>
      <c r="E908" s="164"/>
      <c r="F908" s="165"/>
      <c r="G908" s="166"/>
      <c r="H908" s="167"/>
      <c r="I908" s="167"/>
      <c r="J908" s="167"/>
      <c r="K908" s="167"/>
      <c r="L908" s="167"/>
      <c r="M908" s="167"/>
      <c r="N908" s="167"/>
      <c r="O908" s="167"/>
      <c r="P908" s="164"/>
      <c r="Q908" s="165"/>
      <c r="R908" s="165"/>
      <c r="S908" s="167"/>
      <c r="T908" s="167"/>
      <c r="U908" s="167"/>
      <c r="V908" s="168"/>
      <c r="W908" s="168"/>
      <c r="X908" s="168"/>
      <c r="Y908" s="168"/>
      <c r="Z908" s="168"/>
      <c r="AA908" s="168"/>
      <c r="AB908" s="164"/>
      <c r="AC908" s="165"/>
      <c r="AD908" s="165"/>
      <c r="AE908" s="169"/>
      <c r="AF908" s="169"/>
      <c r="AG908" s="169"/>
      <c r="AH908" s="168"/>
      <c r="AI908" s="168"/>
      <c r="AJ908" s="168"/>
      <c r="AK908" s="170"/>
      <c r="AL908" s="170"/>
    </row>
    <row r="909" ht="15.75" customHeight="1">
      <c r="A909" s="161"/>
      <c r="B909" s="161"/>
      <c r="C909" s="162"/>
      <c r="D909" s="163"/>
      <c r="E909" s="164"/>
      <c r="F909" s="165"/>
      <c r="G909" s="166"/>
      <c r="H909" s="167"/>
      <c r="I909" s="167"/>
      <c r="J909" s="167"/>
      <c r="K909" s="167"/>
      <c r="L909" s="167"/>
      <c r="M909" s="167"/>
      <c r="N909" s="167"/>
      <c r="O909" s="167"/>
      <c r="P909" s="164"/>
      <c r="Q909" s="165"/>
      <c r="R909" s="165"/>
      <c r="S909" s="167"/>
      <c r="T909" s="167"/>
      <c r="U909" s="167"/>
      <c r="V909" s="168"/>
      <c r="W909" s="168"/>
      <c r="X909" s="168"/>
      <c r="Y909" s="168"/>
      <c r="Z909" s="168"/>
      <c r="AA909" s="168"/>
      <c r="AB909" s="164"/>
      <c r="AC909" s="165"/>
      <c r="AD909" s="165"/>
      <c r="AE909" s="169"/>
      <c r="AF909" s="169"/>
      <c r="AG909" s="169"/>
      <c r="AH909" s="168"/>
      <c r="AI909" s="168"/>
      <c r="AJ909" s="168"/>
      <c r="AK909" s="170"/>
      <c r="AL909" s="170"/>
    </row>
    <row r="910" ht="15.75" customHeight="1">
      <c r="A910" s="161"/>
      <c r="B910" s="161"/>
      <c r="C910" s="162"/>
      <c r="D910" s="163"/>
      <c r="E910" s="164"/>
      <c r="F910" s="165"/>
      <c r="G910" s="166"/>
      <c r="H910" s="167"/>
      <c r="I910" s="167"/>
      <c r="J910" s="167"/>
      <c r="K910" s="167"/>
      <c r="L910" s="167"/>
      <c r="M910" s="167"/>
      <c r="N910" s="167"/>
      <c r="O910" s="167"/>
      <c r="P910" s="164"/>
      <c r="Q910" s="165"/>
      <c r="R910" s="165"/>
      <c r="S910" s="167"/>
      <c r="T910" s="167"/>
      <c r="U910" s="167"/>
      <c r="V910" s="168"/>
      <c r="W910" s="168"/>
      <c r="X910" s="168"/>
      <c r="Y910" s="168"/>
      <c r="Z910" s="168"/>
      <c r="AA910" s="168"/>
      <c r="AB910" s="164"/>
      <c r="AC910" s="165"/>
      <c r="AD910" s="165"/>
      <c r="AE910" s="169"/>
      <c r="AF910" s="169"/>
      <c r="AG910" s="169"/>
      <c r="AH910" s="168"/>
      <c r="AI910" s="168"/>
      <c r="AJ910" s="168"/>
      <c r="AK910" s="170"/>
      <c r="AL910" s="170"/>
    </row>
    <row r="911" ht="15.75" customHeight="1">
      <c r="A911" s="161"/>
      <c r="B911" s="161"/>
      <c r="C911" s="162"/>
      <c r="D911" s="163"/>
      <c r="E911" s="164"/>
      <c r="F911" s="165"/>
      <c r="G911" s="166"/>
      <c r="H911" s="167"/>
      <c r="I911" s="167"/>
      <c r="J911" s="167"/>
      <c r="K911" s="167"/>
      <c r="L911" s="167"/>
      <c r="M911" s="167"/>
      <c r="N911" s="167"/>
      <c r="O911" s="167"/>
      <c r="P911" s="164"/>
      <c r="Q911" s="165"/>
      <c r="R911" s="165"/>
      <c r="S911" s="167"/>
      <c r="T911" s="167"/>
      <c r="U911" s="167"/>
      <c r="V911" s="168"/>
      <c r="W911" s="168"/>
      <c r="X911" s="168"/>
      <c r="Y911" s="168"/>
      <c r="Z911" s="168"/>
      <c r="AA911" s="168"/>
      <c r="AB911" s="164"/>
      <c r="AC911" s="165"/>
      <c r="AD911" s="165"/>
      <c r="AE911" s="169"/>
      <c r="AF911" s="169"/>
      <c r="AG911" s="169"/>
      <c r="AH911" s="168"/>
      <c r="AI911" s="168"/>
      <c r="AJ911" s="168"/>
      <c r="AK911" s="170"/>
      <c r="AL911" s="170"/>
    </row>
    <row r="912" ht="15.75" customHeight="1">
      <c r="A912" s="161"/>
      <c r="B912" s="161"/>
      <c r="C912" s="162"/>
      <c r="D912" s="163"/>
      <c r="E912" s="164"/>
      <c r="F912" s="165"/>
      <c r="G912" s="166"/>
      <c r="H912" s="167"/>
      <c r="I912" s="167"/>
      <c r="J912" s="167"/>
      <c r="K912" s="167"/>
      <c r="L912" s="167"/>
      <c r="M912" s="167"/>
      <c r="N912" s="167"/>
      <c r="O912" s="167"/>
      <c r="P912" s="164"/>
      <c r="Q912" s="165"/>
      <c r="R912" s="165"/>
      <c r="S912" s="167"/>
      <c r="T912" s="167"/>
      <c r="U912" s="167"/>
      <c r="V912" s="168"/>
      <c r="W912" s="168"/>
      <c r="X912" s="168"/>
      <c r="Y912" s="168"/>
      <c r="Z912" s="168"/>
      <c r="AA912" s="168"/>
      <c r="AB912" s="164"/>
      <c r="AC912" s="165"/>
      <c r="AD912" s="165"/>
      <c r="AE912" s="169"/>
      <c r="AF912" s="169"/>
      <c r="AG912" s="169"/>
      <c r="AH912" s="168"/>
      <c r="AI912" s="168"/>
      <c r="AJ912" s="168"/>
      <c r="AK912" s="170"/>
      <c r="AL912" s="170"/>
    </row>
    <row r="913" ht="15.75" customHeight="1">
      <c r="A913" s="161"/>
      <c r="B913" s="161"/>
      <c r="C913" s="162"/>
      <c r="D913" s="163"/>
      <c r="E913" s="164"/>
      <c r="F913" s="165"/>
      <c r="G913" s="166"/>
      <c r="H913" s="167"/>
      <c r="I913" s="167"/>
      <c r="J913" s="167"/>
      <c r="K913" s="167"/>
      <c r="L913" s="167"/>
      <c r="M913" s="167"/>
      <c r="N913" s="167"/>
      <c r="O913" s="167"/>
      <c r="P913" s="164"/>
      <c r="Q913" s="165"/>
      <c r="R913" s="165"/>
      <c r="S913" s="167"/>
      <c r="T913" s="167"/>
      <c r="U913" s="167"/>
      <c r="V913" s="168"/>
      <c r="W913" s="168"/>
      <c r="X913" s="168"/>
      <c r="Y913" s="168"/>
      <c r="Z913" s="168"/>
      <c r="AA913" s="168"/>
      <c r="AB913" s="164"/>
      <c r="AC913" s="165"/>
      <c r="AD913" s="165"/>
      <c r="AE913" s="169"/>
      <c r="AF913" s="169"/>
      <c r="AG913" s="169"/>
      <c r="AH913" s="168"/>
      <c r="AI913" s="168"/>
      <c r="AJ913" s="168"/>
      <c r="AK913" s="170"/>
      <c r="AL913" s="170"/>
    </row>
    <row r="914" ht="15.75" customHeight="1">
      <c r="A914" s="161"/>
      <c r="B914" s="161"/>
      <c r="C914" s="162"/>
      <c r="D914" s="163"/>
      <c r="E914" s="164"/>
      <c r="F914" s="165"/>
      <c r="G914" s="166"/>
      <c r="H914" s="167"/>
      <c r="I914" s="167"/>
      <c r="J914" s="167"/>
      <c r="K914" s="167"/>
      <c r="L914" s="167"/>
      <c r="M914" s="167"/>
      <c r="N914" s="167"/>
      <c r="O914" s="167"/>
      <c r="P914" s="164"/>
      <c r="Q914" s="165"/>
      <c r="R914" s="165"/>
      <c r="S914" s="167"/>
      <c r="T914" s="167"/>
      <c r="U914" s="167"/>
      <c r="V914" s="168"/>
      <c r="W914" s="168"/>
      <c r="X914" s="168"/>
      <c r="Y914" s="168"/>
      <c r="Z914" s="168"/>
      <c r="AA914" s="168"/>
      <c r="AB914" s="164"/>
      <c r="AC914" s="165"/>
      <c r="AD914" s="165"/>
      <c r="AE914" s="169"/>
      <c r="AF914" s="169"/>
      <c r="AG914" s="169"/>
      <c r="AH914" s="168"/>
      <c r="AI914" s="168"/>
      <c r="AJ914" s="168"/>
      <c r="AK914" s="170"/>
      <c r="AL914" s="170"/>
    </row>
    <row r="915" ht="15.75" customHeight="1">
      <c r="A915" s="161"/>
      <c r="B915" s="161"/>
      <c r="C915" s="162"/>
      <c r="D915" s="163"/>
      <c r="E915" s="164"/>
      <c r="F915" s="165"/>
      <c r="G915" s="166"/>
      <c r="H915" s="167"/>
      <c r="I915" s="167"/>
      <c r="J915" s="167"/>
      <c r="K915" s="167"/>
      <c r="L915" s="167"/>
      <c r="M915" s="167"/>
      <c r="N915" s="167"/>
      <c r="O915" s="167"/>
      <c r="P915" s="164"/>
      <c r="Q915" s="165"/>
      <c r="R915" s="165"/>
      <c r="S915" s="167"/>
      <c r="T915" s="167"/>
      <c r="U915" s="167"/>
      <c r="V915" s="168"/>
      <c r="W915" s="168"/>
      <c r="X915" s="168"/>
      <c r="Y915" s="168"/>
      <c r="Z915" s="168"/>
      <c r="AA915" s="168"/>
      <c r="AB915" s="164"/>
      <c r="AC915" s="165"/>
      <c r="AD915" s="165"/>
      <c r="AE915" s="169"/>
      <c r="AF915" s="169"/>
      <c r="AG915" s="169"/>
      <c r="AH915" s="168"/>
      <c r="AI915" s="168"/>
      <c r="AJ915" s="168"/>
      <c r="AK915" s="170"/>
      <c r="AL915" s="170"/>
    </row>
    <row r="916" ht="15.75" customHeight="1">
      <c r="A916" s="161"/>
      <c r="B916" s="161"/>
      <c r="C916" s="162"/>
      <c r="D916" s="163"/>
      <c r="E916" s="164"/>
      <c r="F916" s="165"/>
      <c r="G916" s="166"/>
      <c r="H916" s="167"/>
      <c r="I916" s="167"/>
      <c r="J916" s="167"/>
      <c r="K916" s="167"/>
      <c r="L916" s="167"/>
      <c r="M916" s="167"/>
      <c r="N916" s="167"/>
      <c r="O916" s="167"/>
      <c r="P916" s="164"/>
      <c r="Q916" s="165"/>
      <c r="R916" s="165"/>
      <c r="S916" s="167"/>
      <c r="T916" s="167"/>
      <c r="U916" s="167"/>
      <c r="V916" s="168"/>
      <c r="W916" s="168"/>
      <c r="X916" s="168"/>
      <c r="Y916" s="168"/>
      <c r="Z916" s="168"/>
      <c r="AA916" s="168"/>
      <c r="AB916" s="164"/>
      <c r="AC916" s="165"/>
      <c r="AD916" s="165"/>
      <c r="AE916" s="169"/>
      <c r="AF916" s="169"/>
      <c r="AG916" s="169"/>
      <c r="AH916" s="168"/>
      <c r="AI916" s="168"/>
      <c r="AJ916" s="168"/>
      <c r="AK916" s="170"/>
      <c r="AL916" s="170"/>
    </row>
    <row r="917" ht="15.75" customHeight="1">
      <c r="A917" s="161"/>
      <c r="B917" s="161"/>
      <c r="C917" s="162"/>
      <c r="D917" s="163"/>
      <c r="E917" s="164"/>
      <c r="F917" s="165"/>
      <c r="G917" s="166"/>
      <c r="H917" s="167"/>
      <c r="I917" s="167"/>
      <c r="J917" s="167"/>
      <c r="K917" s="167"/>
      <c r="L917" s="167"/>
      <c r="M917" s="167"/>
      <c r="N917" s="167"/>
      <c r="O917" s="167"/>
      <c r="P917" s="164"/>
      <c r="Q917" s="165"/>
      <c r="R917" s="165"/>
      <c r="S917" s="167"/>
      <c r="T917" s="167"/>
      <c r="U917" s="167"/>
      <c r="V917" s="168"/>
      <c r="W917" s="168"/>
      <c r="X917" s="168"/>
      <c r="Y917" s="168"/>
      <c r="Z917" s="168"/>
      <c r="AA917" s="168"/>
      <c r="AB917" s="164"/>
      <c r="AC917" s="165"/>
      <c r="AD917" s="165"/>
      <c r="AE917" s="169"/>
      <c r="AF917" s="169"/>
      <c r="AG917" s="169"/>
      <c r="AH917" s="168"/>
      <c r="AI917" s="168"/>
      <c r="AJ917" s="168"/>
      <c r="AK917" s="170"/>
      <c r="AL917" s="170"/>
    </row>
    <row r="918" ht="15.75" customHeight="1">
      <c r="A918" s="161"/>
      <c r="B918" s="161"/>
      <c r="C918" s="162"/>
      <c r="D918" s="163"/>
      <c r="E918" s="164"/>
      <c r="F918" s="165"/>
      <c r="G918" s="166"/>
      <c r="H918" s="167"/>
      <c r="I918" s="167"/>
      <c r="J918" s="167"/>
      <c r="K918" s="167"/>
      <c r="L918" s="167"/>
      <c r="M918" s="167"/>
      <c r="N918" s="167"/>
      <c r="O918" s="167"/>
      <c r="P918" s="164"/>
      <c r="Q918" s="165"/>
      <c r="R918" s="165"/>
      <c r="S918" s="167"/>
      <c r="T918" s="167"/>
      <c r="U918" s="167"/>
      <c r="V918" s="168"/>
      <c r="W918" s="168"/>
      <c r="X918" s="168"/>
      <c r="Y918" s="168"/>
      <c r="Z918" s="168"/>
      <c r="AA918" s="168"/>
      <c r="AB918" s="164"/>
      <c r="AC918" s="165"/>
      <c r="AD918" s="165"/>
      <c r="AE918" s="169"/>
      <c r="AF918" s="169"/>
      <c r="AG918" s="169"/>
      <c r="AH918" s="168"/>
      <c r="AI918" s="168"/>
      <c r="AJ918" s="168"/>
      <c r="AK918" s="170"/>
      <c r="AL918" s="170"/>
    </row>
    <row r="919" ht="15.75" customHeight="1">
      <c r="A919" s="161"/>
      <c r="B919" s="161"/>
      <c r="C919" s="162"/>
      <c r="D919" s="163"/>
      <c r="E919" s="164"/>
      <c r="F919" s="165"/>
      <c r="G919" s="166"/>
      <c r="H919" s="167"/>
      <c r="I919" s="167"/>
      <c r="J919" s="167"/>
      <c r="K919" s="167"/>
      <c r="L919" s="167"/>
      <c r="M919" s="167"/>
      <c r="N919" s="167"/>
      <c r="O919" s="167"/>
      <c r="P919" s="164"/>
      <c r="Q919" s="165"/>
      <c r="R919" s="165"/>
      <c r="S919" s="167"/>
      <c r="T919" s="167"/>
      <c r="U919" s="167"/>
      <c r="V919" s="168"/>
      <c r="W919" s="168"/>
      <c r="X919" s="168"/>
      <c r="Y919" s="168"/>
      <c r="Z919" s="168"/>
      <c r="AA919" s="168"/>
      <c r="AB919" s="164"/>
      <c r="AC919" s="165"/>
      <c r="AD919" s="165"/>
      <c r="AE919" s="169"/>
      <c r="AF919" s="169"/>
      <c r="AG919" s="169"/>
      <c r="AH919" s="168"/>
      <c r="AI919" s="168"/>
      <c r="AJ919" s="168"/>
      <c r="AK919" s="170"/>
      <c r="AL919" s="170"/>
    </row>
    <row r="920" ht="15.75" customHeight="1">
      <c r="A920" s="161"/>
      <c r="B920" s="161"/>
      <c r="C920" s="162"/>
      <c r="D920" s="163"/>
      <c r="E920" s="164"/>
      <c r="F920" s="165"/>
      <c r="G920" s="166"/>
      <c r="H920" s="167"/>
      <c r="I920" s="167"/>
      <c r="J920" s="167"/>
      <c r="K920" s="167"/>
      <c r="L920" s="167"/>
      <c r="M920" s="167"/>
      <c r="N920" s="167"/>
      <c r="O920" s="167"/>
      <c r="P920" s="164"/>
      <c r="Q920" s="165"/>
      <c r="R920" s="165"/>
      <c r="S920" s="167"/>
      <c r="T920" s="167"/>
      <c r="U920" s="167"/>
      <c r="V920" s="168"/>
      <c r="W920" s="168"/>
      <c r="X920" s="168"/>
      <c r="Y920" s="168"/>
      <c r="Z920" s="168"/>
      <c r="AA920" s="168"/>
      <c r="AB920" s="164"/>
      <c r="AC920" s="165"/>
      <c r="AD920" s="165"/>
      <c r="AE920" s="169"/>
      <c r="AF920" s="169"/>
      <c r="AG920" s="169"/>
      <c r="AH920" s="168"/>
      <c r="AI920" s="168"/>
      <c r="AJ920" s="168"/>
      <c r="AK920" s="170"/>
      <c r="AL920" s="170"/>
    </row>
    <row r="921" ht="15.75" customHeight="1">
      <c r="A921" s="161"/>
      <c r="B921" s="161"/>
      <c r="C921" s="162"/>
      <c r="D921" s="163"/>
      <c r="E921" s="164"/>
      <c r="F921" s="165"/>
      <c r="G921" s="166"/>
      <c r="H921" s="167"/>
      <c r="I921" s="167"/>
      <c r="J921" s="167"/>
      <c r="K921" s="167"/>
      <c r="L921" s="167"/>
      <c r="M921" s="167"/>
      <c r="N921" s="167"/>
      <c r="O921" s="167"/>
      <c r="P921" s="164"/>
      <c r="Q921" s="165"/>
      <c r="R921" s="165"/>
      <c r="S921" s="167"/>
      <c r="T921" s="167"/>
      <c r="U921" s="167"/>
      <c r="V921" s="168"/>
      <c r="W921" s="168"/>
      <c r="X921" s="168"/>
      <c r="Y921" s="168"/>
      <c r="Z921" s="168"/>
      <c r="AA921" s="168"/>
      <c r="AB921" s="164"/>
      <c r="AC921" s="165"/>
      <c r="AD921" s="165"/>
      <c r="AE921" s="169"/>
      <c r="AF921" s="169"/>
      <c r="AG921" s="169"/>
      <c r="AH921" s="168"/>
      <c r="AI921" s="168"/>
      <c r="AJ921" s="168"/>
      <c r="AK921" s="170"/>
      <c r="AL921" s="170"/>
    </row>
    <row r="922" ht="15.75" customHeight="1">
      <c r="A922" s="161"/>
      <c r="B922" s="161"/>
      <c r="C922" s="162"/>
      <c r="D922" s="163"/>
      <c r="E922" s="164"/>
      <c r="F922" s="165"/>
      <c r="G922" s="166"/>
      <c r="H922" s="167"/>
      <c r="I922" s="167"/>
      <c r="J922" s="167"/>
      <c r="K922" s="167"/>
      <c r="L922" s="167"/>
      <c r="M922" s="167"/>
      <c r="N922" s="167"/>
      <c r="O922" s="167"/>
      <c r="P922" s="164"/>
      <c r="Q922" s="165"/>
      <c r="R922" s="165"/>
      <c r="S922" s="167"/>
      <c r="T922" s="167"/>
      <c r="U922" s="167"/>
      <c r="V922" s="168"/>
      <c r="W922" s="168"/>
      <c r="X922" s="168"/>
      <c r="Y922" s="168"/>
      <c r="Z922" s="168"/>
      <c r="AA922" s="168"/>
      <c r="AB922" s="164"/>
      <c r="AC922" s="165"/>
      <c r="AD922" s="165"/>
      <c r="AE922" s="169"/>
      <c r="AF922" s="169"/>
      <c r="AG922" s="169"/>
      <c r="AH922" s="168"/>
      <c r="AI922" s="168"/>
      <c r="AJ922" s="168"/>
      <c r="AK922" s="170"/>
      <c r="AL922" s="170"/>
    </row>
    <row r="923" ht="15.75" customHeight="1">
      <c r="A923" s="161"/>
      <c r="B923" s="161"/>
      <c r="C923" s="162"/>
      <c r="D923" s="163"/>
      <c r="E923" s="164"/>
      <c r="F923" s="165"/>
      <c r="G923" s="166"/>
      <c r="H923" s="167"/>
      <c r="I923" s="167"/>
      <c r="J923" s="167"/>
      <c r="K923" s="167"/>
      <c r="L923" s="167"/>
      <c r="M923" s="167"/>
      <c r="N923" s="167"/>
      <c r="O923" s="167"/>
      <c r="P923" s="164"/>
      <c r="Q923" s="165"/>
      <c r="R923" s="165"/>
      <c r="S923" s="167"/>
      <c r="T923" s="167"/>
      <c r="U923" s="167"/>
      <c r="V923" s="168"/>
      <c r="W923" s="168"/>
      <c r="X923" s="168"/>
      <c r="Y923" s="168"/>
      <c r="Z923" s="168"/>
      <c r="AA923" s="168"/>
      <c r="AB923" s="164"/>
      <c r="AC923" s="165"/>
      <c r="AD923" s="165"/>
      <c r="AE923" s="169"/>
      <c r="AF923" s="169"/>
      <c r="AG923" s="169"/>
      <c r="AH923" s="168"/>
      <c r="AI923" s="168"/>
      <c r="AJ923" s="168"/>
      <c r="AK923" s="170"/>
      <c r="AL923" s="170"/>
    </row>
    <row r="924" ht="15.75" customHeight="1">
      <c r="A924" s="161"/>
      <c r="B924" s="161"/>
      <c r="C924" s="162"/>
      <c r="D924" s="163"/>
      <c r="E924" s="164"/>
      <c r="F924" s="165"/>
      <c r="G924" s="166"/>
      <c r="H924" s="167"/>
      <c r="I924" s="167"/>
      <c r="J924" s="167"/>
      <c r="K924" s="167"/>
      <c r="L924" s="167"/>
      <c r="M924" s="167"/>
      <c r="N924" s="167"/>
      <c r="O924" s="167"/>
      <c r="P924" s="164"/>
      <c r="Q924" s="165"/>
      <c r="R924" s="165"/>
      <c r="S924" s="167"/>
      <c r="T924" s="167"/>
      <c r="U924" s="167"/>
      <c r="V924" s="168"/>
      <c r="W924" s="168"/>
      <c r="X924" s="168"/>
      <c r="Y924" s="168"/>
      <c r="Z924" s="168"/>
      <c r="AA924" s="168"/>
      <c r="AB924" s="164"/>
      <c r="AC924" s="165"/>
      <c r="AD924" s="165"/>
      <c r="AE924" s="169"/>
      <c r="AF924" s="169"/>
      <c r="AG924" s="169"/>
      <c r="AH924" s="168"/>
      <c r="AI924" s="168"/>
      <c r="AJ924" s="168"/>
      <c r="AK924" s="170"/>
      <c r="AL924" s="170"/>
    </row>
    <row r="925" ht="15.75" customHeight="1">
      <c r="A925" s="161"/>
      <c r="B925" s="161"/>
      <c r="C925" s="162"/>
      <c r="D925" s="163"/>
      <c r="E925" s="164"/>
      <c r="F925" s="165"/>
      <c r="G925" s="166"/>
      <c r="H925" s="167"/>
      <c r="I925" s="167"/>
      <c r="J925" s="167"/>
      <c r="K925" s="167"/>
      <c r="L925" s="167"/>
      <c r="M925" s="167"/>
      <c r="N925" s="167"/>
      <c r="O925" s="167"/>
      <c r="P925" s="164"/>
      <c r="Q925" s="165"/>
      <c r="R925" s="165"/>
      <c r="S925" s="167"/>
      <c r="T925" s="167"/>
      <c r="U925" s="167"/>
      <c r="V925" s="168"/>
      <c r="W925" s="168"/>
      <c r="X925" s="168"/>
      <c r="Y925" s="168"/>
      <c r="Z925" s="168"/>
      <c r="AA925" s="168"/>
      <c r="AB925" s="164"/>
      <c r="AC925" s="165"/>
      <c r="AD925" s="165"/>
      <c r="AE925" s="169"/>
      <c r="AF925" s="169"/>
      <c r="AG925" s="169"/>
      <c r="AH925" s="168"/>
      <c r="AI925" s="168"/>
      <c r="AJ925" s="168"/>
      <c r="AK925" s="170"/>
      <c r="AL925" s="170"/>
    </row>
    <row r="926" ht="15.75" customHeight="1">
      <c r="A926" s="161"/>
      <c r="B926" s="161"/>
      <c r="C926" s="162"/>
      <c r="D926" s="163"/>
      <c r="E926" s="164"/>
      <c r="F926" s="165"/>
      <c r="G926" s="166"/>
      <c r="H926" s="167"/>
      <c r="I926" s="167"/>
      <c r="J926" s="167"/>
      <c r="K926" s="167"/>
      <c r="L926" s="167"/>
      <c r="M926" s="167"/>
      <c r="N926" s="167"/>
      <c r="O926" s="167"/>
      <c r="P926" s="164"/>
      <c r="Q926" s="165"/>
      <c r="R926" s="165"/>
      <c r="S926" s="167"/>
      <c r="T926" s="167"/>
      <c r="U926" s="167"/>
      <c r="V926" s="168"/>
      <c r="W926" s="168"/>
      <c r="X926" s="168"/>
      <c r="Y926" s="168"/>
      <c r="Z926" s="168"/>
      <c r="AA926" s="168"/>
      <c r="AB926" s="164"/>
      <c r="AC926" s="165"/>
      <c r="AD926" s="165"/>
      <c r="AE926" s="169"/>
      <c r="AF926" s="169"/>
      <c r="AG926" s="169"/>
      <c r="AH926" s="168"/>
      <c r="AI926" s="168"/>
      <c r="AJ926" s="168"/>
      <c r="AK926" s="170"/>
      <c r="AL926" s="170"/>
    </row>
    <row r="927" ht="15.75" customHeight="1">
      <c r="A927" s="161"/>
      <c r="B927" s="161"/>
      <c r="C927" s="162"/>
      <c r="D927" s="163"/>
      <c r="E927" s="164"/>
      <c r="F927" s="165"/>
      <c r="G927" s="166"/>
      <c r="H927" s="167"/>
      <c r="I927" s="167"/>
      <c r="J927" s="167"/>
      <c r="K927" s="167"/>
      <c r="L927" s="167"/>
      <c r="M927" s="167"/>
      <c r="N927" s="167"/>
      <c r="O927" s="167"/>
      <c r="P927" s="164"/>
      <c r="Q927" s="165"/>
      <c r="R927" s="165"/>
      <c r="S927" s="167"/>
      <c r="T927" s="167"/>
      <c r="U927" s="167"/>
      <c r="V927" s="168"/>
      <c r="W927" s="168"/>
      <c r="X927" s="168"/>
      <c r="Y927" s="168"/>
      <c r="Z927" s="168"/>
      <c r="AA927" s="168"/>
      <c r="AB927" s="164"/>
      <c r="AC927" s="165"/>
      <c r="AD927" s="165"/>
      <c r="AE927" s="169"/>
      <c r="AF927" s="169"/>
      <c r="AG927" s="169"/>
      <c r="AH927" s="168"/>
      <c r="AI927" s="168"/>
      <c r="AJ927" s="168"/>
      <c r="AK927" s="170"/>
      <c r="AL927" s="170"/>
    </row>
    <row r="928" ht="15.75" customHeight="1">
      <c r="A928" s="161"/>
      <c r="B928" s="161"/>
      <c r="C928" s="162"/>
      <c r="D928" s="163"/>
      <c r="E928" s="164"/>
      <c r="F928" s="165"/>
      <c r="G928" s="166"/>
      <c r="H928" s="167"/>
      <c r="I928" s="167"/>
      <c r="J928" s="167"/>
      <c r="K928" s="167"/>
      <c r="L928" s="167"/>
      <c r="M928" s="167"/>
      <c r="N928" s="167"/>
      <c r="O928" s="167"/>
      <c r="P928" s="164"/>
      <c r="Q928" s="165"/>
      <c r="R928" s="165"/>
      <c r="S928" s="167"/>
      <c r="T928" s="167"/>
      <c r="U928" s="167"/>
      <c r="V928" s="168"/>
      <c r="W928" s="168"/>
      <c r="X928" s="168"/>
      <c r="Y928" s="168"/>
      <c r="Z928" s="168"/>
      <c r="AA928" s="168"/>
      <c r="AB928" s="164"/>
      <c r="AC928" s="165"/>
      <c r="AD928" s="165"/>
      <c r="AE928" s="169"/>
      <c r="AF928" s="169"/>
      <c r="AG928" s="169"/>
      <c r="AH928" s="168"/>
      <c r="AI928" s="168"/>
      <c r="AJ928" s="168"/>
      <c r="AK928" s="170"/>
      <c r="AL928" s="170"/>
    </row>
    <row r="929" ht="15.75" customHeight="1">
      <c r="A929" s="161"/>
      <c r="B929" s="161"/>
      <c r="C929" s="162"/>
      <c r="D929" s="163"/>
      <c r="E929" s="164"/>
      <c r="F929" s="165"/>
      <c r="G929" s="166"/>
      <c r="H929" s="167"/>
      <c r="I929" s="167"/>
      <c r="J929" s="167"/>
      <c r="K929" s="167"/>
      <c r="L929" s="167"/>
      <c r="M929" s="167"/>
      <c r="N929" s="167"/>
      <c r="O929" s="167"/>
      <c r="P929" s="164"/>
      <c r="Q929" s="165"/>
      <c r="R929" s="165"/>
      <c r="S929" s="167"/>
      <c r="T929" s="167"/>
      <c r="U929" s="167"/>
      <c r="V929" s="168"/>
      <c r="W929" s="168"/>
      <c r="X929" s="168"/>
      <c r="Y929" s="168"/>
      <c r="Z929" s="168"/>
      <c r="AA929" s="168"/>
      <c r="AB929" s="164"/>
      <c r="AC929" s="165"/>
      <c r="AD929" s="165"/>
      <c r="AE929" s="169"/>
      <c r="AF929" s="169"/>
      <c r="AG929" s="169"/>
      <c r="AH929" s="168"/>
      <c r="AI929" s="168"/>
      <c r="AJ929" s="168"/>
      <c r="AK929" s="170"/>
      <c r="AL929" s="170"/>
    </row>
    <row r="930" ht="15.75" customHeight="1">
      <c r="A930" s="161"/>
      <c r="B930" s="161"/>
      <c r="C930" s="162"/>
      <c r="D930" s="163"/>
      <c r="E930" s="164"/>
      <c r="F930" s="165"/>
      <c r="G930" s="166"/>
      <c r="H930" s="167"/>
      <c r="I930" s="167"/>
      <c r="J930" s="167"/>
      <c r="K930" s="167"/>
      <c r="L930" s="167"/>
      <c r="M930" s="167"/>
      <c r="N930" s="167"/>
      <c r="O930" s="167"/>
      <c r="P930" s="164"/>
      <c r="Q930" s="165"/>
      <c r="R930" s="165"/>
      <c r="S930" s="167"/>
      <c r="T930" s="167"/>
      <c r="U930" s="167"/>
      <c r="V930" s="168"/>
      <c r="W930" s="168"/>
      <c r="X930" s="168"/>
      <c r="Y930" s="168"/>
      <c r="Z930" s="168"/>
      <c r="AA930" s="168"/>
      <c r="AB930" s="164"/>
      <c r="AC930" s="165"/>
      <c r="AD930" s="165"/>
      <c r="AE930" s="169"/>
      <c r="AF930" s="169"/>
      <c r="AG930" s="169"/>
      <c r="AH930" s="168"/>
      <c r="AI930" s="168"/>
      <c r="AJ930" s="168"/>
      <c r="AK930" s="170"/>
      <c r="AL930" s="170"/>
    </row>
    <row r="931" ht="15.75" customHeight="1">
      <c r="A931" s="161"/>
      <c r="B931" s="161"/>
      <c r="C931" s="162"/>
      <c r="D931" s="163"/>
      <c r="E931" s="164"/>
      <c r="F931" s="165"/>
      <c r="G931" s="166"/>
      <c r="H931" s="167"/>
      <c r="I931" s="167"/>
      <c r="J931" s="167"/>
      <c r="K931" s="167"/>
      <c r="L931" s="167"/>
      <c r="M931" s="167"/>
      <c r="N931" s="167"/>
      <c r="O931" s="167"/>
      <c r="P931" s="164"/>
      <c r="Q931" s="165"/>
      <c r="R931" s="165"/>
      <c r="S931" s="167"/>
      <c r="T931" s="167"/>
      <c r="U931" s="167"/>
      <c r="V931" s="168"/>
      <c r="W931" s="168"/>
      <c r="X931" s="168"/>
      <c r="Y931" s="168"/>
      <c r="Z931" s="168"/>
      <c r="AA931" s="168"/>
      <c r="AB931" s="164"/>
      <c r="AC931" s="165"/>
      <c r="AD931" s="165"/>
      <c r="AE931" s="169"/>
      <c r="AF931" s="169"/>
      <c r="AG931" s="169"/>
      <c r="AH931" s="168"/>
      <c r="AI931" s="168"/>
      <c r="AJ931" s="168"/>
      <c r="AK931" s="170"/>
      <c r="AL931" s="170"/>
    </row>
    <row r="932" ht="15.75" customHeight="1">
      <c r="A932" s="161"/>
      <c r="B932" s="161"/>
      <c r="C932" s="162"/>
      <c r="D932" s="163"/>
      <c r="E932" s="164"/>
      <c r="F932" s="165"/>
      <c r="G932" s="166"/>
      <c r="H932" s="167"/>
      <c r="I932" s="167"/>
      <c r="J932" s="167"/>
      <c r="K932" s="167"/>
      <c r="L932" s="167"/>
      <c r="M932" s="167"/>
      <c r="N932" s="167"/>
      <c r="O932" s="167"/>
      <c r="P932" s="164"/>
      <c r="Q932" s="165"/>
      <c r="R932" s="165"/>
      <c r="S932" s="167"/>
      <c r="T932" s="167"/>
      <c r="U932" s="167"/>
      <c r="V932" s="168"/>
      <c r="W932" s="168"/>
      <c r="X932" s="168"/>
      <c r="Y932" s="168"/>
      <c r="Z932" s="168"/>
      <c r="AA932" s="168"/>
      <c r="AB932" s="164"/>
      <c r="AC932" s="165"/>
      <c r="AD932" s="165"/>
      <c r="AE932" s="169"/>
      <c r="AF932" s="169"/>
      <c r="AG932" s="169"/>
      <c r="AH932" s="168"/>
      <c r="AI932" s="168"/>
      <c r="AJ932" s="168"/>
      <c r="AK932" s="170"/>
      <c r="AL932" s="170"/>
    </row>
    <row r="933" ht="15.75" customHeight="1">
      <c r="A933" s="161"/>
      <c r="B933" s="161"/>
      <c r="C933" s="162"/>
      <c r="D933" s="163"/>
      <c r="E933" s="164"/>
      <c r="F933" s="165"/>
      <c r="G933" s="166"/>
      <c r="H933" s="167"/>
      <c r="I933" s="167"/>
      <c r="J933" s="167"/>
      <c r="K933" s="167"/>
      <c r="L933" s="167"/>
      <c r="M933" s="167"/>
      <c r="N933" s="167"/>
      <c r="O933" s="167"/>
      <c r="P933" s="164"/>
      <c r="Q933" s="165"/>
      <c r="R933" s="165"/>
      <c r="S933" s="167"/>
      <c r="T933" s="167"/>
      <c r="U933" s="167"/>
      <c r="V933" s="168"/>
      <c r="W933" s="168"/>
      <c r="X933" s="168"/>
      <c r="Y933" s="168"/>
      <c r="Z933" s="168"/>
      <c r="AA933" s="168"/>
      <c r="AB933" s="164"/>
      <c r="AC933" s="165"/>
      <c r="AD933" s="165"/>
      <c r="AE933" s="169"/>
      <c r="AF933" s="169"/>
      <c r="AG933" s="169"/>
      <c r="AH933" s="168"/>
      <c r="AI933" s="168"/>
      <c r="AJ933" s="168"/>
      <c r="AK933" s="170"/>
      <c r="AL933" s="170"/>
    </row>
    <row r="934" ht="15.75" customHeight="1">
      <c r="A934" s="161"/>
      <c r="B934" s="161"/>
      <c r="C934" s="162"/>
      <c r="D934" s="163"/>
      <c r="E934" s="164"/>
      <c r="F934" s="165"/>
      <c r="G934" s="166"/>
      <c r="H934" s="167"/>
      <c r="I934" s="167"/>
      <c r="J934" s="167"/>
      <c r="K934" s="167"/>
      <c r="L934" s="167"/>
      <c r="M934" s="167"/>
      <c r="N934" s="167"/>
      <c r="O934" s="167"/>
      <c r="P934" s="164"/>
      <c r="Q934" s="165"/>
      <c r="R934" s="165"/>
      <c r="S934" s="167"/>
      <c r="T934" s="167"/>
      <c r="U934" s="167"/>
      <c r="V934" s="168"/>
      <c r="W934" s="168"/>
      <c r="X934" s="168"/>
      <c r="Y934" s="168"/>
      <c r="Z934" s="168"/>
      <c r="AA934" s="168"/>
      <c r="AB934" s="164"/>
      <c r="AC934" s="165"/>
      <c r="AD934" s="165"/>
      <c r="AE934" s="169"/>
      <c r="AF934" s="169"/>
      <c r="AG934" s="169"/>
      <c r="AH934" s="168"/>
      <c r="AI934" s="168"/>
      <c r="AJ934" s="168"/>
      <c r="AK934" s="170"/>
      <c r="AL934" s="170"/>
    </row>
    <row r="935" ht="15.75" customHeight="1">
      <c r="A935" s="161"/>
      <c r="B935" s="161"/>
      <c r="C935" s="162"/>
      <c r="D935" s="163"/>
      <c r="E935" s="164"/>
      <c r="F935" s="165"/>
      <c r="G935" s="166"/>
      <c r="H935" s="167"/>
      <c r="I935" s="167"/>
      <c r="J935" s="167"/>
      <c r="K935" s="167"/>
      <c r="L935" s="167"/>
      <c r="M935" s="167"/>
      <c r="N935" s="167"/>
      <c r="O935" s="167"/>
      <c r="P935" s="164"/>
      <c r="Q935" s="165"/>
      <c r="R935" s="165"/>
      <c r="S935" s="167"/>
      <c r="T935" s="167"/>
      <c r="U935" s="167"/>
      <c r="V935" s="168"/>
      <c r="W935" s="168"/>
      <c r="X935" s="168"/>
      <c r="Y935" s="168"/>
      <c r="Z935" s="168"/>
      <c r="AA935" s="168"/>
      <c r="AB935" s="164"/>
      <c r="AC935" s="165"/>
      <c r="AD935" s="165"/>
      <c r="AE935" s="169"/>
      <c r="AF935" s="169"/>
      <c r="AG935" s="169"/>
      <c r="AH935" s="168"/>
      <c r="AI935" s="168"/>
      <c r="AJ935" s="168"/>
      <c r="AK935" s="170"/>
      <c r="AL935" s="170"/>
    </row>
    <row r="936" ht="15.75" customHeight="1">
      <c r="A936" s="161"/>
      <c r="B936" s="161"/>
      <c r="C936" s="162"/>
      <c r="D936" s="163"/>
      <c r="E936" s="164"/>
      <c r="F936" s="165"/>
      <c r="G936" s="166"/>
      <c r="H936" s="167"/>
      <c r="I936" s="167"/>
      <c r="J936" s="167"/>
      <c r="K936" s="167"/>
      <c r="L936" s="167"/>
      <c r="M936" s="167"/>
      <c r="N936" s="167"/>
      <c r="O936" s="167"/>
      <c r="P936" s="164"/>
      <c r="Q936" s="165"/>
      <c r="R936" s="165"/>
      <c r="S936" s="167"/>
      <c r="T936" s="167"/>
      <c r="U936" s="167"/>
      <c r="V936" s="168"/>
      <c r="W936" s="168"/>
      <c r="X936" s="168"/>
      <c r="Y936" s="168"/>
      <c r="Z936" s="168"/>
      <c r="AA936" s="168"/>
      <c r="AB936" s="164"/>
      <c r="AC936" s="165"/>
      <c r="AD936" s="165"/>
      <c r="AE936" s="169"/>
      <c r="AF936" s="169"/>
      <c r="AG936" s="169"/>
      <c r="AH936" s="168"/>
      <c r="AI936" s="168"/>
      <c r="AJ936" s="168"/>
      <c r="AK936" s="170"/>
      <c r="AL936" s="170"/>
    </row>
    <row r="937" ht="15.75" customHeight="1">
      <c r="A937" s="161"/>
      <c r="B937" s="161"/>
      <c r="C937" s="162"/>
      <c r="D937" s="163"/>
      <c r="E937" s="164"/>
      <c r="F937" s="165"/>
      <c r="G937" s="166"/>
      <c r="H937" s="167"/>
      <c r="I937" s="167"/>
      <c r="J937" s="167"/>
      <c r="K937" s="167"/>
      <c r="L937" s="167"/>
      <c r="M937" s="167"/>
      <c r="N937" s="167"/>
      <c r="O937" s="167"/>
      <c r="P937" s="164"/>
      <c r="Q937" s="165"/>
      <c r="R937" s="165"/>
      <c r="S937" s="167"/>
      <c r="T937" s="167"/>
      <c r="U937" s="167"/>
      <c r="V937" s="168"/>
      <c r="W937" s="168"/>
      <c r="X937" s="168"/>
      <c r="Y937" s="168"/>
      <c r="Z937" s="168"/>
      <c r="AA937" s="168"/>
      <c r="AB937" s="164"/>
      <c r="AC937" s="165"/>
      <c r="AD937" s="165"/>
      <c r="AE937" s="169"/>
      <c r="AF937" s="169"/>
      <c r="AG937" s="169"/>
      <c r="AH937" s="168"/>
      <c r="AI937" s="168"/>
      <c r="AJ937" s="168"/>
      <c r="AK937" s="170"/>
      <c r="AL937" s="170"/>
    </row>
    <row r="938" ht="15.75" customHeight="1">
      <c r="A938" s="161"/>
      <c r="B938" s="161"/>
      <c r="C938" s="162"/>
      <c r="D938" s="163"/>
      <c r="E938" s="164"/>
      <c r="F938" s="165"/>
      <c r="G938" s="166"/>
      <c r="H938" s="167"/>
      <c r="I938" s="167"/>
      <c r="J938" s="167"/>
      <c r="K938" s="167"/>
      <c r="L938" s="167"/>
      <c r="M938" s="167"/>
      <c r="N938" s="167"/>
      <c r="O938" s="167"/>
      <c r="P938" s="164"/>
      <c r="Q938" s="165"/>
      <c r="R938" s="165"/>
      <c r="S938" s="167"/>
      <c r="T938" s="167"/>
      <c r="U938" s="167"/>
      <c r="V938" s="168"/>
      <c r="W938" s="168"/>
      <c r="X938" s="168"/>
      <c r="Y938" s="168"/>
      <c r="Z938" s="168"/>
      <c r="AA938" s="168"/>
      <c r="AB938" s="164"/>
      <c r="AC938" s="165"/>
      <c r="AD938" s="165"/>
      <c r="AE938" s="169"/>
      <c r="AF938" s="169"/>
      <c r="AG938" s="169"/>
      <c r="AH938" s="168"/>
      <c r="AI938" s="168"/>
      <c r="AJ938" s="168"/>
      <c r="AK938" s="170"/>
      <c r="AL938" s="170"/>
    </row>
    <row r="939" ht="15.75" customHeight="1">
      <c r="A939" s="161"/>
      <c r="B939" s="161"/>
      <c r="C939" s="162"/>
      <c r="D939" s="163"/>
      <c r="E939" s="164"/>
      <c r="F939" s="165"/>
      <c r="G939" s="166"/>
      <c r="H939" s="167"/>
      <c r="I939" s="167"/>
      <c r="J939" s="167"/>
      <c r="K939" s="167"/>
      <c r="L939" s="167"/>
      <c r="M939" s="167"/>
      <c r="N939" s="167"/>
      <c r="O939" s="167"/>
      <c r="P939" s="164"/>
      <c r="Q939" s="165"/>
      <c r="R939" s="165"/>
      <c r="S939" s="167"/>
      <c r="T939" s="167"/>
      <c r="U939" s="167"/>
      <c r="V939" s="168"/>
      <c r="W939" s="168"/>
      <c r="X939" s="168"/>
      <c r="Y939" s="168"/>
      <c r="Z939" s="168"/>
      <c r="AA939" s="168"/>
      <c r="AB939" s="164"/>
      <c r="AC939" s="165"/>
      <c r="AD939" s="165"/>
      <c r="AE939" s="169"/>
      <c r="AF939" s="169"/>
      <c r="AG939" s="169"/>
      <c r="AH939" s="168"/>
      <c r="AI939" s="168"/>
      <c r="AJ939" s="168"/>
      <c r="AK939" s="170"/>
      <c r="AL939" s="170"/>
    </row>
    <row r="940" ht="15.75" customHeight="1">
      <c r="A940" s="161"/>
      <c r="B940" s="161"/>
      <c r="C940" s="162"/>
      <c r="D940" s="163"/>
      <c r="E940" s="164"/>
      <c r="F940" s="165"/>
      <c r="G940" s="166"/>
      <c r="H940" s="167"/>
      <c r="I940" s="167"/>
      <c r="J940" s="167"/>
      <c r="K940" s="167"/>
      <c r="L940" s="167"/>
      <c r="M940" s="167"/>
      <c r="N940" s="167"/>
      <c r="O940" s="167"/>
      <c r="P940" s="164"/>
      <c r="Q940" s="165"/>
      <c r="R940" s="165"/>
      <c r="S940" s="167"/>
      <c r="T940" s="167"/>
      <c r="U940" s="167"/>
      <c r="V940" s="168"/>
      <c r="W940" s="168"/>
      <c r="X940" s="168"/>
      <c r="Y940" s="168"/>
      <c r="Z940" s="168"/>
      <c r="AA940" s="168"/>
      <c r="AB940" s="164"/>
      <c r="AC940" s="165"/>
      <c r="AD940" s="165"/>
      <c r="AE940" s="169"/>
      <c r="AF940" s="169"/>
      <c r="AG940" s="169"/>
      <c r="AH940" s="168"/>
      <c r="AI940" s="168"/>
      <c r="AJ940" s="168"/>
      <c r="AK940" s="170"/>
      <c r="AL940" s="170"/>
    </row>
    <row r="941" ht="15.75" customHeight="1">
      <c r="A941" s="161"/>
      <c r="B941" s="161"/>
      <c r="C941" s="162"/>
      <c r="D941" s="163"/>
      <c r="E941" s="164"/>
      <c r="F941" s="165"/>
      <c r="G941" s="166"/>
      <c r="H941" s="167"/>
      <c r="I941" s="167"/>
      <c r="J941" s="167"/>
      <c r="K941" s="167"/>
      <c r="L941" s="167"/>
      <c r="M941" s="167"/>
      <c r="N941" s="167"/>
      <c r="O941" s="167"/>
      <c r="P941" s="164"/>
      <c r="Q941" s="165"/>
      <c r="R941" s="165"/>
      <c r="S941" s="167"/>
      <c r="T941" s="167"/>
      <c r="U941" s="167"/>
      <c r="V941" s="168"/>
      <c r="W941" s="168"/>
      <c r="X941" s="168"/>
      <c r="Y941" s="168"/>
      <c r="Z941" s="168"/>
      <c r="AA941" s="168"/>
      <c r="AB941" s="164"/>
      <c r="AC941" s="165"/>
      <c r="AD941" s="165"/>
      <c r="AE941" s="169"/>
      <c r="AF941" s="169"/>
      <c r="AG941" s="169"/>
      <c r="AH941" s="168"/>
      <c r="AI941" s="168"/>
      <c r="AJ941" s="168"/>
      <c r="AK941" s="170"/>
      <c r="AL941" s="170"/>
    </row>
    <row r="942" ht="15.75" customHeight="1">
      <c r="A942" s="161"/>
      <c r="B942" s="161"/>
      <c r="C942" s="162"/>
      <c r="D942" s="163"/>
      <c r="E942" s="164"/>
      <c r="F942" s="165"/>
      <c r="G942" s="166"/>
      <c r="H942" s="167"/>
      <c r="I942" s="167"/>
      <c r="J942" s="167"/>
      <c r="K942" s="167"/>
      <c r="L942" s="167"/>
      <c r="M942" s="167"/>
      <c r="N942" s="167"/>
      <c r="O942" s="167"/>
      <c r="P942" s="164"/>
      <c r="Q942" s="165"/>
      <c r="R942" s="165"/>
      <c r="S942" s="167"/>
      <c r="T942" s="167"/>
      <c r="U942" s="167"/>
      <c r="V942" s="168"/>
      <c r="W942" s="168"/>
      <c r="X942" s="168"/>
      <c r="Y942" s="168"/>
      <c r="Z942" s="168"/>
      <c r="AA942" s="168"/>
      <c r="AB942" s="164"/>
      <c r="AC942" s="165"/>
      <c r="AD942" s="165"/>
      <c r="AE942" s="169"/>
      <c r="AF942" s="169"/>
      <c r="AG942" s="169"/>
      <c r="AH942" s="168"/>
      <c r="AI942" s="168"/>
      <c r="AJ942" s="168"/>
      <c r="AK942" s="170"/>
      <c r="AL942" s="170"/>
    </row>
    <row r="943" ht="15.75" customHeight="1">
      <c r="A943" s="161"/>
      <c r="B943" s="161"/>
      <c r="C943" s="162"/>
      <c r="D943" s="163"/>
      <c r="E943" s="164"/>
      <c r="F943" s="165"/>
      <c r="G943" s="166"/>
      <c r="H943" s="167"/>
      <c r="I943" s="167"/>
      <c r="J943" s="167"/>
      <c r="K943" s="167"/>
      <c r="L943" s="167"/>
      <c r="M943" s="167"/>
      <c r="N943" s="167"/>
      <c r="O943" s="167"/>
      <c r="P943" s="164"/>
      <c r="Q943" s="165"/>
      <c r="R943" s="165"/>
      <c r="S943" s="167"/>
      <c r="T943" s="167"/>
      <c r="U943" s="167"/>
      <c r="V943" s="168"/>
      <c r="W943" s="168"/>
      <c r="X943" s="168"/>
      <c r="Y943" s="168"/>
      <c r="Z943" s="168"/>
      <c r="AA943" s="168"/>
      <c r="AB943" s="164"/>
      <c r="AC943" s="165"/>
      <c r="AD943" s="165"/>
      <c r="AE943" s="169"/>
      <c r="AF943" s="169"/>
      <c r="AG943" s="169"/>
      <c r="AH943" s="168"/>
      <c r="AI943" s="168"/>
      <c r="AJ943" s="168"/>
      <c r="AK943" s="170"/>
      <c r="AL943" s="170"/>
    </row>
    <row r="944" ht="15.75" customHeight="1">
      <c r="A944" s="161"/>
      <c r="B944" s="161"/>
      <c r="C944" s="162"/>
      <c r="D944" s="163"/>
      <c r="E944" s="164"/>
      <c r="F944" s="165"/>
      <c r="G944" s="166"/>
      <c r="H944" s="167"/>
      <c r="I944" s="167"/>
      <c r="J944" s="167"/>
      <c r="K944" s="167"/>
      <c r="L944" s="167"/>
      <c r="M944" s="167"/>
      <c r="N944" s="167"/>
      <c r="O944" s="167"/>
      <c r="P944" s="164"/>
      <c r="Q944" s="165"/>
      <c r="R944" s="165"/>
      <c r="S944" s="167"/>
      <c r="T944" s="167"/>
      <c r="U944" s="167"/>
      <c r="V944" s="168"/>
      <c r="W944" s="168"/>
      <c r="X944" s="168"/>
      <c r="Y944" s="168"/>
      <c r="Z944" s="168"/>
      <c r="AA944" s="168"/>
      <c r="AB944" s="164"/>
      <c r="AC944" s="165"/>
      <c r="AD944" s="165"/>
      <c r="AE944" s="169"/>
      <c r="AF944" s="169"/>
      <c r="AG944" s="169"/>
      <c r="AH944" s="168"/>
      <c r="AI944" s="168"/>
      <c r="AJ944" s="168"/>
      <c r="AK944" s="170"/>
      <c r="AL944" s="170"/>
    </row>
    <row r="945" ht="15.75" customHeight="1">
      <c r="A945" s="161"/>
      <c r="B945" s="161"/>
      <c r="C945" s="162"/>
      <c r="D945" s="163"/>
      <c r="E945" s="164"/>
      <c r="F945" s="165"/>
      <c r="G945" s="166"/>
      <c r="H945" s="167"/>
      <c r="I945" s="167"/>
      <c r="J945" s="167"/>
      <c r="K945" s="167"/>
      <c r="L945" s="167"/>
      <c r="M945" s="167"/>
      <c r="N945" s="167"/>
      <c r="O945" s="167"/>
      <c r="P945" s="164"/>
      <c r="Q945" s="165"/>
      <c r="R945" s="165"/>
      <c r="S945" s="167"/>
      <c r="T945" s="167"/>
      <c r="U945" s="167"/>
      <c r="V945" s="168"/>
      <c r="W945" s="168"/>
      <c r="X945" s="168"/>
      <c r="Y945" s="168"/>
      <c r="Z945" s="168"/>
      <c r="AA945" s="168"/>
      <c r="AB945" s="164"/>
      <c r="AC945" s="165"/>
      <c r="AD945" s="165"/>
      <c r="AE945" s="169"/>
      <c r="AF945" s="169"/>
      <c r="AG945" s="169"/>
      <c r="AH945" s="168"/>
      <c r="AI945" s="168"/>
      <c r="AJ945" s="168"/>
      <c r="AK945" s="170"/>
      <c r="AL945" s="170"/>
    </row>
    <row r="946" ht="15.75" customHeight="1">
      <c r="A946" s="161"/>
      <c r="B946" s="161"/>
      <c r="C946" s="162"/>
      <c r="D946" s="163"/>
      <c r="E946" s="164"/>
      <c r="F946" s="165"/>
      <c r="G946" s="166"/>
      <c r="H946" s="167"/>
      <c r="I946" s="167"/>
      <c r="J946" s="167"/>
      <c r="K946" s="167"/>
      <c r="L946" s="167"/>
      <c r="M946" s="167"/>
      <c r="N946" s="167"/>
      <c r="O946" s="167"/>
      <c r="P946" s="164"/>
      <c r="Q946" s="165"/>
      <c r="R946" s="165"/>
      <c r="S946" s="167"/>
      <c r="T946" s="167"/>
      <c r="U946" s="167"/>
      <c r="V946" s="168"/>
      <c r="W946" s="168"/>
      <c r="X946" s="168"/>
      <c r="Y946" s="168"/>
      <c r="Z946" s="168"/>
      <c r="AA946" s="168"/>
      <c r="AB946" s="164"/>
      <c r="AC946" s="165"/>
      <c r="AD946" s="165"/>
      <c r="AE946" s="169"/>
      <c r="AF946" s="169"/>
      <c r="AG946" s="169"/>
      <c r="AH946" s="168"/>
      <c r="AI946" s="168"/>
      <c r="AJ946" s="168"/>
      <c r="AK946" s="170"/>
      <c r="AL946" s="170"/>
    </row>
    <row r="947" ht="15.75" customHeight="1">
      <c r="A947" s="161"/>
      <c r="B947" s="161"/>
      <c r="C947" s="162"/>
      <c r="D947" s="163"/>
      <c r="E947" s="164"/>
      <c r="F947" s="165"/>
      <c r="G947" s="166"/>
      <c r="H947" s="167"/>
      <c r="I947" s="167"/>
      <c r="J947" s="167"/>
      <c r="K947" s="167"/>
      <c r="L947" s="167"/>
      <c r="M947" s="167"/>
      <c r="N947" s="167"/>
      <c r="O947" s="167"/>
      <c r="P947" s="164"/>
      <c r="Q947" s="165"/>
      <c r="R947" s="165"/>
      <c r="S947" s="167"/>
      <c r="T947" s="167"/>
      <c r="U947" s="167"/>
      <c r="V947" s="168"/>
      <c r="W947" s="168"/>
      <c r="X947" s="168"/>
      <c r="Y947" s="168"/>
      <c r="Z947" s="168"/>
      <c r="AA947" s="168"/>
      <c r="AB947" s="164"/>
      <c r="AC947" s="165"/>
      <c r="AD947" s="165"/>
      <c r="AE947" s="169"/>
      <c r="AF947" s="169"/>
      <c r="AG947" s="169"/>
      <c r="AH947" s="168"/>
      <c r="AI947" s="168"/>
      <c r="AJ947" s="168"/>
      <c r="AK947" s="170"/>
      <c r="AL947" s="170"/>
    </row>
    <row r="948" ht="15.75" customHeight="1">
      <c r="A948" s="161"/>
      <c r="B948" s="161"/>
      <c r="C948" s="162"/>
      <c r="D948" s="163"/>
      <c r="E948" s="164"/>
      <c r="F948" s="165"/>
      <c r="G948" s="166"/>
      <c r="H948" s="167"/>
      <c r="I948" s="167"/>
      <c r="J948" s="167"/>
      <c r="K948" s="167"/>
      <c r="L948" s="167"/>
      <c r="M948" s="167"/>
      <c r="N948" s="167"/>
      <c r="O948" s="167"/>
      <c r="P948" s="164"/>
      <c r="Q948" s="165"/>
      <c r="R948" s="165"/>
      <c r="S948" s="167"/>
      <c r="T948" s="167"/>
      <c r="U948" s="167"/>
      <c r="V948" s="168"/>
      <c r="W948" s="168"/>
      <c r="X948" s="168"/>
      <c r="Y948" s="168"/>
      <c r="Z948" s="168"/>
      <c r="AA948" s="168"/>
      <c r="AB948" s="164"/>
      <c r="AC948" s="165"/>
      <c r="AD948" s="165"/>
      <c r="AE948" s="169"/>
      <c r="AF948" s="169"/>
      <c r="AG948" s="169"/>
      <c r="AH948" s="168"/>
      <c r="AI948" s="168"/>
      <c r="AJ948" s="168"/>
      <c r="AK948" s="170"/>
      <c r="AL948" s="170"/>
    </row>
    <row r="949" ht="15.75" customHeight="1">
      <c r="A949" s="161"/>
      <c r="B949" s="161"/>
      <c r="C949" s="162"/>
      <c r="D949" s="163"/>
      <c r="E949" s="164"/>
      <c r="F949" s="165"/>
      <c r="G949" s="166"/>
      <c r="H949" s="167"/>
      <c r="I949" s="167"/>
      <c r="J949" s="167"/>
      <c r="K949" s="167"/>
      <c r="L949" s="167"/>
      <c r="M949" s="167"/>
      <c r="N949" s="167"/>
      <c r="O949" s="167"/>
      <c r="P949" s="164"/>
      <c r="Q949" s="165"/>
      <c r="R949" s="165"/>
      <c r="S949" s="167"/>
      <c r="T949" s="167"/>
      <c r="U949" s="167"/>
      <c r="V949" s="168"/>
      <c r="W949" s="168"/>
      <c r="X949" s="168"/>
      <c r="Y949" s="168"/>
      <c r="Z949" s="168"/>
      <c r="AA949" s="168"/>
      <c r="AB949" s="164"/>
      <c r="AC949" s="165"/>
      <c r="AD949" s="165"/>
      <c r="AE949" s="169"/>
      <c r="AF949" s="169"/>
      <c r="AG949" s="169"/>
      <c r="AH949" s="168"/>
      <c r="AI949" s="168"/>
      <c r="AJ949" s="168"/>
      <c r="AK949" s="170"/>
      <c r="AL949" s="170"/>
    </row>
    <row r="950" ht="15.75" customHeight="1">
      <c r="A950" s="161"/>
      <c r="B950" s="161"/>
      <c r="C950" s="162"/>
      <c r="D950" s="163"/>
      <c r="E950" s="164"/>
      <c r="F950" s="165"/>
      <c r="G950" s="166"/>
      <c r="H950" s="167"/>
      <c r="I950" s="167"/>
      <c r="J950" s="167"/>
      <c r="K950" s="167"/>
      <c r="L950" s="167"/>
      <c r="M950" s="167"/>
      <c r="N950" s="167"/>
      <c r="O950" s="167"/>
      <c r="P950" s="164"/>
      <c r="Q950" s="165"/>
      <c r="R950" s="165"/>
      <c r="S950" s="167"/>
      <c r="T950" s="167"/>
      <c r="U950" s="167"/>
      <c r="V950" s="168"/>
      <c r="W950" s="168"/>
      <c r="X950" s="168"/>
      <c r="Y950" s="168"/>
      <c r="Z950" s="168"/>
      <c r="AA950" s="168"/>
      <c r="AB950" s="164"/>
      <c r="AC950" s="165"/>
      <c r="AD950" s="165"/>
      <c r="AE950" s="169"/>
      <c r="AF950" s="169"/>
      <c r="AG950" s="169"/>
      <c r="AH950" s="168"/>
      <c r="AI950" s="168"/>
      <c r="AJ950" s="168"/>
      <c r="AK950" s="170"/>
      <c r="AL950" s="170"/>
    </row>
    <row r="951" ht="15.75" customHeight="1">
      <c r="A951" s="161"/>
      <c r="B951" s="161"/>
      <c r="C951" s="162"/>
      <c r="D951" s="163"/>
      <c r="E951" s="164"/>
      <c r="F951" s="165"/>
      <c r="G951" s="166"/>
      <c r="H951" s="167"/>
      <c r="I951" s="167"/>
      <c r="J951" s="167"/>
      <c r="K951" s="167"/>
      <c r="L951" s="167"/>
      <c r="M951" s="167"/>
      <c r="N951" s="167"/>
      <c r="O951" s="167"/>
      <c r="P951" s="164"/>
      <c r="Q951" s="165"/>
      <c r="R951" s="165"/>
      <c r="S951" s="167"/>
      <c r="T951" s="167"/>
      <c r="U951" s="167"/>
      <c r="V951" s="168"/>
      <c r="W951" s="168"/>
      <c r="X951" s="168"/>
      <c r="Y951" s="168"/>
      <c r="Z951" s="168"/>
      <c r="AA951" s="168"/>
      <c r="AB951" s="164"/>
      <c r="AC951" s="165"/>
      <c r="AD951" s="165"/>
      <c r="AE951" s="169"/>
      <c r="AF951" s="169"/>
      <c r="AG951" s="169"/>
      <c r="AH951" s="168"/>
      <c r="AI951" s="168"/>
      <c r="AJ951" s="168"/>
      <c r="AK951" s="170"/>
      <c r="AL951" s="170"/>
    </row>
    <row r="952" ht="15.75" customHeight="1">
      <c r="A952" s="161"/>
      <c r="B952" s="161"/>
      <c r="C952" s="162"/>
      <c r="D952" s="163"/>
      <c r="E952" s="164"/>
      <c r="F952" s="165"/>
      <c r="G952" s="166"/>
      <c r="H952" s="167"/>
      <c r="I952" s="167"/>
      <c r="J952" s="167"/>
      <c r="K952" s="167"/>
      <c r="L952" s="167"/>
      <c r="M952" s="167"/>
      <c r="N952" s="167"/>
      <c r="O952" s="167"/>
      <c r="P952" s="164"/>
      <c r="Q952" s="165"/>
      <c r="R952" s="165"/>
      <c r="S952" s="167"/>
      <c r="T952" s="167"/>
      <c r="U952" s="167"/>
      <c r="V952" s="168"/>
      <c r="W952" s="168"/>
      <c r="X952" s="168"/>
      <c r="Y952" s="168"/>
      <c r="Z952" s="168"/>
      <c r="AA952" s="168"/>
      <c r="AB952" s="164"/>
      <c r="AC952" s="165"/>
      <c r="AD952" s="165"/>
      <c r="AE952" s="169"/>
      <c r="AF952" s="169"/>
      <c r="AG952" s="169"/>
      <c r="AH952" s="168"/>
      <c r="AI952" s="168"/>
      <c r="AJ952" s="168"/>
      <c r="AK952" s="170"/>
      <c r="AL952" s="170"/>
    </row>
    <row r="953" ht="15.75" customHeight="1">
      <c r="A953" s="161"/>
      <c r="B953" s="161"/>
      <c r="C953" s="162"/>
      <c r="D953" s="163"/>
      <c r="E953" s="164"/>
      <c r="F953" s="165"/>
      <c r="G953" s="166"/>
      <c r="H953" s="167"/>
      <c r="I953" s="167"/>
      <c r="J953" s="167"/>
      <c r="K953" s="167"/>
      <c r="L953" s="167"/>
      <c r="M953" s="167"/>
      <c r="N953" s="167"/>
      <c r="O953" s="167"/>
      <c r="P953" s="164"/>
      <c r="Q953" s="165"/>
      <c r="R953" s="165"/>
      <c r="S953" s="167"/>
      <c r="T953" s="167"/>
      <c r="U953" s="167"/>
      <c r="V953" s="168"/>
      <c r="W953" s="168"/>
      <c r="X953" s="168"/>
      <c r="Y953" s="168"/>
      <c r="Z953" s="168"/>
      <c r="AA953" s="168"/>
      <c r="AB953" s="164"/>
      <c r="AC953" s="165"/>
      <c r="AD953" s="165"/>
      <c r="AE953" s="169"/>
      <c r="AF953" s="169"/>
      <c r="AG953" s="169"/>
      <c r="AH953" s="168"/>
      <c r="AI953" s="168"/>
      <c r="AJ953" s="168"/>
      <c r="AK953" s="170"/>
      <c r="AL953" s="170"/>
    </row>
    <row r="954" ht="15.75" customHeight="1">
      <c r="A954" s="161"/>
      <c r="B954" s="161"/>
      <c r="C954" s="162"/>
      <c r="D954" s="163"/>
      <c r="E954" s="164"/>
      <c r="F954" s="165"/>
      <c r="G954" s="166"/>
      <c r="H954" s="167"/>
      <c r="I954" s="167"/>
      <c r="J954" s="167"/>
      <c r="K954" s="167"/>
      <c r="L954" s="167"/>
      <c r="M954" s="167"/>
      <c r="N954" s="167"/>
      <c r="O954" s="167"/>
      <c r="P954" s="164"/>
      <c r="Q954" s="165"/>
      <c r="R954" s="165"/>
      <c r="S954" s="167"/>
      <c r="T954" s="167"/>
      <c r="U954" s="167"/>
      <c r="V954" s="168"/>
      <c r="W954" s="168"/>
      <c r="X954" s="168"/>
      <c r="Y954" s="168"/>
      <c r="Z954" s="168"/>
      <c r="AA954" s="168"/>
      <c r="AB954" s="164"/>
      <c r="AC954" s="165"/>
      <c r="AD954" s="165"/>
      <c r="AE954" s="169"/>
      <c r="AF954" s="169"/>
      <c r="AG954" s="169"/>
      <c r="AH954" s="168"/>
      <c r="AI954" s="168"/>
      <c r="AJ954" s="168"/>
      <c r="AK954" s="170"/>
      <c r="AL954" s="170"/>
    </row>
    <row r="955" ht="15.75" customHeight="1">
      <c r="A955" s="161"/>
      <c r="B955" s="161"/>
      <c r="C955" s="162"/>
      <c r="D955" s="163"/>
      <c r="E955" s="164"/>
      <c r="F955" s="165"/>
      <c r="G955" s="166"/>
      <c r="H955" s="167"/>
      <c r="I955" s="167"/>
      <c r="J955" s="167"/>
      <c r="K955" s="167"/>
      <c r="L955" s="167"/>
      <c r="M955" s="167"/>
      <c r="N955" s="167"/>
      <c r="O955" s="167"/>
      <c r="P955" s="164"/>
      <c r="Q955" s="165"/>
      <c r="R955" s="165"/>
      <c r="S955" s="167"/>
      <c r="T955" s="167"/>
      <c r="U955" s="167"/>
      <c r="V955" s="168"/>
      <c r="W955" s="168"/>
      <c r="X955" s="168"/>
      <c r="Y955" s="168"/>
      <c r="Z955" s="168"/>
      <c r="AA955" s="168"/>
      <c r="AB955" s="164"/>
      <c r="AC955" s="165"/>
      <c r="AD955" s="165"/>
      <c r="AE955" s="169"/>
      <c r="AF955" s="169"/>
      <c r="AG955" s="169"/>
      <c r="AH955" s="168"/>
      <c r="AI955" s="168"/>
      <c r="AJ955" s="168"/>
      <c r="AK955" s="170"/>
      <c r="AL955" s="170"/>
    </row>
    <row r="956" ht="15.75" customHeight="1">
      <c r="A956" s="161"/>
      <c r="B956" s="161"/>
      <c r="C956" s="162"/>
      <c r="D956" s="163"/>
      <c r="E956" s="164"/>
      <c r="F956" s="165"/>
      <c r="G956" s="166"/>
      <c r="H956" s="167"/>
      <c r="I956" s="167"/>
      <c r="J956" s="167"/>
      <c r="K956" s="167"/>
      <c r="L956" s="167"/>
      <c r="M956" s="167"/>
      <c r="N956" s="167"/>
      <c r="O956" s="167"/>
      <c r="P956" s="164"/>
      <c r="Q956" s="165"/>
      <c r="R956" s="165"/>
      <c r="S956" s="167"/>
      <c r="T956" s="167"/>
      <c r="U956" s="167"/>
      <c r="V956" s="168"/>
      <c r="W956" s="168"/>
      <c r="X956" s="168"/>
      <c r="Y956" s="168"/>
      <c r="Z956" s="168"/>
      <c r="AA956" s="168"/>
      <c r="AB956" s="164"/>
      <c r="AC956" s="165"/>
      <c r="AD956" s="165"/>
      <c r="AE956" s="169"/>
      <c r="AF956" s="169"/>
      <c r="AG956" s="169"/>
      <c r="AH956" s="168"/>
      <c r="AI956" s="168"/>
      <c r="AJ956" s="168"/>
      <c r="AK956" s="170"/>
      <c r="AL956" s="170"/>
    </row>
    <row r="957" ht="15.75" customHeight="1">
      <c r="A957" s="161"/>
      <c r="B957" s="161"/>
      <c r="C957" s="162"/>
      <c r="D957" s="163"/>
      <c r="E957" s="164"/>
      <c r="F957" s="165"/>
      <c r="G957" s="166"/>
      <c r="H957" s="167"/>
      <c r="I957" s="167"/>
      <c r="J957" s="167"/>
      <c r="K957" s="167"/>
      <c r="L957" s="167"/>
      <c r="M957" s="167"/>
      <c r="N957" s="167"/>
      <c r="O957" s="167"/>
      <c r="P957" s="164"/>
      <c r="Q957" s="165"/>
      <c r="R957" s="165"/>
      <c r="S957" s="167"/>
      <c r="T957" s="167"/>
      <c r="U957" s="167"/>
      <c r="V957" s="168"/>
      <c r="W957" s="168"/>
      <c r="X957" s="168"/>
      <c r="Y957" s="168"/>
      <c r="Z957" s="168"/>
      <c r="AA957" s="168"/>
      <c r="AB957" s="164"/>
      <c r="AC957" s="165"/>
      <c r="AD957" s="165"/>
      <c r="AE957" s="169"/>
      <c r="AF957" s="169"/>
      <c r="AG957" s="169"/>
      <c r="AH957" s="168"/>
      <c r="AI957" s="168"/>
      <c r="AJ957" s="168"/>
      <c r="AK957" s="170"/>
      <c r="AL957" s="170"/>
    </row>
    <row r="958" ht="15.75" customHeight="1">
      <c r="A958" s="161"/>
      <c r="B958" s="161"/>
      <c r="C958" s="162"/>
      <c r="D958" s="163"/>
      <c r="E958" s="164"/>
      <c r="F958" s="165"/>
      <c r="G958" s="166"/>
      <c r="H958" s="167"/>
      <c r="I958" s="167"/>
      <c r="J958" s="167"/>
      <c r="K958" s="167"/>
      <c r="L958" s="167"/>
      <c r="M958" s="167"/>
      <c r="N958" s="167"/>
      <c r="O958" s="167"/>
      <c r="P958" s="164"/>
      <c r="Q958" s="165"/>
      <c r="R958" s="165"/>
      <c r="S958" s="167"/>
      <c r="T958" s="167"/>
      <c r="U958" s="167"/>
      <c r="V958" s="168"/>
      <c r="W958" s="168"/>
      <c r="X958" s="168"/>
      <c r="Y958" s="168"/>
      <c r="Z958" s="168"/>
      <c r="AA958" s="168"/>
      <c r="AB958" s="164"/>
      <c r="AC958" s="165"/>
      <c r="AD958" s="165"/>
      <c r="AE958" s="169"/>
      <c r="AF958" s="169"/>
      <c r="AG958" s="169"/>
      <c r="AH958" s="168"/>
      <c r="AI958" s="168"/>
      <c r="AJ958" s="168"/>
      <c r="AK958" s="170"/>
      <c r="AL958" s="170"/>
    </row>
    <row r="959" ht="15.75" customHeight="1">
      <c r="A959" s="161"/>
      <c r="B959" s="161"/>
      <c r="C959" s="162"/>
      <c r="D959" s="163"/>
      <c r="E959" s="164"/>
      <c r="F959" s="165"/>
      <c r="G959" s="166"/>
      <c r="H959" s="167"/>
      <c r="I959" s="167"/>
      <c r="J959" s="167"/>
      <c r="K959" s="167"/>
      <c r="L959" s="167"/>
      <c r="M959" s="167"/>
      <c r="N959" s="167"/>
      <c r="O959" s="167"/>
      <c r="P959" s="164"/>
      <c r="Q959" s="165"/>
      <c r="R959" s="165"/>
      <c r="S959" s="167"/>
      <c r="T959" s="167"/>
      <c r="U959" s="167"/>
      <c r="V959" s="168"/>
      <c r="W959" s="168"/>
      <c r="X959" s="168"/>
      <c r="Y959" s="168"/>
      <c r="Z959" s="168"/>
      <c r="AA959" s="168"/>
      <c r="AB959" s="164"/>
      <c r="AC959" s="165"/>
      <c r="AD959" s="165"/>
      <c r="AE959" s="169"/>
      <c r="AF959" s="169"/>
      <c r="AG959" s="169"/>
      <c r="AH959" s="168"/>
      <c r="AI959" s="168"/>
      <c r="AJ959" s="168"/>
      <c r="AK959" s="170"/>
      <c r="AL959" s="170"/>
    </row>
    <row r="960" ht="15.75" customHeight="1">
      <c r="A960" s="161"/>
      <c r="B960" s="161"/>
      <c r="C960" s="162"/>
      <c r="D960" s="163"/>
      <c r="E960" s="164"/>
      <c r="F960" s="165"/>
      <c r="G960" s="166"/>
      <c r="H960" s="167"/>
      <c r="I960" s="167"/>
      <c r="J960" s="167"/>
      <c r="K960" s="167"/>
      <c r="L960" s="167"/>
      <c r="M960" s="167"/>
      <c r="N960" s="167"/>
      <c r="O960" s="167"/>
      <c r="P960" s="164"/>
      <c r="Q960" s="165"/>
      <c r="R960" s="165"/>
      <c r="S960" s="167"/>
      <c r="T960" s="167"/>
      <c r="U960" s="167"/>
      <c r="V960" s="168"/>
      <c r="W960" s="168"/>
      <c r="X960" s="168"/>
      <c r="Y960" s="168"/>
      <c r="Z960" s="168"/>
      <c r="AA960" s="168"/>
      <c r="AB960" s="164"/>
      <c r="AC960" s="165"/>
      <c r="AD960" s="165"/>
      <c r="AE960" s="169"/>
      <c r="AF960" s="169"/>
      <c r="AG960" s="169"/>
      <c r="AH960" s="168"/>
      <c r="AI960" s="168"/>
      <c r="AJ960" s="168"/>
      <c r="AK960" s="170"/>
      <c r="AL960" s="170"/>
    </row>
    <row r="961" ht="15.75" customHeight="1">
      <c r="A961" s="161"/>
      <c r="B961" s="161"/>
      <c r="C961" s="162"/>
      <c r="D961" s="163"/>
      <c r="E961" s="164"/>
      <c r="F961" s="165"/>
      <c r="G961" s="166"/>
      <c r="H961" s="167"/>
      <c r="I961" s="167"/>
      <c r="J961" s="167"/>
      <c r="K961" s="167"/>
      <c r="L961" s="167"/>
      <c r="M961" s="167"/>
      <c r="N961" s="167"/>
      <c r="O961" s="167"/>
      <c r="P961" s="164"/>
      <c r="Q961" s="165"/>
      <c r="R961" s="165"/>
      <c r="S961" s="167"/>
      <c r="T961" s="167"/>
      <c r="U961" s="167"/>
      <c r="V961" s="168"/>
      <c r="W961" s="168"/>
      <c r="X961" s="168"/>
      <c r="Y961" s="168"/>
      <c r="Z961" s="168"/>
      <c r="AA961" s="168"/>
      <c r="AB961" s="164"/>
      <c r="AC961" s="165"/>
      <c r="AD961" s="165"/>
      <c r="AE961" s="169"/>
      <c r="AF961" s="169"/>
      <c r="AG961" s="169"/>
      <c r="AH961" s="168"/>
      <c r="AI961" s="168"/>
      <c r="AJ961" s="168"/>
      <c r="AK961" s="170"/>
      <c r="AL961" s="170"/>
    </row>
    <row r="962" ht="15.75" customHeight="1">
      <c r="A962" s="161"/>
      <c r="B962" s="161"/>
      <c r="C962" s="162"/>
      <c r="D962" s="163"/>
      <c r="E962" s="164"/>
      <c r="F962" s="165"/>
      <c r="G962" s="166"/>
      <c r="H962" s="167"/>
      <c r="I962" s="167"/>
      <c r="J962" s="167"/>
      <c r="K962" s="167"/>
      <c r="L962" s="167"/>
      <c r="M962" s="167"/>
      <c r="N962" s="167"/>
      <c r="O962" s="167"/>
      <c r="P962" s="164"/>
      <c r="Q962" s="165"/>
      <c r="R962" s="165"/>
      <c r="S962" s="167"/>
      <c r="T962" s="167"/>
      <c r="U962" s="167"/>
      <c r="V962" s="168"/>
      <c r="W962" s="168"/>
      <c r="X962" s="168"/>
      <c r="Y962" s="168"/>
      <c r="Z962" s="168"/>
      <c r="AA962" s="168"/>
      <c r="AB962" s="164"/>
      <c r="AC962" s="165"/>
      <c r="AD962" s="165"/>
      <c r="AE962" s="169"/>
      <c r="AF962" s="169"/>
      <c r="AG962" s="169"/>
      <c r="AH962" s="168"/>
      <c r="AI962" s="168"/>
      <c r="AJ962" s="168"/>
      <c r="AK962" s="170"/>
      <c r="AL962" s="170"/>
    </row>
    <row r="963" ht="15.75" customHeight="1">
      <c r="A963" s="161"/>
      <c r="B963" s="161"/>
      <c r="C963" s="162"/>
      <c r="D963" s="163"/>
      <c r="E963" s="164"/>
      <c r="F963" s="165"/>
      <c r="G963" s="166"/>
      <c r="H963" s="167"/>
      <c r="I963" s="167"/>
      <c r="J963" s="167"/>
      <c r="K963" s="167"/>
      <c r="L963" s="167"/>
      <c r="M963" s="167"/>
      <c r="N963" s="167"/>
      <c r="O963" s="167"/>
      <c r="P963" s="164"/>
      <c r="Q963" s="165"/>
      <c r="R963" s="165"/>
      <c r="S963" s="167"/>
      <c r="T963" s="167"/>
      <c r="U963" s="167"/>
      <c r="V963" s="168"/>
      <c r="W963" s="168"/>
      <c r="X963" s="168"/>
      <c r="Y963" s="168"/>
      <c r="Z963" s="168"/>
      <c r="AA963" s="168"/>
      <c r="AB963" s="164"/>
      <c r="AC963" s="165"/>
      <c r="AD963" s="165"/>
      <c r="AE963" s="169"/>
      <c r="AF963" s="169"/>
      <c r="AG963" s="169"/>
      <c r="AH963" s="168"/>
      <c r="AI963" s="168"/>
      <c r="AJ963" s="168"/>
      <c r="AK963" s="170"/>
      <c r="AL963" s="170"/>
    </row>
    <row r="964" ht="15.75" customHeight="1">
      <c r="A964" s="161"/>
      <c r="B964" s="161"/>
      <c r="C964" s="162"/>
      <c r="D964" s="163"/>
      <c r="E964" s="164"/>
      <c r="F964" s="165"/>
      <c r="G964" s="166"/>
      <c r="H964" s="167"/>
      <c r="I964" s="167"/>
      <c r="J964" s="167"/>
      <c r="K964" s="167"/>
      <c r="L964" s="167"/>
      <c r="M964" s="167"/>
      <c r="N964" s="167"/>
      <c r="O964" s="167"/>
      <c r="P964" s="164"/>
      <c r="Q964" s="165"/>
      <c r="R964" s="165"/>
      <c r="S964" s="167"/>
      <c r="T964" s="167"/>
      <c r="U964" s="167"/>
      <c r="V964" s="168"/>
      <c r="W964" s="168"/>
      <c r="X964" s="168"/>
      <c r="Y964" s="168"/>
      <c r="Z964" s="168"/>
      <c r="AA964" s="168"/>
      <c r="AB964" s="164"/>
      <c r="AC964" s="165"/>
      <c r="AD964" s="165"/>
      <c r="AE964" s="169"/>
      <c r="AF964" s="169"/>
      <c r="AG964" s="169"/>
      <c r="AH964" s="168"/>
      <c r="AI964" s="168"/>
      <c r="AJ964" s="168"/>
      <c r="AK964" s="170"/>
      <c r="AL964" s="170"/>
    </row>
    <row r="965" ht="15.75" customHeight="1">
      <c r="A965" s="161"/>
      <c r="B965" s="161"/>
      <c r="C965" s="162"/>
      <c r="D965" s="163"/>
      <c r="E965" s="164"/>
      <c r="F965" s="165"/>
      <c r="G965" s="166"/>
      <c r="H965" s="167"/>
      <c r="I965" s="167"/>
      <c r="J965" s="167"/>
      <c r="K965" s="167"/>
      <c r="L965" s="167"/>
      <c r="M965" s="167"/>
      <c r="N965" s="167"/>
      <c r="O965" s="167"/>
      <c r="P965" s="164"/>
      <c r="Q965" s="165"/>
      <c r="R965" s="165"/>
      <c r="S965" s="167"/>
      <c r="T965" s="167"/>
      <c r="U965" s="167"/>
      <c r="V965" s="168"/>
      <c r="W965" s="168"/>
      <c r="X965" s="168"/>
      <c r="Y965" s="168"/>
      <c r="Z965" s="168"/>
      <c r="AA965" s="168"/>
      <c r="AB965" s="164"/>
      <c r="AC965" s="165"/>
      <c r="AD965" s="165"/>
      <c r="AE965" s="169"/>
      <c r="AF965" s="169"/>
      <c r="AG965" s="169"/>
      <c r="AH965" s="168"/>
      <c r="AI965" s="168"/>
      <c r="AJ965" s="168"/>
      <c r="AK965" s="170"/>
      <c r="AL965" s="170"/>
    </row>
    <row r="966" ht="15.75" customHeight="1">
      <c r="A966" s="161"/>
      <c r="B966" s="161"/>
      <c r="C966" s="162"/>
      <c r="D966" s="163"/>
      <c r="E966" s="164"/>
      <c r="F966" s="165"/>
      <c r="G966" s="166"/>
      <c r="H966" s="167"/>
      <c r="I966" s="167"/>
      <c r="J966" s="167"/>
      <c r="K966" s="167"/>
      <c r="L966" s="167"/>
      <c r="M966" s="167"/>
      <c r="N966" s="167"/>
      <c r="O966" s="167"/>
      <c r="P966" s="164"/>
      <c r="Q966" s="165"/>
      <c r="R966" s="165"/>
      <c r="S966" s="167"/>
      <c r="T966" s="167"/>
      <c r="U966" s="167"/>
      <c r="V966" s="168"/>
      <c r="W966" s="168"/>
      <c r="X966" s="168"/>
      <c r="Y966" s="168"/>
      <c r="Z966" s="168"/>
      <c r="AA966" s="168"/>
      <c r="AB966" s="164"/>
      <c r="AC966" s="165"/>
      <c r="AD966" s="165"/>
      <c r="AE966" s="169"/>
      <c r="AF966" s="169"/>
      <c r="AG966" s="169"/>
      <c r="AH966" s="168"/>
      <c r="AI966" s="168"/>
      <c r="AJ966" s="168"/>
      <c r="AK966" s="170"/>
      <c r="AL966" s="170"/>
    </row>
    <row r="967" ht="15.75" customHeight="1">
      <c r="A967" s="161"/>
      <c r="B967" s="161"/>
      <c r="C967" s="162"/>
      <c r="D967" s="163"/>
      <c r="E967" s="164"/>
      <c r="F967" s="165"/>
      <c r="G967" s="166"/>
      <c r="H967" s="167"/>
      <c r="I967" s="167"/>
      <c r="J967" s="167"/>
      <c r="K967" s="167"/>
      <c r="L967" s="167"/>
      <c r="M967" s="167"/>
      <c r="N967" s="167"/>
      <c r="O967" s="167"/>
      <c r="P967" s="164"/>
      <c r="Q967" s="165"/>
      <c r="R967" s="165"/>
      <c r="S967" s="167"/>
      <c r="T967" s="167"/>
      <c r="U967" s="167"/>
      <c r="V967" s="168"/>
      <c r="W967" s="168"/>
      <c r="X967" s="168"/>
      <c r="Y967" s="168"/>
      <c r="Z967" s="168"/>
      <c r="AA967" s="168"/>
      <c r="AB967" s="164"/>
      <c r="AC967" s="165"/>
      <c r="AD967" s="165"/>
      <c r="AE967" s="169"/>
      <c r="AF967" s="169"/>
      <c r="AG967" s="169"/>
      <c r="AH967" s="168"/>
      <c r="AI967" s="168"/>
      <c r="AJ967" s="168"/>
      <c r="AK967" s="170"/>
      <c r="AL967" s="170"/>
    </row>
    <row r="968" ht="15.75" customHeight="1">
      <c r="A968" s="161"/>
      <c r="B968" s="161"/>
      <c r="C968" s="162"/>
      <c r="D968" s="163"/>
      <c r="E968" s="164"/>
      <c r="F968" s="165"/>
      <c r="G968" s="166"/>
      <c r="H968" s="167"/>
      <c r="I968" s="167"/>
      <c r="J968" s="167"/>
      <c r="K968" s="167"/>
      <c r="L968" s="167"/>
      <c r="M968" s="167"/>
      <c r="N968" s="167"/>
      <c r="O968" s="167"/>
      <c r="P968" s="164"/>
      <c r="Q968" s="165"/>
      <c r="R968" s="165"/>
      <c r="S968" s="167"/>
      <c r="T968" s="167"/>
      <c r="U968" s="167"/>
      <c r="V968" s="168"/>
      <c r="W968" s="168"/>
      <c r="X968" s="168"/>
      <c r="Y968" s="168"/>
      <c r="Z968" s="168"/>
      <c r="AA968" s="168"/>
      <c r="AB968" s="164"/>
      <c r="AC968" s="165"/>
      <c r="AD968" s="165"/>
      <c r="AE968" s="169"/>
      <c r="AF968" s="169"/>
      <c r="AG968" s="169"/>
      <c r="AH968" s="168"/>
      <c r="AI968" s="168"/>
      <c r="AJ968" s="168"/>
      <c r="AK968" s="170"/>
      <c r="AL968" s="170"/>
    </row>
    <row r="969" ht="15.75" customHeight="1">
      <c r="A969" s="161"/>
      <c r="B969" s="161"/>
      <c r="C969" s="162"/>
      <c r="D969" s="163"/>
      <c r="E969" s="164"/>
      <c r="F969" s="165"/>
      <c r="G969" s="166"/>
      <c r="H969" s="167"/>
      <c r="I969" s="167"/>
      <c r="J969" s="167"/>
      <c r="K969" s="167"/>
      <c r="L969" s="167"/>
      <c r="M969" s="167"/>
      <c r="N969" s="167"/>
      <c r="O969" s="167"/>
      <c r="P969" s="164"/>
      <c r="Q969" s="165"/>
      <c r="R969" s="165"/>
      <c r="S969" s="167"/>
      <c r="T969" s="167"/>
      <c r="U969" s="167"/>
      <c r="V969" s="168"/>
      <c r="W969" s="168"/>
      <c r="X969" s="168"/>
      <c r="Y969" s="168"/>
      <c r="Z969" s="168"/>
      <c r="AA969" s="168"/>
      <c r="AB969" s="164"/>
      <c r="AC969" s="165"/>
      <c r="AD969" s="165"/>
      <c r="AE969" s="169"/>
      <c r="AF969" s="169"/>
      <c r="AG969" s="169"/>
      <c r="AH969" s="168"/>
      <c r="AI969" s="168"/>
      <c r="AJ969" s="168"/>
      <c r="AK969" s="170"/>
      <c r="AL969" s="170"/>
    </row>
    <row r="970" ht="15.75" customHeight="1">
      <c r="A970" s="161"/>
      <c r="B970" s="161"/>
      <c r="C970" s="162"/>
      <c r="D970" s="163"/>
      <c r="E970" s="164"/>
      <c r="F970" s="165"/>
      <c r="G970" s="166"/>
      <c r="H970" s="167"/>
      <c r="I970" s="167"/>
      <c r="J970" s="167"/>
      <c r="K970" s="167"/>
      <c r="L970" s="167"/>
      <c r="M970" s="167"/>
      <c r="N970" s="167"/>
      <c r="O970" s="167"/>
      <c r="P970" s="164"/>
      <c r="Q970" s="165"/>
      <c r="R970" s="165"/>
      <c r="S970" s="167"/>
      <c r="T970" s="167"/>
      <c r="U970" s="167"/>
      <c r="V970" s="168"/>
      <c r="W970" s="168"/>
      <c r="X970" s="168"/>
      <c r="Y970" s="168"/>
      <c r="Z970" s="168"/>
      <c r="AA970" s="168"/>
      <c r="AB970" s="164"/>
      <c r="AC970" s="165"/>
      <c r="AD970" s="165"/>
      <c r="AE970" s="169"/>
      <c r="AF970" s="169"/>
      <c r="AG970" s="169"/>
      <c r="AH970" s="168"/>
      <c r="AI970" s="168"/>
      <c r="AJ970" s="168"/>
      <c r="AK970" s="170"/>
      <c r="AL970" s="170"/>
    </row>
    <row r="971" ht="15.75" customHeight="1">
      <c r="A971" s="161"/>
      <c r="B971" s="161"/>
      <c r="C971" s="162"/>
      <c r="D971" s="163"/>
      <c r="E971" s="164"/>
      <c r="F971" s="165"/>
      <c r="G971" s="166"/>
      <c r="H971" s="167"/>
      <c r="I971" s="167"/>
      <c r="J971" s="167"/>
      <c r="K971" s="167"/>
      <c r="L971" s="167"/>
      <c r="M971" s="167"/>
      <c r="N971" s="167"/>
      <c r="O971" s="167"/>
      <c r="P971" s="164"/>
      <c r="Q971" s="165"/>
      <c r="R971" s="165"/>
      <c r="S971" s="167"/>
      <c r="T971" s="167"/>
      <c r="U971" s="167"/>
      <c r="V971" s="168"/>
      <c r="W971" s="168"/>
      <c r="X971" s="168"/>
      <c r="Y971" s="168"/>
      <c r="Z971" s="168"/>
      <c r="AA971" s="168"/>
      <c r="AB971" s="164"/>
      <c r="AC971" s="165"/>
      <c r="AD971" s="165"/>
      <c r="AE971" s="169"/>
      <c r="AF971" s="169"/>
      <c r="AG971" s="169"/>
      <c r="AH971" s="168"/>
      <c r="AI971" s="168"/>
      <c r="AJ971" s="168"/>
      <c r="AK971" s="170"/>
      <c r="AL971" s="170"/>
    </row>
    <row r="972" ht="15.75" customHeight="1">
      <c r="A972" s="161"/>
      <c r="B972" s="161"/>
      <c r="C972" s="162"/>
      <c r="D972" s="163"/>
      <c r="E972" s="164"/>
      <c r="F972" s="165"/>
      <c r="G972" s="166"/>
      <c r="H972" s="167"/>
      <c r="I972" s="167"/>
      <c r="J972" s="167"/>
      <c r="K972" s="167"/>
      <c r="L972" s="167"/>
      <c r="M972" s="167"/>
      <c r="N972" s="167"/>
      <c r="O972" s="167"/>
      <c r="P972" s="164"/>
      <c r="Q972" s="165"/>
      <c r="R972" s="165"/>
      <c r="S972" s="167"/>
      <c r="T972" s="167"/>
      <c r="U972" s="167"/>
      <c r="V972" s="168"/>
      <c r="W972" s="168"/>
      <c r="X972" s="168"/>
      <c r="Y972" s="168"/>
      <c r="Z972" s="168"/>
      <c r="AA972" s="168"/>
      <c r="AB972" s="164"/>
      <c r="AC972" s="165"/>
      <c r="AD972" s="165"/>
      <c r="AE972" s="169"/>
      <c r="AF972" s="169"/>
      <c r="AG972" s="169"/>
      <c r="AH972" s="168"/>
      <c r="AI972" s="168"/>
      <c r="AJ972" s="168"/>
      <c r="AK972" s="170"/>
      <c r="AL972" s="170"/>
    </row>
    <row r="973" ht="15.75" customHeight="1">
      <c r="A973" s="161"/>
      <c r="B973" s="161"/>
      <c r="C973" s="162"/>
      <c r="D973" s="163"/>
      <c r="E973" s="164"/>
      <c r="F973" s="165"/>
      <c r="G973" s="166"/>
      <c r="H973" s="167"/>
      <c r="I973" s="167"/>
      <c r="J973" s="167"/>
      <c r="K973" s="167"/>
      <c r="L973" s="167"/>
      <c r="M973" s="167"/>
      <c r="N973" s="167"/>
      <c r="O973" s="167"/>
      <c r="P973" s="164"/>
      <c r="Q973" s="165"/>
      <c r="R973" s="165"/>
      <c r="S973" s="167"/>
      <c r="T973" s="167"/>
      <c r="U973" s="167"/>
      <c r="V973" s="168"/>
      <c r="W973" s="168"/>
      <c r="X973" s="168"/>
      <c r="Y973" s="168"/>
      <c r="Z973" s="168"/>
      <c r="AA973" s="168"/>
      <c r="AB973" s="164"/>
      <c r="AC973" s="165"/>
      <c r="AD973" s="165"/>
      <c r="AE973" s="169"/>
      <c r="AF973" s="169"/>
      <c r="AG973" s="169"/>
      <c r="AH973" s="168"/>
      <c r="AI973" s="168"/>
      <c r="AJ973" s="168"/>
      <c r="AK973" s="170"/>
      <c r="AL973" s="170"/>
    </row>
    <row r="974" ht="15.75" customHeight="1">
      <c r="A974" s="161"/>
      <c r="B974" s="161"/>
      <c r="C974" s="162"/>
      <c r="D974" s="163"/>
      <c r="E974" s="164"/>
      <c r="F974" s="165"/>
      <c r="G974" s="166"/>
      <c r="H974" s="167"/>
      <c r="I974" s="167"/>
      <c r="J974" s="167"/>
      <c r="K974" s="167"/>
      <c r="L974" s="167"/>
      <c r="M974" s="167"/>
      <c r="N974" s="167"/>
      <c r="O974" s="167"/>
      <c r="P974" s="164"/>
      <c r="Q974" s="165"/>
      <c r="R974" s="165"/>
      <c r="S974" s="167"/>
      <c r="T974" s="167"/>
      <c r="U974" s="167"/>
      <c r="V974" s="168"/>
      <c r="W974" s="168"/>
      <c r="X974" s="168"/>
      <c r="Y974" s="168"/>
      <c r="Z974" s="168"/>
      <c r="AA974" s="168"/>
      <c r="AB974" s="164"/>
      <c r="AC974" s="165"/>
      <c r="AD974" s="165"/>
      <c r="AE974" s="169"/>
      <c r="AF974" s="169"/>
      <c r="AG974" s="169"/>
      <c r="AH974" s="168"/>
      <c r="AI974" s="168"/>
      <c r="AJ974" s="168"/>
      <c r="AK974" s="170"/>
      <c r="AL974" s="170"/>
    </row>
    <row r="975" ht="15.75" customHeight="1">
      <c r="A975" s="161"/>
      <c r="B975" s="161"/>
      <c r="C975" s="162"/>
      <c r="D975" s="163"/>
      <c r="E975" s="164"/>
      <c r="F975" s="165"/>
      <c r="G975" s="166"/>
      <c r="H975" s="167"/>
      <c r="I975" s="167"/>
      <c r="J975" s="167"/>
      <c r="K975" s="167"/>
      <c r="L975" s="167"/>
      <c r="M975" s="167"/>
      <c r="N975" s="167"/>
      <c r="O975" s="167"/>
      <c r="P975" s="164"/>
      <c r="Q975" s="165"/>
      <c r="R975" s="165"/>
      <c r="S975" s="167"/>
      <c r="T975" s="167"/>
      <c r="U975" s="167"/>
      <c r="V975" s="168"/>
      <c r="W975" s="168"/>
      <c r="X975" s="168"/>
      <c r="Y975" s="168"/>
      <c r="Z975" s="168"/>
      <c r="AA975" s="168"/>
      <c r="AB975" s="164"/>
      <c r="AC975" s="165"/>
      <c r="AD975" s="165"/>
      <c r="AE975" s="169"/>
      <c r="AF975" s="169"/>
      <c r="AG975" s="169"/>
      <c r="AH975" s="168"/>
      <c r="AI975" s="168"/>
      <c r="AJ975" s="168"/>
      <c r="AK975" s="170"/>
      <c r="AL975" s="170"/>
    </row>
    <row r="976" ht="15.75" customHeight="1">
      <c r="A976" s="161"/>
      <c r="B976" s="161"/>
      <c r="C976" s="162"/>
      <c r="D976" s="163"/>
      <c r="E976" s="164"/>
      <c r="F976" s="165"/>
      <c r="G976" s="166"/>
      <c r="H976" s="167"/>
      <c r="I976" s="167"/>
      <c r="J976" s="167"/>
      <c r="K976" s="167"/>
      <c r="L976" s="167"/>
      <c r="M976" s="167"/>
      <c r="N976" s="167"/>
      <c r="O976" s="167"/>
      <c r="P976" s="164"/>
      <c r="Q976" s="165"/>
      <c r="R976" s="165"/>
      <c r="S976" s="167"/>
      <c r="T976" s="167"/>
      <c r="U976" s="167"/>
      <c r="V976" s="168"/>
      <c r="W976" s="168"/>
      <c r="X976" s="168"/>
      <c r="Y976" s="168"/>
      <c r="Z976" s="168"/>
      <c r="AA976" s="168"/>
      <c r="AB976" s="164"/>
      <c r="AC976" s="165"/>
      <c r="AD976" s="165"/>
      <c r="AE976" s="169"/>
      <c r="AF976" s="169"/>
      <c r="AG976" s="169"/>
      <c r="AH976" s="168"/>
      <c r="AI976" s="168"/>
      <c r="AJ976" s="168"/>
      <c r="AK976" s="170"/>
      <c r="AL976" s="170"/>
    </row>
    <row r="977" ht="15.75" customHeight="1">
      <c r="A977" s="161"/>
      <c r="B977" s="161"/>
      <c r="C977" s="162"/>
      <c r="D977" s="163"/>
      <c r="E977" s="164"/>
      <c r="F977" s="165"/>
      <c r="G977" s="166"/>
      <c r="H977" s="167"/>
      <c r="I977" s="167"/>
      <c r="J977" s="167"/>
      <c r="K977" s="167"/>
      <c r="L977" s="167"/>
      <c r="M977" s="167"/>
      <c r="N977" s="167"/>
      <c r="O977" s="167"/>
      <c r="P977" s="164"/>
      <c r="Q977" s="165"/>
      <c r="R977" s="165"/>
      <c r="S977" s="167"/>
      <c r="T977" s="167"/>
      <c r="U977" s="167"/>
      <c r="V977" s="168"/>
      <c r="W977" s="168"/>
      <c r="X977" s="168"/>
      <c r="Y977" s="168"/>
      <c r="Z977" s="168"/>
      <c r="AA977" s="168"/>
      <c r="AB977" s="164"/>
      <c r="AC977" s="165"/>
      <c r="AD977" s="165"/>
      <c r="AE977" s="169"/>
      <c r="AF977" s="169"/>
      <c r="AG977" s="169"/>
      <c r="AH977" s="168"/>
      <c r="AI977" s="168"/>
      <c r="AJ977" s="168"/>
      <c r="AK977" s="170"/>
      <c r="AL977" s="170"/>
    </row>
    <row r="978" ht="15.75" customHeight="1">
      <c r="A978" s="161"/>
      <c r="B978" s="161"/>
      <c r="C978" s="162"/>
      <c r="D978" s="163"/>
      <c r="E978" s="164"/>
      <c r="F978" s="165"/>
      <c r="G978" s="166"/>
      <c r="H978" s="167"/>
      <c r="I978" s="167"/>
      <c r="J978" s="167"/>
      <c r="K978" s="167"/>
      <c r="L978" s="167"/>
      <c r="M978" s="167"/>
      <c r="N978" s="167"/>
      <c r="O978" s="167"/>
      <c r="P978" s="164"/>
      <c r="Q978" s="165"/>
      <c r="R978" s="165"/>
      <c r="S978" s="167"/>
      <c r="T978" s="167"/>
      <c r="U978" s="167"/>
      <c r="V978" s="168"/>
      <c r="W978" s="168"/>
      <c r="X978" s="168"/>
      <c r="Y978" s="168"/>
      <c r="Z978" s="168"/>
      <c r="AA978" s="168"/>
      <c r="AB978" s="164"/>
      <c r="AC978" s="165"/>
      <c r="AD978" s="165"/>
      <c r="AE978" s="169"/>
      <c r="AF978" s="169"/>
      <c r="AG978" s="169"/>
      <c r="AH978" s="168"/>
      <c r="AI978" s="168"/>
      <c r="AJ978" s="168"/>
      <c r="AK978" s="170"/>
      <c r="AL978" s="170"/>
    </row>
    <row r="979" ht="15.75" customHeight="1">
      <c r="A979" s="161"/>
      <c r="B979" s="161"/>
      <c r="C979" s="162"/>
      <c r="D979" s="163"/>
      <c r="E979" s="164"/>
      <c r="F979" s="165"/>
      <c r="G979" s="166"/>
      <c r="H979" s="167"/>
      <c r="I979" s="167"/>
      <c r="J979" s="167"/>
      <c r="K979" s="167"/>
      <c r="L979" s="167"/>
      <c r="M979" s="167"/>
      <c r="N979" s="167"/>
      <c r="O979" s="167"/>
      <c r="P979" s="164"/>
      <c r="Q979" s="165"/>
      <c r="R979" s="165"/>
      <c r="S979" s="167"/>
      <c r="T979" s="167"/>
      <c r="U979" s="167"/>
      <c r="V979" s="168"/>
      <c r="W979" s="168"/>
      <c r="X979" s="168"/>
      <c r="Y979" s="168"/>
      <c r="Z979" s="168"/>
      <c r="AA979" s="168"/>
      <c r="AB979" s="164"/>
      <c r="AC979" s="165"/>
      <c r="AD979" s="165"/>
      <c r="AE979" s="169"/>
      <c r="AF979" s="169"/>
      <c r="AG979" s="169"/>
      <c r="AH979" s="168"/>
      <c r="AI979" s="168"/>
      <c r="AJ979" s="168"/>
      <c r="AK979" s="170"/>
      <c r="AL979" s="170"/>
    </row>
    <row r="980" ht="15.75" customHeight="1">
      <c r="A980" s="161"/>
      <c r="B980" s="161"/>
      <c r="C980" s="162"/>
      <c r="D980" s="163"/>
      <c r="E980" s="164"/>
      <c r="F980" s="165"/>
      <c r="G980" s="166"/>
      <c r="H980" s="167"/>
      <c r="I980" s="167"/>
      <c r="J980" s="167"/>
      <c r="K980" s="167"/>
      <c r="L980" s="167"/>
      <c r="M980" s="167"/>
      <c r="N980" s="167"/>
      <c r="O980" s="167"/>
      <c r="P980" s="164"/>
      <c r="Q980" s="165"/>
      <c r="R980" s="165"/>
      <c r="S980" s="167"/>
      <c r="T980" s="167"/>
      <c r="U980" s="167"/>
      <c r="V980" s="168"/>
      <c r="W980" s="168"/>
      <c r="X980" s="168"/>
      <c r="Y980" s="168"/>
      <c r="Z980" s="168"/>
      <c r="AA980" s="168"/>
      <c r="AB980" s="164"/>
      <c r="AC980" s="165"/>
      <c r="AD980" s="165"/>
      <c r="AE980" s="169"/>
      <c r="AF980" s="169"/>
      <c r="AG980" s="169"/>
      <c r="AH980" s="168"/>
      <c r="AI980" s="168"/>
      <c r="AJ980" s="168"/>
      <c r="AK980" s="170"/>
      <c r="AL980" s="170"/>
    </row>
    <row r="981" ht="15.75" customHeight="1">
      <c r="A981" s="161"/>
      <c r="B981" s="161"/>
      <c r="C981" s="162"/>
      <c r="D981" s="163"/>
      <c r="E981" s="164"/>
      <c r="F981" s="165"/>
      <c r="G981" s="166"/>
      <c r="H981" s="167"/>
      <c r="I981" s="167"/>
      <c r="J981" s="167"/>
      <c r="K981" s="167"/>
      <c r="L981" s="167"/>
      <c r="M981" s="167"/>
      <c r="N981" s="167"/>
      <c r="O981" s="167"/>
      <c r="P981" s="164"/>
      <c r="Q981" s="165"/>
      <c r="R981" s="165"/>
      <c r="S981" s="167"/>
      <c r="T981" s="167"/>
      <c r="U981" s="167"/>
      <c r="V981" s="168"/>
      <c r="W981" s="168"/>
      <c r="X981" s="168"/>
      <c r="Y981" s="168"/>
      <c r="Z981" s="168"/>
      <c r="AA981" s="168"/>
      <c r="AB981" s="164"/>
      <c r="AC981" s="165"/>
      <c r="AD981" s="165"/>
      <c r="AE981" s="169"/>
      <c r="AF981" s="169"/>
      <c r="AG981" s="169"/>
      <c r="AH981" s="168"/>
      <c r="AI981" s="168"/>
      <c r="AJ981" s="168"/>
      <c r="AK981" s="170"/>
      <c r="AL981" s="170"/>
    </row>
    <row r="982" ht="15.75" customHeight="1">
      <c r="A982" s="161"/>
      <c r="B982" s="161"/>
      <c r="C982" s="162"/>
      <c r="D982" s="163"/>
      <c r="E982" s="164"/>
      <c r="F982" s="165"/>
      <c r="G982" s="166"/>
      <c r="H982" s="167"/>
      <c r="I982" s="167"/>
      <c r="J982" s="167"/>
      <c r="K982" s="167"/>
      <c r="L982" s="167"/>
      <c r="M982" s="167"/>
      <c r="N982" s="167"/>
      <c r="O982" s="167"/>
      <c r="P982" s="164"/>
      <c r="Q982" s="165"/>
      <c r="R982" s="165"/>
      <c r="S982" s="167"/>
      <c r="T982" s="167"/>
      <c r="U982" s="167"/>
      <c r="V982" s="168"/>
      <c r="W982" s="168"/>
      <c r="X982" s="168"/>
      <c r="Y982" s="168"/>
      <c r="Z982" s="168"/>
      <c r="AA982" s="168"/>
      <c r="AB982" s="164"/>
      <c r="AC982" s="165"/>
      <c r="AD982" s="165"/>
      <c r="AE982" s="169"/>
      <c r="AF982" s="169"/>
      <c r="AG982" s="169"/>
      <c r="AH982" s="168"/>
      <c r="AI982" s="168"/>
      <c r="AJ982" s="168"/>
      <c r="AK982" s="170"/>
      <c r="AL982" s="170"/>
    </row>
    <row r="983" ht="15.75" customHeight="1">
      <c r="A983" s="161"/>
      <c r="B983" s="161"/>
      <c r="C983" s="162"/>
      <c r="D983" s="163"/>
      <c r="E983" s="164"/>
      <c r="F983" s="165"/>
      <c r="G983" s="166"/>
      <c r="H983" s="167"/>
      <c r="I983" s="167"/>
      <c r="J983" s="167"/>
      <c r="K983" s="167"/>
      <c r="L983" s="167"/>
      <c r="M983" s="167"/>
      <c r="N983" s="167"/>
      <c r="O983" s="167"/>
      <c r="P983" s="164"/>
      <c r="Q983" s="165"/>
      <c r="R983" s="165"/>
      <c r="S983" s="167"/>
      <c r="T983" s="167"/>
      <c r="U983" s="167"/>
      <c r="V983" s="168"/>
      <c r="W983" s="168"/>
      <c r="X983" s="168"/>
      <c r="Y983" s="168"/>
      <c r="Z983" s="168"/>
      <c r="AA983" s="168"/>
      <c r="AB983" s="164"/>
      <c r="AC983" s="165"/>
      <c r="AD983" s="165"/>
      <c r="AE983" s="169"/>
      <c r="AF983" s="169"/>
      <c r="AG983" s="169"/>
      <c r="AH983" s="168"/>
      <c r="AI983" s="168"/>
      <c r="AJ983" s="168"/>
      <c r="AK983" s="170"/>
      <c r="AL983" s="170"/>
    </row>
    <row r="984" ht="15.75" customHeight="1">
      <c r="A984" s="161"/>
      <c r="B984" s="161"/>
      <c r="C984" s="162"/>
      <c r="D984" s="163"/>
      <c r="E984" s="164"/>
      <c r="F984" s="165"/>
      <c r="G984" s="166"/>
      <c r="H984" s="167"/>
      <c r="I984" s="167"/>
      <c r="J984" s="167"/>
      <c r="K984" s="167"/>
      <c r="L984" s="167"/>
      <c r="M984" s="167"/>
      <c r="N984" s="167"/>
      <c r="O984" s="167"/>
      <c r="P984" s="164"/>
      <c r="Q984" s="165"/>
      <c r="R984" s="165"/>
      <c r="S984" s="167"/>
      <c r="T984" s="167"/>
      <c r="U984" s="167"/>
      <c r="V984" s="168"/>
      <c r="W984" s="168"/>
      <c r="X984" s="168"/>
      <c r="Y984" s="168"/>
      <c r="Z984" s="168"/>
      <c r="AA984" s="168"/>
      <c r="AB984" s="164"/>
      <c r="AC984" s="165"/>
      <c r="AD984" s="165"/>
      <c r="AE984" s="169"/>
      <c r="AF984" s="169"/>
      <c r="AG984" s="169"/>
      <c r="AH984" s="168"/>
      <c r="AI984" s="168"/>
      <c r="AJ984" s="168"/>
      <c r="AK984" s="170"/>
      <c r="AL984" s="170"/>
    </row>
    <row r="985" ht="15.75" customHeight="1">
      <c r="A985" s="161"/>
      <c r="B985" s="161"/>
      <c r="C985" s="162"/>
      <c r="D985" s="163"/>
      <c r="E985" s="164"/>
      <c r="F985" s="165"/>
      <c r="G985" s="166"/>
      <c r="H985" s="167"/>
      <c r="I985" s="167"/>
      <c r="J985" s="167"/>
      <c r="K985" s="167"/>
      <c r="L985" s="167"/>
      <c r="M985" s="167"/>
      <c r="N985" s="167"/>
      <c r="O985" s="167"/>
      <c r="P985" s="164"/>
      <c r="Q985" s="165"/>
      <c r="R985" s="165"/>
      <c r="S985" s="167"/>
      <c r="T985" s="167"/>
      <c r="U985" s="167"/>
      <c r="V985" s="168"/>
      <c r="W985" s="168"/>
      <c r="X985" s="168"/>
      <c r="Y985" s="168"/>
      <c r="Z985" s="168"/>
      <c r="AA985" s="168"/>
      <c r="AB985" s="164"/>
      <c r="AC985" s="165"/>
      <c r="AD985" s="165"/>
      <c r="AE985" s="169"/>
      <c r="AF985" s="169"/>
      <c r="AG985" s="169"/>
      <c r="AH985" s="168"/>
      <c r="AI985" s="168"/>
      <c r="AJ985" s="168"/>
      <c r="AK985" s="170"/>
      <c r="AL985" s="170"/>
    </row>
    <row r="986" ht="15.75" customHeight="1">
      <c r="A986" s="161"/>
      <c r="B986" s="161"/>
      <c r="C986" s="162"/>
      <c r="D986" s="163"/>
      <c r="E986" s="164"/>
      <c r="F986" s="165"/>
      <c r="G986" s="166"/>
      <c r="H986" s="167"/>
      <c r="I986" s="167"/>
      <c r="J986" s="167"/>
      <c r="K986" s="167"/>
      <c r="L986" s="167"/>
      <c r="M986" s="167"/>
      <c r="N986" s="167"/>
      <c r="O986" s="167"/>
      <c r="P986" s="164"/>
      <c r="Q986" s="165"/>
      <c r="R986" s="165"/>
      <c r="S986" s="167"/>
      <c r="T986" s="167"/>
      <c r="U986" s="167"/>
      <c r="V986" s="168"/>
      <c r="W986" s="168"/>
      <c r="X986" s="168"/>
      <c r="Y986" s="168"/>
      <c r="Z986" s="168"/>
      <c r="AA986" s="168"/>
      <c r="AB986" s="164"/>
      <c r="AC986" s="165"/>
      <c r="AD986" s="165"/>
      <c r="AE986" s="169"/>
      <c r="AF986" s="169"/>
      <c r="AG986" s="169"/>
      <c r="AH986" s="168"/>
      <c r="AI986" s="168"/>
      <c r="AJ986" s="168"/>
      <c r="AK986" s="170"/>
      <c r="AL986" s="170"/>
    </row>
    <row r="987" ht="15.75" customHeight="1">
      <c r="A987" s="161"/>
      <c r="B987" s="161"/>
      <c r="C987" s="162"/>
      <c r="D987" s="163"/>
      <c r="E987" s="164"/>
      <c r="F987" s="165"/>
      <c r="G987" s="166"/>
      <c r="H987" s="167"/>
      <c r="I987" s="167"/>
      <c r="J987" s="167"/>
      <c r="K987" s="167"/>
      <c r="L987" s="167"/>
      <c r="M987" s="167"/>
      <c r="N987" s="167"/>
      <c r="O987" s="167"/>
      <c r="P987" s="164"/>
      <c r="Q987" s="165"/>
      <c r="R987" s="165"/>
      <c r="S987" s="167"/>
      <c r="T987" s="167"/>
      <c r="U987" s="167"/>
      <c r="V987" s="168"/>
      <c r="W987" s="168"/>
      <c r="X987" s="168"/>
      <c r="Y987" s="168"/>
      <c r="Z987" s="168"/>
      <c r="AA987" s="168"/>
      <c r="AB987" s="164"/>
      <c r="AC987" s="165"/>
      <c r="AD987" s="165"/>
      <c r="AE987" s="169"/>
      <c r="AF987" s="169"/>
      <c r="AG987" s="169"/>
      <c r="AH987" s="168"/>
      <c r="AI987" s="168"/>
      <c r="AJ987" s="168"/>
      <c r="AK987" s="170"/>
      <c r="AL987" s="170"/>
    </row>
    <row r="988" ht="15.75" customHeight="1">
      <c r="A988" s="161"/>
      <c r="B988" s="161"/>
      <c r="C988" s="162"/>
      <c r="D988" s="163"/>
      <c r="E988" s="164"/>
      <c r="F988" s="165"/>
      <c r="G988" s="166"/>
      <c r="H988" s="167"/>
      <c r="I988" s="167"/>
      <c r="J988" s="167"/>
      <c r="K988" s="167"/>
      <c r="L988" s="167"/>
      <c r="M988" s="167"/>
      <c r="N988" s="167"/>
      <c r="O988" s="167"/>
      <c r="P988" s="164"/>
      <c r="Q988" s="165"/>
      <c r="R988" s="165"/>
      <c r="S988" s="167"/>
      <c r="T988" s="167"/>
      <c r="U988" s="167"/>
      <c r="V988" s="168"/>
      <c r="W988" s="168"/>
      <c r="X988" s="168"/>
      <c r="Y988" s="168"/>
      <c r="Z988" s="168"/>
      <c r="AA988" s="168"/>
      <c r="AB988" s="164"/>
      <c r="AC988" s="165"/>
      <c r="AD988" s="165"/>
      <c r="AE988" s="169"/>
      <c r="AF988" s="169"/>
      <c r="AG988" s="169"/>
      <c r="AH988" s="168"/>
      <c r="AI988" s="168"/>
      <c r="AJ988" s="168"/>
      <c r="AK988" s="170"/>
      <c r="AL988" s="170"/>
    </row>
    <row r="989" ht="15.75" customHeight="1">
      <c r="A989" s="161"/>
      <c r="B989" s="161"/>
      <c r="C989" s="162"/>
      <c r="D989" s="163"/>
      <c r="E989" s="164"/>
      <c r="F989" s="165"/>
      <c r="G989" s="166"/>
      <c r="H989" s="167"/>
      <c r="I989" s="167"/>
      <c r="J989" s="167"/>
      <c r="K989" s="167"/>
      <c r="L989" s="167"/>
      <c r="M989" s="167"/>
      <c r="N989" s="167"/>
      <c r="O989" s="167"/>
      <c r="P989" s="164"/>
      <c r="Q989" s="165"/>
      <c r="R989" s="165"/>
      <c r="S989" s="167"/>
      <c r="T989" s="167"/>
      <c r="U989" s="167"/>
      <c r="V989" s="168"/>
      <c r="W989" s="168"/>
      <c r="X989" s="168"/>
      <c r="Y989" s="168"/>
      <c r="Z989" s="168"/>
      <c r="AA989" s="168"/>
      <c r="AB989" s="164"/>
      <c r="AC989" s="165"/>
      <c r="AD989" s="165"/>
      <c r="AE989" s="169"/>
      <c r="AF989" s="169"/>
      <c r="AG989" s="169"/>
      <c r="AH989" s="168"/>
      <c r="AI989" s="168"/>
      <c r="AJ989" s="168"/>
      <c r="AK989" s="170"/>
      <c r="AL989" s="170"/>
    </row>
    <row r="990" ht="15.75" customHeight="1">
      <c r="A990" s="161"/>
      <c r="B990" s="161"/>
      <c r="C990" s="162"/>
      <c r="D990" s="163"/>
      <c r="E990" s="164"/>
      <c r="F990" s="165"/>
      <c r="G990" s="166"/>
      <c r="H990" s="167"/>
      <c r="I990" s="167"/>
      <c r="J990" s="167"/>
      <c r="K990" s="167"/>
      <c r="L990" s="167"/>
      <c r="M990" s="167"/>
      <c r="N990" s="167"/>
      <c r="O990" s="167"/>
      <c r="P990" s="164"/>
      <c r="Q990" s="165"/>
      <c r="R990" s="165"/>
      <c r="S990" s="167"/>
      <c r="T990" s="167"/>
      <c r="U990" s="167"/>
      <c r="V990" s="168"/>
      <c r="W990" s="168"/>
      <c r="X990" s="168"/>
      <c r="Y990" s="168"/>
      <c r="Z990" s="168"/>
      <c r="AA990" s="168"/>
      <c r="AB990" s="164"/>
      <c r="AC990" s="165"/>
      <c r="AD990" s="165"/>
      <c r="AE990" s="169"/>
      <c r="AF990" s="169"/>
      <c r="AG990" s="169"/>
      <c r="AH990" s="168"/>
      <c r="AI990" s="168"/>
      <c r="AJ990" s="168"/>
      <c r="AK990" s="170"/>
      <c r="AL990" s="170"/>
    </row>
    <row r="991" ht="15.75" customHeight="1">
      <c r="A991" s="161"/>
      <c r="B991" s="161"/>
      <c r="C991" s="162"/>
      <c r="D991" s="163"/>
      <c r="E991" s="164"/>
      <c r="F991" s="165"/>
      <c r="G991" s="166"/>
      <c r="H991" s="167"/>
      <c r="I991" s="167"/>
      <c r="J991" s="167"/>
      <c r="K991" s="167"/>
      <c r="L991" s="167"/>
      <c r="M991" s="167"/>
      <c r="N991" s="167"/>
      <c r="O991" s="167"/>
      <c r="P991" s="164"/>
      <c r="Q991" s="165"/>
      <c r="R991" s="165"/>
      <c r="S991" s="167"/>
      <c r="T991" s="167"/>
      <c r="U991" s="167"/>
      <c r="V991" s="168"/>
      <c r="W991" s="168"/>
      <c r="X991" s="168"/>
      <c r="Y991" s="168"/>
      <c r="Z991" s="168"/>
      <c r="AA991" s="168"/>
      <c r="AB991" s="164"/>
      <c r="AC991" s="165"/>
      <c r="AD991" s="165"/>
      <c r="AE991" s="169"/>
      <c r="AF991" s="169"/>
      <c r="AG991" s="169"/>
      <c r="AH991" s="168"/>
      <c r="AI991" s="168"/>
      <c r="AJ991" s="168"/>
      <c r="AK991" s="170"/>
      <c r="AL991" s="170"/>
    </row>
    <row r="992" ht="15.75" customHeight="1">
      <c r="A992" s="161"/>
      <c r="B992" s="161"/>
      <c r="C992" s="162"/>
      <c r="D992" s="163"/>
      <c r="E992" s="164"/>
      <c r="F992" s="165"/>
      <c r="G992" s="166"/>
      <c r="H992" s="167"/>
      <c r="I992" s="167"/>
      <c r="J992" s="167"/>
      <c r="K992" s="167"/>
      <c r="L992" s="167"/>
      <c r="M992" s="167"/>
      <c r="N992" s="167"/>
      <c r="O992" s="167"/>
      <c r="P992" s="164"/>
      <c r="Q992" s="165"/>
      <c r="R992" s="165"/>
      <c r="S992" s="167"/>
      <c r="T992" s="167"/>
      <c r="U992" s="167"/>
      <c r="V992" s="168"/>
      <c r="W992" s="168"/>
      <c r="X992" s="168"/>
      <c r="Y992" s="168"/>
      <c r="Z992" s="168"/>
      <c r="AA992" s="168"/>
      <c r="AB992" s="164"/>
      <c r="AC992" s="165"/>
      <c r="AD992" s="165"/>
      <c r="AE992" s="169"/>
      <c r="AF992" s="169"/>
      <c r="AG992" s="169"/>
      <c r="AH992" s="168"/>
      <c r="AI992" s="168"/>
      <c r="AJ992" s="168"/>
      <c r="AK992" s="170"/>
      <c r="AL992" s="170"/>
    </row>
    <row r="993" ht="15.75" customHeight="1">
      <c r="A993" s="161"/>
      <c r="B993" s="161"/>
      <c r="C993" s="162"/>
      <c r="D993" s="163"/>
      <c r="E993" s="164"/>
      <c r="F993" s="165"/>
      <c r="G993" s="166"/>
      <c r="H993" s="167"/>
      <c r="I993" s="167"/>
      <c r="J993" s="167"/>
      <c r="K993" s="167"/>
      <c r="L993" s="167"/>
      <c r="M993" s="167"/>
      <c r="N993" s="167"/>
      <c r="O993" s="167"/>
      <c r="P993" s="164"/>
      <c r="Q993" s="165"/>
      <c r="R993" s="165"/>
      <c r="S993" s="167"/>
      <c r="T993" s="167"/>
      <c r="U993" s="167"/>
      <c r="V993" s="168"/>
      <c r="W993" s="168"/>
      <c r="X993" s="168"/>
      <c r="Y993" s="168"/>
      <c r="Z993" s="168"/>
      <c r="AA993" s="168"/>
      <c r="AB993" s="164"/>
      <c r="AC993" s="165"/>
      <c r="AD993" s="165"/>
      <c r="AE993" s="169"/>
      <c r="AF993" s="169"/>
      <c r="AG993" s="169"/>
      <c r="AH993" s="168"/>
      <c r="AI993" s="168"/>
      <c r="AJ993" s="168"/>
      <c r="AK993" s="170"/>
      <c r="AL993" s="170"/>
    </row>
    <row r="994" ht="15.75" customHeight="1">
      <c r="A994" s="161"/>
      <c r="B994" s="161"/>
      <c r="C994" s="162"/>
      <c r="D994" s="163"/>
      <c r="E994" s="164"/>
      <c r="F994" s="165"/>
      <c r="G994" s="166"/>
      <c r="H994" s="167"/>
      <c r="I994" s="167"/>
      <c r="J994" s="167"/>
      <c r="K994" s="167"/>
      <c r="L994" s="167"/>
      <c r="M994" s="167"/>
      <c r="N994" s="167"/>
      <c r="O994" s="167"/>
      <c r="P994" s="164"/>
      <c r="Q994" s="165"/>
      <c r="R994" s="165"/>
      <c r="S994" s="167"/>
      <c r="T994" s="167"/>
      <c r="U994" s="167"/>
      <c r="V994" s="168"/>
      <c r="W994" s="168"/>
      <c r="X994" s="168"/>
      <c r="Y994" s="168"/>
      <c r="Z994" s="168"/>
      <c r="AA994" s="168"/>
      <c r="AB994" s="164"/>
      <c r="AC994" s="165"/>
      <c r="AD994" s="165"/>
      <c r="AE994" s="169"/>
      <c r="AF994" s="169"/>
      <c r="AG994" s="169"/>
      <c r="AH994" s="168"/>
      <c r="AI994" s="168"/>
      <c r="AJ994" s="168"/>
      <c r="AK994" s="170"/>
      <c r="AL994" s="170"/>
    </row>
    <row r="995" ht="15.75" customHeight="1">
      <c r="A995" s="161"/>
      <c r="B995" s="161"/>
      <c r="C995" s="162"/>
      <c r="D995" s="163"/>
      <c r="E995" s="164"/>
      <c r="F995" s="165"/>
      <c r="G995" s="166"/>
      <c r="H995" s="167"/>
      <c r="I995" s="167"/>
      <c r="J995" s="167"/>
      <c r="K995" s="167"/>
      <c r="L995" s="167"/>
      <c r="M995" s="167"/>
      <c r="N995" s="167"/>
      <c r="O995" s="167"/>
      <c r="P995" s="164"/>
      <c r="Q995" s="165"/>
      <c r="R995" s="165"/>
      <c r="S995" s="167"/>
      <c r="T995" s="167"/>
      <c r="U995" s="167"/>
      <c r="V995" s="168"/>
      <c r="W995" s="168"/>
      <c r="X995" s="168"/>
      <c r="Y995" s="168"/>
      <c r="Z995" s="168"/>
      <c r="AA995" s="168"/>
      <c r="AB995" s="164"/>
      <c r="AC995" s="165"/>
      <c r="AD995" s="165"/>
      <c r="AE995" s="169"/>
      <c r="AF995" s="169"/>
      <c r="AG995" s="169"/>
      <c r="AH995" s="168"/>
      <c r="AI995" s="168"/>
      <c r="AJ995" s="168"/>
      <c r="AK995" s="170"/>
      <c r="AL995" s="170"/>
    </row>
    <row r="996" ht="15.75" customHeight="1">
      <c r="A996" s="161"/>
      <c r="B996" s="161"/>
      <c r="C996" s="162"/>
      <c r="D996" s="163"/>
      <c r="E996" s="164"/>
      <c r="F996" s="165"/>
      <c r="G996" s="166"/>
      <c r="H996" s="167"/>
      <c r="I996" s="167"/>
      <c r="J996" s="167"/>
      <c r="K996" s="167"/>
      <c r="L996" s="167"/>
      <c r="M996" s="167"/>
      <c r="N996" s="167"/>
      <c r="O996" s="167"/>
      <c r="P996" s="164"/>
      <c r="Q996" s="165"/>
      <c r="R996" s="165"/>
      <c r="S996" s="167"/>
      <c r="T996" s="167"/>
      <c r="U996" s="167"/>
      <c r="V996" s="168"/>
      <c r="W996" s="168"/>
      <c r="X996" s="168"/>
      <c r="Y996" s="168"/>
      <c r="Z996" s="168"/>
      <c r="AA996" s="168"/>
      <c r="AB996" s="164"/>
      <c r="AC996" s="165"/>
      <c r="AD996" s="165"/>
      <c r="AE996" s="169"/>
      <c r="AF996" s="169"/>
      <c r="AG996" s="169"/>
      <c r="AH996" s="168"/>
      <c r="AI996" s="168"/>
      <c r="AJ996" s="168"/>
      <c r="AK996" s="170"/>
      <c r="AL996" s="170"/>
    </row>
    <row r="997" ht="15.75" customHeight="1">
      <c r="A997" s="161"/>
      <c r="B997" s="161"/>
      <c r="C997" s="162"/>
      <c r="D997" s="163"/>
      <c r="E997" s="164"/>
      <c r="F997" s="165"/>
      <c r="G997" s="166"/>
      <c r="H997" s="167"/>
      <c r="I997" s="167"/>
      <c r="J997" s="167"/>
      <c r="K997" s="167"/>
      <c r="L997" s="167"/>
      <c r="M997" s="167"/>
      <c r="N997" s="167"/>
      <c r="O997" s="167"/>
      <c r="P997" s="164"/>
      <c r="Q997" s="165"/>
      <c r="R997" s="165"/>
      <c r="S997" s="167"/>
      <c r="T997" s="167"/>
      <c r="U997" s="167"/>
      <c r="V997" s="168"/>
      <c r="W997" s="168"/>
      <c r="X997" s="168"/>
      <c r="Y997" s="168"/>
      <c r="Z997" s="168"/>
      <c r="AA997" s="168"/>
      <c r="AB997" s="164"/>
      <c r="AC997" s="165"/>
      <c r="AD997" s="165"/>
      <c r="AE997" s="169"/>
      <c r="AF997" s="169"/>
      <c r="AG997" s="169"/>
      <c r="AH997" s="168"/>
      <c r="AI997" s="168"/>
      <c r="AJ997" s="168"/>
      <c r="AK997" s="170"/>
      <c r="AL997" s="170"/>
    </row>
    <row r="998" ht="15.75" customHeight="1">
      <c r="A998" s="161"/>
      <c r="B998" s="161"/>
      <c r="C998" s="162"/>
      <c r="D998" s="163"/>
      <c r="E998" s="164"/>
      <c r="F998" s="165"/>
      <c r="G998" s="166"/>
      <c r="H998" s="167"/>
      <c r="I998" s="167"/>
      <c r="J998" s="167"/>
      <c r="K998" s="167"/>
      <c r="L998" s="167"/>
      <c r="M998" s="167"/>
      <c r="N998" s="167"/>
      <c r="O998" s="167"/>
      <c r="P998" s="164"/>
      <c r="Q998" s="165"/>
      <c r="R998" s="165"/>
      <c r="S998" s="167"/>
      <c r="T998" s="167"/>
      <c r="U998" s="167"/>
      <c r="V998" s="168"/>
      <c r="W998" s="168"/>
      <c r="X998" s="168"/>
      <c r="Y998" s="168"/>
      <c r="Z998" s="168"/>
      <c r="AA998" s="168"/>
      <c r="AB998" s="164"/>
      <c r="AC998" s="165"/>
      <c r="AD998" s="165"/>
      <c r="AE998" s="169"/>
      <c r="AF998" s="169"/>
      <c r="AG998" s="169"/>
      <c r="AH998" s="168"/>
      <c r="AI998" s="168"/>
      <c r="AJ998" s="168"/>
      <c r="AK998" s="170"/>
      <c r="AL998" s="170"/>
    </row>
    <row r="999" ht="15.75" customHeight="1">
      <c r="A999" s="161"/>
      <c r="B999" s="161"/>
      <c r="C999" s="162"/>
      <c r="D999" s="163"/>
      <c r="E999" s="164"/>
      <c r="F999" s="165"/>
      <c r="G999" s="166"/>
      <c r="H999" s="167"/>
      <c r="I999" s="167"/>
      <c r="J999" s="167"/>
      <c r="K999" s="167"/>
      <c r="L999" s="167"/>
      <c r="M999" s="167"/>
      <c r="N999" s="167"/>
      <c r="O999" s="167"/>
      <c r="P999" s="164"/>
      <c r="Q999" s="165"/>
      <c r="R999" s="165"/>
      <c r="S999" s="167"/>
      <c r="T999" s="167"/>
      <c r="U999" s="167"/>
      <c r="V999" s="168"/>
      <c r="W999" s="168"/>
      <c r="X999" s="168"/>
      <c r="Y999" s="168"/>
      <c r="Z999" s="168"/>
      <c r="AA999" s="168"/>
      <c r="AB999" s="164"/>
      <c r="AC999" s="165"/>
      <c r="AD999" s="165"/>
      <c r="AE999" s="169"/>
      <c r="AF999" s="169"/>
      <c r="AG999" s="169"/>
      <c r="AH999" s="168"/>
      <c r="AI999" s="168"/>
      <c r="AJ999" s="168"/>
      <c r="AK999" s="170"/>
      <c r="AL999" s="170"/>
    </row>
    <row r="1000" ht="15.75" customHeight="1">
      <c r="A1000" s="161"/>
      <c r="B1000" s="161"/>
      <c r="C1000" s="162"/>
      <c r="D1000" s="163"/>
      <c r="E1000" s="164"/>
      <c r="F1000" s="165"/>
      <c r="G1000" s="166"/>
      <c r="H1000" s="167"/>
      <c r="I1000" s="167"/>
      <c r="J1000" s="167"/>
      <c r="K1000" s="167"/>
      <c r="L1000" s="167"/>
      <c r="M1000" s="167"/>
      <c r="N1000" s="167"/>
      <c r="O1000" s="167"/>
      <c r="P1000" s="164"/>
      <c r="Q1000" s="165"/>
      <c r="R1000" s="165"/>
      <c r="S1000" s="167"/>
      <c r="T1000" s="167"/>
      <c r="U1000" s="167"/>
      <c r="V1000" s="168"/>
      <c r="W1000" s="168"/>
      <c r="X1000" s="168"/>
      <c r="Y1000" s="168"/>
      <c r="Z1000" s="168"/>
      <c r="AA1000" s="168"/>
      <c r="AB1000" s="164"/>
      <c r="AC1000" s="165"/>
      <c r="AD1000" s="165"/>
      <c r="AE1000" s="169"/>
      <c r="AF1000" s="169"/>
      <c r="AG1000" s="169"/>
      <c r="AH1000" s="168"/>
      <c r="AI1000" s="168"/>
      <c r="AJ1000" s="168"/>
      <c r="AK1000" s="170"/>
      <c r="AL1000" s="170"/>
    </row>
    <row r="1001" ht="15.75" customHeight="1">
      <c r="A1001" s="161"/>
      <c r="B1001" s="161"/>
      <c r="C1001" s="162"/>
      <c r="D1001" s="163"/>
      <c r="E1001" s="164"/>
      <c r="F1001" s="165"/>
      <c r="G1001" s="166"/>
      <c r="H1001" s="167"/>
      <c r="I1001" s="167"/>
      <c r="J1001" s="167"/>
      <c r="K1001" s="167"/>
      <c r="L1001" s="167"/>
      <c r="M1001" s="167"/>
      <c r="N1001" s="167"/>
      <c r="O1001" s="167"/>
      <c r="P1001" s="164"/>
      <c r="Q1001" s="165"/>
      <c r="R1001" s="165"/>
      <c r="S1001" s="167"/>
      <c r="T1001" s="167"/>
      <c r="U1001" s="167"/>
      <c r="V1001" s="168"/>
      <c r="W1001" s="168"/>
      <c r="X1001" s="168"/>
      <c r="Y1001" s="168"/>
      <c r="Z1001" s="168"/>
      <c r="AA1001" s="168"/>
      <c r="AB1001" s="164"/>
      <c r="AC1001" s="165"/>
      <c r="AD1001" s="165"/>
      <c r="AE1001" s="169"/>
      <c r="AF1001" s="169"/>
      <c r="AG1001" s="169"/>
      <c r="AH1001" s="168"/>
      <c r="AI1001" s="168"/>
      <c r="AJ1001" s="168"/>
      <c r="AK1001" s="170"/>
      <c r="AL1001" s="170"/>
    </row>
    <row r="1002" ht="15.75" customHeight="1">
      <c r="A1002" s="161"/>
      <c r="B1002" s="161"/>
      <c r="C1002" s="162"/>
      <c r="D1002" s="163"/>
      <c r="E1002" s="164"/>
      <c r="F1002" s="165"/>
      <c r="G1002" s="166"/>
      <c r="H1002" s="167"/>
      <c r="I1002" s="167"/>
      <c r="J1002" s="167"/>
      <c r="K1002" s="167"/>
      <c r="L1002" s="167"/>
      <c r="M1002" s="167"/>
      <c r="N1002" s="167"/>
      <c r="O1002" s="167"/>
      <c r="P1002" s="164"/>
      <c r="Q1002" s="165"/>
      <c r="R1002" s="165"/>
      <c r="S1002" s="167"/>
      <c r="T1002" s="167"/>
      <c r="U1002" s="167"/>
      <c r="V1002" s="168"/>
      <c r="W1002" s="168"/>
      <c r="X1002" s="168"/>
      <c r="Y1002" s="168"/>
      <c r="Z1002" s="168"/>
      <c r="AA1002" s="168"/>
      <c r="AB1002" s="164"/>
      <c r="AC1002" s="165"/>
      <c r="AD1002" s="165"/>
      <c r="AE1002" s="169"/>
      <c r="AF1002" s="169"/>
      <c r="AG1002" s="169"/>
      <c r="AH1002" s="168"/>
      <c r="AI1002" s="168"/>
      <c r="AJ1002" s="168"/>
      <c r="AK1002" s="170"/>
      <c r="AL1002" s="170"/>
    </row>
    <row r="1003" ht="15.75" customHeight="1">
      <c r="A1003" s="161"/>
      <c r="B1003" s="161"/>
      <c r="C1003" s="162"/>
      <c r="D1003" s="163"/>
      <c r="E1003" s="164"/>
      <c r="F1003" s="165"/>
      <c r="G1003" s="166"/>
      <c r="H1003" s="167"/>
      <c r="I1003" s="167"/>
      <c r="J1003" s="167"/>
      <c r="K1003" s="167"/>
      <c r="L1003" s="167"/>
      <c r="M1003" s="167"/>
      <c r="N1003" s="167"/>
      <c r="O1003" s="167"/>
      <c r="P1003" s="164"/>
      <c r="Q1003" s="165"/>
      <c r="R1003" s="165"/>
      <c r="S1003" s="167"/>
      <c r="T1003" s="167"/>
      <c r="U1003" s="167"/>
      <c r="V1003" s="168"/>
      <c r="W1003" s="168"/>
      <c r="X1003" s="168"/>
      <c r="Y1003" s="168"/>
      <c r="Z1003" s="168"/>
      <c r="AA1003" s="168"/>
      <c r="AB1003" s="164"/>
      <c r="AC1003" s="165"/>
      <c r="AD1003" s="165"/>
      <c r="AE1003" s="169"/>
      <c r="AF1003" s="169"/>
      <c r="AG1003" s="169"/>
      <c r="AH1003" s="168"/>
      <c r="AI1003" s="168"/>
      <c r="AJ1003" s="168"/>
      <c r="AK1003" s="170"/>
      <c r="AL1003" s="170"/>
    </row>
    <row r="1004" ht="15.75" customHeight="1">
      <c r="A1004" s="161"/>
      <c r="B1004" s="161"/>
      <c r="C1004" s="162"/>
      <c r="D1004" s="163"/>
      <c r="E1004" s="164"/>
      <c r="F1004" s="165"/>
      <c r="G1004" s="166"/>
      <c r="H1004" s="167"/>
      <c r="I1004" s="167"/>
      <c r="J1004" s="167"/>
      <c r="K1004" s="167"/>
      <c r="L1004" s="167"/>
      <c r="M1004" s="167"/>
      <c r="N1004" s="167"/>
      <c r="O1004" s="167"/>
      <c r="P1004" s="164"/>
      <c r="Q1004" s="165"/>
      <c r="R1004" s="165"/>
      <c r="S1004" s="167"/>
      <c r="T1004" s="167"/>
      <c r="U1004" s="167"/>
      <c r="V1004" s="168"/>
      <c r="W1004" s="168"/>
      <c r="X1004" s="168"/>
      <c r="Y1004" s="168"/>
      <c r="Z1004" s="168"/>
      <c r="AA1004" s="168"/>
      <c r="AB1004" s="164"/>
      <c r="AC1004" s="165"/>
      <c r="AD1004" s="165"/>
      <c r="AE1004" s="169"/>
      <c r="AF1004" s="169"/>
      <c r="AG1004" s="169"/>
      <c r="AH1004" s="168"/>
      <c r="AI1004" s="168"/>
      <c r="AJ1004" s="168"/>
      <c r="AK1004" s="170"/>
      <c r="AL1004" s="170"/>
    </row>
    <row r="1005" ht="15.75" customHeight="1">
      <c r="A1005" s="161"/>
      <c r="B1005" s="161"/>
      <c r="C1005" s="162"/>
      <c r="D1005" s="163"/>
      <c r="E1005" s="164"/>
      <c r="F1005" s="165"/>
      <c r="G1005" s="166"/>
      <c r="H1005" s="167"/>
      <c r="I1005" s="167"/>
      <c r="J1005" s="167"/>
      <c r="K1005" s="167"/>
      <c r="L1005" s="167"/>
      <c r="M1005" s="167"/>
      <c r="N1005" s="167"/>
      <c r="O1005" s="167"/>
      <c r="P1005" s="164"/>
      <c r="Q1005" s="165"/>
      <c r="R1005" s="165"/>
      <c r="S1005" s="167"/>
      <c r="T1005" s="167"/>
      <c r="U1005" s="167"/>
      <c r="V1005" s="168"/>
      <c r="W1005" s="168"/>
      <c r="X1005" s="168"/>
      <c r="Y1005" s="168"/>
      <c r="Z1005" s="168"/>
      <c r="AA1005" s="168"/>
      <c r="AB1005" s="164"/>
      <c r="AC1005" s="165"/>
      <c r="AD1005" s="165"/>
      <c r="AE1005" s="169"/>
      <c r="AF1005" s="169"/>
      <c r="AG1005" s="169"/>
      <c r="AH1005" s="168"/>
      <c r="AI1005" s="168"/>
      <c r="AJ1005" s="168"/>
      <c r="AK1005" s="170"/>
      <c r="AL1005" s="170"/>
    </row>
    <row r="1006" ht="15.75" customHeight="1">
      <c r="A1006" s="161"/>
      <c r="B1006" s="161"/>
      <c r="C1006" s="162"/>
      <c r="D1006" s="163"/>
      <c r="E1006" s="164"/>
      <c r="F1006" s="165"/>
      <c r="G1006" s="166"/>
      <c r="H1006" s="167"/>
      <c r="I1006" s="167"/>
      <c r="J1006" s="167"/>
      <c r="K1006" s="167"/>
      <c r="L1006" s="167"/>
      <c r="M1006" s="167"/>
      <c r="N1006" s="167"/>
      <c r="O1006" s="167"/>
      <c r="P1006" s="164"/>
      <c r="Q1006" s="165"/>
      <c r="R1006" s="165"/>
      <c r="S1006" s="167"/>
      <c r="T1006" s="167"/>
      <c r="U1006" s="167"/>
      <c r="V1006" s="168"/>
      <c r="W1006" s="168"/>
      <c r="X1006" s="168"/>
      <c r="Y1006" s="168"/>
      <c r="Z1006" s="168"/>
      <c r="AA1006" s="168"/>
      <c r="AB1006" s="164"/>
      <c r="AC1006" s="165"/>
      <c r="AD1006" s="165"/>
      <c r="AE1006" s="169"/>
      <c r="AF1006" s="169"/>
      <c r="AG1006" s="169"/>
      <c r="AH1006" s="168"/>
      <c r="AI1006" s="168"/>
      <c r="AJ1006" s="168"/>
      <c r="AK1006" s="170"/>
      <c r="AL1006" s="170"/>
    </row>
    <row r="1007" ht="15.75" customHeight="1">
      <c r="A1007" s="161"/>
      <c r="B1007" s="161"/>
      <c r="C1007" s="162"/>
      <c r="D1007" s="163"/>
      <c r="E1007" s="164"/>
      <c r="F1007" s="165"/>
      <c r="G1007" s="166"/>
      <c r="H1007" s="167"/>
      <c r="I1007" s="167"/>
      <c r="J1007" s="167"/>
      <c r="K1007" s="167"/>
      <c r="L1007" s="167"/>
      <c r="M1007" s="167"/>
      <c r="N1007" s="167"/>
      <c r="O1007" s="167"/>
      <c r="P1007" s="164"/>
      <c r="Q1007" s="165"/>
      <c r="R1007" s="165"/>
      <c r="S1007" s="167"/>
      <c r="T1007" s="167"/>
      <c r="U1007" s="167"/>
      <c r="V1007" s="168"/>
      <c r="W1007" s="168"/>
      <c r="X1007" s="168"/>
      <c r="Y1007" s="168"/>
      <c r="Z1007" s="168"/>
      <c r="AA1007" s="168"/>
      <c r="AB1007" s="164"/>
      <c r="AC1007" s="165"/>
      <c r="AD1007" s="165"/>
      <c r="AE1007" s="169"/>
      <c r="AF1007" s="169"/>
      <c r="AG1007" s="169"/>
      <c r="AH1007" s="168"/>
      <c r="AI1007" s="168"/>
      <c r="AJ1007" s="168"/>
      <c r="AK1007" s="170"/>
      <c r="AL1007" s="170"/>
    </row>
    <row r="1008" ht="15.75" customHeight="1">
      <c r="A1008" s="161"/>
      <c r="B1008" s="161"/>
      <c r="C1008" s="162"/>
      <c r="D1008" s="163"/>
      <c r="E1008" s="164"/>
      <c r="F1008" s="165"/>
      <c r="G1008" s="166"/>
      <c r="H1008" s="167"/>
      <c r="I1008" s="167"/>
      <c r="J1008" s="167"/>
      <c r="K1008" s="167"/>
      <c r="L1008" s="167"/>
      <c r="M1008" s="167"/>
      <c r="N1008" s="167"/>
      <c r="O1008" s="167"/>
      <c r="P1008" s="164"/>
      <c r="Q1008" s="165"/>
      <c r="R1008" s="165"/>
      <c r="S1008" s="167"/>
      <c r="T1008" s="167"/>
      <c r="U1008" s="167"/>
      <c r="V1008" s="168"/>
      <c r="W1008" s="168"/>
      <c r="X1008" s="168"/>
      <c r="Y1008" s="168"/>
      <c r="Z1008" s="168"/>
      <c r="AA1008" s="168"/>
      <c r="AB1008" s="164"/>
      <c r="AC1008" s="165"/>
      <c r="AD1008" s="165"/>
      <c r="AE1008" s="169"/>
      <c r="AF1008" s="169"/>
      <c r="AG1008" s="169"/>
      <c r="AH1008" s="168"/>
      <c r="AI1008" s="168"/>
      <c r="AJ1008" s="168"/>
      <c r="AK1008" s="170"/>
      <c r="AL1008" s="170"/>
    </row>
    <row r="1009" ht="15.75" customHeight="1">
      <c r="A1009" s="161"/>
      <c r="B1009" s="161"/>
      <c r="C1009" s="162"/>
      <c r="D1009" s="163"/>
      <c r="E1009" s="164"/>
      <c r="F1009" s="165"/>
      <c r="G1009" s="166"/>
      <c r="H1009" s="167"/>
      <c r="I1009" s="167"/>
      <c r="J1009" s="167"/>
      <c r="K1009" s="167"/>
      <c r="L1009" s="167"/>
      <c r="M1009" s="167"/>
      <c r="N1009" s="167"/>
      <c r="O1009" s="167"/>
      <c r="P1009" s="164"/>
      <c r="Q1009" s="165"/>
      <c r="R1009" s="165"/>
      <c r="S1009" s="167"/>
      <c r="T1009" s="167"/>
      <c r="U1009" s="167"/>
      <c r="V1009" s="168"/>
      <c r="W1009" s="168"/>
      <c r="X1009" s="168"/>
      <c r="Y1009" s="168"/>
      <c r="Z1009" s="168"/>
      <c r="AA1009" s="168"/>
      <c r="AB1009" s="164"/>
      <c r="AC1009" s="165"/>
      <c r="AD1009" s="165"/>
      <c r="AE1009" s="169"/>
      <c r="AF1009" s="169"/>
      <c r="AG1009" s="169"/>
      <c r="AH1009" s="168"/>
      <c r="AI1009" s="168"/>
      <c r="AJ1009" s="168"/>
      <c r="AK1009" s="170"/>
      <c r="AL1009" s="170"/>
    </row>
    <row r="1010" ht="15.75" customHeight="1">
      <c r="A1010" s="161"/>
      <c r="B1010" s="161"/>
      <c r="C1010" s="162"/>
      <c r="D1010" s="163"/>
      <c r="E1010" s="164"/>
      <c r="F1010" s="165"/>
      <c r="G1010" s="166"/>
      <c r="H1010" s="167"/>
      <c r="I1010" s="167"/>
      <c r="J1010" s="167"/>
      <c r="K1010" s="167"/>
      <c r="L1010" s="167"/>
      <c r="M1010" s="167"/>
      <c r="N1010" s="167"/>
      <c r="O1010" s="167"/>
      <c r="P1010" s="164"/>
      <c r="Q1010" s="165"/>
      <c r="R1010" s="165"/>
      <c r="S1010" s="167"/>
      <c r="T1010" s="167"/>
      <c r="U1010" s="167"/>
      <c r="V1010" s="168"/>
      <c r="W1010" s="168"/>
      <c r="X1010" s="168"/>
      <c r="Y1010" s="168"/>
      <c r="Z1010" s="168"/>
      <c r="AA1010" s="168"/>
      <c r="AB1010" s="164"/>
      <c r="AC1010" s="165"/>
      <c r="AD1010" s="165"/>
      <c r="AE1010" s="169"/>
      <c r="AF1010" s="169"/>
      <c r="AG1010" s="169"/>
      <c r="AH1010" s="168"/>
      <c r="AI1010" s="168"/>
      <c r="AJ1010" s="168"/>
      <c r="AK1010" s="170"/>
      <c r="AL1010" s="170"/>
    </row>
    <row r="1011" ht="15.75" customHeight="1">
      <c r="A1011" s="161"/>
      <c r="B1011" s="161"/>
      <c r="C1011" s="162"/>
      <c r="D1011" s="163"/>
      <c r="E1011" s="164"/>
      <c r="F1011" s="165"/>
      <c r="G1011" s="166"/>
      <c r="H1011" s="167"/>
      <c r="I1011" s="167"/>
      <c r="J1011" s="167"/>
      <c r="K1011" s="167"/>
      <c r="L1011" s="167"/>
      <c r="M1011" s="167"/>
      <c r="N1011" s="167"/>
      <c r="O1011" s="167"/>
      <c r="P1011" s="164"/>
      <c r="Q1011" s="165"/>
      <c r="R1011" s="165"/>
      <c r="S1011" s="167"/>
      <c r="T1011" s="167"/>
      <c r="U1011" s="167"/>
      <c r="V1011" s="168"/>
      <c r="W1011" s="168"/>
      <c r="X1011" s="168"/>
      <c r="Y1011" s="168"/>
      <c r="Z1011" s="168"/>
      <c r="AA1011" s="168"/>
      <c r="AB1011" s="164"/>
      <c r="AC1011" s="165"/>
      <c r="AD1011" s="165"/>
      <c r="AE1011" s="169"/>
      <c r="AF1011" s="169"/>
      <c r="AG1011" s="169"/>
      <c r="AH1011" s="168"/>
      <c r="AI1011" s="168"/>
      <c r="AJ1011" s="168"/>
      <c r="AK1011" s="170"/>
      <c r="AL1011" s="170"/>
    </row>
    <row r="1012" ht="15.75" customHeight="1">
      <c r="A1012" s="161"/>
      <c r="B1012" s="161"/>
      <c r="C1012" s="162"/>
      <c r="D1012" s="163"/>
      <c r="E1012" s="164"/>
      <c r="F1012" s="165"/>
      <c r="G1012" s="166"/>
      <c r="H1012" s="167"/>
      <c r="I1012" s="167"/>
      <c r="J1012" s="167"/>
      <c r="K1012" s="167"/>
      <c r="L1012" s="167"/>
      <c r="M1012" s="167"/>
      <c r="N1012" s="167"/>
      <c r="O1012" s="167"/>
      <c r="P1012" s="164"/>
      <c r="Q1012" s="165"/>
      <c r="R1012" s="165"/>
      <c r="S1012" s="167"/>
      <c r="T1012" s="167"/>
      <c r="U1012" s="167"/>
      <c r="V1012" s="168"/>
      <c r="W1012" s="168"/>
      <c r="X1012" s="168"/>
      <c r="Y1012" s="168"/>
      <c r="Z1012" s="168"/>
      <c r="AA1012" s="168"/>
      <c r="AB1012" s="164"/>
      <c r="AC1012" s="165"/>
      <c r="AD1012" s="165"/>
      <c r="AE1012" s="169"/>
      <c r="AF1012" s="169"/>
      <c r="AG1012" s="169"/>
      <c r="AH1012" s="168"/>
      <c r="AI1012" s="168"/>
      <c r="AJ1012" s="168"/>
      <c r="AK1012" s="170"/>
      <c r="AL1012" s="170"/>
    </row>
    <row r="1013" ht="15.75" customHeight="1">
      <c r="A1013" s="161"/>
      <c r="B1013" s="161"/>
      <c r="C1013" s="162"/>
      <c r="D1013" s="163"/>
      <c r="E1013" s="164"/>
      <c r="F1013" s="165"/>
      <c r="G1013" s="166"/>
      <c r="H1013" s="167"/>
      <c r="I1013" s="167"/>
      <c r="J1013" s="167"/>
      <c r="K1013" s="167"/>
      <c r="L1013" s="167"/>
      <c r="M1013" s="167"/>
      <c r="N1013" s="167"/>
      <c r="O1013" s="167"/>
      <c r="P1013" s="164"/>
      <c r="Q1013" s="165"/>
      <c r="R1013" s="165"/>
      <c r="S1013" s="167"/>
      <c r="T1013" s="167"/>
      <c r="U1013" s="167"/>
      <c r="V1013" s="168"/>
      <c r="W1013" s="168"/>
      <c r="X1013" s="168"/>
      <c r="Y1013" s="168"/>
      <c r="Z1013" s="168"/>
      <c r="AA1013" s="168"/>
      <c r="AB1013" s="164"/>
      <c r="AC1013" s="165"/>
      <c r="AD1013" s="165"/>
      <c r="AE1013" s="169"/>
      <c r="AF1013" s="169"/>
      <c r="AG1013" s="169"/>
      <c r="AH1013" s="168"/>
      <c r="AI1013" s="168"/>
      <c r="AJ1013" s="168"/>
      <c r="AK1013" s="170"/>
      <c r="AL1013" s="170"/>
    </row>
    <row r="1014" ht="15.75" customHeight="1">
      <c r="A1014" s="161"/>
      <c r="B1014" s="161"/>
      <c r="C1014" s="162"/>
      <c r="D1014" s="163"/>
      <c r="E1014" s="164"/>
      <c r="F1014" s="165"/>
      <c r="G1014" s="166"/>
      <c r="H1014" s="167"/>
      <c r="I1014" s="167"/>
      <c r="J1014" s="167"/>
      <c r="K1014" s="167"/>
      <c r="L1014" s="167"/>
      <c r="M1014" s="167"/>
      <c r="N1014" s="167"/>
      <c r="O1014" s="167"/>
      <c r="P1014" s="164"/>
      <c r="Q1014" s="165"/>
      <c r="R1014" s="165"/>
      <c r="S1014" s="167"/>
      <c r="T1014" s="167"/>
      <c r="U1014" s="167"/>
      <c r="V1014" s="168"/>
      <c r="W1014" s="168"/>
      <c r="X1014" s="168"/>
      <c r="Y1014" s="168"/>
      <c r="Z1014" s="168"/>
      <c r="AA1014" s="168"/>
      <c r="AB1014" s="164"/>
      <c r="AC1014" s="165"/>
      <c r="AD1014" s="165"/>
      <c r="AE1014" s="169"/>
      <c r="AF1014" s="169"/>
      <c r="AG1014" s="169"/>
      <c r="AH1014" s="168"/>
      <c r="AI1014" s="168"/>
      <c r="AJ1014" s="168"/>
      <c r="AK1014" s="170"/>
      <c r="AL1014" s="170"/>
    </row>
    <row r="1015" ht="15.75" customHeight="1">
      <c r="A1015" s="161"/>
      <c r="B1015" s="161"/>
      <c r="C1015" s="162"/>
      <c r="D1015" s="163"/>
      <c r="E1015" s="164"/>
      <c r="F1015" s="165"/>
      <c r="G1015" s="166"/>
      <c r="H1015" s="167"/>
      <c r="I1015" s="167"/>
      <c r="J1015" s="167"/>
      <c r="K1015" s="167"/>
      <c r="L1015" s="167"/>
      <c r="M1015" s="167"/>
      <c r="N1015" s="167"/>
      <c r="O1015" s="167"/>
      <c r="P1015" s="164"/>
      <c r="Q1015" s="165"/>
      <c r="R1015" s="165"/>
      <c r="S1015" s="167"/>
      <c r="T1015" s="167"/>
      <c r="U1015" s="167"/>
      <c r="V1015" s="168"/>
      <c r="W1015" s="168"/>
      <c r="X1015" s="168"/>
      <c r="Y1015" s="168"/>
      <c r="Z1015" s="168"/>
      <c r="AA1015" s="168"/>
      <c r="AB1015" s="164"/>
      <c r="AC1015" s="165"/>
      <c r="AD1015" s="165"/>
      <c r="AE1015" s="169"/>
      <c r="AF1015" s="169"/>
      <c r="AG1015" s="169"/>
      <c r="AH1015" s="168"/>
      <c r="AI1015" s="168"/>
      <c r="AJ1015" s="168"/>
      <c r="AK1015" s="170"/>
      <c r="AL1015" s="170"/>
    </row>
    <row r="1016" ht="15.75" customHeight="1">
      <c r="A1016" s="161"/>
      <c r="B1016" s="161"/>
      <c r="C1016" s="162"/>
      <c r="D1016" s="163"/>
      <c r="E1016" s="164"/>
      <c r="F1016" s="165"/>
      <c r="G1016" s="166"/>
      <c r="H1016" s="167"/>
      <c r="I1016" s="167"/>
      <c r="J1016" s="167"/>
      <c r="K1016" s="167"/>
      <c r="L1016" s="167"/>
      <c r="M1016" s="167"/>
      <c r="N1016" s="167"/>
      <c r="O1016" s="167"/>
      <c r="P1016" s="164"/>
      <c r="Q1016" s="165"/>
      <c r="R1016" s="165"/>
      <c r="S1016" s="167"/>
      <c r="T1016" s="167"/>
      <c r="U1016" s="167"/>
      <c r="V1016" s="168"/>
      <c r="W1016" s="168"/>
      <c r="X1016" s="168"/>
      <c r="Y1016" s="168"/>
      <c r="Z1016" s="168"/>
      <c r="AA1016" s="168"/>
      <c r="AB1016" s="164"/>
      <c r="AC1016" s="165"/>
      <c r="AD1016" s="165"/>
      <c r="AE1016" s="169"/>
      <c r="AF1016" s="169"/>
      <c r="AG1016" s="169"/>
      <c r="AH1016" s="168"/>
      <c r="AI1016" s="168"/>
      <c r="AJ1016" s="168"/>
      <c r="AK1016" s="170"/>
      <c r="AL1016" s="170"/>
    </row>
    <row r="1017" ht="15.75" customHeight="1">
      <c r="A1017" s="161"/>
      <c r="B1017" s="161"/>
      <c r="C1017" s="162"/>
      <c r="D1017" s="163"/>
      <c r="E1017" s="164"/>
      <c r="F1017" s="165"/>
      <c r="G1017" s="166"/>
      <c r="H1017" s="167"/>
      <c r="I1017" s="167"/>
      <c r="J1017" s="167"/>
      <c r="K1017" s="167"/>
      <c r="L1017" s="167"/>
      <c r="M1017" s="167"/>
      <c r="N1017" s="167"/>
      <c r="O1017" s="167"/>
      <c r="P1017" s="164"/>
      <c r="Q1017" s="165"/>
      <c r="R1017" s="165"/>
      <c r="S1017" s="167"/>
      <c r="T1017" s="167"/>
      <c r="U1017" s="167"/>
      <c r="V1017" s="168"/>
      <c r="W1017" s="168"/>
      <c r="X1017" s="168"/>
      <c r="Y1017" s="168"/>
      <c r="Z1017" s="168"/>
      <c r="AA1017" s="168"/>
      <c r="AB1017" s="164"/>
      <c r="AC1017" s="165"/>
      <c r="AD1017" s="165"/>
      <c r="AE1017" s="169"/>
      <c r="AF1017" s="169"/>
      <c r="AG1017" s="169"/>
      <c r="AH1017" s="168"/>
      <c r="AI1017" s="168"/>
      <c r="AJ1017" s="168"/>
      <c r="AK1017" s="170"/>
      <c r="AL1017" s="170"/>
    </row>
    <row r="1018" ht="15.75" customHeight="1">
      <c r="A1018" s="161"/>
      <c r="B1018" s="161"/>
      <c r="C1018" s="162"/>
      <c r="D1018" s="163"/>
      <c r="E1018" s="164"/>
      <c r="F1018" s="165"/>
      <c r="G1018" s="166"/>
      <c r="H1018" s="167"/>
      <c r="I1018" s="167"/>
      <c r="J1018" s="167"/>
      <c r="K1018" s="167"/>
      <c r="L1018" s="167"/>
      <c r="M1018" s="167"/>
      <c r="N1018" s="167"/>
      <c r="O1018" s="167"/>
      <c r="P1018" s="164"/>
      <c r="Q1018" s="165"/>
      <c r="R1018" s="165"/>
      <c r="S1018" s="167"/>
      <c r="T1018" s="167"/>
      <c r="U1018" s="167"/>
      <c r="V1018" s="168"/>
      <c r="W1018" s="168"/>
      <c r="X1018" s="168"/>
      <c r="Y1018" s="168"/>
      <c r="Z1018" s="168"/>
      <c r="AA1018" s="168"/>
      <c r="AB1018" s="164"/>
      <c r="AC1018" s="165"/>
      <c r="AD1018" s="165"/>
      <c r="AE1018" s="169"/>
      <c r="AF1018" s="169"/>
      <c r="AG1018" s="169"/>
      <c r="AH1018" s="168"/>
      <c r="AI1018" s="168"/>
      <c r="AJ1018" s="168"/>
      <c r="AK1018" s="170"/>
      <c r="AL1018" s="170"/>
    </row>
    <row r="1019" ht="15.75" customHeight="1">
      <c r="A1019" s="161"/>
      <c r="B1019" s="161"/>
      <c r="C1019" s="162"/>
      <c r="D1019" s="163"/>
      <c r="E1019" s="164"/>
      <c r="F1019" s="165"/>
      <c r="G1019" s="166"/>
      <c r="H1019" s="167"/>
      <c r="I1019" s="167"/>
      <c r="J1019" s="167"/>
      <c r="K1019" s="167"/>
      <c r="L1019" s="167"/>
      <c r="M1019" s="167"/>
      <c r="N1019" s="167"/>
      <c r="O1019" s="167"/>
      <c r="P1019" s="164"/>
      <c r="Q1019" s="165"/>
      <c r="R1019" s="165"/>
      <c r="S1019" s="167"/>
      <c r="T1019" s="167"/>
      <c r="U1019" s="167"/>
      <c r="V1019" s="168"/>
      <c r="W1019" s="168"/>
      <c r="X1019" s="168"/>
      <c r="Y1019" s="168"/>
      <c r="Z1019" s="168"/>
      <c r="AA1019" s="168"/>
      <c r="AB1019" s="164"/>
      <c r="AC1019" s="165"/>
      <c r="AD1019" s="165"/>
      <c r="AE1019" s="169"/>
      <c r="AF1019" s="169"/>
      <c r="AG1019" s="169"/>
      <c r="AH1019" s="168"/>
      <c r="AI1019" s="168"/>
      <c r="AJ1019" s="168"/>
      <c r="AK1019" s="170"/>
      <c r="AL1019" s="170"/>
    </row>
    <row r="1020" ht="15.75" customHeight="1">
      <c r="A1020" s="161"/>
      <c r="B1020" s="161"/>
      <c r="C1020" s="162"/>
      <c r="D1020" s="163"/>
      <c r="E1020" s="164"/>
      <c r="F1020" s="165"/>
      <c r="G1020" s="166"/>
      <c r="H1020" s="167"/>
      <c r="I1020" s="167"/>
      <c r="J1020" s="167"/>
      <c r="K1020" s="167"/>
      <c r="L1020" s="167"/>
      <c r="M1020" s="167"/>
      <c r="N1020" s="167"/>
      <c r="O1020" s="167"/>
      <c r="P1020" s="164"/>
      <c r="Q1020" s="165"/>
      <c r="R1020" s="165"/>
      <c r="S1020" s="167"/>
      <c r="T1020" s="167"/>
      <c r="U1020" s="167"/>
      <c r="V1020" s="168"/>
      <c r="W1020" s="168"/>
      <c r="X1020" s="168"/>
      <c r="Y1020" s="168"/>
      <c r="Z1020" s="168"/>
      <c r="AA1020" s="168"/>
      <c r="AB1020" s="164"/>
      <c r="AC1020" s="165"/>
      <c r="AD1020" s="165"/>
      <c r="AE1020" s="169"/>
      <c r="AF1020" s="169"/>
      <c r="AG1020" s="169"/>
      <c r="AH1020" s="168"/>
      <c r="AI1020" s="168"/>
      <c r="AJ1020" s="168"/>
      <c r="AK1020" s="170"/>
      <c r="AL1020" s="170"/>
    </row>
    <row r="1021" ht="15.75" customHeight="1">
      <c r="A1021" s="161"/>
      <c r="B1021" s="161"/>
      <c r="C1021" s="162"/>
      <c r="D1021" s="163"/>
      <c r="E1021" s="164"/>
      <c r="F1021" s="165"/>
      <c r="G1021" s="166"/>
      <c r="H1021" s="167"/>
      <c r="I1021" s="167"/>
      <c r="J1021" s="167"/>
      <c r="K1021" s="167"/>
      <c r="L1021" s="167"/>
      <c r="M1021" s="167"/>
      <c r="N1021" s="167"/>
      <c r="O1021" s="167"/>
      <c r="P1021" s="164"/>
      <c r="Q1021" s="165"/>
      <c r="R1021" s="165"/>
      <c r="S1021" s="167"/>
      <c r="T1021" s="167"/>
      <c r="U1021" s="167"/>
      <c r="V1021" s="168"/>
      <c r="W1021" s="168"/>
      <c r="X1021" s="168"/>
      <c r="Y1021" s="168"/>
      <c r="Z1021" s="168"/>
      <c r="AA1021" s="168"/>
      <c r="AB1021" s="164"/>
      <c r="AC1021" s="165"/>
      <c r="AD1021" s="165"/>
      <c r="AE1021" s="169"/>
      <c r="AF1021" s="169"/>
      <c r="AG1021" s="169"/>
      <c r="AH1021" s="168"/>
      <c r="AI1021" s="168"/>
      <c r="AJ1021" s="168"/>
      <c r="AK1021" s="170"/>
      <c r="AL1021" s="170"/>
    </row>
    <row r="1022" ht="15.75" customHeight="1">
      <c r="A1022" s="161"/>
      <c r="B1022" s="161"/>
      <c r="C1022" s="162"/>
      <c r="D1022" s="163"/>
      <c r="E1022" s="164"/>
      <c r="F1022" s="165"/>
      <c r="G1022" s="166"/>
      <c r="H1022" s="167"/>
      <c r="I1022" s="167"/>
      <c r="J1022" s="167"/>
      <c r="K1022" s="167"/>
      <c r="L1022" s="167"/>
      <c r="M1022" s="167"/>
      <c r="N1022" s="167"/>
      <c r="O1022" s="167"/>
      <c r="P1022" s="164"/>
      <c r="Q1022" s="165"/>
      <c r="R1022" s="165"/>
      <c r="S1022" s="167"/>
      <c r="T1022" s="167"/>
      <c r="U1022" s="167"/>
      <c r="V1022" s="168"/>
      <c r="W1022" s="168"/>
      <c r="X1022" s="168"/>
      <c r="Y1022" s="168"/>
      <c r="Z1022" s="168"/>
      <c r="AA1022" s="168"/>
      <c r="AB1022" s="164"/>
      <c r="AC1022" s="165"/>
      <c r="AD1022" s="165"/>
      <c r="AE1022" s="169"/>
      <c r="AF1022" s="169"/>
      <c r="AG1022" s="169"/>
      <c r="AH1022" s="168"/>
      <c r="AI1022" s="168"/>
      <c r="AJ1022" s="168"/>
      <c r="AK1022" s="170"/>
      <c r="AL1022" s="170"/>
    </row>
    <row r="1023" ht="15.75" customHeight="1">
      <c r="A1023" s="161"/>
      <c r="B1023" s="161"/>
      <c r="C1023" s="162"/>
      <c r="D1023" s="163"/>
      <c r="E1023" s="164"/>
      <c r="F1023" s="165"/>
      <c r="G1023" s="166"/>
      <c r="H1023" s="167"/>
      <c r="I1023" s="167"/>
      <c r="J1023" s="167"/>
      <c r="K1023" s="167"/>
      <c r="L1023" s="167"/>
      <c r="M1023" s="167"/>
      <c r="N1023" s="167"/>
      <c r="O1023" s="167"/>
      <c r="P1023" s="164"/>
      <c r="Q1023" s="165"/>
      <c r="R1023" s="165"/>
      <c r="S1023" s="167"/>
      <c r="T1023" s="167"/>
      <c r="U1023" s="167"/>
      <c r="V1023" s="168"/>
      <c r="W1023" s="168"/>
      <c r="X1023" s="168"/>
      <c r="Y1023" s="168"/>
      <c r="Z1023" s="168"/>
      <c r="AA1023" s="168"/>
      <c r="AB1023" s="164"/>
      <c r="AC1023" s="165"/>
      <c r="AD1023" s="165"/>
      <c r="AE1023" s="169"/>
      <c r="AF1023" s="169"/>
      <c r="AG1023" s="169"/>
      <c r="AH1023" s="168"/>
      <c r="AI1023" s="168"/>
      <c r="AJ1023" s="168"/>
      <c r="AK1023" s="170"/>
      <c r="AL1023" s="170"/>
    </row>
    <row r="1024" ht="15.75" customHeight="1">
      <c r="A1024" s="161"/>
      <c r="B1024" s="161"/>
      <c r="C1024" s="162"/>
      <c r="D1024" s="163"/>
      <c r="E1024" s="164"/>
      <c r="F1024" s="165"/>
      <c r="G1024" s="166"/>
      <c r="H1024" s="167"/>
      <c r="I1024" s="167"/>
      <c r="J1024" s="167"/>
      <c r="K1024" s="167"/>
      <c r="L1024" s="167"/>
      <c r="M1024" s="167"/>
      <c r="N1024" s="167"/>
      <c r="O1024" s="167"/>
      <c r="P1024" s="164"/>
      <c r="Q1024" s="165"/>
      <c r="R1024" s="165"/>
      <c r="S1024" s="167"/>
      <c r="T1024" s="167"/>
      <c r="U1024" s="167"/>
      <c r="V1024" s="168"/>
      <c r="W1024" s="168"/>
      <c r="X1024" s="168"/>
      <c r="Y1024" s="168"/>
      <c r="Z1024" s="168"/>
      <c r="AA1024" s="168"/>
      <c r="AB1024" s="164"/>
      <c r="AC1024" s="165"/>
      <c r="AD1024" s="165"/>
      <c r="AE1024" s="169"/>
      <c r="AF1024" s="169"/>
      <c r="AG1024" s="169"/>
      <c r="AH1024" s="168"/>
      <c r="AI1024" s="168"/>
      <c r="AJ1024" s="168"/>
      <c r="AK1024" s="170"/>
      <c r="AL1024" s="170"/>
    </row>
    <row r="1025" ht="15.75" customHeight="1">
      <c r="A1025" s="161"/>
      <c r="B1025" s="161"/>
      <c r="C1025" s="162"/>
      <c r="D1025" s="163"/>
      <c r="E1025" s="164"/>
      <c r="F1025" s="165"/>
      <c r="G1025" s="166"/>
      <c r="H1025" s="167"/>
      <c r="I1025" s="167"/>
      <c r="J1025" s="167"/>
      <c r="K1025" s="167"/>
      <c r="L1025" s="167"/>
      <c r="M1025" s="167"/>
      <c r="N1025" s="167"/>
      <c r="O1025" s="167"/>
      <c r="P1025" s="164"/>
      <c r="Q1025" s="165"/>
      <c r="R1025" s="165"/>
      <c r="S1025" s="167"/>
      <c r="T1025" s="167"/>
      <c r="U1025" s="167"/>
      <c r="V1025" s="168"/>
      <c r="W1025" s="168"/>
      <c r="X1025" s="168"/>
      <c r="Y1025" s="168"/>
      <c r="Z1025" s="168"/>
      <c r="AA1025" s="168"/>
      <c r="AB1025" s="164"/>
      <c r="AC1025" s="165"/>
      <c r="AD1025" s="165"/>
      <c r="AE1025" s="169"/>
      <c r="AF1025" s="169"/>
      <c r="AG1025" s="169"/>
      <c r="AH1025" s="168"/>
      <c r="AI1025" s="168"/>
      <c r="AJ1025" s="168"/>
      <c r="AK1025" s="170"/>
      <c r="AL1025" s="170"/>
    </row>
    <row r="1026" ht="15.75" customHeight="1">
      <c r="A1026" s="161"/>
      <c r="B1026" s="161"/>
      <c r="C1026" s="162"/>
      <c r="D1026" s="163"/>
      <c r="E1026" s="164"/>
      <c r="F1026" s="165"/>
      <c r="G1026" s="166"/>
      <c r="H1026" s="167"/>
      <c r="I1026" s="167"/>
      <c r="J1026" s="167"/>
      <c r="K1026" s="167"/>
      <c r="L1026" s="167"/>
      <c r="M1026" s="167"/>
      <c r="N1026" s="167"/>
      <c r="O1026" s="167"/>
      <c r="P1026" s="164"/>
      <c r="Q1026" s="165"/>
      <c r="R1026" s="165"/>
      <c r="S1026" s="167"/>
      <c r="T1026" s="167"/>
      <c r="U1026" s="167"/>
      <c r="V1026" s="168"/>
      <c r="W1026" s="168"/>
      <c r="X1026" s="168"/>
      <c r="Y1026" s="168"/>
      <c r="Z1026" s="168"/>
      <c r="AA1026" s="168"/>
      <c r="AB1026" s="164"/>
      <c r="AC1026" s="165"/>
      <c r="AD1026" s="165"/>
      <c r="AE1026" s="169"/>
      <c r="AF1026" s="169"/>
      <c r="AG1026" s="169"/>
      <c r="AH1026" s="168"/>
      <c r="AI1026" s="168"/>
      <c r="AJ1026" s="168"/>
      <c r="AK1026" s="170"/>
      <c r="AL1026" s="170"/>
    </row>
    <row r="1027" ht="15.75" customHeight="1">
      <c r="A1027" s="161"/>
      <c r="B1027" s="161"/>
      <c r="C1027" s="162"/>
      <c r="D1027" s="163"/>
      <c r="E1027" s="164"/>
      <c r="F1027" s="165"/>
      <c r="G1027" s="166"/>
      <c r="H1027" s="167"/>
      <c r="I1027" s="167"/>
      <c r="J1027" s="167"/>
      <c r="K1027" s="167"/>
      <c r="L1027" s="167"/>
      <c r="M1027" s="167"/>
      <c r="N1027" s="167"/>
      <c r="O1027" s="167"/>
      <c r="P1027" s="164"/>
      <c r="Q1027" s="165"/>
      <c r="R1027" s="165"/>
      <c r="S1027" s="167"/>
      <c r="T1027" s="167"/>
      <c r="U1027" s="167"/>
      <c r="V1027" s="168"/>
      <c r="W1027" s="168"/>
      <c r="X1027" s="168"/>
      <c r="Y1027" s="168"/>
      <c r="Z1027" s="168"/>
      <c r="AA1027" s="168"/>
      <c r="AB1027" s="164"/>
      <c r="AC1027" s="165"/>
      <c r="AD1027" s="165"/>
      <c r="AE1027" s="169"/>
      <c r="AF1027" s="169"/>
      <c r="AG1027" s="169"/>
      <c r="AH1027" s="168"/>
      <c r="AI1027" s="168"/>
      <c r="AJ1027" s="168"/>
      <c r="AK1027" s="170"/>
      <c r="AL1027" s="170"/>
    </row>
    <row r="1028" ht="15.75" customHeight="1">
      <c r="A1028" s="161"/>
      <c r="B1028" s="161"/>
      <c r="C1028" s="162"/>
      <c r="D1028" s="163"/>
      <c r="E1028" s="164"/>
      <c r="F1028" s="165"/>
      <c r="G1028" s="166"/>
      <c r="H1028" s="167"/>
      <c r="I1028" s="167"/>
      <c r="J1028" s="167"/>
      <c r="K1028" s="167"/>
      <c r="L1028" s="167"/>
      <c r="M1028" s="167"/>
      <c r="N1028" s="167"/>
      <c r="O1028" s="167"/>
      <c r="P1028" s="164"/>
      <c r="Q1028" s="165"/>
      <c r="R1028" s="165"/>
      <c r="S1028" s="167"/>
      <c r="T1028" s="167"/>
      <c r="U1028" s="167"/>
      <c r="V1028" s="168"/>
      <c r="W1028" s="168"/>
      <c r="X1028" s="168"/>
      <c r="Y1028" s="168"/>
      <c r="Z1028" s="168"/>
      <c r="AA1028" s="168"/>
      <c r="AB1028" s="164"/>
      <c r="AC1028" s="165"/>
      <c r="AD1028" s="165"/>
      <c r="AE1028" s="169"/>
      <c r="AF1028" s="169"/>
      <c r="AG1028" s="169"/>
      <c r="AH1028" s="168"/>
      <c r="AI1028" s="168"/>
      <c r="AJ1028" s="168"/>
      <c r="AK1028" s="170"/>
      <c r="AL1028" s="170"/>
    </row>
    <row r="1029" ht="15.75" customHeight="1">
      <c r="A1029" s="161"/>
      <c r="B1029" s="161"/>
      <c r="C1029" s="162"/>
      <c r="D1029" s="163"/>
      <c r="E1029" s="164"/>
      <c r="F1029" s="165"/>
      <c r="G1029" s="166"/>
      <c r="H1029" s="167"/>
      <c r="I1029" s="167"/>
      <c r="J1029" s="167"/>
      <c r="K1029" s="167"/>
      <c r="L1029" s="167"/>
      <c r="M1029" s="167"/>
      <c r="N1029" s="167"/>
      <c r="O1029" s="167"/>
      <c r="P1029" s="164"/>
      <c r="Q1029" s="165"/>
      <c r="R1029" s="165"/>
      <c r="S1029" s="167"/>
      <c r="T1029" s="167"/>
      <c r="U1029" s="167"/>
      <c r="V1029" s="168"/>
      <c r="W1029" s="168"/>
      <c r="X1029" s="168"/>
      <c r="Y1029" s="168"/>
      <c r="Z1029" s="168"/>
      <c r="AA1029" s="168"/>
      <c r="AB1029" s="164"/>
      <c r="AC1029" s="165"/>
      <c r="AD1029" s="165"/>
      <c r="AE1029" s="169"/>
      <c r="AF1029" s="169"/>
      <c r="AG1029" s="169"/>
      <c r="AH1029" s="168"/>
      <c r="AI1029" s="168"/>
      <c r="AJ1029" s="168"/>
      <c r="AK1029" s="170"/>
      <c r="AL1029" s="170"/>
    </row>
    <row r="1030" ht="15.75" customHeight="1">
      <c r="A1030" s="161"/>
      <c r="B1030" s="161"/>
      <c r="C1030" s="162"/>
      <c r="D1030" s="163"/>
      <c r="E1030" s="164"/>
      <c r="F1030" s="165"/>
      <c r="G1030" s="166"/>
      <c r="H1030" s="167"/>
      <c r="I1030" s="167"/>
      <c r="J1030" s="167"/>
      <c r="K1030" s="167"/>
      <c r="L1030" s="167"/>
      <c r="M1030" s="167"/>
      <c r="N1030" s="167"/>
      <c r="O1030" s="167"/>
      <c r="P1030" s="164"/>
      <c r="Q1030" s="165"/>
      <c r="R1030" s="165"/>
      <c r="S1030" s="167"/>
      <c r="T1030" s="167"/>
      <c r="U1030" s="167"/>
      <c r="V1030" s="168"/>
      <c r="W1030" s="168"/>
      <c r="X1030" s="168"/>
      <c r="Y1030" s="168"/>
      <c r="Z1030" s="168"/>
      <c r="AA1030" s="168"/>
      <c r="AB1030" s="164"/>
      <c r="AC1030" s="165"/>
      <c r="AD1030" s="165"/>
      <c r="AE1030" s="169"/>
      <c r="AF1030" s="169"/>
      <c r="AG1030" s="169"/>
      <c r="AH1030" s="168"/>
      <c r="AI1030" s="168"/>
      <c r="AJ1030" s="168"/>
      <c r="AK1030" s="170"/>
      <c r="AL1030" s="170"/>
    </row>
    <row r="1031" ht="15.75" customHeight="1">
      <c r="A1031" s="161"/>
      <c r="B1031" s="161"/>
      <c r="C1031" s="162"/>
      <c r="D1031" s="163"/>
      <c r="E1031" s="164"/>
      <c r="F1031" s="165"/>
      <c r="G1031" s="166"/>
      <c r="H1031" s="167"/>
      <c r="I1031" s="167"/>
      <c r="J1031" s="167"/>
      <c r="K1031" s="167"/>
      <c r="L1031" s="167"/>
      <c r="M1031" s="167"/>
      <c r="N1031" s="167"/>
      <c r="O1031" s="167"/>
      <c r="P1031" s="164"/>
      <c r="Q1031" s="165"/>
      <c r="R1031" s="165"/>
      <c r="S1031" s="167"/>
      <c r="T1031" s="167"/>
      <c r="U1031" s="167"/>
      <c r="V1031" s="168"/>
      <c r="W1031" s="168"/>
      <c r="X1031" s="168"/>
      <c r="Y1031" s="168"/>
      <c r="Z1031" s="168"/>
      <c r="AA1031" s="168"/>
      <c r="AB1031" s="164"/>
      <c r="AC1031" s="165"/>
      <c r="AD1031" s="165"/>
      <c r="AE1031" s="169"/>
      <c r="AF1031" s="169"/>
      <c r="AG1031" s="169"/>
      <c r="AH1031" s="168"/>
      <c r="AI1031" s="168"/>
      <c r="AJ1031" s="168"/>
      <c r="AK1031" s="170"/>
      <c r="AL1031" s="170"/>
    </row>
    <row r="1032" ht="15.75" customHeight="1">
      <c r="A1032" s="161"/>
      <c r="B1032" s="161"/>
      <c r="C1032" s="162"/>
      <c r="D1032" s="163"/>
      <c r="E1032" s="164"/>
      <c r="F1032" s="165"/>
      <c r="G1032" s="166"/>
      <c r="H1032" s="167"/>
      <c r="I1032" s="167"/>
      <c r="J1032" s="167"/>
      <c r="K1032" s="167"/>
      <c r="L1032" s="167"/>
      <c r="M1032" s="167"/>
      <c r="N1032" s="167"/>
      <c r="O1032" s="167"/>
      <c r="P1032" s="164"/>
      <c r="Q1032" s="165"/>
      <c r="R1032" s="165"/>
      <c r="S1032" s="167"/>
      <c r="T1032" s="167"/>
      <c r="U1032" s="167"/>
      <c r="V1032" s="168"/>
      <c r="W1032" s="168"/>
      <c r="X1032" s="168"/>
      <c r="Y1032" s="168"/>
      <c r="Z1032" s="168"/>
      <c r="AA1032" s="168"/>
      <c r="AB1032" s="164"/>
      <c r="AC1032" s="165"/>
      <c r="AD1032" s="165"/>
      <c r="AE1032" s="169"/>
      <c r="AF1032" s="169"/>
      <c r="AG1032" s="169"/>
      <c r="AH1032" s="168"/>
      <c r="AI1032" s="168"/>
      <c r="AJ1032" s="168"/>
      <c r="AK1032" s="170"/>
      <c r="AL1032" s="170"/>
    </row>
    <row r="1033" ht="15.75" customHeight="1">
      <c r="A1033" s="161"/>
      <c r="B1033" s="161"/>
      <c r="C1033" s="162"/>
      <c r="D1033" s="163"/>
      <c r="E1033" s="164"/>
      <c r="F1033" s="165"/>
      <c r="G1033" s="166"/>
      <c r="H1033" s="167"/>
      <c r="I1033" s="167"/>
      <c r="J1033" s="167"/>
      <c r="K1033" s="167"/>
      <c r="L1033" s="167"/>
      <c r="M1033" s="167"/>
      <c r="N1033" s="167"/>
      <c r="O1033" s="167"/>
      <c r="P1033" s="164"/>
      <c r="Q1033" s="165"/>
      <c r="R1033" s="165"/>
      <c r="S1033" s="167"/>
      <c r="T1033" s="167"/>
      <c r="U1033" s="167"/>
      <c r="V1033" s="168"/>
      <c r="W1033" s="168"/>
      <c r="X1033" s="168"/>
      <c r="Y1033" s="168"/>
      <c r="Z1033" s="168"/>
      <c r="AA1033" s="168"/>
      <c r="AB1033" s="164"/>
      <c r="AC1033" s="165"/>
      <c r="AD1033" s="165"/>
      <c r="AE1033" s="169"/>
      <c r="AF1033" s="169"/>
      <c r="AG1033" s="169"/>
      <c r="AH1033" s="168"/>
      <c r="AI1033" s="168"/>
      <c r="AJ1033" s="168"/>
      <c r="AK1033" s="170"/>
      <c r="AL1033" s="170"/>
    </row>
    <row r="1034" ht="15.75" customHeight="1">
      <c r="A1034" s="161"/>
      <c r="B1034" s="161"/>
      <c r="C1034" s="162"/>
      <c r="D1034" s="163"/>
      <c r="E1034" s="164"/>
      <c r="F1034" s="165"/>
      <c r="G1034" s="166"/>
      <c r="H1034" s="167"/>
      <c r="I1034" s="167"/>
      <c r="J1034" s="167"/>
      <c r="K1034" s="167"/>
      <c r="L1034" s="167"/>
      <c r="M1034" s="167"/>
      <c r="N1034" s="167"/>
      <c r="O1034" s="167"/>
      <c r="P1034" s="164"/>
      <c r="Q1034" s="165"/>
      <c r="R1034" s="165"/>
      <c r="S1034" s="167"/>
      <c r="T1034" s="167"/>
      <c r="U1034" s="167"/>
      <c r="V1034" s="168"/>
      <c r="W1034" s="168"/>
      <c r="X1034" s="168"/>
      <c r="Y1034" s="168"/>
      <c r="Z1034" s="168"/>
      <c r="AA1034" s="168"/>
      <c r="AB1034" s="164"/>
      <c r="AC1034" s="165"/>
      <c r="AD1034" s="165"/>
      <c r="AE1034" s="169"/>
      <c r="AF1034" s="169"/>
      <c r="AG1034" s="169"/>
      <c r="AH1034" s="168"/>
      <c r="AI1034" s="168"/>
      <c r="AJ1034" s="168"/>
      <c r="AK1034" s="170"/>
      <c r="AL1034" s="170"/>
    </row>
    <row r="1035" ht="15.75" customHeight="1">
      <c r="A1035" s="161"/>
      <c r="B1035" s="161"/>
      <c r="C1035" s="162"/>
      <c r="D1035" s="163"/>
      <c r="E1035" s="164"/>
      <c r="F1035" s="165"/>
      <c r="G1035" s="166"/>
      <c r="H1035" s="167"/>
      <c r="I1035" s="167"/>
      <c r="J1035" s="167"/>
      <c r="K1035" s="167"/>
      <c r="L1035" s="167"/>
      <c r="M1035" s="167"/>
      <c r="N1035" s="167"/>
      <c r="O1035" s="167"/>
      <c r="P1035" s="164"/>
      <c r="Q1035" s="165"/>
      <c r="R1035" s="165"/>
      <c r="S1035" s="167"/>
      <c r="T1035" s="167"/>
      <c r="U1035" s="167"/>
      <c r="V1035" s="168"/>
      <c r="W1035" s="168"/>
      <c r="X1035" s="168"/>
      <c r="Y1035" s="168"/>
      <c r="Z1035" s="168"/>
      <c r="AA1035" s="168"/>
      <c r="AB1035" s="164"/>
      <c r="AC1035" s="165"/>
      <c r="AD1035" s="165"/>
      <c r="AE1035" s="169"/>
      <c r="AF1035" s="169"/>
      <c r="AG1035" s="169"/>
      <c r="AH1035" s="168"/>
      <c r="AI1035" s="168"/>
      <c r="AJ1035" s="168"/>
      <c r="AK1035" s="170"/>
      <c r="AL1035" s="170"/>
    </row>
    <row r="1036" ht="15.75" customHeight="1">
      <c r="A1036" s="161"/>
      <c r="B1036" s="161"/>
      <c r="C1036" s="162"/>
      <c r="D1036" s="163"/>
      <c r="E1036" s="164"/>
      <c r="F1036" s="165"/>
      <c r="G1036" s="166"/>
      <c r="H1036" s="167"/>
      <c r="I1036" s="167"/>
      <c r="J1036" s="167"/>
      <c r="K1036" s="167"/>
      <c r="L1036" s="167"/>
      <c r="M1036" s="167"/>
      <c r="N1036" s="167"/>
      <c r="O1036" s="167"/>
      <c r="P1036" s="164"/>
      <c r="Q1036" s="165"/>
      <c r="R1036" s="165"/>
      <c r="S1036" s="167"/>
      <c r="T1036" s="167"/>
      <c r="U1036" s="167"/>
      <c r="V1036" s="168"/>
      <c r="W1036" s="168"/>
      <c r="X1036" s="168"/>
      <c r="Y1036" s="168"/>
      <c r="Z1036" s="168"/>
      <c r="AA1036" s="168"/>
      <c r="AB1036" s="164"/>
      <c r="AC1036" s="165"/>
      <c r="AD1036" s="165"/>
      <c r="AE1036" s="169"/>
      <c r="AF1036" s="169"/>
      <c r="AG1036" s="169"/>
      <c r="AH1036" s="168"/>
      <c r="AI1036" s="168"/>
      <c r="AJ1036" s="168"/>
      <c r="AK1036" s="170"/>
      <c r="AL1036" s="170"/>
    </row>
    <row r="1037" ht="15.75" customHeight="1">
      <c r="A1037" s="161"/>
      <c r="B1037" s="161"/>
      <c r="C1037" s="162"/>
      <c r="D1037" s="163"/>
      <c r="E1037" s="164"/>
      <c r="F1037" s="165"/>
      <c r="G1037" s="166"/>
      <c r="H1037" s="167"/>
      <c r="I1037" s="167"/>
      <c r="J1037" s="167"/>
      <c r="K1037" s="167"/>
      <c r="L1037" s="167"/>
      <c r="M1037" s="167"/>
      <c r="N1037" s="167"/>
      <c r="O1037" s="167"/>
      <c r="P1037" s="164"/>
      <c r="Q1037" s="165"/>
      <c r="R1037" s="165"/>
      <c r="S1037" s="167"/>
      <c r="T1037" s="167"/>
      <c r="U1037" s="167"/>
      <c r="V1037" s="168"/>
      <c r="W1037" s="168"/>
      <c r="X1037" s="168"/>
      <c r="Y1037" s="168"/>
      <c r="Z1037" s="168"/>
      <c r="AA1037" s="168"/>
      <c r="AB1037" s="164"/>
      <c r="AC1037" s="165"/>
      <c r="AD1037" s="165"/>
      <c r="AE1037" s="169"/>
      <c r="AF1037" s="169"/>
      <c r="AG1037" s="169"/>
      <c r="AH1037" s="168"/>
      <c r="AI1037" s="168"/>
      <c r="AJ1037" s="168"/>
      <c r="AK1037" s="170"/>
      <c r="AL1037" s="170"/>
    </row>
    <row r="1038" ht="15.75" customHeight="1">
      <c r="A1038" s="161"/>
      <c r="B1038" s="161"/>
      <c r="C1038" s="162"/>
      <c r="D1038" s="163"/>
      <c r="E1038" s="164"/>
      <c r="F1038" s="165"/>
      <c r="G1038" s="166"/>
      <c r="H1038" s="167"/>
      <c r="I1038" s="167"/>
      <c r="J1038" s="167"/>
      <c r="K1038" s="167"/>
      <c r="L1038" s="167"/>
      <c r="M1038" s="167"/>
      <c r="N1038" s="167"/>
      <c r="O1038" s="167"/>
      <c r="P1038" s="164"/>
      <c r="Q1038" s="165"/>
      <c r="R1038" s="165"/>
      <c r="S1038" s="167"/>
      <c r="T1038" s="167"/>
      <c r="U1038" s="167"/>
      <c r="V1038" s="168"/>
      <c r="W1038" s="168"/>
      <c r="X1038" s="168"/>
      <c r="Y1038" s="168"/>
      <c r="Z1038" s="168"/>
      <c r="AA1038" s="168"/>
      <c r="AB1038" s="164"/>
      <c r="AC1038" s="165"/>
      <c r="AD1038" s="165"/>
      <c r="AE1038" s="169"/>
      <c r="AF1038" s="169"/>
      <c r="AG1038" s="169"/>
      <c r="AH1038" s="168"/>
      <c r="AI1038" s="168"/>
      <c r="AJ1038" s="168"/>
      <c r="AK1038" s="170"/>
      <c r="AL1038" s="170"/>
    </row>
    <row r="1039" ht="15.75" customHeight="1">
      <c r="A1039" s="161"/>
      <c r="B1039" s="161"/>
      <c r="C1039" s="162"/>
      <c r="D1039" s="163"/>
      <c r="E1039" s="164"/>
      <c r="F1039" s="165"/>
      <c r="G1039" s="166"/>
      <c r="H1039" s="167"/>
      <c r="I1039" s="167"/>
      <c r="J1039" s="167"/>
      <c r="K1039" s="167"/>
      <c r="L1039" s="167"/>
      <c r="M1039" s="167"/>
      <c r="N1039" s="167"/>
      <c r="O1039" s="167"/>
      <c r="P1039" s="164"/>
      <c r="Q1039" s="165"/>
      <c r="R1039" s="165"/>
      <c r="S1039" s="167"/>
      <c r="T1039" s="167"/>
      <c r="U1039" s="167"/>
      <c r="V1039" s="168"/>
      <c r="W1039" s="168"/>
      <c r="X1039" s="168"/>
      <c r="Y1039" s="168"/>
      <c r="Z1039" s="168"/>
      <c r="AA1039" s="168"/>
      <c r="AB1039" s="164"/>
      <c r="AC1039" s="165"/>
      <c r="AD1039" s="165"/>
      <c r="AE1039" s="169"/>
      <c r="AF1039" s="169"/>
      <c r="AG1039" s="169"/>
      <c r="AH1039" s="168"/>
      <c r="AI1039" s="168"/>
      <c r="AJ1039" s="168"/>
      <c r="AK1039" s="170"/>
      <c r="AL1039" s="170"/>
    </row>
    <row r="1040" ht="15.75" customHeight="1">
      <c r="A1040" s="161"/>
      <c r="B1040" s="161"/>
      <c r="C1040" s="162"/>
      <c r="D1040" s="163"/>
      <c r="E1040" s="164"/>
      <c r="F1040" s="165"/>
      <c r="G1040" s="166"/>
      <c r="H1040" s="167"/>
      <c r="I1040" s="167"/>
      <c r="J1040" s="167"/>
      <c r="K1040" s="167"/>
      <c r="L1040" s="167"/>
      <c r="M1040" s="167"/>
      <c r="N1040" s="167"/>
      <c r="O1040" s="167"/>
      <c r="P1040" s="164"/>
      <c r="Q1040" s="165"/>
      <c r="R1040" s="165"/>
      <c r="S1040" s="167"/>
      <c r="T1040" s="167"/>
      <c r="U1040" s="167"/>
      <c r="V1040" s="168"/>
      <c r="W1040" s="168"/>
      <c r="X1040" s="168"/>
      <c r="Y1040" s="168"/>
      <c r="Z1040" s="168"/>
      <c r="AA1040" s="168"/>
      <c r="AB1040" s="164"/>
      <c r="AC1040" s="165"/>
      <c r="AD1040" s="165"/>
      <c r="AE1040" s="169"/>
      <c r="AF1040" s="169"/>
      <c r="AG1040" s="169"/>
      <c r="AH1040" s="168"/>
      <c r="AI1040" s="168"/>
      <c r="AJ1040" s="168"/>
      <c r="AK1040" s="170"/>
      <c r="AL1040" s="170"/>
    </row>
    <row r="1041" ht="15.75" customHeight="1">
      <c r="A1041" s="161"/>
      <c r="B1041" s="161"/>
      <c r="C1041" s="162"/>
      <c r="D1041" s="163"/>
      <c r="E1041" s="164"/>
      <c r="F1041" s="165"/>
      <c r="G1041" s="166"/>
      <c r="H1041" s="167"/>
      <c r="I1041" s="167"/>
      <c r="J1041" s="167"/>
      <c r="K1041" s="167"/>
      <c r="L1041" s="167"/>
      <c r="M1041" s="167"/>
      <c r="N1041" s="167"/>
      <c r="O1041" s="167"/>
      <c r="P1041" s="164"/>
      <c r="Q1041" s="165"/>
      <c r="R1041" s="165"/>
      <c r="S1041" s="167"/>
      <c r="T1041" s="167"/>
      <c r="U1041" s="167"/>
      <c r="V1041" s="168"/>
      <c r="W1041" s="168"/>
      <c r="X1041" s="168"/>
      <c r="Y1041" s="168"/>
      <c r="Z1041" s="168"/>
      <c r="AA1041" s="168"/>
      <c r="AB1041" s="164"/>
      <c r="AC1041" s="165"/>
      <c r="AD1041" s="165"/>
      <c r="AE1041" s="169"/>
      <c r="AF1041" s="169"/>
      <c r="AG1041" s="169"/>
      <c r="AH1041" s="168"/>
      <c r="AI1041" s="168"/>
      <c r="AJ1041" s="168"/>
      <c r="AK1041" s="170"/>
      <c r="AL1041" s="170"/>
    </row>
    <row r="1042" ht="15.75" customHeight="1">
      <c r="A1042" s="161"/>
      <c r="B1042" s="161"/>
      <c r="C1042" s="162"/>
      <c r="D1042" s="163"/>
      <c r="E1042" s="164"/>
      <c r="F1042" s="165"/>
      <c r="G1042" s="166"/>
      <c r="H1042" s="167"/>
      <c r="I1042" s="167"/>
      <c r="J1042" s="167"/>
      <c r="K1042" s="167"/>
      <c r="L1042" s="167"/>
      <c r="M1042" s="167"/>
      <c r="N1042" s="167"/>
      <c r="O1042" s="167"/>
      <c r="P1042" s="164"/>
      <c r="Q1042" s="165"/>
      <c r="R1042" s="165"/>
      <c r="S1042" s="167"/>
      <c r="T1042" s="167"/>
      <c r="U1042" s="167"/>
      <c r="V1042" s="168"/>
      <c r="W1042" s="168"/>
      <c r="X1042" s="168"/>
      <c r="Y1042" s="168"/>
      <c r="Z1042" s="168"/>
      <c r="AA1042" s="168"/>
      <c r="AB1042" s="164"/>
      <c r="AC1042" s="165"/>
      <c r="AD1042" s="165"/>
      <c r="AE1042" s="169"/>
      <c r="AF1042" s="169"/>
      <c r="AG1042" s="169"/>
      <c r="AH1042" s="168"/>
      <c r="AI1042" s="168"/>
      <c r="AJ1042" s="168"/>
      <c r="AK1042" s="170"/>
      <c r="AL1042" s="170"/>
    </row>
    <row r="1043" ht="15.75" customHeight="1">
      <c r="A1043" s="161"/>
      <c r="B1043" s="161"/>
      <c r="C1043" s="162"/>
      <c r="D1043" s="163"/>
      <c r="E1043" s="164"/>
      <c r="F1043" s="165"/>
      <c r="G1043" s="166"/>
      <c r="H1043" s="167"/>
      <c r="I1043" s="167"/>
      <c r="J1043" s="167"/>
      <c r="K1043" s="167"/>
      <c r="L1043" s="167"/>
      <c r="M1043" s="167"/>
      <c r="N1043" s="167"/>
      <c r="O1043" s="167"/>
      <c r="P1043" s="164"/>
      <c r="Q1043" s="165"/>
      <c r="R1043" s="165"/>
      <c r="S1043" s="167"/>
      <c r="T1043" s="167"/>
      <c r="U1043" s="167"/>
      <c r="V1043" s="168"/>
      <c r="W1043" s="168"/>
      <c r="X1043" s="168"/>
      <c r="Y1043" s="168"/>
      <c r="Z1043" s="168"/>
      <c r="AA1043" s="168"/>
      <c r="AB1043" s="164"/>
      <c r="AC1043" s="165"/>
      <c r="AD1043" s="165"/>
      <c r="AE1043" s="169"/>
      <c r="AF1043" s="169"/>
      <c r="AG1043" s="169"/>
      <c r="AH1043" s="168"/>
      <c r="AI1043" s="168"/>
      <c r="AJ1043" s="168"/>
      <c r="AK1043" s="170"/>
      <c r="AL1043" s="170"/>
    </row>
    <row r="1044" ht="15.75" customHeight="1">
      <c r="A1044" s="161"/>
      <c r="B1044" s="161"/>
      <c r="C1044" s="162"/>
      <c r="D1044" s="163"/>
      <c r="E1044" s="164"/>
      <c r="F1044" s="165"/>
      <c r="G1044" s="166"/>
      <c r="H1044" s="167"/>
      <c r="I1044" s="167"/>
      <c r="J1044" s="167"/>
      <c r="K1044" s="167"/>
      <c r="L1044" s="167"/>
      <c r="M1044" s="167"/>
      <c r="N1044" s="167"/>
      <c r="O1044" s="167"/>
      <c r="P1044" s="164"/>
      <c r="Q1044" s="165"/>
      <c r="R1044" s="165"/>
      <c r="S1044" s="167"/>
      <c r="T1044" s="167"/>
      <c r="U1044" s="167"/>
      <c r="V1044" s="168"/>
      <c r="W1044" s="168"/>
      <c r="X1044" s="168"/>
      <c r="Y1044" s="168"/>
      <c r="Z1044" s="168"/>
      <c r="AA1044" s="168"/>
      <c r="AB1044" s="164"/>
      <c r="AC1044" s="165"/>
      <c r="AD1044" s="165"/>
      <c r="AE1044" s="169"/>
      <c r="AF1044" s="169"/>
      <c r="AG1044" s="169"/>
      <c r="AH1044" s="168"/>
      <c r="AI1044" s="168"/>
      <c r="AJ1044" s="168"/>
      <c r="AK1044" s="170"/>
      <c r="AL1044" s="170"/>
    </row>
    <row r="1045" ht="15.75" customHeight="1">
      <c r="A1045" s="161"/>
      <c r="B1045" s="161"/>
      <c r="C1045" s="162"/>
      <c r="D1045" s="163"/>
      <c r="E1045" s="164"/>
      <c r="F1045" s="165"/>
      <c r="G1045" s="166"/>
      <c r="H1045" s="167"/>
      <c r="I1045" s="167"/>
      <c r="J1045" s="167"/>
      <c r="K1045" s="167"/>
      <c r="L1045" s="167"/>
      <c r="M1045" s="167"/>
      <c r="N1045" s="167"/>
      <c r="O1045" s="167"/>
      <c r="P1045" s="164"/>
      <c r="Q1045" s="165"/>
      <c r="R1045" s="165"/>
      <c r="S1045" s="167"/>
      <c r="T1045" s="167"/>
      <c r="U1045" s="167"/>
      <c r="V1045" s="168"/>
      <c r="W1045" s="168"/>
      <c r="X1045" s="168"/>
      <c r="Y1045" s="168"/>
      <c r="Z1045" s="168"/>
      <c r="AA1045" s="168"/>
      <c r="AB1045" s="164"/>
      <c r="AC1045" s="165"/>
      <c r="AD1045" s="165"/>
      <c r="AE1045" s="169"/>
      <c r="AF1045" s="169"/>
      <c r="AG1045" s="169"/>
      <c r="AH1045" s="168"/>
      <c r="AI1045" s="168"/>
      <c r="AJ1045" s="168"/>
      <c r="AK1045" s="170"/>
      <c r="AL1045" s="170"/>
    </row>
    <row r="1046" ht="15.75" customHeight="1">
      <c r="A1046" s="161"/>
      <c r="B1046" s="161"/>
      <c r="C1046" s="162"/>
      <c r="D1046" s="163"/>
      <c r="E1046" s="164"/>
      <c r="F1046" s="165"/>
      <c r="G1046" s="166"/>
      <c r="H1046" s="167"/>
      <c r="I1046" s="167"/>
      <c r="J1046" s="167"/>
      <c r="K1046" s="167"/>
      <c r="L1046" s="167"/>
      <c r="M1046" s="167"/>
      <c r="N1046" s="167"/>
      <c r="O1046" s="167"/>
      <c r="P1046" s="164"/>
      <c r="Q1046" s="165"/>
      <c r="R1046" s="165"/>
      <c r="S1046" s="167"/>
      <c r="T1046" s="167"/>
      <c r="U1046" s="167"/>
      <c r="V1046" s="168"/>
      <c r="W1046" s="168"/>
      <c r="X1046" s="168"/>
      <c r="Y1046" s="168"/>
      <c r="Z1046" s="168"/>
      <c r="AA1046" s="168"/>
      <c r="AB1046" s="164"/>
      <c r="AC1046" s="165"/>
      <c r="AD1046" s="165"/>
      <c r="AE1046" s="169"/>
      <c r="AF1046" s="169"/>
      <c r="AG1046" s="169"/>
      <c r="AH1046" s="168"/>
      <c r="AI1046" s="168"/>
      <c r="AJ1046" s="168"/>
      <c r="AK1046" s="170"/>
      <c r="AL1046" s="170"/>
    </row>
    <row r="1047" ht="15.75" customHeight="1">
      <c r="A1047" s="161"/>
      <c r="B1047" s="161"/>
      <c r="C1047" s="162"/>
      <c r="D1047" s="163"/>
      <c r="E1047" s="164"/>
      <c r="F1047" s="165"/>
      <c r="G1047" s="166"/>
      <c r="H1047" s="167"/>
      <c r="I1047" s="167"/>
      <c r="J1047" s="167"/>
      <c r="K1047" s="167"/>
      <c r="L1047" s="167"/>
      <c r="M1047" s="167"/>
      <c r="N1047" s="167"/>
      <c r="O1047" s="167"/>
      <c r="P1047" s="164"/>
      <c r="Q1047" s="165"/>
      <c r="R1047" s="165"/>
      <c r="S1047" s="167"/>
      <c r="T1047" s="167"/>
      <c r="U1047" s="167"/>
      <c r="V1047" s="168"/>
      <c r="W1047" s="168"/>
      <c r="X1047" s="168"/>
      <c r="Y1047" s="168"/>
      <c r="Z1047" s="168"/>
      <c r="AA1047" s="168"/>
      <c r="AB1047" s="164"/>
      <c r="AC1047" s="165"/>
      <c r="AD1047" s="165"/>
      <c r="AE1047" s="169"/>
      <c r="AF1047" s="169"/>
      <c r="AG1047" s="169"/>
      <c r="AH1047" s="168"/>
      <c r="AI1047" s="168"/>
      <c r="AJ1047" s="168"/>
      <c r="AK1047" s="170"/>
      <c r="AL1047" s="170"/>
    </row>
    <row r="1048" ht="15.75" customHeight="1">
      <c r="A1048" s="161"/>
      <c r="B1048" s="161"/>
      <c r="C1048" s="162"/>
      <c r="D1048" s="163"/>
      <c r="E1048" s="164"/>
      <c r="F1048" s="165"/>
      <c r="G1048" s="166"/>
      <c r="H1048" s="167"/>
      <c r="I1048" s="167"/>
      <c r="J1048" s="167"/>
      <c r="K1048" s="167"/>
      <c r="L1048" s="167"/>
      <c r="M1048" s="167"/>
      <c r="N1048" s="167"/>
      <c r="O1048" s="167"/>
      <c r="P1048" s="164"/>
      <c r="Q1048" s="165"/>
      <c r="R1048" s="165"/>
      <c r="S1048" s="167"/>
      <c r="T1048" s="167"/>
      <c r="U1048" s="167"/>
      <c r="V1048" s="168"/>
      <c r="W1048" s="168"/>
      <c r="X1048" s="168"/>
      <c r="Y1048" s="168"/>
      <c r="Z1048" s="168"/>
      <c r="AA1048" s="168"/>
      <c r="AB1048" s="164"/>
      <c r="AC1048" s="165"/>
      <c r="AD1048" s="165"/>
      <c r="AE1048" s="169"/>
      <c r="AF1048" s="169"/>
      <c r="AG1048" s="169"/>
      <c r="AH1048" s="168"/>
      <c r="AI1048" s="168"/>
      <c r="AJ1048" s="168"/>
      <c r="AK1048" s="170"/>
      <c r="AL1048" s="170"/>
    </row>
    <row r="1049" ht="15.75" customHeight="1">
      <c r="A1049" s="161"/>
      <c r="B1049" s="161"/>
      <c r="C1049" s="162"/>
      <c r="D1049" s="163"/>
      <c r="E1049" s="164"/>
      <c r="F1049" s="165"/>
      <c r="G1049" s="166"/>
      <c r="H1049" s="167"/>
      <c r="I1049" s="167"/>
      <c r="J1049" s="167"/>
      <c r="K1049" s="167"/>
      <c r="L1049" s="167"/>
      <c r="M1049" s="167"/>
      <c r="N1049" s="167"/>
      <c r="O1049" s="167"/>
      <c r="P1049" s="164"/>
      <c r="Q1049" s="165"/>
      <c r="R1049" s="165"/>
      <c r="S1049" s="167"/>
      <c r="T1049" s="167"/>
      <c r="U1049" s="167"/>
      <c r="V1049" s="168"/>
      <c r="W1049" s="168"/>
      <c r="X1049" s="168"/>
      <c r="Y1049" s="168"/>
      <c r="Z1049" s="168"/>
      <c r="AA1049" s="168"/>
      <c r="AB1049" s="164"/>
      <c r="AC1049" s="165"/>
      <c r="AD1049" s="165"/>
      <c r="AE1049" s="169"/>
      <c r="AF1049" s="169"/>
      <c r="AG1049" s="169"/>
      <c r="AH1049" s="168"/>
      <c r="AI1049" s="168"/>
      <c r="AJ1049" s="168"/>
      <c r="AK1049" s="170"/>
      <c r="AL1049" s="170"/>
    </row>
    <row r="1050" ht="15.75" customHeight="1">
      <c r="A1050" s="161"/>
      <c r="B1050" s="161"/>
      <c r="C1050" s="162"/>
      <c r="D1050" s="163"/>
      <c r="E1050" s="164"/>
      <c r="F1050" s="165"/>
      <c r="G1050" s="166"/>
      <c r="H1050" s="167"/>
      <c r="I1050" s="167"/>
      <c r="J1050" s="167"/>
      <c r="K1050" s="167"/>
      <c r="L1050" s="167"/>
      <c r="M1050" s="167"/>
      <c r="N1050" s="167"/>
      <c r="O1050" s="167"/>
      <c r="P1050" s="164"/>
      <c r="Q1050" s="165"/>
      <c r="R1050" s="165"/>
      <c r="S1050" s="167"/>
      <c r="T1050" s="167"/>
      <c r="U1050" s="167"/>
      <c r="V1050" s="168"/>
      <c r="W1050" s="168"/>
      <c r="X1050" s="168"/>
      <c r="Y1050" s="168"/>
      <c r="Z1050" s="168"/>
      <c r="AA1050" s="168"/>
      <c r="AB1050" s="164"/>
      <c r="AC1050" s="165"/>
      <c r="AD1050" s="165"/>
      <c r="AE1050" s="169"/>
      <c r="AF1050" s="169"/>
      <c r="AG1050" s="169"/>
      <c r="AH1050" s="168"/>
      <c r="AI1050" s="168"/>
      <c r="AJ1050" s="168"/>
      <c r="AK1050" s="170"/>
      <c r="AL1050" s="170"/>
    </row>
    <row r="1051" ht="15.75" customHeight="1">
      <c r="A1051" s="161"/>
      <c r="B1051" s="161"/>
      <c r="C1051" s="162"/>
      <c r="D1051" s="163"/>
      <c r="E1051" s="164"/>
      <c r="F1051" s="165"/>
      <c r="G1051" s="166"/>
      <c r="H1051" s="167"/>
      <c r="I1051" s="167"/>
      <c r="J1051" s="167"/>
      <c r="K1051" s="167"/>
      <c r="L1051" s="167"/>
      <c r="M1051" s="167"/>
      <c r="N1051" s="167"/>
      <c r="O1051" s="167"/>
      <c r="P1051" s="164"/>
      <c r="Q1051" s="165"/>
      <c r="R1051" s="165"/>
      <c r="S1051" s="167"/>
      <c r="T1051" s="167"/>
      <c r="U1051" s="167"/>
      <c r="V1051" s="168"/>
      <c r="W1051" s="168"/>
      <c r="X1051" s="168"/>
      <c r="Y1051" s="168"/>
      <c r="Z1051" s="168"/>
      <c r="AA1051" s="168"/>
      <c r="AB1051" s="164"/>
      <c r="AC1051" s="165"/>
      <c r="AD1051" s="165"/>
      <c r="AE1051" s="169"/>
      <c r="AF1051" s="169"/>
      <c r="AG1051" s="169"/>
      <c r="AH1051" s="168"/>
      <c r="AI1051" s="168"/>
      <c r="AJ1051" s="168"/>
      <c r="AK1051" s="170"/>
      <c r="AL1051" s="170"/>
    </row>
    <row r="1052" ht="15.75" customHeight="1">
      <c r="A1052" s="161"/>
      <c r="B1052" s="161"/>
      <c r="C1052" s="162"/>
      <c r="D1052" s="163"/>
      <c r="E1052" s="164"/>
      <c r="F1052" s="165"/>
      <c r="G1052" s="166"/>
      <c r="H1052" s="167"/>
      <c r="I1052" s="167"/>
      <c r="J1052" s="167"/>
      <c r="K1052" s="167"/>
      <c r="L1052" s="167"/>
      <c r="M1052" s="167"/>
      <c r="N1052" s="167"/>
      <c r="O1052" s="167"/>
      <c r="P1052" s="164"/>
      <c r="Q1052" s="165"/>
      <c r="R1052" s="165"/>
      <c r="S1052" s="167"/>
      <c r="T1052" s="167"/>
      <c r="U1052" s="167"/>
      <c r="V1052" s="168"/>
      <c r="W1052" s="168"/>
      <c r="X1052" s="168"/>
      <c r="Y1052" s="168"/>
      <c r="Z1052" s="168"/>
      <c r="AA1052" s="168"/>
      <c r="AB1052" s="164"/>
      <c r="AC1052" s="165"/>
      <c r="AD1052" s="165"/>
      <c r="AE1052" s="169"/>
      <c r="AF1052" s="169"/>
      <c r="AG1052" s="169"/>
      <c r="AH1052" s="168"/>
      <c r="AI1052" s="168"/>
      <c r="AJ1052" s="168"/>
      <c r="AK1052" s="170"/>
      <c r="AL1052" s="170"/>
    </row>
    <row r="1053" ht="15.75" customHeight="1">
      <c r="A1053" s="161"/>
      <c r="B1053" s="161"/>
      <c r="C1053" s="162"/>
      <c r="D1053" s="163"/>
      <c r="E1053" s="164"/>
      <c r="F1053" s="165"/>
      <c r="G1053" s="166"/>
      <c r="H1053" s="167"/>
      <c r="I1053" s="167"/>
      <c r="J1053" s="167"/>
      <c r="K1053" s="167"/>
      <c r="L1053" s="167"/>
      <c r="M1053" s="167"/>
      <c r="N1053" s="167"/>
      <c r="O1053" s="167"/>
      <c r="P1053" s="164"/>
      <c r="Q1053" s="165"/>
      <c r="R1053" s="165"/>
      <c r="S1053" s="167"/>
      <c r="T1053" s="167"/>
      <c r="U1053" s="167"/>
      <c r="V1053" s="168"/>
      <c r="W1053" s="168"/>
      <c r="X1053" s="168"/>
      <c r="Y1053" s="168"/>
      <c r="Z1053" s="168"/>
      <c r="AA1053" s="168"/>
      <c r="AB1053" s="164"/>
      <c r="AC1053" s="165"/>
      <c r="AD1053" s="165"/>
      <c r="AE1053" s="169"/>
      <c r="AF1053" s="169"/>
      <c r="AG1053" s="169"/>
      <c r="AH1053" s="168"/>
      <c r="AI1053" s="168"/>
      <c r="AJ1053" s="168"/>
      <c r="AK1053" s="170"/>
      <c r="AL1053" s="170"/>
    </row>
    <row r="1054" ht="15.75" customHeight="1">
      <c r="A1054" s="161"/>
      <c r="B1054" s="161"/>
      <c r="C1054" s="162"/>
      <c r="D1054" s="163"/>
      <c r="E1054" s="164"/>
      <c r="F1054" s="165"/>
      <c r="G1054" s="166"/>
      <c r="H1054" s="167"/>
      <c r="I1054" s="167"/>
      <c r="J1054" s="167"/>
      <c r="K1054" s="167"/>
      <c r="L1054" s="167"/>
      <c r="M1054" s="167"/>
      <c r="N1054" s="167"/>
      <c r="O1054" s="167"/>
      <c r="P1054" s="164"/>
      <c r="Q1054" s="165"/>
      <c r="R1054" s="165"/>
      <c r="S1054" s="167"/>
      <c r="T1054" s="167"/>
      <c r="U1054" s="167"/>
      <c r="V1054" s="168"/>
      <c r="W1054" s="168"/>
      <c r="X1054" s="168"/>
      <c r="Y1054" s="168"/>
      <c r="Z1054" s="168"/>
      <c r="AA1054" s="168"/>
      <c r="AB1054" s="164"/>
      <c r="AC1054" s="165"/>
      <c r="AD1054" s="165"/>
      <c r="AE1054" s="169"/>
      <c r="AF1054" s="169"/>
      <c r="AG1054" s="169"/>
      <c r="AH1054" s="168"/>
      <c r="AI1054" s="168"/>
      <c r="AJ1054" s="168"/>
      <c r="AK1054" s="170"/>
      <c r="AL1054" s="170"/>
    </row>
    <row r="1055" ht="15.75" customHeight="1">
      <c r="A1055" s="161"/>
      <c r="B1055" s="161"/>
      <c r="C1055" s="162"/>
      <c r="D1055" s="163"/>
      <c r="E1055" s="164"/>
      <c r="F1055" s="165"/>
      <c r="G1055" s="166"/>
      <c r="H1055" s="167"/>
      <c r="I1055" s="167"/>
      <c r="J1055" s="167"/>
      <c r="K1055" s="167"/>
      <c r="L1055" s="167"/>
      <c r="M1055" s="167"/>
      <c r="N1055" s="167"/>
      <c r="O1055" s="167"/>
      <c r="P1055" s="164"/>
      <c r="Q1055" s="165"/>
      <c r="R1055" s="165"/>
      <c r="S1055" s="167"/>
      <c r="T1055" s="167"/>
      <c r="U1055" s="167"/>
      <c r="V1055" s="168"/>
      <c r="W1055" s="168"/>
      <c r="X1055" s="168"/>
      <c r="Y1055" s="168"/>
      <c r="Z1055" s="168"/>
      <c r="AA1055" s="168"/>
      <c r="AB1055" s="164"/>
      <c r="AC1055" s="165"/>
      <c r="AD1055" s="165"/>
      <c r="AE1055" s="169"/>
      <c r="AF1055" s="169"/>
      <c r="AG1055" s="169"/>
      <c r="AH1055" s="168"/>
      <c r="AI1055" s="168"/>
      <c r="AJ1055" s="168"/>
      <c r="AK1055" s="170"/>
      <c r="AL1055" s="170"/>
    </row>
    <row r="1056" ht="15.75" customHeight="1">
      <c r="A1056" s="161"/>
      <c r="B1056" s="161"/>
      <c r="C1056" s="162"/>
      <c r="D1056" s="163"/>
      <c r="E1056" s="164"/>
      <c r="F1056" s="165"/>
      <c r="G1056" s="166"/>
      <c r="H1056" s="167"/>
      <c r="I1056" s="167"/>
      <c r="J1056" s="167"/>
      <c r="K1056" s="167"/>
      <c r="L1056" s="167"/>
      <c r="M1056" s="167"/>
      <c r="N1056" s="167"/>
      <c r="O1056" s="167"/>
      <c r="P1056" s="164"/>
      <c r="Q1056" s="165"/>
      <c r="R1056" s="165"/>
      <c r="S1056" s="167"/>
      <c r="T1056" s="167"/>
      <c r="U1056" s="167"/>
      <c r="V1056" s="168"/>
      <c r="W1056" s="168"/>
      <c r="X1056" s="168"/>
      <c r="Y1056" s="168"/>
      <c r="Z1056" s="168"/>
      <c r="AA1056" s="168"/>
      <c r="AB1056" s="164"/>
      <c r="AC1056" s="165"/>
      <c r="AD1056" s="165"/>
      <c r="AE1056" s="169"/>
      <c r="AF1056" s="169"/>
      <c r="AG1056" s="169"/>
      <c r="AH1056" s="168"/>
      <c r="AI1056" s="168"/>
      <c r="AJ1056" s="168"/>
      <c r="AK1056" s="170"/>
      <c r="AL1056" s="170"/>
    </row>
    <row r="1057" ht="15.75" customHeight="1">
      <c r="A1057" s="161"/>
      <c r="B1057" s="161"/>
      <c r="C1057" s="162"/>
      <c r="D1057" s="163"/>
      <c r="E1057" s="164"/>
      <c r="F1057" s="165"/>
      <c r="G1057" s="166"/>
      <c r="H1057" s="167"/>
      <c r="I1057" s="167"/>
      <c r="J1057" s="167"/>
      <c r="K1057" s="167"/>
      <c r="L1057" s="167"/>
      <c r="M1057" s="167"/>
      <c r="N1057" s="167"/>
      <c r="O1057" s="167"/>
      <c r="P1057" s="164"/>
      <c r="Q1057" s="165"/>
      <c r="R1057" s="165"/>
      <c r="S1057" s="167"/>
      <c r="T1057" s="167"/>
      <c r="U1057" s="167"/>
      <c r="V1057" s="168"/>
      <c r="W1057" s="168"/>
      <c r="X1057" s="168"/>
      <c r="Y1057" s="168"/>
      <c r="Z1057" s="168"/>
      <c r="AA1057" s="168"/>
      <c r="AB1057" s="164"/>
      <c r="AC1057" s="165"/>
      <c r="AD1057" s="165"/>
      <c r="AE1057" s="169"/>
      <c r="AF1057" s="169"/>
      <c r="AG1057" s="169"/>
      <c r="AH1057" s="168"/>
      <c r="AI1057" s="168"/>
      <c r="AJ1057" s="168"/>
      <c r="AK1057" s="170"/>
      <c r="AL1057" s="170"/>
    </row>
    <row r="1058" ht="15.75" customHeight="1">
      <c r="A1058" s="161"/>
      <c r="B1058" s="161"/>
      <c r="C1058" s="162"/>
      <c r="D1058" s="163"/>
      <c r="E1058" s="164"/>
      <c r="F1058" s="165"/>
      <c r="G1058" s="166"/>
      <c r="H1058" s="167"/>
      <c r="I1058" s="167"/>
      <c r="J1058" s="167"/>
      <c r="K1058" s="167"/>
      <c r="L1058" s="167"/>
      <c r="M1058" s="167"/>
      <c r="N1058" s="167"/>
      <c r="O1058" s="167"/>
      <c r="P1058" s="164"/>
      <c r="Q1058" s="165"/>
      <c r="R1058" s="165"/>
      <c r="S1058" s="167"/>
      <c r="T1058" s="167"/>
      <c r="U1058" s="167"/>
      <c r="V1058" s="168"/>
      <c r="W1058" s="168"/>
      <c r="X1058" s="168"/>
      <c r="Y1058" s="168"/>
      <c r="Z1058" s="168"/>
      <c r="AA1058" s="168"/>
      <c r="AB1058" s="164"/>
      <c r="AC1058" s="165"/>
      <c r="AD1058" s="165"/>
      <c r="AE1058" s="169"/>
      <c r="AF1058" s="169"/>
      <c r="AG1058" s="169"/>
      <c r="AH1058" s="168"/>
      <c r="AI1058" s="168"/>
      <c r="AJ1058" s="168"/>
      <c r="AK1058" s="170"/>
      <c r="AL1058" s="170"/>
    </row>
    <row r="1059" ht="15.75" customHeight="1">
      <c r="A1059" s="161"/>
      <c r="B1059" s="161"/>
      <c r="C1059" s="162"/>
      <c r="D1059" s="163"/>
      <c r="E1059" s="164"/>
      <c r="F1059" s="165"/>
      <c r="G1059" s="166"/>
      <c r="H1059" s="167"/>
      <c r="I1059" s="167"/>
      <c r="J1059" s="167"/>
      <c r="K1059" s="167"/>
      <c r="L1059" s="167"/>
      <c r="M1059" s="167"/>
      <c r="N1059" s="167"/>
      <c r="O1059" s="167"/>
      <c r="P1059" s="164"/>
      <c r="Q1059" s="165"/>
      <c r="R1059" s="165"/>
      <c r="S1059" s="167"/>
      <c r="T1059" s="167"/>
      <c r="U1059" s="167"/>
      <c r="V1059" s="168"/>
      <c r="W1059" s="168"/>
      <c r="X1059" s="168"/>
      <c r="Y1059" s="168"/>
      <c r="Z1059" s="168"/>
      <c r="AA1059" s="168"/>
      <c r="AB1059" s="164"/>
      <c r="AC1059" s="165"/>
      <c r="AD1059" s="165"/>
      <c r="AE1059" s="169"/>
      <c r="AF1059" s="169"/>
      <c r="AG1059" s="169"/>
      <c r="AH1059" s="168"/>
      <c r="AI1059" s="168"/>
      <c r="AJ1059" s="168"/>
      <c r="AK1059" s="170"/>
      <c r="AL1059" s="170"/>
    </row>
    <row r="1060" ht="15.75" customHeight="1">
      <c r="A1060" s="161"/>
      <c r="B1060" s="161"/>
      <c r="C1060" s="162"/>
      <c r="D1060" s="163"/>
      <c r="E1060" s="164"/>
      <c r="F1060" s="165"/>
      <c r="G1060" s="166"/>
      <c r="H1060" s="167"/>
      <c r="I1060" s="167"/>
      <c r="J1060" s="167"/>
      <c r="K1060" s="167"/>
      <c r="L1060" s="167"/>
      <c r="M1060" s="167"/>
      <c r="N1060" s="167"/>
      <c r="O1060" s="167"/>
      <c r="P1060" s="164"/>
      <c r="Q1060" s="165"/>
      <c r="R1060" s="165"/>
      <c r="S1060" s="167"/>
      <c r="T1060" s="167"/>
      <c r="U1060" s="167"/>
      <c r="V1060" s="168"/>
      <c r="W1060" s="168"/>
      <c r="X1060" s="168"/>
      <c r="Y1060" s="168"/>
      <c r="Z1060" s="168"/>
      <c r="AA1060" s="168"/>
      <c r="AB1060" s="164"/>
      <c r="AC1060" s="165"/>
      <c r="AD1060" s="165"/>
      <c r="AE1060" s="169"/>
      <c r="AF1060" s="169"/>
      <c r="AG1060" s="169"/>
      <c r="AH1060" s="168"/>
      <c r="AI1060" s="168"/>
      <c r="AJ1060" s="168"/>
      <c r="AK1060" s="170"/>
      <c r="AL1060" s="170"/>
    </row>
    <row r="1061" ht="15.75" customHeight="1">
      <c r="A1061" s="161"/>
      <c r="B1061" s="161"/>
      <c r="C1061" s="162"/>
      <c r="D1061" s="163"/>
      <c r="E1061" s="164"/>
      <c r="F1061" s="165"/>
      <c r="G1061" s="166"/>
      <c r="H1061" s="167"/>
      <c r="I1061" s="167"/>
      <c r="J1061" s="167"/>
      <c r="K1061" s="167"/>
      <c r="L1061" s="167"/>
      <c r="M1061" s="167"/>
      <c r="N1061" s="167"/>
      <c r="O1061" s="167"/>
      <c r="P1061" s="164"/>
      <c r="Q1061" s="165"/>
      <c r="R1061" s="165"/>
      <c r="S1061" s="167"/>
      <c r="T1061" s="167"/>
      <c r="U1061" s="167"/>
      <c r="V1061" s="168"/>
      <c r="W1061" s="168"/>
      <c r="X1061" s="168"/>
      <c r="Y1061" s="168"/>
      <c r="Z1061" s="168"/>
      <c r="AA1061" s="168"/>
      <c r="AB1061" s="164"/>
      <c r="AC1061" s="165"/>
      <c r="AD1061" s="165"/>
      <c r="AE1061" s="169"/>
      <c r="AF1061" s="169"/>
      <c r="AG1061" s="169"/>
      <c r="AH1061" s="168"/>
      <c r="AI1061" s="168"/>
      <c r="AJ1061" s="168"/>
      <c r="AK1061" s="170"/>
      <c r="AL1061" s="170"/>
    </row>
    <row r="1062" ht="15.75" customHeight="1">
      <c r="A1062" s="161"/>
      <c r="B1062" s="161"/>
      <c r="C1062" s="162"/>
      <c r="D1062" s="163"/>
      <c r="E1062" s="164"/>
      <c r="F1062" s="165"/>
      <c r="G1062" s="166"/>
      <c r="H1062" s="167"/>
      <c r="I1062" s="167"/>
      <c r="J1062" s="167"/>
      <c r="K1062" s="167"/>
      <c r="L1062" s="167"/>
      <c r="M1062" s="167"/>
      <c r="N1062" s="167"/>
      <c r="O1062" s="167"/>
      <c r="P1062" s="164"/>
      <c r="Q1062" s="165"/>
      <c r="R1062" s="165"/>
      <c r="S1062" s="167"/>
      <c r="T1062" s="167"/>
      <c r="U1062" s="167"/>
      <c r="V1062" s="168"/>
      <c r="W1062" s="168"/>
      <c r="X1062" s="168"/>
      <c r="Y1062" s="168"/>
      <c r="Z1062" s="168"/>
      <c r="AA1062" s="168"/>
      <c r="AB1062" s="164"/>
      <c r="AC1062" s="165"/>
      <c r="AD1062" s="165"/>
      <c r="AE1062" s="169"/>
      <c r="AF1062" s="169"/>
      <c r="AG1062" s="169"/>
      <c r="AH1062" s="168"/>
      <c r="AI1062" s="168"/>
      <c r="AJ1062" s="168"/>
      <c r="AK1062" s="170"/>
      <c r="AL1062" s="170"/>
    </row>
    <row r="1063" ht="15.75" customHeight="1">
      <c r="A1063" s="161"/>
      <c r="B1063" s="161"/>
      <c r="C1063" s="162"/>
      <c r="D1063" s="163"/>
      <c r="E1063" s="164"/>
      <c r="F1063" s="165"/>
      <c r="G1063" s="166"/>
      <c r="H1063" s="167"/>
      <c r="I1063" s="167"/>
      <c r="J1063" s="167"/>
      <c r="K1063" s="167"/>
      <c r="L1063" s="167"/>
      <c r="M1063" s="167"/>
      <c r="N1063" s="167"/>
      <c r="O1063" s="167"/>
      <c r="P1063" s="164"/>
      <c r="Q1063" s="165"/>
      <c r="R1063" s="165"/>
      <c r="S1063" s="167"/>
      <c r="T1063" s="167"/>
      <c r="U1063" s="167"/>
      <c r="V1063" s="168"/>
      <c r="W1063" s="168"/>
      <c r="X1063" s="168"/>
      <c r="Y1063" s="168"/>
      <c r="Z1063" s="168"/>
      <c r="AA1063" s="168"/>
      <c r="AB1063" s="164"/>
      <c r="AC1063" s="165"/>
      <c r="AD1063" s="165"/>
      <c r="AE1063" s="169"/>
      <c r="AF1063" s="169"/>
      <c r="AG1063" s="169"/>
      <c r="AH1063" s="168"/>
      <c r="AI1063" s="168"/>
      <c r="AJ1063" s="168"/>
      <c r="AK1063" s="170"/>
      <c r="AL1063" s="170"/>
    </row>
    <row r="1064" ht="15.75" customHeight="1">
      <c r="A1064" s="161"/>
      <c r="B1064" s="161"/>
      <c r="C1064" s="162"/>
      <c r="D1064" s="163"/>
      <c r="E1064" s="164"/>
      <c r="F1064" s="165"/>
      <c r="G1064" s="166"/>
      <c r="H1064" s="167"/>
      <c r="I1064" s="167"/>
      <c r="J1064" s="167"/>
      <c r="K1064" s="167"/>
      <c r="L1064" s="167"/>
      <c r="M1064" s="167"/>
      <c r="N1064" s="167"/>
      <c r="O1064" s="167"/>
      <c r="P1064" s="164"/>
      <c r="Q1064" s="165"/>
      <c r="R1064" s="165"/>
      <c r="S1064" s="167"/>
      <c r="T1064" s="167"/>
      <c r="U1064" s="167"/>
      <c r="V1064" s="168"/>
      <c r="W1064" s="168"/>
      <c r="X1064" s="168"/>
      <c r="Y1064" s="168"/>
      <c r="Z1064" s="168"/>
      <c r="AA1064" s="168"/>
      <c r="AB1064" s="164"/>
      <c r="AC1064" s="165"/>
      <c r="AD1064" s="165"/>
      <c r="AE1064" s="169"/>
      <c r="AF1064" s="169"/>
      <c r="AG1064" s="169"/>
      <c r="AH1064" s="168"/>
      <c r="AI1064" s="168"/>
      <c r="AJ1064" s="168"/>
      <c r="AK1064" s="170"/>
      <c r="AL1064" s="170"/>
    </row>
    <row r="1065" ht="15.75" customHeight="1">
      <c r="A1065" s="161"/>
      <c r="B1065" s="161"/>
      <c r="C1065" s="162"/>
      <c r="D1065" s="163"/>
      <c r="E1065" s="164"/>
      <c r="F1065" s="165"/>
      <c r="G1065" s="166"/>
      <c r="H1065" s="167"/>
      <c r="I1065" s="167"/>
      <c r="J1065" s="167"/>
      <c r="K1065" s="167"/>
      <c r="L1065" s="167"/>
      <c r="M1065" s="167"/>
      <c r="N1065" s="167"/>
      <c r="O1065" s="167"/>
      <c r="P1065" s="164"/>
      <c r="Q1065" s="165"/>
      <c r="R1065" s="165"/>
      <c r="S1065" s="167"/>
      <c r="T1065" s="167"/>
      <c r="U1065" s="167"/>
      <c r="V1065" s="168"/>
      <c r="W1065" s="168"/>
      <c r="X1065" s="168"/>
      <c r="Y1065" s="168"/>
      <c r="Z1065" s="168"/>
      <c r="AA1065" s="168"/>
      <c r="AB1065" s="164"/>
      <c r="AC1065" s="165"/>
      <c r="AD1065" s="165"/>
      <c r="AE1065" s="169"/>
      <c r="AF1065" s="169"/>
      <c r="AG1065" s="169"/>
      <c r="AH1065" s="168"/>
      <c r="AI1065" s="168"/>
      <c r="AJ1065" s="168"/>
      <c r="AK1065" s="170"/>
      <c r="AL1065" s="170"/>
    </row>
    <row r="1066" ht="15.75" customHeight="1">
      <c r="A1066" s="161"/>
      <c r="B1066" s="161"/>
      <c r="C1066" s="162"/>
      <c r="D1066" s="163"/>
      <c r="E1066" s="164"/>
      <c r="F1066" s="165"/>
      <c r="G1066" s="166"/>
      <c r="H1066" s="167"/>
      <c r="I1066" s="167"/>
      <c r="J1066" s="167"/>
      <c r="K1066" s="167"/>
      <c r="L1066" s="167"/>
      <c r="M1066" s="167"/>
      <c r="N1066" s="167"/>
      <c r="O1066" s="167"/>
      <c r="P1066" s="164"/>
      <c r="Q1066" s="165"/>
      <c r="R1066" s="165"/>
      <c r="S1066" s="167"/>
      <c r="T1066" s="167"/>
      <c r="U1066" s="167"/>
      <c r="V1066" s="168"/>
      <c r="W1066" s="168"/>
      <c r="X1066" s="168"/>
      <c r="Y1066" s="168"/>
      <c r="Z1066" s="168"/>
      <c r="AA1066" s="168"/>
      <c r="AB1066" s="164"/>
      <c r="AC1066" s="165"/>
      <c r="AD1066" s="165"/>
      <c r="AE1066" s="169"/>
      <c r="AF1066" s="169"/>
      <c r="AG1066" s="169"/>
      <c r="AH1066" s="168"/>
      <c r="AI1066" s="168"/>
      <c r="AJ1066" s="168"/>
      <c r="AK1066" s="170"/>
      <c r="AL1066" s="170"/>
    </row>
    <row r="1067" ht="15.75" customHeight="1">
      <c r="A1067" s="161"/>
      <c r="B1067" s="161"/>
      <c r="C1067" s="162"/>
      <c r="D1067" s="163"/>
      <c r="E1067" s="164"/>
      <c r="F1067" s="165"/>
      <c r="G1067" s="166"/>
      <c r="H1067" s="167"/>
      <c r="I1067" s="167"/>
      <c r="J1067" s="167"/>
      <c r="K1067" s="167"/>
      <c r="L1067" s="167"/>
      <c r="M1067" s="167"/>
      <c r="N1067" s="167"/>
      <c r="O1067" s="167"/>
      <c r="P1067" s="164"/>
      <c r="Q1067" s="165"/>
      <c r="R1067" s="165"/>
      <c r="S1067" s="167"/>
      <c r="T1067" s="167"/>
      <c r="U1067" s="167"/>
      <c r="V1067" s="168"/>
      <c r="W1067" s="168"/>
      <c r="X1067" s="168"/>
      <c r="Y1067" s="168"/>
      <c r="Z1067" s="168"/>
      <c r="AA1067" s="168"/>
      <c r="AB1067" s="164"/>
      <c r="AC1067" s="165"/>
      <c r="AD1067" s="165"/>
      <c r="AE1067" s="169"/>
      <c r="AF1067" s="169"/>
      <c r="AG1067" s="169"/>
      <c r="AH1067" s="168"/>
      <c r="AI1067" s="168"/>
      <c r="AJ1067" s="168"/>
      <c r="AK1067" s="170"/>
      <c r="AL1067" s="170"/>
    </row>
    <row r="1068" ht="15.75" customHeight="1">
      <c r="A1068" s="161"/>
      <c r="B1068" s="161"/>
      <c r="C1068" s="162"/>
      <c r="D1068" s="163"/>
      <c r="E1068" s="164"/>
      <c r="F1068" s="165"/>
      <c r="G1068" s="166"/>
      <c r="H1068" s="167"/>
      <c r="I1068" s="167"/>
      <c r="J1068" s="167"/>
      <c r="K1068" s="167"/>
      <c r="L1068" s="167"/>
      <c r="M1068" s="167"/>
      <c r="N1068" s="167"/>
      <c r="O1068" s="167"/>
      <c r="P1068" s="164"/>
      <c r="Q1068" s="165"/>
      <c r="R1068" s="165"/>
      <c r="S1068" s="167"/>
      <c r="T1068" s="167"/>
      <c r="U1068" s="167"/>
      <c r="V1068" s="168"/>
      <c r="W1068" s="168"/>
      <c r="X1068" s="168"/>
      <c r="Y1068" s="168"/>
      <c r="Z1068" s="168"/>
      <c r="AA1068" s="168"/>
      <c r="AB1068" s="164"/>
      <c r="AC1068" s="165"/>
      <c r="AD1068" s="165"/>
      <c r="AE1068" s="169"/>
      <c r="AF1068" s="169"/>
      <c r="AG1068" s="169"/>
      <c r="AH1068" s="168"/>
      <c r="AI1068" s="168"/>
      <c r="AJ1068" s="168"/>
      <c r="AK1068" s="170"/>
      <c r="AL1068" s="170"/>
    </row>
    <row r="1069" ht="15.75" customHeight="1">
      <c r="A1069" s="161"/>
      <c r="B1069" s="161"/>
      <c r="C1069" s="162"/>
      <c r="D1069" s="163"/>
      <c r="E1069" s="164"/>
      <c r="F1069" s="165"/>
      <c r="G1069" s="166"/>
      <c r="H1069" s="167"/>
      <c r="I1069" s="167"/>
      <c r="J1069" s="167"/>
      <c r="K1069" s="167"/>
      <c r="L1069" s="167"/>
      <c r="M1069" s="167"/>
      <c r="N1069" s="167"/>
      <c r="O1069" s="167"/>
      <c r="P1069" s="164"/>
      <c r="Q1069" s="165"/>
      <c r="R1069" s="165"/>
      <c r="S1069" s="167"/>
      <c r="T1069" s="167"/>
      <c r="U1069" s="167"/>
      <c r="V1069" s="168"/>
      <c r="W1069" s="168"/>
      <c r="X1069" s="168"/>
      <c r="Y1069" s="168"/>
      <c r="Z1069" s="168"/>
      <c r="AA1069" s="168"/>
      <c r="AB1069" s="164"/>
      <c r="AC1069" s="165"/>
      <c r="AD1069" s="165"/>
      <c r="AE1069" s="169"/>
      <c r="AF1069" s="169"/>
      <c r="AG1069" s="169"/>
      <c r="AH1069" s="168"/>
      <c r="AI1069" s="168"/>
      <c r="AJ1069" s="168"/>
      <c r="AK1069" s="170"/>
      <c r="AL1069" s="170"/>
    </row>
    <row r="1070" ht="15.75" customHeight="1">
      <c r="A1070" s="161"/>
      <c r="B1070" s="161"/>
      <c r="C1070" s="162"/>
      <c r="D1070" s="163"/>
      <c r="E1070" s="164"/>
      <c r="F1070" s="165"/>
      <c r="G1070" s="166"/>
      <c r="H1070" s="167"/>
      <c r="I1070" s="167"/>
      <c r="J1070" s="167"/>
      <c r="K1070" s="167"/>
      <c r="L1070" s="167"/>
      <c r="M1070" s="167"/>
      <c r="N1070" s="167"/>
      <c r="O1070" s="167"/>
      <c r="P1070" s="164"/>
      <c r="Q1070" s="165"/>
      <c r="R1070" s="165"/>
      <c r="S1070" s="167"/>
      <c r="T1070" s="167"/>
      <c r="U1070" s="167"/>
      <c r="V1070" s="168"/>
      <c r="W1070" s="168"/>
      <c r="X1070" s="168"/>
      <c r="Y1070" s="168"/>
      <c r="Z1070" s="168"/>
      <c r="AA1070" s="168"/>
      <c r="AB1070" s="164"/>
      <c r="AC1070" s="165"/>
      <c r="AD1070" s="165"/>
      <c r="AE1070" s="169"/>
      <c r="AF1070" s="169"/>
      <c r="AG1070" s="169"/>
      <c r="AH1070" s="168"/>
      <c r="AI1070" s="168"/>
      <c r="AJ1070" s="168"/>
      <c r="AK1070" s="170"/>
      <c r="AL1070" s="170"/>
    </row>
    <row r="1071" ht="15.75" customHeight="1">
      <c r="A1071" s="161"/>
      <c r="B1071" s="161"/>
      <c r="C1071" s="162"/>
      <c r="D1071" s="163"/>
      <c r="E1071" s="164"/>
      <c r="F1071" s="165"/>
      <c r="G1071" s="166"/>
      <c r="H1071" s="167"/>
      <c r="I1071" s="167"/>
      <c r="J1071" s="167"/>
      <c r="K1071" s="167"/>
      <c r="L1071" s="167"/>
      <c r="M1071" s="167"/>
      <c r="N1071" s="167"/>
      <c r="O1071" s="167"/>
      <c r="P1071" s="164"/>
      <c r="Q1071" s="165"/>
      <c r="R1071" s="165"/>
      <c r="S1071" s="167"/>
      <c r="T1071" s="167"/>
      <c r="U1071" s="167"/>
      <c r="V1071" s="168"/>
      <c r="W1071" s="168"/>
      <c r="X1071" s="168"/>
      <c r="Y1071" s="168"/>
      <c r="Z1071" s="168"/>
      <c r="AA1071" s="168"/>
      <c r="AB1071" s="164"/>
      <c r="AC1071" s="165"/>
      <c r="AD1071" s="165"/>
      <c r="AE1071" s="169"/>
      <c r="AF1071" s="169"/>
      <c r="AG1071" s="169"/>
      <c r="AH1071" s="168"/>
      <c r="AI1071" s="168"/>
      <c r="AJ1071" s="168"/>
      <c r="AK1071" s="170"/>
      <c r="AL1071" s="170"/>
    </row>
    <row r="1072" ht="15.75" customHeight="1">
      <c r="A1072" s="161"/>
      <c r="B1072" s="161"/>
      <c r="C1072" s="162"/>
      <c r="D1072" s="163"/>
      <c r="E1072" s="164"/>
      <c r="F1072" s="165"/>
      <c r="G1072" s="166"/>
      <c r="H1072" s="167"/>
      <c r="I1072" s="167"/>
      <c r="J1072" s="167"/>
      <c r="K1072" s="167"/>
      <c r="L1072" s="167"/>
      <c r="M1072" s="167"/>
      <c r="N1072" s="167"/>
      <c r="O1072" s="167"/>
      <c r="P1072" s="164"/>
      <c r="Q1072" s="165"/>
      <c r="R1072" s="165"/>
      <c r="S1072" s="167"/>
      <c r="T1072" s="167"/>
      <c r="U1072" s="167"/>
      <c r="V1072" s="168"/>
      <c r="W1072" s="168"/>
      <c r="X1072" s="168"/>
      <c r="Y1072" s="168"/>
      <c r="Z1072" s="168"/>
      <c r="AA1072" s="168"/>
      <c r="AB1072" s="164"/>
      <c r="AC1072" s="165"/>
      <c r="AD1072" s="165"/>
      <c r="AE1072" s="169"/>
      <c r="AF1072" s="169"/>
      <c r="AG1072" s="169"/>
      <c r="AH1072" s="168"/>
      <c r="AI1072" s="168"/>
      <c r="AJ1072" s="168"/>
      <c r="AK1072" s="170"/>
      <c r="AL1072" s="170"/>
    </row>
    <row r="1073" ht="15.75" customHeight="1">
      <c r="A1073" s="161"/>
      <c r="B1073" s="161"/>
      <c r="C1073" s="162"/>
      <c r="D1073" s="163"/>
      <c r="E1073" s="164"/>
      <c r="F1073" s="165"/>
      <c r="G1073" s="166"/>
      <c r="H1073" s="167"/>
      <c r="I1073" s="167"/>
      <c r="J1073" s="167"/>
      <c r="K1073" s="167"/>
      <c r="L1073" s="167"/>
      <c r="M1073" s="167"/>
      <c r="N1073" s="167"/>
      <c r="O1073" s="167"/>
      <c r="P1073" s="164"/>
      <c r="Q1073" s="165"/>
      <c r="R1073" s="165"/>
      <c r="S1073" s="167"/>
      <c r="T1073" s="167"/>
      <c r="U1073" s="167"/>
      <c r="V1073" s="168"/>
      <c r="W1073" s="168"/>
      <c r="X1073" s="168"/>
      <c r="Y1073" s="168"/>
      <c r="Z1073" s="168"/>
      <c r="AA1073" s="168"/>
      <c r="AB1073" s="164"/>
      <c r="AC1073" s="165"/>
      <c r="AD1073" s="165"/>
      <c r="AE1073" s="169"/>
      <c r="AF1073" s="169"/>
      <c r="AG1073" s="169"/>
      <c r="AH1073" s="168"/>
      <c r="AI1073" s="168"/>
      <c r="AJ1073" s="168"/>
      <c r="AK1073" s="170"/>
      <c r="AL1073" s="170"/>
    </row>
    <row r="1074" ht="15.75" customHeight="1">
      <c r="A1074" s="161"/>
      <c r="B1074" s="161"/>
      <c r="C1074" s="162"/>
      <c r="D1074" s="163"/>
      <c r="E1074" s="164"/>
      <c r="F1074" s="165"/>
      <c r="G1074" s="166"/>
      <c r="H1074" s="167"/>
      <c r="I1074" s="167"/>
      <c r="J1074" s="167"/>
      <c r="K1074" s="167"/>
      <c r="L1074" s="167"/>
      <c r="M1074" s="167"/>
      <c r="N1074" s="167"/>
      <c r="O1074" s="167"/>
      <c r="P1074" s="164"/>
      <c r="Q1074" s="165"/>
      <c r="R1074" s="165"/>
      <c r="S1074" s="167"/>
      <c r="T1074" s="167"/>
      <c r="U1074" s="167"/>
      <c r="V1074" s="168"/>
      <c r="W1074" s="168"/>
      <c r="X1074" s="168"/>
      <c r="Y1074" s="168"/>
      <c r="Z1074" s="168"/>
      <c r="AA1074" s="168"/>
      <c r="AB1074" s="164"/>
      <c r="AC1074" s="165"/>
      <c r="AD1074" s="165"/>
      <c r="AE1074" s="169"/>
      <c r="AF1074" s="169"/>
      <c r="AG1074" s="169"/>
      <c r="AH1074" s="168"/>
      <c r="AI1074" s="168"/>
      <c r="AJ1074" s="168"/>
      <c r="AK1074" s="170"/>
      <c r="AL1074" s="170"/>
    </row>
    <row r="1075" ht="15.75" customHeight="1">
      <c r="A1075" s="161"/>
      <c r="B1075" s="161"/>
      <c r="C1075" s="162"/>
      <c r="D1075" s="163"/>
      <c r="E1075" s="164"/>
      <c r="F1075" s="165"/>
      <c r="G1075" s="166"/>
      <c r="H1075" s="167"/>
      <c r="I1075" s="167"/>
      <c r="J1075" s="167"/>
      <c r="K1075" s="167"/>
      <c r="L1075" s="167"/>
      <c r="M1075" s="167"/>
      <c r="N1075" s="167"/>
      <c r="O1075" s="167"/>
      <c r="P1075" s="164"/>
      <c r="Q1075" s="165"/>
      <c r="R1075" s="165"/>
      <c r="S1075" s="167"/>
      <c r="T1075" s="167"/>
      <c r="U1075" s="167"/>
      <c r="V1075" s="168"/>
      <c r="W1075" s="168"/>
      <c r="X1075" s="168"/>
      <c r="Y1075" s="168"/>
      <c r="Z1075" s="168"/>
      <c r="AA1075" s="168"/>
      <c r="AB1075" s="164"/>
      <c r="AC1075" s="165"/>
      <c r="AD1075" s="165"/>
      <c r="AE1075" s="169"/>
      <c r="AF1075" s="169"/>
      <c r="AG1075" s="169"/>
      <c r="AH1075" s="168"/>
      <c r="AI1075" s="168"/>
      <c r="AJ1075" s="168"/>
      <c r="AK1075" s="170"/>
      <c r="AL1075" s="170"/>
    </row>
    <row r="1076" ht="15.75" customHeight="1">
      <c r="A1076" s="161"/>
      <c r="B1076" s="161"/>
      <c r="C1076" s="162"/>
      <c r="D1076" s="163"/>
      <c r="E1076" s="164"/>
      <c r="F1076" s="165"/>
      <c r="G1076" s="166"/>
      <c r="H1076" s="167"/>
      <c r="I1076" s="167"/>
      <c r="J1076" s="167"/>
      <c r="K1076" s="167"/>
      <c r="L1076" s="167"/>
      <c r="M1076" s="167"/>
      <c r="N1076" s="167"/>
      <c r="O1076" s="167"/>
      <c r="P1076" s="164"/>
      <c r="Q1076" s="165"/>
      <c r="R1076" s="165"/>
      <c r="S1076" s="167"/>
      <c r="T1076" s="167"/>
      <c r="U1076" s="167"/>
      <c r="V1076" s="168"/>
      <c r="W1076" s="168"/>
      <c r="X1076" s="168"/>
      <c r="Y1076" s="168"/>
      <c r="Z1076" s="168"/>
      <c r="AA1076" s="168"/>
      <c r="AB1076" s="164"/>
      <c r="AC1076" s="165"/>
      <c r="AD1076" s="165"/>
      <c r="AE1076" s="169"/>
      <c r="AF1076" s="169"/>
      <c r="AG1076" s="169"/>
      <c r="AH1076" s="168"/>
      <c r="AI1076" s="168"/>
      <c r="AJ1076" s="168"/>
      <c r="AK1076" s="170"/>
      <c r="AL1076" s="170"/>
    </row>
    <row r="1077" ht="15.75" customHeight="1">
      <c r="A1077" s="161"/>
      <c r="B1077" s="161"/>
      <c r="C1077" s="162"/>
      <c r="D1077" s="163"/>
      <c r="E1077" s="164"/>
      <c r="F1077" s="165"/>
      <c r="G1077" s="166"/>
      <c r="H1077" s="167"/>
      <c r="I1077" s="167"/>
      <c r="J1077" s="167"/>
      <c r="K1077" s="167"/>
      <c r="L1077" s="167"/>
      <c r="M1077" s="167"/>
      <c r="N1077" s="167"/>
      <c r="O1077" s="167"/>
      <c r="P1077" s="164"/>
      <c r="Q1077" s="165"/>
      <c r="R1077" s="165"/>
      <c r="S1077" s="167"/>
      <c r="T1077" s="167"/>
      <c r="U1077" s="167"/>
      <c r="V1077" s="168"/>
      <c r="W1077" s="168"/>
      <c r="X1077" s="168"/>
      <c r="Y1077" s="168"/>
      <c r="Z1077" s="168"/>
      <c r="AA1077" s="168"/>
      <c r="AB1077" s="164"/>
      <c r="AC1077" s="165"/>
      <c r="AD1077" s="165"/>
      <c r="AE1077" s="169"/>
      <c r="AF1077" s="169"/>
      <c r="AG1077" s="169"/>
      <c r="AH1077" s="168"/>
      <c r="AI1077" s="168"/>
      <c r="AJ1077" s="168"/>
      <c r="AK1077" s="170"/>
      <c r="AL1077" s="170"/>
    </row>
    <row r="1078" ht="15.75" customHeight="1">
      <c r="A1078" s="161"/>
      <c r="B1078" s="161"/>
      <c r="C1078" s="162"/>
      <c r="D1078" s="163"/>
      <c r="E1078" s="164"/>
      <c r="F1078" s="165"/>
      <c r="G1078" s="166"/>
      <c r="H1078" s="167"/>
      <c r="I1078" s="167"/>
      <c r="J1078" s="167"/>
      <c r="K1078" s="167"/>
      <c r="L1078" s="167"/>
      <c r="M1078" s="167"/>
      <c r="N1078" s="167"/>
      <c r="O1078" s="167"/>
      <c r="P1078" s="164"/>
      <c r="Q1078" s="165"/>
      <c r="R1078" s="165"/>
      <c r="S1078" s="167"/>
      <c r="T1078" s="167"/>
      <c r="U1078" s="167"/>
      <c r="V1078" s="168"/>
      <c r="W1078" s="168"/>
      <c r="X1078" s="168"/>
      <c r="Y1078" s="168"/>
      <c r="Z1078" s="168"/>
      <c r="AA1078" s="168"/>
      <c r="AB1078" s="164"/>
      <c r="AC1078" s="165"/>
      <c r="AD1078" s="165"/>
      <c r="AE1078" s="169"/>
      <c r="AF1078" s="169"/>
      <c r="AG1078" s="169"/>
      <c r="AH1078" s="168"/>
      <c r="AI1078" s="168"/>
      <c r="AJ1078" s="168"/>
      <c r="AK1078" s="170"/>
      <c r="AL1078" s="170"/>
    </row>
    <row r="1079" ht="15.75" customHeight="1">
      <c r="A1079" s="161"/>
      <c r="B1079" s="161"/>
      <c r="C1079" s="162"/>
      <c r="D1079" s="163"/>
      <c r="E1079" s="164"/>
      <c r="F1079" s="165"/>
      <c r="G1079" s="166"/>
      <c r="H1079" s="167"/>
      <c r="I1079" s="167"/>
      <c r="J1079" s="167"/>
      <c r="K1079" s="167"/>
      <c r="L1079" s="167"/>
      <c r="M1079" s="167"/>
      <c r="N1079" s="167"/>
      <c r="O1079" s="167"/>
      <c r="P1079" s="164"/>
      <c r="Q1079" s="165"/>
      <c r="R1079" s="165"/>
      <c r="S1079" s="167"/>
      <c r="T1079" s="167"/>
      <c r="U1079" s="167"/>
      <c r="V1079" s="168"/>
      <c r="W1079" s="168"/>
      <c r="X1079" s="168"/>
      <c r="Y1079" s="168"/>
      <c r="Z1079" s="168"/>
      <c r="AA1079" s="168"/>
      <c r="AB1079" s="164"/>
      <c r="AC1079" s="165"/>
      <c r="AD1079" s="165"/>
      <c r="AE1079" s="169"/>
      <c r="AF1079" s="169"/>
      <c r="AG1079" s="169"/>
      <c r="AH1079" s="168"/>
      <c r="AI1079" s="168"/>
      <c r="AJ1079" s="168"/>
      <c r="AK1079" s="170"/>
      <c r="AL1079" s="170"/>
    </row>
    <row r="1080" ht="15.75" customHeight="1">
      <c r="A1080" s="161"/>
      <c r="B1080" s="161"/>
      <c r="C1080" s="162"/>
      <c r="D1080" s="163"/>
      <c r="E1080" s="164"/>
      <c r="F1080" s="165"/>
      <c r="G1080" s="166"/>
      <c r="H1080" s="167"/>
      <c r="I1080" s="167"/>
      <c r="J1080" s="167"/>
      <c r="K1080" s="167"/>
      <c r="L1080" s="167"/>
      <c r="M1080" s="167"/>
      <c r="N1080" s="167"/>
      <c r="O1080" s="167"/>
      <c r="P1080" s="164"/>
      <c r="Q1080" s="165"/>
      <c r="R1080" s="165"/>
      <c r="S1080" s="167"/>
      <c r="T1080" s="167"/>
      <c r="U1080" s="167"/>
      <c r="V1080" s="168"/>
      <c r="W1080" s="168"/>
      <c r="X1080" s="168"/>
      <c r="Y1080" s="168"/>
      <c r="Z1080" s="168"/>
      <c r="AA1080" s="168"/>
      <c r="AB1080" s="164"/>
      <c r="AC1080" s="165"/>
      <c r="AD1080" s="165"/>
      <c r="AE1080" s="169"/>
      <c r="AF1080" s="169"/>
      <c r="AG1080" s="169"/>
      <c r="AH1080" s="168"/>
      <c r="AI1080" s="168"/>
      <c r="AJ1080" s="168"/>
      <c r="AK1080" s="170"/>
      <c r="AL1080" s="170"/>
    </row>
    <row r="1081" ht="15.75" customHeight="1">
      <c r="A1081" s="161"/>
      <c r="B1081" s="161"/>
      <c r="C1081" s="162"/>
      <c r="D1081" s="163"/>
      <c r="E1081" s="164"/>
      <c r="F1081" s="165"/>
      <c r="G1081" s="166"/>
      <c r="H1081" s="167"/>
      <c r="I1081" s="167"/>
      <c r="J1081" s="167"/>
      <c r="K1081" s="167"/>
      <c r="L1081" s="167"/>
      <c r="M1081" s="167"/>
      <c r="N1081" s="167"/>
      <c r="O1081" s="167"/>
      <c r="P1081" s="164"/>
      <c r="Q1081" s="165"/>
      <c r="R1081" s="165"/>
      <c r="S1081" s="167"/>
      <c r="T1081" s="167"/>
      <c r="U1081" s="167"/>
      <c r="V1081" s="168"/>
      <c r="W1081" s="168"/>
      <c r="X1081" s="168"/>
      <c r="Y1081" s="168"/>
      <c r="Z1081" s="168"/>
      <c r="AA1081" s="168"/>
      <c r="AB1081" s="164"/>
      <c r="AC1081" s="165"/>
      <c r="AD1081" s="165"/>
      <c r="AE1081" s="169"/>
      <c r="AF1081" s="169"/>
      <c r="AG1081" s="169"/>
      <c r="AH1081" s="168"/>
      <c r="AI1081" s="168"/>
      <c r="AJ1081" s="168"/>
      <c r="AK1081" s="170"/>
      <c r="AL1081" s="170"/>
    </row>
    <row r="1082" ht="15.75" customHeight="1">
      <c r="A1082" s="161"/>
      <c r="B1082" s="161"/>
      <c r="C1082" s="162"/>
      <c r="D1082" s="163"/>
      <c r="E1082" s="164"/>
      <c r="F1082" s="165"/>
      <c r="G1082" s="166"/>
      <c r="H1082" s="167"/>
      <c r="I1082" s="167"/>
      <c r="J1082" s="167"/>
      <c r="K1082" s="167"/>
      <c r="L1082" s="167"/>
      <c r="M1082" s="167"/>
      <c r="N1082" s="167"/>
      <c r="O1082" s="167"/>
      <c r="P1082" s="164"/>
      <c r="Q1082" s="165"/>
      <c r="R1082" s="165"/>
      <c r="S1082" s="167"/>
      <c r="T1082" s="167"/>
      <c r="U1082" s="167"/>
      <c r="V1082" s="168"/>
      <c r="W1082" s="168"/>
      <c r="X1082" s="168"/>
      <c r="Y1082" s="168"/>
      <c r="Z1082" s="168"/>
      <c r="AA1082" s="168"/>
      <c r="AB1082" s="164"/>
      <c r="AC1082" s="165"/>
      <c r="AD1082" s="165"/>
      <c r="AE1082" s="169"/>
      <c r="AF1082" s="169"/>
      <c r="AG1082" s="169"/>
      <c r="AH1082" s="168"/>
      <c r="AI1082" s="168"/>
      <c r="AJ1082" s="168"/>
      <c r="AK1082" s="170"/>
      <c r="AL1082" s="170"/>
    </row>
    <row r="1083" ht="15.75" customHeight="1">
      <c r="A1083" s="161"/>
      <c r="B1083" s="161"/>
      <c r="C1083" s="162"/>
      <c r="D1083" s="163"/>
      <c r="E1083" s="164"/>
      <c r="F1083" s="165"/>
      <c r="G1083" s="166"/>
      <c r="H1083" s="167"/>
      <c r="I1083" s="167"/>
      <c r="J1083" s="167"/>
      <c r="K1083" s="167"/>
      <c r="L1083" s="167"/>
      <c r="M1083" s="167"/>
      <c r="N1083" s="167"/>
      <c r="O1083" s="167"/>
      <c r="P1083" s="164"/>
      <c r="Q1083" s="165"/>
      <c r="R1083" s="165"/>
      <c r="S1083" s="167"/>
      <c r="T1083" s="167"/>
      <c r="U1083" s="167"/>
      <c r="V1083" s="168"/>
      <c r="W1083" s="168"/>
      <c r="X1083" s="168"/>
      <c r="Y1083" s="168"/>
      <c r="Z1083" s="168"/>
      <c r="AA1083" s="168"/>
      <c r="AB1083" s="164"/>
      <c r="AC1083" s="165"/>
      <c r="AD1083" s="165"/>
      <c r="AE1083" s="169"/>
      <c r="AF1083" s="169"/>
      <c r="AG1083" s="169"/>
      <c r="AH1083" s="168"/>
      <c r="AI1083" s="168"/>
      <c r="AJ1083" s="168"/>
      <c r="AK1083" s="170"/>
      <c r="AL1083" s="170"/>
    </row>
    <row r="1084" ht="15.75" customHeight="1">
      <c r="A1084" s="161"/>
      <c r="B1084" s="161"/>
      <c r="C1084" s="162"/>
      <c r="D1084" s="163"/>
      <c r="E1084" s="164"/>
      <c r="F1084" s="165"/>
      <c r="G1084" s="166"/>
      <c r="H1084" s="167"/>
      <c r="I1084" s="167"/>
      <c r="J1084" s="167"/>
      <c r="K1084" s="167"/>
      <c r="L1084" s="167"/>
      <c r="M1084" s="167"/>
      <c r="N1084" s="167"/>
      <c r="O1084" s="167"/>
      <c r="P1084" s="164"/>
      <c r="Q1084" s="165"/>
      <c r="R1084" s="165"/>
      <c r="S1084" s="167"/>
      <c r="T1084" s="167"/>
      <c r="U1084" s="167"/>
      <c r="V1084" s="168"/>
      <c r="W1084" s="168"/>
      <c r="X1084" s="168"/>
      <c r="Y1084" s="168"/>
      <c r="Z1084" s="168"/>
      <c r="AA1084" s="168"/>
      <c r="AB1084" s="164"/>
      <c r="AC1084" s="165"/>
      <c r="AD1084" s="165"/>
      <c r="AE1084" s="169"/>
      <c r="AF1084" s="169"/>
      <c r="AG1084" s="169"/>
      <c r="AH1084" s="168"/>
      <c r="AI1084" s="168"/>
      <c r="AJ1084" s="168"/>
      <c r="AK1084" s="170"/>
      <c r="AL1084" s="170"/>
    </row>
    <row r="1085" ht="15.75" customHeight="1">
      <c r="A1085" s="161"/>
      <c r="B1085" s="161"/>
      <c r="C1085" s="162"/>
      <c r="D1085" s="163"/>
      <c r="E1085" s="164"/>
      <c r="F1085" s="165"/>
      <c r="G1085" s="166"/>
      <c r="H1085" s="167"/>
      <c r="I1085" s="167"/>
      <c r="J1085" s="167"/>
      <c r="K1085" s="167"/>
      <c r="L1085" s="167"/>
      <c r="M1085" s="167"/>
      <c r="N1085" s="167"/>
      <c r="O1085" s="167"/>
      <c r="P1085" s="164"/>
      <c r="Q1085" s="165"/>
      <c r="R1085" s="165"/>
      <c r="S1085" s="167"/>
      <c r="T1085" s="167"/>
      <c r="U1085" s="167"/>
      <c r="V1085" s="168"/>
      <c r="W1085" s="168"/>
      <c r="X1085" s="168"/>
      <c r="Y1085" s="168"/>
      <c r="Z1085" s="168"/>
      <c r="AA1085" s="168"/>
      <c r="AB1085" s="164"/>
      <c r="AC1085" s="165"/>
      <c r="AD1085" s="165"/>
      <c r="AE1085" s="169"/>
      <c r="AF1085" s="169"/>
      <c r="AG1085" s="169"/>
      <c r="AH1085" s="168"/>
      <c r="AI1085" s="168"/>
      <c r="AJ1085" s="168"/>
      <c r="AK1085" s="170"/>
      <c r="AL1085" s="170"/>
    </row>
    <row r="1086" ht="15.75" customHeight="1">
      <c r="A1086" s="161"/>
      <c r="B1086" s="161"/>
      <c r="C1086" s="162"/>
      <c r="D1086" s="163"/>
      <c r="E1086" s="164"/>
      <c r="F1086" s="165"/>
      <c r="G1086" s="166"/>
      <c r="H1086" s="167"/>
      <c r="I1086" s="167"/>
      <c r="J1086" s="167"/>
      <c r="K1086" s="167"/>
      <c r="L1086" s="167"/>
      <c r="M1086" s="167"/>
      <c r="N1086" s="167"/>
      <c r="O1086" s="167"/>
      <c r="P1086" s="164"/>
      <c r="Q1086" s="165"/>
      <c r="R1086" s="165"/>
      <c r="S1086" s="167"/>
      <c r="T1086" s="167"/>
      <c r="U1086" s="167"/>
      <c r="V1086" s="168"/>
      <c r="W1086" s="168"/>
      <c r="X1086" s="168"/>
      <c r="Y1086" s="168"/>
      <c r="Z1086" s="168"/>
      <c r="AA1086" s="168"/>
      <c r="AB1086" s="164"/>
      <c r="AC1086" s="165"/>
      <c r="AD1086" s="165"/>
      <c r="AE1086" s="169"/>
      <c r="AF1086" s="169"/>
      <c r="AG1086" s="169"/>
      <c r="AH1086" s="168"/>
      <c r="AI1086" s="168"/>
      <c r="AJ1086" s="168"/>
      <c r="AK1086" s="170"/>
      <c r="AL1086" s="170"/>
    </row>
    <row r="1087" ht="15.75" customHeight="1">
      <c r="A1087" s="161"/>
      <c r="B1087" s="161"/>
      <c r="C1087" s="162"/>
      <c r="D1087" s="163"/>
      <c r="E1087" s="164"/>
      <c r="F1087" s="165"/>
      <c r="G1087" s="166"/>
      <c r="H1087" s="167"/>
      <c r="I1087" s="167"/>
      <c r="J1087" s="167"/>
      <c r="K1087" s="167"/>
      <c r="L1087" s="167"/>
      <c r="M1087" s="167"/>
      <c r="N1087" s="167"/>
      <c r="O1087" s="167"/>
      <c r="P1087" s="164"/>
      <c r="Q1087" s="165"/>
      <c r="R1087" s="165"/>
      <c r="S1087" s="167"/>
      <c r="T1087" s="167"/>
      <c r="U1087" s="167"/>
      <c r="V1087" s="168"/>
      <c r="W1087" s="168"/>
      <c r="X1087" s="168"/>
      <c r="Y1087" s="168"/>
      <c r="Z1087" s="168"/>
      <c r="AA1087" s="168"/>
      <c r="AB1087" s="164"/>
      <c r="AC1087" s="165"/>
      <c r="AD1087" s="165"/>
      <c r="AE1087" s="169"/>
      <c r="AF1087" s="169"/>
      <c r="AG1087" s="169"/>
      <c r="AH1087" s="168"/>
      <c r="AI1087" s="168"/>
      <c r="AJ1087" s="168"/>
      <c r="AK1087" s="170"/>
      <c r="AL1087" s="170"/>
    </row>
    <row r="1088" ht="15.75" customHeight="1">
      <c r="A1088" s="161"/>
      <c r="B1088" s="161"/>
      <c r="C1088" s="162"/>
      <c r="D1088" s="163"/>
      <c r="E1088" s="164"/>
      <c r="F1088" s="165"/>
      <c r="G1088" s="166"/>
      <c r="H1088" s="167"/>
      <c r="I1088" s="167"/>
      <c r="J1088" s="167"/>
      <c r="K1088" s="167"/>
      <c r="L1088" s="167"/>
      <c r="M1088" s="167"/>
      <c r="N1088" s="167"/>
      <c r="O1088" s="167"/>
      <c r="P1088" s="164"/>
      <c r="Q1088" s="165"/>
      <c r="R1088" s="165"/>
      <c r="S1088" s="167"/>
      <c r="T1088" s="167"/>
      <c r="U1088" s="167"/>
      <c r="V1088" s="168"/>
      <c r="W1088" s="168"/>
      <c r="X1088" s="168"/>
      <c r="Y1088" s="168"/>
      <c r="Z1088" s="168"/>
      <c r="AA1088" s="168"/>
      <c r="AB1088" s="164"/>
      <c r="AC1088" s="165"/>
      <c r="AD1088" s="165"/>
      <c r="AE1088" s="169"/>
      <c r="AF1088" s="169"/>
      <c r="AG1088" s="169"/>
      <c r="AH1088" s="168"/>
      <c r="AI1088" s="168"/>
      <c r="AJ1088" s="168"/>
      <c r="AK1088" s="170"/>
      <c r="AL1088" s="170"/>
    </row>
    <row r="1089" ht="15.75" customHeight="1">
      <c r="A1089" s="161"/>
      <c r="B1089" s="161"/>
      <c r="C1089" s="162"/>
      <c r="D1089" s="163"/>
      <c r="E1089" s="164"/>
      <c r="F1089" s="165"/>
      <c r="G1089" s="166"/>
      <c r="H1089" s="167"/>
      <c r="I1089" s="167"/>
      <c r="J1089" s="167"/>
      <c r="K1089" s="167"/>
      <c r="L1089" s="167"/>
      <c r="M1089" s="167"/>
      <c r="N1089" s="167"/>
      <c r="O1089" s="167"/>
      <c r="P1089" s="164"/>
      <c r="Q1089" s="165"/>
      <c r="R1089" s="165"/>
      <c r="S1089" s="167"/>
      <c r="T1089" s="167"/>
      <c r="U1089" s="167"/>
      <c r="V1089" s="168"/>
      <c r="W1089" s="168"/>
      <c r="X1089" s="168"/>
      <c r="Y1089" s="168"/>
      <c r="Z1089" s="168"/>
      <c r="AA1089" s="168"/>
      <c r="AB1089" s="164"/>
      <c r="AC1089" s="165"/>
      <c r="AD1089" s="165"/>
      <c r="AE1089" s="169"/>
      <c r="AF1089" s="169"/>
      <c r="AG1089" s="169"/>
      <c r="AH1089" s="168"/>
      <c r="AI1089" s="168"/>
      <c r="AJ1089" s="168"/>
      <c r="AK1089" s="170"/>
      <c r="AL1089" s="170"/>
    </row>
    <row r="1090" ht="15.75" customHeight="1">
      <c r="A1090" s="161"/>
      <c r="B1090" s="161"/>
      <c r="C1090" s="162"/>
      <c r="D1090" s="163"/>
      <c r="E1090" s="164"/>
      <c r="F1090" s="165"/>
      <c r="G1090" s="166"/>
      <c r="H1090" s="167"/>
      <c r="I1090" s="167"/>
      <c r="J1090" s="167"/>
      <c r="K1090" s="167"/>
      <c r="L1090" s="167"/>
      <c r="M1090" s="167"/>
      <c r="N1090" s="167"/>
      <c r="O1090" s="167"/>
      <c r="P1090" s="164"/>
      <c r="Q1090" s="165"/>
      <c r="R1090" s="165"/>
      <c r="S1090" s="167"/>
      <c r="T1090" s="167"/>
      <c r="U1090" s="167"/>
      <c r="V1090" s="168"/>
      <c r="W1090" s="168"/>
      <c r="X1090" s="168"/>
      <c r="Y1090" s="168"/>
      <c r="Z1090" s="168"/>
      <c r="AA1090" s="168"/>
      <c r="AB1090" s="164"/>
      <c r="AC1090" s="165"/>
      <c r="AD1090" s="165"/>
      <c r="AE1090" s="169"/>
      <c r="AF1090" s="169"/>
      <c r="AG1090" s="169"/>
      <c r="AH1090" s="168"/>
      <c r="AI1090" s="168"/>
      <c r="AJ1090" s="168"/>
      <c r="AK1090" s="170"/>
      <c r="AL1090" s="170"/>
    </row>
    <row r="1091" ht="15.75" customHeight="1">
      <c r="A1091" s="161"/>
      <c r="B1091" s="161"/>
      <c r="C1091" s="162"/>
      <c r="D1091" s="163"/>
      <c r="E1091" s="164"/>
      <c r="F1091" s="165"/>
      <c r="G1091" s="166"/>
      <c r="H1091" s="167"/>
      <c r="I1091" s="167"/>
      <c r="J1091" s="167"/>
      <c r="K1091" s="167"/>
      <c r="L1091" s="167"/>
      <c r="M1091" s="167"/>
      <c r="N1091" s="167"/>
      <c r="O1091" s="167"/>
      <c r="P1091" s="164"/>
      <c r="Q1091" s="165"/>
      <c r="R1091" s="165"/>
      <c r="S1091" s="167"/>
      <c r="T1091" s="167"/>
      <c r="U1091" s="167"/>
      <c r="V1091" s="168"/>
      <c r="W1091" s="168"/>
      <c r="X1091" s="168"/>
      <c r="Y1091" s="168"/>
      <c r="Z1091" s="168"/>
      <c r="AA1091" s="168"/>
      <c r="AB1091" s="164"/>
      <c r="AC1091" s="165"/>
      <c r="AD1091" s="165"/>
      <c r="AE1091" s="169"/>
      <c r="AF1091" s="169"/>
      <c r="AG1091" s="169"/>
      <c r="AH1091" s="168"/>
      <c r="AI1091" s="168"/>
      <c r="AJ1091" s="168"/>
      <c r="AK1091" s="170"/>
      <c r="AL1091" s="170"/>
    </row>
    <row r="1092" ht="15.75" customHeight="1">
      <c r="A1092" s="161"/>
      <c r="B1092" s="161"/>
      <c r="C1092" s="162"/>
      <c r="D1092" s="163"/>
      <c r="E1092" s="164"/>
      <c r="F1092" s="165"/>
      <c r="G1092" s="166"/>
      <c r="H1092" s="167"/>
      <c r="I1092" s="167"/>
      <c r="J1092" s="167"/>
      <c r="K1092" s="167"/>
      <c r="L1092" s="167"/>
      <c r="M1092" s="167"/>
      <c r="N1092" s="167"/>
      <c r="O1092" s="167"/>
      <c r="P1092" s="164"/>
      <c r="Q1092" s="165"/>
      <c r="R1092" s="165"/>
      <c r="S1092" s="167"/>
      <c r="T1092" s="167"/>
      <c r="U1092" s="167"/>
      <c r="V1092" s="168"/>
      <c r="W1092" s="168"/>
      <c r="X1092" s="168"/>
      <c r="Y1092" s="168"/>
      <c r="Z1092" s="168"/>
      <c r="AA1092" s="168"/>
      <c r="AB1092" s="164"/>
      <c r="AC1092" s="165"/>
      <c r="AD1092" s="165"/>
      <c r="AE1092" s="169"/>
      <c r="AF1092" s="169"/>
      <c r="AG1092" s="169"/>
      <c r="AH1092" s="168"/>
      <c r="AI1092" s="168"/>
      <c r="AJ1092" s="168"/>
      <c r="AK1092" s="170"/>
      <c r="AL1092" s="170"/>
    </row>
    <row r="1093" ht="15.75" customHeight="1">
      <c r="A1093" s="161"/>
      <c r="B1093" s="161"/>
      <c r="C1093" s="162"/>
      <c r="D1093" s="163"/>
      <c r="E1093" s="164"/>
      <c r="F1093" s="165"/>
      <c r="G1093" s="166"/>
      <c r="H1093" s="167"/>
      <c r="I1093" s="167"/>
      <c r="J1093" s="167"/>
      <c r="K1093" s="167"/>
      <c r="L1093" s="167"/>
      <c r="M1093" s="167"/>
      <c r="N1093" s="167"/>
      <c r="O1093" s="167"/>
      <c r="P1093" s="164"/>
      <c r="Q1093" s="165"/>
      <c r="R1093" s="165"/>
      <c r="S1093" s="167"/>
      <c r="T1093" s="167"/>
      <c r="U1093" s="167"/>
      <c r="V1093" s="168"/>
      <c r="W1093" s="168"/>
      <c r="X1093" s="168"/>
      <c r="Y1093" s="168"/>
      <c r="Z1093" s="168"/>
      <c r="AA1093" s="168"/>
      <c r="AB1093" s="164"/>
      <c r="AC1093" s="165"/>
      <c r="AD1093" s="165"/>
      <c r="AE1093" s="169"/>
      <c r="AF1093" s="169"/>
      <c r="AG1093" s="169"/>
      <c r="AH1093" s="168"/>
      <c r="AI1093" s="168"/>
      <c r="AJ1093" s="168"/>
      <c r="AK1093" s="170"/>
      <c r="AL1093" s="170"/>
    </row>
    <row r="1094" ht="15.75" customHeight="1">
      <c r="A1094" s="161"/>
      <c r="B1094" s="161"/>
      <c r="C1094" s="162"/>
      <c r="D1094" s="163"/>
      <c r="E1094" s="164"/>
      <c r="F1094" s="165"/>
      <c r="G1094" s="166"/>
      <c r="H1094" s="167"/>
      <c r="I1094" s="167"/>
      <c r="J1094" s="167"/>
      <c r="K1094" s="167"/>
      <c r="L1094" s="167"/>
      <c r="M1094" s="167"/>
      <c r="N1094" s="167"/>
      <c r="O1094" s="167"/>
      <c r="P1094" s="164"/>
      <c r="Q1094" s="165"/>
      <c r="R1094" s="165"/>
      <c r="S1094" s="167"/>
      <c r="T1094" s="167"/>
      <c r="U1094" s="167"/>
      <c r="V1094" s="168"/>
      <c r="W1094" s="168"/>
      <c r="X1094" s="168"/>
      <c r="Y1094" s="168"/>
      <c r="Z1094" s="168"/>
      <c r="AA1094" s="168"/>
      <c r="AB1094" s="164"/>
      <c r="AC1094" s="165"/>
      <c r="AD1094" s="165"/>
      <c r="AE1094" s="169"/>
      <c r="AF1094" s="169"/>
      <c r="AG1094" s="169"/>
      <c r="AH1094" s="168"/>
      <c r="AI1094" s="168"/>
      <c r="AJ1094" s="168"/>
      <c r="AK1094" s="170"/>
      <c r="AL1094" s="170"/>
    </row>
    <row r="1095" ht="15.75" customHeight="1">
      <c r="A1095" s="161"/>
      <c r="B1095" s="161"/>
      <c r="C1095" s="162"/>
      <c r="D1095" s="163"/>
      <c r="E1095" s="164"/>
      <c r="F1095" s="165"/>
      <c r="G1095" s="166"/>
      <c r="H1095" s="167"/>
      <c r="I1095" s="167"/>
      <c r="J1095" s="167"/>
      <c r="K1095" s="167"/>
      <c r="L1095" s="167"/>
      <c r="M1095" s="167"/>
      <c r="N1095" s="167"/>
      <c r="O1095" s="167"/>
      <c r="P1095" s="164"/>
      <c r="Q1095" s="165"/>
      <c r="R1095" s="165"/>
      <c r="S1095" s="167"/>
      <c r="T1095" s="167"/>
      <c r="U1095" s="167"/>
      <c r="V1095" s="168"/>
      <c r="W1095" s="168"/>
      <c r="X1095" s="168"/>
      <c r="Y1095" s="168"/>
      <c r="Z1095" s="168"/>
      <c r="AA1095" s="168"/>
      <c r="AB1095" s="164"/>
      <c r="AC1095" s="165"/>
      <c r="AD1095" s="165"/>
      <c r="AE1095" s="169"/>
      <c r="AF1095" s="169"/>
      <c r="AG1095" s="169"/>
      <c r="AH1095" s="168"/>
      <c r="AI1095" s="168"/>
      <c r="AJ1095" s="168"/>
      <c r="AK1095" s="170"/>
      <c r="AL1095" s="170"/>
    </row>
    <row r="1096" ht="15.75" customHeight="1">
      <c r="A1096" s="161"/>
      <c r="B1096" s="161"/>
      <c r="C1096" s="162"/>
      <c r="D1096" s="163"/>
      <c r="E1096" s="164"/>
      <c r="F1096" s="165"/>
      <c r="G1096" s="166"/>
      <c r="H1096" s="167"/>
      <c r="I1096" s="167"/>
      <c r="J1096" s="167"/>
      <c r="K1096" s="167"/>
      <c r="L1096" s="167"/>
      <c r="M1096" s="167"/>
      <c r="N1096" s="167"/>
      <c r="O1096" s="167"/>
      <c r="P1096" s="164"/>
      <c r="Q1096" s="165"/>
      <c r="R1096" s="165"/>
      <c r="S1096" s="167"/>
      <c r="T1096" s="167"/>
      <c r="U1096" s="167"/>
      <c r="V1096" s="168"/>
      <c r="W1096" s="168"/>
      <c r="X1096" s="168"/>
      <c r="Y1096" s="168"/>
      <c r="Z1096" s="168"/>
      <c r="AA1096" s="168"/>
      <c r="AB1096" s="164"/>
      <c r="AC1096" s="165"/>
      <c r="AD1096" s="165"/>
      <c r="AE1096" s="169"/>
      <c r="AF1096" s="169"/>
      <c r="AG1096" s="169"/>
      <c r="AH1096" s="168"/>
      <c r="AI1096" s="168"/>
      <c r="AJ1096" s="168"/>
      <c r="AK1096" s="170"/>
      <c r="AL1096" s="170"/>
    </row>
    <row r="1097" ht="15.75" customHeight="1">
      <c r="A1097" s="161"/>
      <c r="B1097" s="161"/>
      <c r="C1097" s="162"/>
      <c r="D1097" s="163"/>
      <c r="E1097" s="164"/>
      <c r="F1097" s="165"/>
      <c r="G1097" s="166"/>
      <c r="H1097" s="167"/>
      <c r="I1097" s="167"/>
      <c r="J1097" s="167"/>
      <c r="K1097" s="167"/>
      <c r="L1097" s="167"/>
      <c r="M1097" s="167"/>
      <c r="N1097" s="167"/>
      <c r="O1097" s="167"/>
      <c r="P1097" s="164"/>
      <c r="Q1097" s="165"/>
      <c r="R1097" s="165"/>
      <c r="S1097" s="167"/>
      <c r="T1097" s="167"/>
      <c r="U1097" s="167"/>
      <c r="V1097" s="168"/>
      <c r="W1097" s="168"/>
      <c r="X1097" s="168"/>
      <c r="Y1097" s="168"/>
      <c r="Z1097" s="168"/>
      <c r="AA1097" s="168"/>
      <c r="AB1097" s="164"/>
      <c r="AC1097" s="165"/>
      <c r="AD1097" s="165"/>
      <c r="AE1097" s="169"/>
      <c r="AF1097" s="169"/>
      <c r="AG1097" s="169"/>
      <c r="AH1097" s="168"/>
      <c r="AI1097" s="168"/>
      <c r="AJ1097" s="168"/>
      <c r="AK1097" s="170"/>
      <c r="AL1097" s="170"/>
    </row>
    <row r="1098" ht="15.75" customHeight="1">
      <c r="A1098" s="161"/>
      <c r="B1098" s="161"/>
      <c r="C1098" s="162"/>
      <c r="D1098" s="163"/>
      <c r="E1098" s="164"/>
      <c r="F1098" s="165"/>
      <c r="G1098" s="166"/>
      <c r="H1098" s="167"/>
      <c r="I1098" s="167"/>
      <c r="J1098" s="167"/>
      <c r="K1098" s="167"/>
      <c r="L1098" s="167"/>
      <c r="M1098" s="167"/>
      <c r="N1098" s="167"/>
      <c r="O1098" s="167"/>
      <c r="P1098" s="164"/>
      <c r="Q1098" s="165"/>
      <c r="R1098" s="165"/>
      <c r="S1098" s="167"/>
      <c r="T1098" s="167"/>
      <c r="U1098" s="167"/>
      <c r="V1098" s="168"/>
      <c r="W1098" s="168"/>
      <c r="X1098" s="168"/>
      <c r="Y1098" s="168"/>
      <c r="Z1098" s="168"/>
      <c r="AA1098" s="168"/>
      <c r="AB1098" s="164"/>
      <c r="AC1098" s="165"/>
      <c r="AD1098" s="165"/>
      <c r="AE1098" s="169"/>
      <c r="AF1098" s="169"/>
      <c r="AG1098" s="169"/>
      <c r="AH1098" s="168"/>
      <c r="AI1098" s="168"/>
      <c r="AJ1098" s="168"/>
      <c r="AK1098" s="170"/>
      <c r="AL1098" s="170"/>
    </row>
    <row r="1099" ht="15.75" customHeight="1">
      <c r="A1099" s="161"/>
      <c r="B1099" s="161"/>
      <c r="C1099" s="162"/>
      <c r="D1099" s="163"/>
      <c r="E1099" s="164"/>
      <c r="F1099" s="165"/>
      <c r="G1099" s="166"/>
      <c r="H1099" s="167"/>
      <c r="I1099" s="167"/>
      <c r="J1099" s="167"/>
      <c r="K1099" s="167"/>
      <c r="L1099" s="167"/>
      <c r="M1099" s="167"/>
      <c r="N1099" s="167"/>
      <c r="O1099" s="167"/>
      <c r="P1099" s="164"/>
      <c r="Q1099" s="165"/>
      <c r="R1099" s="165"/>
      <c r="S1099" s="167"/>
      <c r="T1099" s="167"/>
      <c r="U1099" s="167"/>
      <c r="V1099" s="168"/>
      <c r="W1099" s="168"/>
      <c r="X1099" s="168"/>
      <c r="Y1099" s="168"/>
      <c r="Z1099" s="168"/>
      <c r="AA1099" s="168"/>
      <c r="AB1099" s="164"/>
      <c r="AC1099" s="165"/>
      <c r="AD1099" s="165"/>
      <c r="AE1099" s="169"/>
      <c r="AF1099" s="169"/>
      <c r="AG1099" s="169"/>
      <c r="AH1099" s="168"/>
      <c r="AI1099" s="168"/>
      <c r="AJ1099" s="168"/>
      <c r="AK1099" s="170"/>
      <c r="AL1099" s="170"/>
    </row>
    <row r="1100" ht="15.75" customHeight="1">
      <c r="A1100" s="161"/>
      <c r="B1100" s="161"/>
      <c r="C1100" s="162"/>
      <c r="D1100" s="163"/>
      <c r="E1100" s="164"/>
      <c r="F1100" s="165"/>
      <c r="G1100" s="166"/>
      <c r="H1100" s="167"/>
      <c r="I1100" s="167"/>
      <c r="J1100" s="167"/>
      <c r="K1100" s="167"/>
      <c r="L1100" s="167"/>
      <c r="M1100" s="167"/>
      <c r="N1100" s="167"/>
      <c r="O1100" s="167"/>
      <c r="P1100" s="164"/>
      <c r="Q1100" s="165"/>
      <c r="R1100" s="165"/>
      <c r="S1100" s="167"/>
      <c r="T1100" s="167"/>
      <c r="U1100" s="167"/>
      <c r="V1100" s="168"/>
      <c r="W1100" s="168"/>
      <c r="X1100" s="168"/>
      <c r="Y1100" s="168"/>
      <c r="Z1100" s="168"/>
      <c r="AA1100" s="168"/>
      <c r="AB1100" s="164"/>
      <c r="AC1100" s="165"/>
      <c r="AD1100" s="165"/>
      <c r="AE1100" s="169"/>
      <c r="AF1100" s="169"/>
      <c r="AG1100" s="169"/>
      <c r="AH1100" s="168"/>
      <c r="AI1100" s="168"/>
      <c r="AJ1100" s="168"/>
      <c r="AK1100" s="170"/>
      <c r="AL1100" s="170"/>
    </row>
    <row r="1101" ht="15.75" customHeight="1">
      <c r="A1101" s="161"/>
      <c r="B1101" s="161"/>
      <c r="C1101" s="162"/>
      <c r="D1101" s="163"/>
      <c r="E1101" s="164"/>
      <c r="F1101" s="165"/>
      <c r="G1101" s="166"/>
      <c r="H1101" s="167"/>
      <c r="I1101" s="167"/>
      <c r="J1101" s="167"/>
      <c r="K1101" s="167"/>
      <c r="L1101" s="167"/>
      <c r="M1101" s="167"/>
      <c r="N1101" s="167"/>
      <c r="O1101" s="167"/>
      <c r="P1101" s="164"/>
      <c r="Q1101" s="165"/>
      <c r="R1101" s="165"/>
      <c r="S1101" s="167"/>
      <c r="T1101" s="167"/>
      <c r="U1101" s="167"/>
      <c r="V1101" s="168"/>
      <c r="W1101" s="168"/>
      <c r="X1101" s="168"/>
      <c r="Y1101" s="168"/>
      <c r="Z1101" s="168"/>
      <c r="AA1101" s="168"/>
      <c r="AB1101" s="164"/>
      <c r="AC1101" s="165"/>
      <c r="AD1101" s="165"/>
      <c r="AE1101" s="169"/>
      <c r="AF1101" s="169"/>
      <c r="AG1101" s="169"/>
      <c r="AH1101" s="168"/>
      <c r="AI1101" s="168"/>
      <c r="AJ1101" s="168"/>
      <c r="AK1101" s="170"/>
      <c r="AL1101" s="170"/>
    </row>
    <row r="1102" ht="15.75" customHeight="1">
      <c r="A1102" s="161"/>
      <c r="B1102" s="161"/>
      <c r="C1102" s="162"/>
      <c r="D1102" s="163"/>
      <c r="E1102" s="164"/>
      <c r="F1102" s="165"/>
      <c r="G1102" s="166"/>
      <c r="H1102" s="167"/>
      <c r="I1102" s="167"/>
      <c r="J1102" s="167"/>
      <c r="K1102" s="167"/>
      <c r="L1102" s="167"/>
      <c r="M1102" s="167"/>
      <c r="N1102" s="167"/>
      <c r="O1102" s="167"/>
      <c r="P1102" s="164"/>
      <c r="Q1102" s="165"/>
      <c r="R1102" s="165"/>
      <c r="S1102" s="167"/>
      <c r="T1102" s="167"/>
      <c r="U1102" s="167"/>
      <c r="V1102" s="168"/>
      <c r="W1102" s="168"/>
      <c r="X1102" s="168"/>
      <c r="Y1102" s="168"/>
      <c r="Z1102" s="168"/>
      <c r="AA1102" s="168"/>
      <c r="AB1102" s="164"/>
      <c r="AC1102" s="165"/>
      <c r="AD1102" s="165"/>
      <c r="AE1102" s="169"/>
      <c r="AF1102" s="169"/>
      <c r="AG1102" s="169"/>
      <c r="AH1102" s="168"/>
      <c r="AI1102" s="168"/>
      <c r="AJ1102" s="168"/>
      <c r="AK1102" s="170"/>
      <c r="AL1102" s="170"/>
    </row>
    <row r="1103" ht="15.75" customHeight="1">
      <c r="A1103" s="161"/>
      <c r="B1103" s="161"/>
      <c r="C1103" s="162"/>
      <c r="D1103" s="163"/>
      <c r="E1103" s="164"/>
      <c r="F1103" s="165"/>
      <c r="G1103" s="166"/>
      <c r="H1103" s="167"/>
      <c r="I1103" s="167"/>
      <c r="J1103" s="167"/>
      <c r="K1103" s="167"/>
      <c r="L1103" s="167"/>
      <c r="M1103" s="167"/>
      <c r="N1103" s="167"/>
      <c r="O1103" s="167"/>
      <c r="P1103" s="164"/>
      <c r="Q1103" s="165"/>
      <c r="R1103" s="165"/>
      <c r="S1103" s="167"/>
      <c r="T1103" s="167"/>
      <c r="U1103" s="167"/>
      <c r="V1103" s="168"/>
      <c r="W1103" s="168"/>
      <c r="X1103" s="168"/>
      <c r="Y1103" s="168"/>
      <c r="Z1103" s="168"/>
      <c r="AA1103" s="168"/>
      <c r="AB1103" s="164"/>
      <c r="AC1103" s="165"/>
      <c r="AD1103" s="165"/>
      <c r="AE1103" s="169"/>
      <c r="AF1103" s="169"/>
      <c r="AG1103" s="169"/>
      <c r="AH1103" s="168"/>
      <c r="AI1103" s="168"/>
      <c r="AJ1103" s="168"/>
      <c r="AK1103" s="170"/>
      <c r="AL1103" s="170"/>
    </row>
    <row r="1104" ht="15.75" customHeight="1">
      <c r="A1104" s="161"/>
      <c r="B1104" s="161"/>
      <c r="C1104" s="162"/>
      <c r="D1104" s="163"/>
      <c r="E1104" s="164"/>
      <c r="F1104" s="165"/>
      <c r="G1104" s="166"/>
      <c r="H1104" s="167"/>
      <c r="I1104" s="167"/>
      <c r="J1104" s="167"/>
      <c r="K1104" s="167"/>
      <c r="L1104" s="167"/>
      <c r="M1104" s="167"/>
      <c r="N1104" s="167"/>
      <c r="O1104" s="167"/>
      <c r="P1104" s="164"/>
      <c r="Q1104" s="165"/>
      <c r="R1104" s="165"/>
      <c r="S1104" s="167"/>
      <c r="T1104" s="167"/>
      <c r="U1104" s="167"/>
      <c r="V1104" s="168"/>
      <c r="W1104" s="168"/>
      <c r="X1104" s="168"/>
      <c r="Y1104" s="168"/>
      <c r="Z1104" s="168"/>
      <c r="AA1104" s="168"/>
      <c r="AB1104" s="164"/>
      <c r="AC1104" s="165"/>
      <c r="AD1104" s="165"/>
      <c r="AE1104" s="169"/>
      <c r="AF1104" s="169"/>
      <c r="AG1104" s="169"/>
      <c r="AH1104" s="168"/>
      <c r="AI1104" s="168"/>
      <c r="AJ1104" s="168"/>
      <c r="AK1104" s="170"/>
      <c r="AL1104" s="170"/>
    </row>
    <row r="1105" ht="15.75" customHeight="1">
      <c r="A1105" s="161"/>
      <c r="B1105" s="161"/>
      <c r="C1105" s="162"/>
      <c r="D1105" s="163"/>
      <c r="E1105" s="164"/>
      <c r="F1105" s="165"/>
      <c r="G1105" s="166"/>
      <c r="H1105" s="167"/>
      <c r="I1105" s="167"/>
      <c r="J1105" s="167"/>
      <c r="K1105" s="167"/>
      <c r="L1105" s="167"/>
      <c r="M1105" s="167"/>
      <c r="N1105" s="167"/>
      <c r="O1105" s="167"/>
      <c r="P1105" s="164"/>
      <c r="Q1105" s="165"/>
      <c r="R1105" s="165"/>
      <c r="S1105" s="167"/>
      <c r="T1105" s="167"/>
      <c r="U1105" s="167"/>
      <c r="V1105" s="168"/>
      <c r="W1105" s="168"/>
      <c r="X1105" s="168"/>
      <c r="Y1105" s="168"/>
      <c r="Z1105" s="168"/>
      <c r="AA1105" s="168"/>
      <c r="AB1105" s="164"/>
      <c r="AC1105" s="165"/>
      <c r="AD1105" s="165"/>
      <c r="AE1105" s="169"/>
      <c r="AF1105" s="169"/>
      <c r="AG1105" s="169"/>
      <c r="AH1105" s="168"/>
      <c r="AI1105" s="168"/>
      <c r="AJ1105" s="168"/>
      <c r="AK1105" s="170"/>
      <c r="AL1105" s="170"/>
    </row>
    <row r="1106" ht="15.75" customHeight="1">
      <c r="A1106" s="161"/>
      <c r="B1106" s="161"/>
      <c r="C1106" s="162"/>
      <c r="D1106" s="163"/>
      <c r="E1106" s="164"/>
      <c r="F1106" s="165"/>
      <c r="G1106" s="166"/>
      <c r="H1106" s="167"/>
      <c r="I1106" s="167"/>
      <c r="J1106" s="167"/>
      <c r="K1106" s="167"/>
      <c r="L1106" s="167"/>
      <c r="M1106" s="167"/>
      <c r="N1106" s="167"/>
      <c r="O1106" s="167"/>
      <c r="P1106" s="164"/>
      <c r="Q1106" s="165"/>
      <c r="R1106" s="165"/>
      <c r="S1106" s="167"/>
      <c r="T1106" s="167"/>
      <c r="U1106" s="167"/>
      <c r="V1106" s="168"/>
      <c r="W1106" s="168"/>
      <c r="X1106" s="168"/>
      <c r="Y1106" s="168"/>
      <c r="Z1106" s="168"/>
      <c r="AA1106" s="168"/>
      <c r="AB1106" s="164"/>
      <c r="AC1106" s="165"/>
      <c r="AD1106" s="165"/>
      <c r="AE1106" s="169"/>
      <c r="AF1106" s="169"/>
      <c r="AG1106" s="169"/>
      <c r="AH1106" s="168"/>
      <c r="AI1106" s="168"/>
      <c r="AJ1106" s="168"/>
      <c r="AK1106" s="170"/>
      <c r="AL1106" s="170"/>
    </row>
    <row r="1107" ht="15.75" customHeight="1">
      <c r="A1107" s="161"/>
      <c r="B1107" s="161"/>
      <c r="C1107" s="162"/>
      <c r="D1107" s="163"/>
      <c r="E1107" s="164"/>
      <c r="F1107" s="165"/>
      <c r="G1107" s="166"/>
      <c r="H1107" s="167"/>
      <c r="I1107" s="167"/>
      <c r="J1107" s="167"/>
      <c r="K1107" s="167"/>
      <c r="L1107" s="167"/>
      <c r="M1107" s="167"/>
      <c r="N1107" s="167"/>
      <c r="O1107" s="167"/>
      <c r="P1107" s="164"/>
      <c r="Q1107" s="165"/>
      <c r="R1107" s="165"/>
      <c r="S1107" s="167"/>
      <c r="T1107" s="167"/>
      <c r="U1107" s="167"/>
      <c r="V1107" s="168"/>
      <c r="W1107" s="168"/>
      <c r="X1107" s="168"/>
      <c r="Y1107" s="168"/>
      <c r="Z1107" s="168"/>
      <c r="AA1107" s="168"/>
      <c r="AB1107" s="164"/>
      <c r="AC1107" s="165"/>
      <c r="AD1107" s="165"/>
      <c r="AE1107" s="169"/>
      <c r="AF1107" s="169"/>
      <c r="AG1107" s="169"/>
      <c r="AH1107" s="168"/>
      <c r="AI1107" s="168"/>
      <c r="AJ1107" s="168"/>
      <c r="AK1107" s="170"/>
      <c r="AL1107" s="170"/>
    </row>
    <row r="1108" ht="15.75" customHeight="1">
      <c r="A1108" s="161"/>
      <c r="B1108" s="161"/>
      <c r="C1108" s="162"/>
      <c r="D1108" s="163"/>
      <c r="E1108" s="164"/>
      <c r="F1108" s="165"/>
      <c r="G1108" s="166"/>
      <c r="H1108" s="167"/>
      <c r="I1108" s="167"/>
      <c r="J1108" s="167"/>
      <c r="K1108" s="167"/>
      <c r="L1108" s="167"/>
      <c r="M1108" s="167"/>
      <c r="N1108" s="167"/>
      <c r="O1108" s="167"/>
      <c r="P1108" s="164"/>
      <c r="Q1108" s="165"/>
      <c r="R1108" s="165"/>
      <c r="S1108" s="167"/>
      <c r="T1108" s="167"/>
      <c r="U1108" s="167"/>
      <c r="V1108" s="168"/>
      <c r="W1108" s="168"/>
      <c r="X1108" s="168"/>
      <c r="Y1108" s="168"/>
      <c r="Z1108" s="168"/>
      <c r="AA1108" s="168"/>
      <c r="AB1108" s="164"/>
      <c r="AC1108" s="165"/>
      <c r="AD1108" s="165"/>
      <c r="AE1108" s="169"/>
      <c r="AF1108" s="169"/>
      <c r="AG1108" s="169"/>
      <c r="AH1108" s="168"/>
      <c r="AI1108" s="168"/>
      <c r="AJ1108" s="168"/>
      <c r="AK1108" s="170"/>
      <c r="AL1108" s="170"/>
    </row>
    <row r="1109" ht="15.75" customHeight="1">
      <c r="A1109" s="161"/>
      <c r="B1109" s="161"/>
      <c r="C1109" s="162"/>
      <c r="D1109" s="163"/>
      <c r="E1109" s="164"/>
      <c r="F1109" s="165"/>
      <c r="G1109" s="166"/>
      <c r="H1109" s="167"/>
      <c r="I1109" s="167"/>
      <c r="J1109" s="167"/>
      <c r="K1109" s="167"/>
      <c r="L1109" s="167"/>
      <c r="M1109" s="167"/>
      <c r="N1109" s="167"/>
      <c r="O1109" s="167"/>
      <c r="P1109" s="164"/>
      <c r="Q1109" s="165"/>
      <c r="R1109" s="165"/>
      <c r="S1109" s="167"/>
      <c r="T1109" s="167"/>
      <c r="U1109" s="167"/>
      <c r="V1109" s="168"/>
      <c r="W1109" s="168"/>
      <c r="X1109" s="168"/>
      <c r="Y1109" s="168"/>
      <c r="Z1109" s="168"/>
      <c r="AA1109" s="168"/>
      <c r="AB1109" s="164"/>
      <c r="AC1109" s="165"/>
      <c r="AD1109" s="165"/>
      <c r="AE1109" s="169"/>
      <c r="AF1109" s="169"/>
      <c r="AG1109" s="169"/>
      <c r="AH1109" s="168"/>
      <c r="AI1109" s="168"/>
      <c r="AJ1109" s="168"/>
      <c r="AK1109" s="170"/>
      <c r="AL1109" s="170"/>
    </row>
    <row r="1110" ht="15.75" customHeight="1">
      <c r="A1110" s="161"/>
      <c r="B1110" s="161"/>
      <c r="C1110" s="162"/>
      <c r="D1110" s="163"/>
      <c r="E1110" s="164"/>
      <c r="F1110" s="165"/>
      <c r="G1110" s="166"/>
      <c r="H1110" s="167"/>
      <c r="I1110" s="167"/>
      <c r="J1110" s="167"/>
      <c r="K1110" s="167"/>
      <c r="L1110" s="167"/>
      <c r="M1110" s="167"/>
      <c r="N1110" s="167"/>
      <c r="O1110" s="167"/>
      <c r="P1110" s="164"/>
      <c r="Q1110" s="165"/>
      <c r="R1110" s="165"/>
      <c r="S1110" s="167"/>
      <c r="T1110" s="167"/>
      <c r="U1110" s="167"/>
      <c r="V1110" s="168"/>
      <c r="W1110" s="168"/>
      <c r="X1110" s="168"/>
      <c r="Y1110" s="168"/>
      <c r="Z1110" s="168"/>
      <c r="AA1110" s="168"/>
      <c r="AB1110" s="164"/>
      <c r="AC1110" s="165"/>
      <c r="AD1110" s="165"/>
      <c r="AE1110" s="169"/>
      <c r="AF1110" s="169"/>
      <c r="AG1110" s="169"/>
      <c r="AH1110" s="168"/>
      <c r="AI1110" s="168"/>
      <c r="AJ1110" s="168"/>
      <c r="AK1110" s="170"/>
      <c r="AL1110" s="170"/>
    </row>
    <row r="1111" ht="15.75" customHeight="1">
      <c r="A1111" s="161"/>
      <c r="B1111" s="161"/>
      <c r="C1111" s="162"/>
      <c r="D1111" s="163"/>
      <c r="E1111" s="164"/>
      <c r="F1111" s="165"/>
      <c r="G1111" s="166"/>
      <c r="H1111" s="167"/>
      <c r="I1111" s="167"/>
      <c r="J1111" s="167"/>
      <c r="K1111" s="167"/>
      <c r="L1111" s="167"/>
      <c r="M1111" s="167"/>
      <c r="N1111" s="167"/>
      <c r="O1111" s="167"/>
      <c r="P1111" s="164"/>
      <c r="Q1111" s="165"/>
      <c r="R1111" s="165"/>
      <c r="S1111" s="167"/>
      <c r="T1111" s="167"/>
      <c r="U1111" s="167"/>
      <c r="V1111" s="168"/>
      <c r="W1111" s="168"/>
      <c r="X1111" s="168"/>
      <c r="Y1111" s="168"/>
      <c r="Z1111" s="168"/>
      <c r="AA1111" s="168"/>
      <c r="AB1111" s="164"/>
      <c r="AC1111" s="165"/>
      <c r="AD1111" s="165"/>
      <c r="AE1111" s="169"/>
      <c r="AF1111" s="169"/>
      <c r="AG1111" s="169"/>
      <c r="AH1111" s="168"/>
      <c r="AI1111" s="168"/>
      <c r="AJ1111" s="168"/>
      <c r="AK1111" s="170"/>
      <c r="AL1111" s="170"/>
    </row>
    <row r="1112" ht="15.75" customHeight="1">
      <c r="A1112" s="161"/>
      <c r="B1112" s="161"/>
      <c r="C1112" s="162"/>
      <c r="D1112" s="163"/>
      <c r="E1112" s="164"/>
      <c r="F1112" s="165"/>
      <c r="G1112" s="166"/>
      <c r="H1112" s="167"/>
      <c r="I1112" s="167"/>
      <c r="J1112" s="167"/>
      <c r="K1112" s="167"/>
      <c r="L1112" s="167"/>
      <c r="M1112" s="167"/>
      <c r="N1112" s="167"/>
      <c r="O1112" s="167"/>
      <c r="P1112" s="164"/>
      <c r="Q1112" s="165"/>
      <c r="R1112" s="165"/>
      <c r="S1112" s="167"/>
      <c r="T1112" s="167"/>
      <c r="U1112" s="167"/>
      <c r="V1112" s="168"/>
      <c r="W1112" s="168"/>
      <c r="X1112" s="168"/>
      <c r="Y1112" s="168"/>
      <c r="Z1112" s="168"/>
      <c r="AA1112" s="168"/>
      <c r="AB1112" s="164"/>
      <c r="AC1112" s="165"/>
      <c r="AD1112" s="165"/>
      <c r="AE1112" s="169"/>
      <c r="AF1112" s="169"/>
      <c r="AG1112" s="169"/>
      <c r="AH1112" s="168"/>
      <c r="AI1112" s="168"/>
      <c r="AJ1112" s="168"/>
      <c r="AK1112" s="170"/>
      <c r="AL1112" s="170"/>
    </row>
    <row r="1113" ht="15.75" customHeight="1">
      <c r="A1113" s="161"/>
      <c r="B1113" s="161"/>
      <c r="C1113" s="162"/>
      <c r="D1113" s="163"/>
      <c r="E1113" s="164"/>
      <c r="F1113" s="165"/>
      <c r="G1113" s="166"/>
      <c r="H1113" s="167"/>
      <c r="I1113" s="167"/>
      <c r="J1113" s="167"/>
      <c r="K1113" s="167"/>
      <c r="L1113" s="167"/>
      <c r="M1113" s="167"/>
      <c r="N1113" s="167"/>
      <c r="O1113" s="167"/>
      <c r="P1113" s="164"/>
      <c r="Q1113" s="165"/>
      <c r="R1113" s="165"/>
      <c r="S1113" s="167"/>
      <c r="T1113" s="167"/>
      <c r="U1113" s="167"/>
      <c r="V1113" s="168"/>
      <c r="W1113" s="168"/>
      <c r="X1113" s="168"/>
      <c r="Y1113" s="168"/>
      <c r="Z1113" s="168"/>
      <c r="AA1113" s="168"/>
      <c r="AB1113" s="164"/>
      <c r="AC1113" s="165"/>
      <c r="AD1113" s="165"/>
      <c r="AE1113" s="169"/>
      <c r="AF1113" s="169"/>
      <c r="AG1113" s="169"/>
      <c r="AH1113" s="168"/>
      <c r="AI1113" s="168"/>
      <c r="AJ1113" s="168"/>
      <c r="AK1113" s="170"/>
      <c r="AL1113" s="170"/>
    </row>
    <row r="1114" ht="15.75" customHeight="1">
      <c r="A1114" s="161"/>
      <c r="B1114" s="161"/>
      <c r="C1114" s="162"/>
      <c r="D1114" s="163"/>
      <c r="E1114" s="164"/>
      <c r="F1114" s="165"/>
      <c r="G1114" s="166"/>
      <c r="H1114" s="167"/>
      <c r="I1114" s="167"/>
      <c r="J1114" s="167"/>
      <c r="K1114" s="167"/>
      <c r="L1114" s="167"/>
      <c r="M1114" s="167"/>
      <c r="N1114" s="167"/>
      <c r="O1114" s="167"/>
      <c r="P1114" s="164"/>
      <c r="Q1114" s="165"/>
      <c r="R1114" s="165"/>
      <c r="S1114" s="167"/>
      <c r="T1114" s="167"/>
      <c r="U1114" s="167"/>
      <c r="V1114" s="168"/>
      <c r="W1114" s="168"/>
      <c r="X1114" s="168"/>
      <c r="Y1114" s="168"/>
      <c r="Z1114" s="168"/>
      <c r="AA1114" s="168"/>
      <c r="AB1114" s="164"/>
      <c r="AC1114" s="165"/>
      <c r="AD1114" s="165"/>
      <c r="AE1114" s="169"/>
      <c r="AF1114" s="169"/>
      <c r="AG1114" s="169"/>
      <c r="AH1114" s="168"/>
      <c r="AI1114" s="168"/>
      <c r="AJ1114" s="168"/>
      <c r="AK1114" s="170"/>
      <c r="AL1114" s="170"/>
    </row>
    <row r="1115" ht="15.75" customHeight="1">
      <c r="A1115" s="161"/>
      <c r="B1115" s="161"/>
      <c r="C1115" s="162"/>
      <c r="D1115" s="163"/>
      <c r="E1115" s="164"/>
      <c r="F1115" s="165"/>
      <c r="G1115" s="166"/>
      <c r="H1115" s="167"/>
      <c r="I1115" s="167"/>
      <c r="J1115" s="167"/>
      <c r="K1115" s="167"/>
      <c r="L1115" s="167"/>
      <c r="M1115" s="167"/>
      <c r="N1115" s="167"/>
      <c r="O1115" s="167"/>
      <c r="P1115" s="164"/>
      <c r="Q1115" s="165"/>
      <c r="R1115" s="165"/>
      <c r="S1115" s="167"/>
      <c r="T1115" s="167"/>
      <c r="U1115" s="167"/>
      <c r="V1115" s="168"/>
      <c r="W1115" s="168"/>
      <c r="X1115" s="168"/>
      <c r="Y1115" s="168"/>
      <c r="Z1115" s="168"/>
      <c r="AA1115" s="168"/>
      <c r="AB1115" s="164"/>
      <c r="AC1115" s="165"/>
      <c r="AD1115" s="165"/>
      <c r="AE1115" s="169"/>
      <c r="AF1115" s="169"/>
      <c r="AG1115" s="169"/>
      <c r="AH1115" s="168"/>
      <c r="AI1115" s="168"/>
      <c r="AJ1115" s="168"/>
      <c r="AK1115" s="170"/>
      <c r="AL1115" s="170"/>
    </row>
    <row r="1116" ht="15.75" customHeight="1">
      <c r="A1116" s="161"/>
      <c r="B1116" s="161"/>
      <c r="C1116" s="162"/>
      <c r="D1116" s="163"/>
      <c r="E1116" s="164"/>
      <c r="F1116" s="165"/>
      <c r="G1116" s="166"/>
      <c r="H1116" s="167"/>
      <c r="I1116" s="167"/>
      <c r="J1116" s="167"/>
      <c r="K1116" s="167"/>
      <c r="L1116" s="167"/>
      <c r="M1116" s="167"/>
      <c r="N1116" s="167"/>
      <c r="O1116" s="167"/>
      <c r="P1116" s="164"/>
      <c r="Q1116" s="165"/>
      <c r="R1116" s="165"/>
      <c r="S1116" s="167"/>
      <c r="T1116" s="167"/>
      <c r="U1116" s="167"/>
      <c r="V1116" s="168"/>
      <c r="W1116" s="168"/>
      <c r="X1116" s="168"/>
      <c r="Y1116" s="168"/>
      <c r="Z1116" s="168"/>
      <c r="AA1116" s="168"/>
      <c r="AB1116" s="164"/>
      <c r="AC1116" s="165"/>
      <c r="AD1116" s="165"/>
      <c r="AE1116" s="169"/>
      <c r="AF1116" s="169"/>
      <c r="AG1116" s="169"/>
      <c r="AH1116" s="168"/>
      <c r="AI1116" s="168"/>
      <c r="AJ1116" s="168"/>
      <c r="AK1116" s="170"/>
      <c r="AL1116" s="170"/>
    </row>
    <row r="1117" ht="15.75" customHeight="1">
      <c r="A1117" s="161"/>
      <c r="B1117" s="161"/>
      <c r="C1117" s="162"/>
      <c r="D1117" s="163"/>
      <c r="E1117" s="164"/>
      <c r="F1117" s="165"/>
      <c r="G1117" s="166"/>
      <c r="H1117" s="167"/>
      <c r="I1117" s="167"/>
      <c r="J1117" s="167"/>
      <c r="K1117" s="167"/>
      <c r="L1117" s="167"/>
      <c r="M1117" s="167"/>
      <c r="N1117" s="167"/>
      <c r="O1117" s="167"/>
      <c r="P1117" s="164"/>
      <c r="Q1117" s="165"/>
      <c r="R1117" s="165"/>
      <c r="S1117" s="167"/>
      <c r="T1117" s="167"/>
      <c r="U1117" s="167"/>
      <c r="V1117" s="168"/>
      <c r="W1117" s="168"/>
      <c r="X1117" s="168"/>
      <c r="Y1117" s="168"/>
      <c r="Z1117" s="168"/>
      <c r="AA1117" s="168"/>
      <c r="AB1117" s="164"/>
      <c r="AC1117" s="165"/>
      <c r="AD1117" s="165"/>
      <c r="AE1117" s="169"/>
      <c r="AF1117" s="169"/>
      <c r="AG1117" s="169"/>
      <c r="AH1117" s="168"/>
      <c r="AI1117" s="168"/>
      <c r="AJ1117" s="168"/>
      <c r="AK1117" s="170"/>
      <c r="AL1117" s="170"/>
    </row>
    <row r="1118" ht="15.75" customHeight="1">
      <c r="A1118" s="161"/>
      <c r="B1118" s="161"/>
      <c r="C1118" s="162"/>
      <c r="D1118" s="163"/>
      <c r="E1118" s="164"/>
      <c r="F1118" s="165"/>
      <c r="G1118" s="166"/>
      <c r="H1118" s="167"/>
      <c r="I1118" s="167"/>
      <c r="J1118" s="167"/>
      <c r="K1118" s="167"/>
      <c r="L1118" s="167"/>
      <c r="M1118" s="167"/>
      <c r="N1118" s="167"/>
      <c r="O1118" s="167"/>
      <c r="P1118" s="164"/>
      <c r="Q1118" s="165"/>
      <c r="R1118" s="165"/>
      <c r="S1118" s="167"/>
      <c r="T1118" s="167"/>
      <c r="U1118" s="167"/>
      <c r="V1118" s="168"/>
      <c r="W1118" s="168"/>
      <c r="X1118" s="168"/>
      <c r="Y1118" s="168"/>
      <c r="Z1118" s="168"/>
      <c r="AA1118" s="168"/>
      <c r="AB1118" s="164"/>
      <c r="AC1118" s="165"/>
      <c r="AD1118" s="165"/>
      <c r="AE1118" s="169"/>
      <c r="AF1118" s="169"/>
      <c r="AG1118" s="169"/>
      <c r="AH1118" s="168"/>
      <c r="AI1118" s="168"/>
      <c r="AJ1118" s="168"/>
      <c r="AK1118" s="170"/>
      <c r="AL1118" s="170"/>
    </row>
    <row r="1119" ht="15.75" customHeight="1">
      <c r="A1119" s="161"/>
      <c r="B1119" s="161"/>
      <c r="C1119" s="162"/>
      <c r="D1119" s="163"/>
      <c r="E1119" s="164"/>
      <c r="F1119" s="165"/>
      <c r="G1119" s="166"/>
      <c r="H1119" s="167"/>
      <c r="I1119" s="167"/>
      <c r="J1119" s="167"/>
      <c r="K1119" s="167"/>
      <c r="L1119" s="167"/>
      <c r="M1119" s="167"/>
      <c r="N1119" s="167"/>
      <c r="O1119" s="167"/>
      <c r="P1119" s="164"/>
      <c r="Q1119" s="165"/>
      <c r="R1119" s="165"/>
      <c r="S1119" s="167"/>
      <c r="T1119" s="167"/>
      <c r="U1119" s="167"/>
      <c r="V1119" s="168"/>
      <c r="W1119" s="168"/>
      <c r="X1119" s="168"/>
      <c r="Y1119" s="168"/>
      <c r="Z1119" s="168"/>
      <c r="AA1119" s="168"/>
      <c r="AB1119" s="164"/>
      <c r="AC1119" s="165"/>
      <c r="AD1119" s="165"/>
      <c r="AE1119" s="169"/>
      <c r="AF1119" s="169"/>
      <c r="AG1119" s="169"/>
      <c r="AH1119" s="168"/>
      <c r="AI1119" s="168"/>
      <c r="AJ1119" s="168"/>
      <c r="AK1119" s="170"/>
      <c r="AL1119" s="170"/>
    </row>
    <row r="1120" ht="15.75" customHeight="1">
      <c r="A1120" s="161"/>
      <c r="B1120" s="161"/>
      <c r="C1120" s="162"/>
      <c r="D1120" s="163"/>
      <c r="E1120" s="164"/>
      <c r="F1120" s="165"/>
      <c r="G1120" s="166"/>
      <c r="H1120" s="167"/>
      <c r="I1120" s="167"/>
      <c r="J1120" s="167"/>
      <c r="K1120" s="167"/>
      <c r="L1120" s="167"/>
      <c r="M1120" s="167"/>
      <c r="N1120" s="167"/>
      <c r="O1120" s="167"/>
      <c r="P1120" s="164"/>
      <c r="Q1120" s="165"/>
      <c r="R1120" s="165"/>
      <c r="S1120" s="167"/>
      <c r="T1120" s="167"/>
      <c r="U1120" s="167"/>
      <c r="V1120" s="168"/>
      <c r="W1120" s="168"/>
      <c r="X1120" s="168"/>
      <c r="Y1120" s="168"/>
      <c r="Z1120" s="168"/>
      <c r="AA1120" s="168"/>
      <c r="AB1120" s="164"/>
      <c r="AC1120" s="165"/>
      <c r="AD1120" s="165"/>
      <c r="AE1120" s="169"/>
      <c r="AF1120" s="169"/>
      <c r="AG1120" s="169"/>
      <c r="AH1120" s="168"/>
      <c r="AI1120" s="168"/>
      <c r="AJ1120" s="168"/>
      <c r="AK1120" s="170"/>
      <c r="AL1120" s="170"/>
    </row>
    <row r="1121" ht="15.75" customHeight="1">
      <c r="A1121" s="161"/>
      <c r="B1121" s="161"/>
      <c r="C1121" s="162"/>
      <c r="D1121" s="163"/>
      <c r="E1121" s="164"/>
      <c r="F1121" s="165"/>
      <c r="G1121" s="166"/>
      <c r="H1121" s="167"/>
      <c r="I1121" s="167"/>
      <c r="J1121" s="167"/>
      <c r="K1121" s="167"/>
      <c r="L1121" s="167"/>
      <c r="M1121" s="167"/>
      <c r="N1121" s="167"/>
      <c r="O1121" s="167"/>
      <c r="P1121" s="164"/>
      <c r="Q1121" s="165"/>
      <c r="R1121" s="165"/>
      <c r="S1121" s="167"/>
      <c r="T1121" s="167"/>
      <c r="U1121" s="167"/>
      <c r="V1121" s="168"/>
      <c r="W1121" s="168"/>
      <c r="X1121" s="168"/>
      <c r="Y1121" s="168"/>
      <c r="Z1121" s="168"/>
      <c r="AA1121" s="168"/>
      <c r="AB1121" s="164"/>
      <c r="AC1121" s="165"/>
      <c r="AD1121" s="165"/>
      <c r="AE1121" s="169"/>
      <c r="AF1121" s="169"/>
      <c r="AG1121" s="169"/>
      <c r="AH1121" s="168"/>
      <c r="AI1121" s="168"/>
      <c r="AJ1121" s="168"/>
      <c r="AK1121" s="170"/>
      <c r="AL1121" s="170"/>
    </row>
    <row r="1122" ht="15.75" customHeight="1">
      <c r="A1122" s="161"/>
      <c r="B1122" s="161"/>
      <c r="C1122" s="162"/>
      <c r="D1122" s="163"/>
      <c r="E1122" s="164"/>
      <c r="F1122" s="165"/>
      <c r="G1122" s="166"/>
      <c r="H1122" s="167"/>
      <c r="I1122" s="167"/>
      <c r="J1122" s="167"/>
      <c r="K1122" s="167"/>
      <c r="L1122" s="167"/>
      <c r="M1122" s="167"/>
      <c r="N1122" s="167"/>
      <c r="O1122" s="167"/>
      <c r="P1122" s="164"/>
      <c r="Q1122" s="165"/>
      <c r="R1122" s="165"/>
      <c r="S1122" s="167"/>
      <c r="T1122" s="167"/>
      <c r="U1122" s="167"/>
      <c r="V1122" s="168"/>
      <c r="W1122" s="168"/>
      <c r="X1122" s="168"/>
      <c r="Y1122" s="168"/>
      <c r="Z1122" s="168"/>
      <c r="AA1122" s="168"/>
      <c r="AB1122" s="164"/>
      <c r="AC1122" s="165"/>
      <c r="AD1122" s="165"/>
      <c r="AE1122" s="169"/>
      <c r="AF1122" s="169"/>
      <c r="AG1122" s="169"/>
      <c r="AH1122" s="168"/>
      <c r="AI1122" s="168"/>
      <c r="AJ1122" s="168"/>
      <c r="AK1122" s="170"/>
      <c r="AL1122" s="170"/>
    </row>
    <row r="1123" ht="15.75" customHeight="1">
      <c r="A1123" s="161"/>
      <c r="B1123" s="161"/>
      <c r="C1123" s="162"/>
      <c r="D1123" s="163"/>
      <c r="E1123" s="164"/>
      <c r="F1123" s="165"/>
      <c r="G1123" s="166"/>
      <c r="H1123" s="167"/>
      <c r="I1123" s="167"/>
      <c r="J1123" s="167"/>
      <c r="K1123" s="167"/>
      <c r="L1123" s="167"/>
      <c r="M1123" s="167"/>
      <c r="N1123" s="167"/>
      <c r="O1123" s="167"/>
      <c r="P1123" s="164"/>
      <c r="Q1123" s="165"/>
      <c r="R1123" s="165"/>
      <c r="S1123" s="167"/>
      <c r="T1123" s="167"/>
      <c r="U1123" s="167"/>
      <c r="V1123" s="168"/>
      <c r="W1123" s="168"/>
      <c r="X1123" s="168"/>
      <c r="Y1123" s="168"/>
      <c r="Z1123" s="168"/>
      <c r="AA1123" s="168"/>
      <c r="AB1123" s="164"/>
      <c r="AC1123" s="165"/>
      <c r="AD1123" s="165"/>
      <c r="AE1123" s="169"/>
      <c r="AF1123" s="169"/>
      <c r="AG1123" s="169"/>
      <c r="AH1123" s="168"/>
      <c r="AI1123" s="168"/>
      <c r="AJ1123" s="168"/>
      <c r="AK1123" s="170"/>
      <c r="AL1123" s="170"/>
    </row>
    <row r="1124" ht="15.75" customHeight="1">
      <c r="A1124" s="161"/>
      <c r="B1124" s="161"/>
      <c r="C1124" s="162"/>
      <c r="D1124" s="163"/>
      <c r="E1124" s="164"/>
      <c r="F1124" s="165"/>
      <c r="G1124" s="166"/>
      <c r="H1124" s="167"/>
      <c r="I1124" s="167"/>
      <c r="J1124" s="167"/>
      <c r="K1124" s="167"/>
      <c r="L1124" s="167"/>
      <c r="M1124" s="167"/>
      <c r="N1124" s="167"/>
      <c r="O1124" s="167"/>
      <c r="P1124" s="164"/>
      <c r="Q1124" s="165"/>
      <c r="R1124" s="165"/>
      <c r="S1124" s="167"/>
      <c r="T1124" s="167"/>
      <c r="U1124" s="167"/>
      <c r="V1124" s="168"/>
      <c r="W1124" s="168"/>
      <c r="X1124" s="168"/>
      <c r="Y1124" s="168"/>
      <c r="Z1124" s="168"/>
      <c r="AA1124" s="168"/>
      <c r="AB1124" s="164"/>
      <c r="AC1124" s="165"/>
      <c r="AD1124" s="165"/>
      <c r="AE1124" s="169"/>
      <c r="AF1124" s="169"/>
      <c r="AG1124" s="169"/>
      <c r="AH1124" s="168"/>
      <c r="AI1124" s="168"/>
      <c r="AJ1124" s="168"/>
      <c r="AK1124" s="170"/>
      <c r="AL1124" s="170"/>
    </row>
    <row r="1125" ht="15.75" customHeight="1">
      <c r="A1125" s="161"/>
      <c r="B1125" s="161"/>
      <c r="C1125" s="162"/>
      <c r="D1125" s="163"/>
      <c r="E1125" s="164"/>
      <c r="F1125" s="165"/>
      <c r="G1125" s="166"/>
      <c r="H1125" s="167"/>
      <c r="I1125" s="167"/>
      <c r="J1125" s="167"/>
      <c r="K1125" s="167"/>
      <c r="L1125" s="167"/>
      <c r="M1125" s="167"/>
      <c r="N1125" s="167"/>
      <c r="O1125" s="167"/>
      <c r="P1125" s="164"/>
      <c r="Q1125" s="165"/>
      <c r="R1125" s="165"/>
      <c r="S1125" s="167"/>
      <c r="T1125" s="167"/>
      <c r="U1125" s="167"/>
      <c r="V1125" s="168"/>
      <c r="W1125" s="168"/>
      <c r="X1125" s="168"/>
      <c r="Y1125" s="168"/>
      <c r="Z1125" s="168"/>
      <c r="AA1125" s="168"/>
      <c r="AB1125" s="164"/>
      <c r="AC1125" s="165"/>
      <c r="AD1125" s="165"/>
      <c r="AE1125" s="169"/>
      <c r="AF1125" s="169"/>
      <c r="AG1125" s="169"/>
      <c r="AH1125" s="168"/>
      <c r="AI1125" s="168"/>
      <c r="AJ1125" s="168"/>
      <c r="AK1125" s="170"/>
      <c r="AL1125" s="170"/>
    </row>
    <row r="1126" ht="15.75" customHeight="1">
      <c r="A1126" s="161"/>
      <c r="B1126" s="161"/>
      <c r="C1126" s="162"/>
      <c r="D1126" s="163"/>
      <c r="E1126" s="164"/>
      <c r="F1126" s="165"/>
      <c r="G1126" s="166"/>
      <c r="H1126" s="167"/>
      <c r="I1126" s="167"/>
      <c r="J1126" s="167"/>
      <c r="K1126" s="167"/>
      <c r="L1126" s="167"/>
      <c r="M1126" s="167"/>
      <c r="N1126" s="167"/>
      <c r="O1126" s="167"/>
      <c r="P1126" s="164"/>
      <c r="Q1126" s="165"/>
      <c r="R1126" s="165"/>
      <c r="S1126" s="167"/>
      <c r="T1126" s="167"/>
      <c r="U1126" s="167"/>
      <c r="V1126" s="168"/>
      <c r="W1126" s="168"/>
      <c r="X1126" s="168"/>
      <c r="Y1126" s="168"/>
      <c r="Z1126" s="168"/>
      <c r="AA1126" s="168"/>
      <c r="AB1126" s="164"/>
      <c r="AC1126" s="165"/>
      <c r="AD1126" s="165"/>
      <c r="AE1126" s="169"/>
      <c r="AF1126" s="169"/>
      <c r="AG1126" s="169"/>
      <c r="AH1126" s="168"/>
      <c r="AI1126" s="168"/>
      <c r="AJ1126" s="168"/>
      <c r="AK1126" s="170"/>
      <c r="AL1126" s="170"/>
    </row>
    <row r="1127" ht="15.75" customHeight="1">
      <c r="A1127" s="161"/>
      <c r="B1127" s="161"/>
      <c r="C1127" s="162"/>
      <c r="D1127" s="163"/>
      <c r="E1127" s="164"/>
      <c r="F1127" s="165"/>
      <c r="G1127" s="166"/>
      <c r="H1127" s="167"/>
      <c r="I1127" s="167"/>
      <c r="J1127" s="167"/>
      <c r="K1127" s="167"/>
      <c r="L1127" s="167"/>
      <c r="M1127" s="167"/>
      <c r="N1127" s="167"/>
      <c r="O1127" s="167"/>
      <c r="P1127" s="164"/>
      <c r="Q1127" s="165"/>
      <c r="R1127" s="165"/>
      <c r="S1127" s="167"/>
      <c r="T1127" s="167"/>
      <c r="U1127" s="167"/>
      <c r="V1127" s="168"/>
      <c r="W1127" s="168"/>
      <c r="X1127" s="168"/>
      <c r="Y1127" s="168"/>
      <c r="Z1127" s="168"/>
      <c r="AA1127" s="168"/>
      <c r="AB1127" s="164"/>
      <c r="AC1127" s="165"/>
      <c r="AD1127" s="165"/>
      <c r="AE1127" s="169"/>
      <c r="AF1127" s="169"/>
      <c r="AG1127" s="169"/>
      <c r="AH1127" s="168"/>
      <c r="AI1127" s="168"/>
      <c r="AJ1127" s="168"/>
      <c r="AK1127" s="170"/>
      <c r="AL1127" s="170"/>
    </row>
    <row r="1128" ht="15.75" customHeight="1">
      <c r="A1128" s="161"/>
      <c r="B1128" s="161"/>
      <c r="C1128" s="162"/>
      <c r="D1128" s="163"/>
      <c r="E1128" s="164"/>
      <c r="F1128" s="165"/>
      <c r="G1128" s="166"/>
      <c r="H1128" s="167"/>
      <c r="I1128" s="167"/>
      <c r="J1128" s="167"/>
      <c r="K1128" s="167"/>
      <c r="L1128" s="167"/>
      <c r="M1128" s="167"/>
      <c r="N1128" s="167"/>
      <c r="O1128" s="167"/>
      <c r="P1128" s="164"/>
      <c r="Q1128" s="165"/>
      <c r="R1128" s="165"/>
      <c r="S1128" s="167"/>
      <c r="T1128" s="167"/>
      <c r="U1128" s="167"/>
      <c r="V1128" s="168"/>
      <c r="W1128" s="168"/>
      <c r="X1128" s="168"/>
      <c r="Y1128" s="168"/>
      <c r="Z1128" s="168"/>
      <c r="AA1128" s="168"/>
      <c r="AB1128" s="164"/>
      <c r="AC1128" s="165"/>
      <c r="AD1128" s="165"/>
      <c r="AE1128" s="169"/>
      <c r="AF1128" s="169"/>
      <c r="AG1128" s="169"/>
      <c r="AH1128" s="168"/>
      <c r="AI1128" s="168"/>
      <c r="AJ1128" s="168"/>
      <c r="AK1128" s="170"/>
      <c r="AL1128" s="170"/>
    </row>
    <row r="1129" ht="15.75" customHeight="1">
      <c r="A1129" s="161"/>
      <c r="B1129" s="161"/>
      <c r="C1129" s="162"/>
      <c r="D1129" s="163"/>
      <c r="E1129" s="164"/>
      <c r="F1129" s="165"/>
      <c r="G1129" s="166"/>
      <c r="H1129" s="167"/>
      <c r="I1129" s="167"/>
      <c r="J1129" s="167"/>
      <c r="K1129" s="167"/>
      <c r="L1129" s="167"/>
      <c r="M1129" s="167"/>
      <c r="N1129" s="167"/>
      <c r="O1129" s="167"/>
      <c r="P1129" s="164"/>
      <c r="Q1129" s="165"/>
      <c r="R1129" s="165"/>
      <c r="S1129" s="167"/>
      <c r="T1129" s="167"/>
      <c r="U1129" s="167"/>
      <c r="V1129" s="168"/>
      <c r="W1129" s="168"/>
      <c r="X1129" s="168"/>
      <c r="Y1129" s="168"/>
      <c r="Z1129" s="168"/>
      <c r="AA1129" s="168"/>
      <c r="AB1129" s="164"/>
      <c r="AC1129" s="165"/>
      <c r="AD1129" s="165"/>
      <c r="AE1129" s="169"/>
      <c r="AF1129" s="169"/>
      <c r="AG1129" s="169"/>
      <c r="AH1129" s="168"/>
      <c r="AI1129" s="168"/>
      <c r="AJ1129" s="168"/>
      <c r="AK1129" s="170"/>
      <c r="AL1129" s="170"/>
    </row>
    <row r="1130" ht="15.75" customHeight="1">
      <c r="A1130" s="161"/>
      <c r="B1130" s="161"/>
      <c r="C1130" s="162"/>
      <c r="D1130" s="163"/>
      <c r="E1130" s="164"/>
      <c r="F1130" s="165"/>
      <c r="G1130" s="166"/>
      <c r="H1130" s="167"/>
      <c r="I1130" s="167"/>
      <c r="J1130" s="167"/>
      <c r="K1130" s="167"/>
      <c r="L1130" s="167"/>
      <c r="M1130" s="167"/>
      <c r="N1130" s="167"/>
      <c r="O1130" s="167"/>
      <c r="P1130" s="164"/>
      <c r="Q1130" s="165"/>
      <c r="R1130" s="165"/>
      <c r="S1130" s="167"/>
      <c r="T1130" s="167"/>
      <c r="U1130" s="167"/>
      <c r="V1130" s="168"/>
      <c r="W1130" s="168"/>
      <c r="X1130" s="168"/>
      <c r="Y1130" s="168"/>
      <c r="Z1130" s="168"/>
      <c r="AA1130" s="168"/>
      <c r="AB1130" s="164"/>
      <c r="AC1130" s="165"/>
      <c r="AD1130" s="165"/>
      <c r="AE1130" s="169"/>
      <c r="AF1130" s="169"/>
      <c r="AG1130" s="169"/>
      <c r="AH1130" s="168"/>
      <c r="AI1130" s="168"/>
      <c r="AJ1130" s="168"/>
      <c r="AK1130" s="170"/>
      <c r="AL1130" s="170"/>
    </row>
    <row r="1131" ht="15.75" customHeight="1">
      <c r="A1131" s="161"/>
      <c r="B1131" s="161"/>
      <c r="C1131" s="162"/>
      <c r="D1131" s="163"/>
      <c r="E1131" s="164"/>
      <c r="F1131" s="165"/>
      <c r="G1131" s="166"/>
      <c r="H1131" s="167"/>
      <c r="I1131" s="167"/>
      <c r="J1131" s="167"/>
      <c r="K1131" s="167"/>
      <c r="L1131" s="167"/>
      <c r="M1131" s="167"/>
      <c r="N1131" s="167"/>
      <c r="O1131" s="167"/>
      <c r="P1131" s="164"/>
      <c r="Q1131" s="165"/>
      <c r="R1131" s="165"/>
      <c r="S1131" s="167"/>
      <c r="T1131" s="167"/>
      <c r="U1131" s="167"/>
      <c r="V1131" s="168"/>
      <c r="W1131" s="168"/>
      <c r="X1131" s="168"/>
      <c r="Y1131" s="168"/>
      <c r="Z1131" s="168"/>
      <c r="AA1131" s="168"/>
      <c r="AB1131" s="164"/>
      <c r="AC1131" s="165"/>
      <c r="AD1131" s="165"/>
      <c r="AE1131" s="169"/>
      <c r="AF1131" s="169"/>
      <c r="AG1131" s="169"/>
      <c r="AH1131" s="168"/>
      <c r="AI1131" s="168"/>
      <c r="AJ1131" s="168"/>
      <c r="AK1131" s="170"/>
      <c r="AL1131" s="170"/>
    </row>
    <row r="1132" ht="15.75" customHeight="1">
      <c r="A1132" s="161"/>
      <c r="B1132" s="161"/>
      <c r="C1132" s="162"/>
      <c r="D1132" s="163"/>
      <c r="E1132" s="164"/>
      <c r="F1132" s="165"/>
      <c r="G1132" s="166"/>
      <c r="H1132" s="167"/>
      <c r="I1132" s="167"/>
      <c r="J1132" s="167"/>
      <c r="K1132" s="167"/>
      <c r="L1132" s="167"/>
      <c r="M1132" s="167"/>
      <c r="N1132" s="167"/>
      <c r="O1132" s="167"/>
      <c r="P1132" s="164"/>
      <c r="Q1132" s="165"/>
      <c r="R1132" s="165"/>
      <c r="S1132" s="167"/>
      <c r="T1132" s="167"/>
      <c r="U1132" s="167"/>
      <c r="V1132" s="168"/>
      <c r="W1132" s="168"/>
      <c r="X1132" s="168"/>
      <c r="Y1132" s="168"/>
      <c r="Z1132" s="168"/>
      <c r="AA1132" s="168"/>
      <c r="AB1132" s="164"/>
      <c r="AC1132" s="165"/>
      <c r="AD1132" s="165"/>
      <c r="AE1132" s="169"/>
      <c r="AF1132" s="169"/>
      <c r="AG1132" s="169"/>
      <c r="AH1132" s="168"/>
      <c r="AI1132" s="168"/>
      <c r="AJ1132" s="168"/>
      <c r="AK1132" s="170"/>
      <c r="AL1132" s="170"/>
    </row>
    <row r="1133" ht="15.75" customHeight="1">
      <c r="A1133" s="161"/>
      <c r="B1133" s="161"/>
      <c r="C1133" s="162"/>
      <c r="D1133" s="163"/>
      <c r="E1133" s="164"/>
      <c r="F1133" s="165"/>
      <c r="G1133" s="166"/>
      <c r="H1133" s="167"/>
      <c r="I1133" s="167"/>
      <c r="J1133" s="167"/>
      <c r="K1133" s="167"/>
      <c r="L1133" s="167"/>
      <c r="M1133" s="167"/>
      <c r="N1133" s="167"/>
      <c r="O1133" s="167"/>
      <c r="P1133" s="164"/>
      <c r="Q1133" s="165"/>
      <c r="R1133" s="165"/>
      <c r="S1133" s="167"/>
      <c r="T1133" s="167"/>
      <c r="U1133" s="167"/>
      <c r="V1133" s="168"/>
      <c r="W1133" s="168"/>
      <c r="X1133" s="168"/>
      <c r="Y1133" s="168"/>
      <c r="Z1133" s="168"/>
      <c r="AA1133" s="168"/>
      <c r="AB1133" s="164"/>
      <c r="AC1133" s="165"/>
      <c r="AD1133" s="165"/>
      <c r="AE1133" s="169"/>
      <c r="AF1133" s="169"/>
      <c r="AG1133" s="169"/>
      <c r="AH1133" s="168"/>
      <c r="AI1133" s="168"/>
      <c r="AJ1133" s="168"/>
      <c r="AK1133" s="170"/>
      <c r="AL1133" s="170"/>
    </row>
    <row r="1134" ht="15.75" customHeight="1">
      <c r="A1134" s="161"/>
      <c r="B1134" s="161"/>
      <c r="C1134" s="162"/>
      <c r="D1134" s="163"/>
      <c r="E1134" s="164"/>
      <c r="F1134" s="165"/>
      <c r="G1134" s="166"/>
      <c r="H1134" s="167"/>
      <c r="I1134" s="167"/>
      <c r="J1134" s="167"/>
      <c r="K1134" s="167"/>
      <c r="L1134" s="167"/>
      <c r="M1134" s="167"/>
      <c r="N1134" s="167"/>
      <c r="O1134" s="167"/>
      <c r="P1134" s="164"/>
      <c r="Q1134" s="165"/>
      <c r="R1134" s="165"/>
      <c r="S1134" s="167"/>
      <c r="T1134" s="167"/>
      <c r="U1134" s="167"/>
      <c r="V1134" s="168"/>
      <c r="W1134" s="168"/>
      <c r="X1134" s="168"/>
      <c r="Y1134" s="168"/>
      <c r="Z1134" s="168"/>
      <c r="AA1134" s="168"/>
      <c r="AB1134" s="164"/>
      <c r="AC1134" s="165"/>
      <c r="AD1134" s="165"/>
      <c r="AE1134" s="169"/>
      <c r="AF1134" s="169"/>
      <c r="AG1134" s="169"/>
      <c r="AH1134" s="168"/>
      <c r="AI1134" s="168"/>
      <c r="AJ1134" s="168"/>
      <c r="AK1134" s="170"/>
      <c r="AL1134" s="170"/>
    </row>
    <row r="1135" ht="15.75" customHeight="1">
      <c r="A1135" s="161"/>
      <c r="B1135" s="161"/>
      <c r="C1135" s="162"/>
      <c r="D1135" s="163"/>
      <c r="E1135" s="164"/>
      <c r="F1135" s="165"/>
      <c r="G1135" s="166"/>
      <c r="H1135" s="167"/>
      <c r="I1135" s="167"/>
      <c r="J1135" s="167"/>
      <c r="K1135" s="167"/>
      <c r="L1135" s="167"/>
      <c r="M1135" s="167"/>
      <c r="N1135" s="167"/>
      <c r="O1135" s="167"/>
      <c r="P1135" s="164"/>
      <c r="Q1135" s="165"/>
      <c r="R1135" s="165"/>
      <c r="S1135" s="167"/>
      <c r="T1135" s="167"/>
      <c r="U1135" s="167"/>
      <c r="V1135" s="168"/>
      <c r="W1135" s="168"/>
      <c r="X1135" s="168"/>
      <c r="Y1135" s="168"/>
      <c r="Z1135" s="168"/>
      <c r="AA1135" s="168"/>
      <c r="AB1135" s="164"/>
      <c r="AC1135" s="165"/>
      <c r="AD1135" s="165"/>
      <c r="AE1135" s="169"/>
      <c r="AF1135" s="169"/>
      <c r="AG1135" s="169"/>
      <c r="AH1135" s="168"/>
      <c r="AI1135" s="168"/>
      <c r="AJ1135" s="168"/>
      <c r="AK1135" s="170"/>
      <c r="AL1135" s="170"/>
    </row>
    <row r="1136" ht="15.75" customHeight="1">
      <c r="A1136" s="161"/>
      <c r="B1136" s="161"/>
      <c r="C1136" s="162"/>
      <c r="D1136" s="163"/>
      <c r="E1136" s="164"/>
      <c r="F1136" s="165"/>
      <c r="G1136" s="166"/>
      <c r="H1136" s="167"/>
      <c r="I1136" s="167"/>
      <c r="J1136" s="167"/>
      <c r="K1136" s="167"/>
      <c r="L1136" s="167"/>
      <c r="M1136" s="167"/>
      <c r="N1136" s="167"/>
      <c r="O1136" s="167"/>
      <c r="P1136" s="164"/>
      <c r="Q1136" s="165"/>
      <c r="R1136" s="165"/>
      <c r="S1136" s="167"/>
      <c r="T1136" s="167"/>
      <c r="U1136" s="167"/>
      <c r="V1136" s="168"/>
      <c r="W1136" s="168"/>
      <c r="X1136" s="168"/>
      <c r="Y1136" s="168"/>
      <c r="Z1136" s="168"/>
      <c r="AA1136" s="168"/>
      <c r="AB1136" s="164"/>
      <c r="AC1136" s="165"/>
      <c r="AD1136" s="165"/>
      <c r="AE1136" s="169"/>
      <c r="AF1136" s="169"/>
      <c r="AG1136" s="169"/>
      <c r="AH1136" s="168"/>
      <c r="AI1136" s="168"/>
      <c r="AJ1136" s="168"/>
      <c r="AK1136" s="170"/>
      <c r="AL1136" s="170"/>
    </row>
    <row r="1137" ht="15.75" customHeight="1">
      <c r="A1137" s="161"/>
      <c r="B1137" s="161"/>
      <c r="C1137" s="162"/>
      <c r="D1137" s="163"/>
      <c r="E1137" s="164"/>
      <c r="F1137" s="165"/>
      <c r="G1137" s="166"/>
      <c r="H1137" s="167"/>
      <c r="I1137" s="167"/>
      <c r="J1137" s="167"/>
      <c r="K1137" s="167"/>
      <c r="L1137" s="167"/>
      <c r="M1137" s="167"/>
      <c r="N1137" s="167"/>
      <c r="O1137" s="167"/>
      <c r="P1137" s="164"/>
      <c r="Q1137" s="165"/>
      <c r="R1137" s="165"/>
      <c r="S1137" s="167"/>
      <c r="T1137" s="167"/>
      <c r="U1137" s="167"/>
      <c r="V1137" s="168"/>
      <c r="W1137" s="168"/>
      <c r="X1137" s="168"/>
      <c r="Y1137" s="168"/>
      <c r="Z1137" s="168"/>
      <c r="AA1137" s="168"/>
      <c r="AB1137" s="164"/>
      <c r="AC1137" s="165"/>
      <c r="AD1137" s="165"/>
      <c r="AE1137" s="169"/>
      <c r="AF1137" s="169"/>
      <c r="AG1137" s="169"/>
      <c r="AH1137" s="168"/>
      <c r="AI1137" s="168"/>
      <c r="AJ1137" s="168"/>
      <c r="AK1137" s="170"/>
      <c r="AL1137" s="170"/>
    </row>
    <row r="1138" ht="15.75" customHeight="1">
      <c r="A1138" s="161"/>
      <c r="B1138" s="161"/>
      <c r="C1138" s="162"/>
      <c r="D1138" s="163"/>
      <c r="E1138" s="164"/>
      <c r="F1138" s="165"/>
      <c r="G1138" s="166"/>
      <c r="H1138" s="167"/>
      <c r="I1138" s="167"/>
      <c r="J1138" s="167"/>
      <c r="K1138" s="167"/>
      <c r="L1138" s="167"/>
      <c r="M1138" s="167"/>
      <c r="N1138" s="167"/>
      <c r="O1138" s="167"/>
      <c r="P1138" s="164"/>
      <c r="Q1138" s="165"/>
      <c r="R1138" s="165"/>
      <c r="S1138" s="167"/>
      <c r="T1138" s="167"/>
      <c r="U1138" s="167"/>
      <c r="V1138" s="168"/>
      <c r="W1138" s="168"/>
      <c r="X1138" s="168"/>
      <c r="Y1138" s="168"/>
      <c r="Z1138" s="168"/>
      <c r="AA1138" s="168"/>
      <c r="AB1138" s="164"/>
      <c r="AC1138" s="165"/>
      <c r="AD1138" s="165"/>
      <c r="AE1138" s="169"/>
      <c r="AF1138" s="169"/>
      <c r="AG1138" s="169"/>
      <c r="AH1138" s="168"/>
      <c r="AI1138" s="168"/>
      <c r="AJ1138" s="168"/>
      <c r="AK1138" s="170"/>
      <c r="AL1138" s="170"/>
    </row>
    <row r="1139" ht="15.75" customHeight="1">
      <c r="A1139" s="161"/>
      <c r="B1139" s="161"/>
      <c r="C1139" s="162"/>
      <c r="D1139" s="163"/>
      <c r="E1139" s="164"/>
      <c r="F1139" s="165"/>
      <c r="G1139" s="166"/>
      <c r="H1139" s="167"/>
      <c r="I1139" s="167"/>
      <c r="J1139" s="167"/>
      <c r="K1139" s="167"/>
      <c r="L1139" s="167"/>
      <c r="M1139" s="167"/>
      <c r="N1139" s="167"/>
      <c r="O1139" s="167"/>
      <c r="P1139" s="164"/>
      <c r="Q1139" s="165"/>
      <c r="R1139" s="165"/>
      <c r="S1139" s="167"/>
      <c r="T1139" s="167"/>
      <c r="U1139" s="167"/>
      <c r="V1139" s="168"/>
      <c r="W1139" s="168"/>
      <c r="X1139" s="168"/>
      <c r="Y1139" s="168"/>
      <c r="Z1139" s="168"/>
      <c r="AA1139" s="168"/>
      <c r="AB1139" s="164"/>
      <c r="AC1139" s="165"/>
      <c r="AD1139" s="165"/>
      <c r="AE1139" s="169"/>
      <c r="AF1139" s="169"/>
      <c r="AG1139" s="169"/>
      <c r="AH1139" s="168"/>
      <c r="AI1139" s="168"/>
      <c r="AJ1139" s="168"/>
      <c r="AK1139" s="170"/>
      <c r="AL1139" s="170"/>
    </row>
    <row r="1140" ht="15.75" customHeight="1">
      <c r="A1140" s="161"/>
      <c r="B1140" s="161"/>
      <c r="C1140" s="162"/>
      <c r="D1140" s="163"/>
      <c r="E1140" s="164"/>
      <c r="F1140" s="165"/>
      <c r="G1140" s="166"/>
      <c r="H1140" s="167"/>
      <c r="I1140" s="167"/>
      <c r="J1140" s="167"/>
      <c r="K1140" s="167"/>
      <c r="L1140" s="167"/>
      <c r="M1140" s="167"/>
      <c r="N1140" s="167"/>
      <c r="O1140" s="167"/>
      <c r="P1140" s="164"/>
      <c r="Q1140" s="165"/>
      <c r="R1140" s="165"/>
      <c r="S1140" s="167"/>
      <c r="T1140" s="167"/>
      <c r="U1140" s="167"/>
      <c r="V1140" s="168"/>
      <c r="W1140" s="168"/>
      <c r="X1140" s="168"/>
      <c r="Y1140" s="168"/>
      <c r="Z1140" s="168"/>
      <c r="AA1140" s="168"/>
      <c r="AB1140" s="164"/>
      <c r="AC1140" s="165"/>
      <c r="AD1140" s="165"/>
      <c r="AE1140" s="169"/>
      <c r="AF1140" s="169"/>
      <c r="AG1140" s="169"/>
      <c r="AH1140" s="168"/>
      <c r="AI1140" s="168"/>
      <c r="AJ1140" s="168"/>
      <c r="AK1140" s="170"/>
      <c r="AL1140" s="170"/>
    </row>
    <row r="1141" ht="15.75" customHeight="1">
      <c r="A1141" s="161"/>
      <c r="B1141" s="161"/>
      <c r="C1141" s="162"/>
      <c r="D1141" s="163"/>
      <c r="E1141" s="164"/>
      <c r="F1141" s="165"/>
      <c r="G1141" s="166"/>
      <c r="H1141" s="167"/>
      <c r="I1141" s="167"/>
      <c r="J1141" s="167"/>
      <c r="K1141" s="167"/>
      <c r="L1141" s="167"/>
      <c r="M1141" s="167"/>
      <c r="N1141" s="167"/>
      <c r="O1141" s="167"/>
      <c r="P1141" s="164"/>
      <c r="Q1141" s="165"/>
      <c r="R1141" s="165"/>
      <c r="S1141" s="167"/>
      <c r="T1141" s="167"/>
      <c r="U1141" s="167"/>
      <c r="V1141" s="168"/>
      <c r="W1141" s="168"/>
      <c r="X1141" s="168"/>
      <c r="Y1141" s="168"/>
      <c r="Z1141" s="168"/>
      <c r="AA1141" s="168"/>
      <c r="AB1141" s="164"/>
      <c r="AC1141" s="165"/>
      <c r="AD1141" s="165"/>
      <c r="AE1141" s="169"/>
      <c r="AF1141" s="169"/>
      <c r="AG1141" s="169"/>
      <c r="AH1141" s="168"/>
      <c r="AI1141" s="168"/>
      <c r="AJ1141" s="168"/>
      <c r="AK1141" s="170"/>
      <c r="AL1141" s="170"/>
    </row>
    <row r="1142" ht="15.75" customHeight="1">
      <c r="A1142" s="161"/>
      <c r="B1142" s="161"/>
      <c r="C1142" s="162"/>
      <c r="D1142" s="163"/>
      <c r="E1142" s="164"/>
      <c r="F1142" s="165"/>
      <c r="G1142" s="166"/>
      <c r="H1142" s="167"/>
      <c r="I1142" s="167"/>
      <c r="J1142" s="167"/>
      <c r="K1142" s="167"/>
      <c r="L1142" s="167"/>
      <c r="M1142" s="167"/>
      <c r="N1142" s="167"/>
      <c r="O1142" s="167"/>
      <c r="P1142" s="164"/>
      <c r="Q1142" s="165"/>
      <c r="R1142" s="165"/>
      <c r="S1142" s="167"/>
      <c r="T1142" s="167"/>
      <c r="U1142" s="167"/>
      <c r="V1142" s="168"/>
      <c r="W1142" s="168"/>
      <c r="X1142" s="168"/>
      <c r="Y1142" s="168"/>
      <c r="Z1142" s="168"/>
      <c r="AA1142" s="168"/>
      <c r="AB1142" s="164"/>
      <c r="AC1142" s="165"/>
      <c r="AD1142" s="165"/>
      <c r="AE1142" s="169"/>
      <c r="AF1142" s="169"/>
      <c r="AG1142" s="169"/>
      <c r="AH1142" s="168"/>
      <c r="AI1142" s="168"/>
      <c r="AJ1142" s="168"/>
      <c r="AK1142" s="170"/>
      <c r="AL1142" s="170"/>
    </row>
    <row r="1143" ht="15.75" customHeight="1">
      <c r="A1143" s="161"/>
      <c r="B1143" s="161"/>
      <c r="C1143" s="162"/>
      <c r="D1143" s="163"/>
      <c r="E1143" s="164"/>
      <c r="F1143" s="165"/>
      <c r="G1143" s="166"/>
      <c r="H1143" s="167"/>
      <c r="I1143" s="167"/>
      <c r="J1143" s="167"/>
      <c r="K1143" s="167"/>
      <c r="L1143" s="167"/>
      <c r="M1143" s="167"/>
      <c r="N1143" s="167"/>
      <c r="O1143" s="167"/>
      <c r="P1143" s="164"/>
      <c r="Q1143" s="165"/>
      <c r="R1143" s="165"/>
      <c r="S1143" s="167"/>
      <c r="T1143" s="167"/>
      <c r="U1143" s="167"/>
      <c r="V1143" s="168"/>
      <c r="W1143" s="168"/>
      <c r="X1143" s="168"/>
      <c r="Y1143" s="168"/>
      <c r="Z1143" s="168"/>
      <c r="AA1143" s="168"/>
      <c r="AB1143" s="164"/>
      <c r="AC1143" s="165"/>
      <c r="AD1143" s="165"/>
      <c r="AE1143" s="169"/>
      <c r="AF1143" s="169"/>
      <c r="AG1143" s="169"/>
      <c r="AH1143" s="168"/>
      <c r="AI1143" s="168"/>
      <c r="AJ1143" s="168"/>
      <c r="AK1143" s="170"/>
      <c r="AL1143" s="170"/>
    </row>
    <row r="1144" ht="15.75" customHeight="1">
      <c r="A1144" s="161"/>
      <c r="B1144" s="161"/>
      <c r="C1144" s="162"/>
      <c r="D1144" s="163"/>
      <c r="E1144" s="164"/>
      <c r="F1144" s="165"/>
      <c r="G1144" s="166"/>
      <c r="H1144" s="167"/>
      <c r="I1144" s="167"/>
      <c r="J1144" s="167"/>
      <c r="K1144" s="167"/>
      <c r="L1144" s="167"/>
      <c r="M1144" s="167"/>
      <c r="N1144" s="167"/>
      <c r="O1144" s="167"/>
      <c r="P1144" s="164"/>
      <c r="Q1144" s="165"/>
      <c r="R1144" s="165"/>
      <c r="S1144" s="167"/>
      <c r="T1144" s="167"/>
      <c r="U1144" s="167"/>
      <c r="V1144" s="168"/>
      <c r="W1144" s="168"/>
      <c r="X1144" s="168"/>
      <c r="Y1144" s="168"/>
      <c r="Z1144" s="168"/>
      <c r="AA1144" s="168"/>
      <c r="AB1144" s="164"/>
      <c r="AC1144" s="165"/>
      <c r="AD1144" s="165"/>
      <c r="AE1144" s="169"/>
      <c r="AF1144" s="169"/>
      <c r="AG1144" s="169"/>
      <c r="AH1144" s="168"/>
      <c r="AI1144" s="168"/>
      <c r="AJ1144" s="168"/>
      <c r="AK1144" s="170"/>
      <c r="AL1144" s="170"/>
    </row>
    <row r="1145" ht="15.75" customHeight="1">
      <c r="A1145" s="161"/>
      <c r="B1145" s="161"/>
      <c r="C1145" s="162"/>
      <c r="D1145" s="163"/>
      <c r="E1145" s="164"/>
      <c r="F1145" s="165"/>
      <c r="G1145" s="166"/>
      <c r="H1145" s="167"/>
      <c r="I1145" s="167"/>
      <c r="J1145" s="167"/>
      <c r="K1145" s="167"/>
      <c r="L1145" s="167"/>
      <c r="M1145" s="167"/>
      <c r="N1145" s="167"/>
      <c r="O1145" s="167"/>
      <c r="P1145" s="164"/>
      <c r="Q1145" s="165"/>
      <c r="R1145" s="165"/>
      <c r="S1145" s="167"/>
      <c r="T1145" s="167"/>
      <c r="U1145" s="167"/>
      <c r="V1145" s="168"/>
      <c r="W1145" s="168"/>
      <c r="X1145" s="168"/>
      <c r="Y1145" s="168"/>
      <c r="Z1145" s="168"/>
      <c r="AA1145" s="168"/>
      <c r="AB1145" s="164"/>
      <c r="AC1145" s="165"/>
      <c r="AD1145" s="165"/>
      <c r="AE1145" s="169"/>
      <c r="AF1145" s="169"/>
      <c r="AG1145" s="169"/>
      <c r="AH1145" s="168"/>
      <c r="AI1145" s="168"/>
      <c r="AJ1145" s="168"/>
      <c r="AK1145" s="170"/>
      <c r="AL1145" s="170"/>
    </row>
    <row r="1146" ht="15.75" customHeight="1">
      <c r="A1146" s="161"/>
      <c r="B1146" s="161"/>
      <c r="C1146" s="162"/>
      <c r="D1146" s="163"/>
      <c r="E1146" s="164"/>
      <c r="F1146" s="165"/>
      <c r="G1146" s="166"/>
      <c r="H1146" s="167"/>
      <c r="I1146" s="167"/>
      <c r="J1146" s="167"/>
      <c r="K1146" s="167"/>
      <c r="L1146" s="167"/>
      <c r="M1146" s="167"/>
      <c r="N1146" s="167"/>
      <c r="O1146" s="167"/>
      <c r="P1146" s="164"/>
      <c r="Q1146" s="165"/>
      <c r="R1146" s="165"/>
      <c r="S1146" s="167"/>
      <c r="T1146" s="167"/>
      <c r="U1146" s="167"/>
      <c r="V1146" s="168"/>
      <c r="W1146" s="168"/>
      <c r="X1146" s="168"/>
      <c r="Y1146" s="168"/>
      <c r="Z1146" s="168"/>
      <c r="AA1146" s="168"/>
      <c r="AB1146" s="164"/>
      <c r="AC1146" s="165"/>
      <c r="AD1146" s="165"/>
      <c r="AE1146" s="169"/>
      <c r="AF1146" s="169"/>
      <c r="AG1146" s="169"/>
      <c r="AH1146" s="168"/>
      <c r="AI1146" s="168"/>
      <c r="AJ1146" s="168"/>
      <c r="AK1146" s="170"/>
      <c r="AL1146" s="170"/>
    </row>
    <row r="1147" ht="15.75" customHeight="1">
      <c r="A1147" s="161"/>
      <c r="B1147" s="161"/>
      <c r="C1147" s="162"/>
      <c r="D1147" s="163"/>
      <c r="E1147" s="164"/>
      <c r="F1147" s="165"/>
      <c r="G1147" s="166"/>
      <c r="H1147" s="167"/>
      <c r="I1147" s="167"/>
      <c r="J1147" s="167"/>
      <c r="K1147" s="167"/>
      <c r="L1147" s="167"/>
      <c r="M1147" s="167"/>
      <c r="N1147" s="167"/>
      <c r="O1147" s="167"/>
      <c r="P1147" s="164"/>
      <c r="Q1147" s="165"/>
      <c r="R1147" s="165"/>
      <c r="S1147" s="167"/>
      <c r="T1147" s="167"/>
      <c r="U1147" s="167"/>
      <c r="V1147" s="168"/>
      <c r="W1147" s="168"/>
      <c r="X1147" s="168"/>
      <c r="Y1147" s="168"/>
      <c r="Z1147" s="168"/>
      <c r="AA1147" s="168"/>
      <c r="AB1147" s="164"/>
      <c r="AC1147" s="165"/>
      <c r="AD1147" s="165"/>
      <c r="AE1147" s="169"/>
      <c r="AF1147" s="169"/>
      <c r="AG1147" s="169"/>
      <c r="AH1147" s="168"/>
      <c r="AI1147" s="168"/>
      <c r="AJ1147" s="168"/>
      <c r="AK1147" s="170"/>
      <c r="AL1147" s="170"/>
    </row>
    <row r="1148" ht="15.75" customHeight="1">
      <c r="A1148" s="161"/>
      <c r="B1148" s="161"/>
      <c r="C1148" s="162"/>
      <c r="D1148" s="163"/>
      <c r="E1148" s="164"/>
      <c r="F1148" s="165"/>
      <c r="G1148" s="166"/>
      <c r="H1148" s="167"/>
      <c r="I1148" s="167"/>
      <c r="J1148" s="167"/>
      <c r="K1148" s="167"/>
      <c r="L1148" s="167"/>
      <c r="M1148" s="167"/>
      <c r="N1148" s="167"/>
      <c r="O1148" s="167"/>
      <c r="P1148" s="164"/>
      <c r="Q1148" s="165"/>
      <c r="R1148" s="165"/>
      <c r="S1148" s="167"/>
      <c r="T1148" s="167"/>
      <c r="U1148" s="167"/>
      <c r="V1148" s="168"/>
      <c r="W1148" s="168"/>
      <c r="X1148" s="168"/>
      <c r="Y1148" s="168"/>
      <c r="Z1148" s="168"/>
      <c r="AA1148" s="168"/>
      <c r="AB1148" s="164"/>
      <c r="AC1148" s="165"/>
      <c r="AD1148" s="165"/>
      <c r="AE1148" s="169"/>
      <c r="AF1148" s="169"/>
      <c r="AG1148" s="169"/>
      <c r="AH1148" s="168"/>
      <c r="AI1148" s="168"/>
      <c r="AJ1148" s="168"/>
      <c r="AK1148" s="170"/>
      <c r="AL1148" s="170"/>
    </row>
    <row r="1149" ht="15.75" customHeight="1">
      <c r="A1149" s="161"/>
      <c r="B1149" s="161"/>
      <c r="C1149" s="162"/>
      <c r="D1149" s="163"/>
      <c r="E1149" s="164"/>
      <c r="F1149" s="165"/>
      <c r="G1149" s="166"/>
      <c r="H1149" s="167"/>
      <c r="I1149" s="167"/>
      <c r="J1149" s="167"/>
      <c r="K1149" s="167"/>
      <c r="L1149" s="167"/>
      <c r="M1149" s="167"/>
      <c r="N1149" s="167"/>
      <c r="O1149" s="167"/>
      <c r="P1149" s="164"/>
      <c r="Q1149" s="165"/>
      <c r="R1149" s="165"/>
      <c r="S1149" s="167"/>
      <c r="T1149" s="167"/>
      <c r="U1149" s="167"/>
      <c r="V1149" s="168"/>
      <c r="W1149" s="168"/>
      <c r="X1149" s="168"/>
      <c r="Y1149" s="168"/>
      <c r="Z1149" s="168"/>
      <c r="AA1149" s="168"/>
      <c r="AB1149" s="164"/>
      <c r="AC1149" s="165"/>
      <c r="AD1149" s="165"/>
      <c r="AE1149" s="169"/>
      <c r="AF1149" s="169"/>
      <c r="AG1149" s="169"/>
      <c r="AH1149" s="168"/>
      <c r="AI1149" s="168"/>
      <c r="AJ1149" s="168"/>
      <c r="AK1149" s="170"/>
      <c r="AL1149" s="170"/>
    </row>
    <row r="1150" ht="15.75" customHeight="1">
      <c r="A1150" s="161"/>
      <c r="B1150" s="161"/>
      <c r="C1150" s="162"/>
      <c r="D1150" s="163"/>
      <c r="E1150" s="164"/>
      <c r="F1150" s="165"/>
      <c r="G1150" s="166"/>
      <c r="H1150" s="167"/>
      <c r="I1150" s="167"/>
      <c r="J1150" s="167"/>
      <c r="K1150" s="167"/>
      <c r="L1150" s="167"/>
      <c r="M1150" s="167"/>
      <c r="N1150" s="167"/>
      <c r="O1150" s="167"/>
      <c r="P1150" s="164"/>
      <c r="Q1150" s="165"/>
      <c r="R1150" s="165"/>
      <c r="S1150" s="167"/>
      <c r="T1150" s="167"/>
      <c r="U1150" s="167"/>
      <c r="V1150" s="168"/>
      <c r="W1150" s="168"/>
      <c r="X1150" s="168"/>
      <c r="Y1150" s="168"/>
      <c r="Z1150" s="168"/>
      <c r="AA1150" s="168"/>
      <c r="AB1150" s="164"/>
      <c r="AC1150" s="165"/>
      <c r="AD1150" s="165"/>
      <c r="AE1150" s="169"/>
      <c r="AF1150" s="169"/>
      <c r="AG1150" s="169"/>
      <c r="AH1150" s="168"/>
      <c r="AI1150" s="168"/>
      <c r="AJ1150" s="168"/>
      <c r="AK1150" s="170"/>
      <c r="AL1150" s="170"/>
    </row>
    <row r="1151" ht="15.75" customHeight="1">
      <c r="A1151" s="161"/>
      <c r="B1151" s="161"/>
      <c r="C1151" s="162"/>
      <c r="D1151" s="163"/>
      <c r="E1151" s="164"/>
      <c r="F1151" s="165"/>
      <c r="G1151" s="166"/>
      <c r="H1151" s="167"/>
      <c r="I1151" s="167"/>
      <c r="J1151" s="167"/>
      <c r="K1151" s="167"/>
      <c r="L1151" s="167"/>
      <c r="M1151" s="167"/>
      <c r="N1151" s="167"/>
      <c r="O1151" s="167"/>
      <c r="P1151" s="164"/>
      <c r="Q1151" s="165"/>
      <c r="R1151" s="165"/>
      <c r="S1151" s="167"/>
      <c r="T1151" s="167"/>
      <c r="U1151" s="167"/>
      <c r="V1151" s="168"/>
      <c r="W1151" s="168"/>
      <c r="X1151" s="168"/>
      <c r="Y1151" s="168"/>
      <c r="Z1151" s="168"/>
      <c r="AA1151" s="168"/>
      <c r="AB1151" s="164"/>
      <c r="AC1151" s="165"/>
      <c r="AD1151" s="165"/>
      <c r="AE1151" s="169"/>
      <c r="AF1151" s="169"/>
      <c r="AG1151" s="169"/>
      <c r="AH1151" s="168"/>
      <c r="AI1151" s="168"/>
      <c r="AJ1151" s="168"/>
      <c r="AK1151" s="170"/>
      <c r="AL1151" s="170"/>
    </row>
    <row r="1152" ht="15.75" customHeight="1">
      <c r="A1152" s="161"/>
      <c r="B1152" s="161"/>
      <c r="C1152" s="162"/>
      <c r="D1152" s="163"/>
      <c r="E1152" s="164"/>
      <c r="F1152" s="165"/>
      <c r="G1152" s="166"/>
      <c r="H1152" s="167"/>
      <c r="I1152" s="167"/>
      <c r="J1152" s="167"/>
      <c r="K1152" s="167"/>
      <c r="L1152" s="167"/>
      <c r="M1152" s="167"/>
      <c r="N1152" s="167"/>
      <c r="O1152" s="167"/>
      <c r="P1152" s="164"/>
      <c r="Q1152" s="165"/>
      <c r="R1152" s="165"/>
      <c r="S1152" s="167"/>
      <c r="T1152" s="167"/>
      <c r="U1152" s="167"/>
      <c r="V1152" s="168"/>
      <c r="W1152" s="168"/>
      <c r="X1152" s="168"/>
      <c r="Y1152" s="168"/>
      <c r="Z1152" s="168"/>
      <c r="AA1152" s="168"/>
      <c r="AB1152" s="164"/>
      <c r="AC1152" s="165"/>
      <c r="AD1152" s="165"/>
      <c r="AE1152" s="169"/>
      <c r="AF1152" s="169"/>
      <c r="AG1152" s="169"/>
      <c r="AH1152" s="168"/>
      <c r="AI1152" s="168"/>
      <c r="AJ1152" s="168"/>
      <c r="AK1152" s="170"/>
      <c r="AL1152" s="170"/>
    </row>
    <row r="1153" ht="15.75" customHeight="1">
      <c r="A1153" s="161"/>
      <c r="B1153" s="161"/>
      <c r="C1153" s="162"/>
      <c r="D1153" s="163"/>
      <c r="E1153" s="164"/>
      <c r="F1153" s="165"/>
      <c r="G1153" s="166"/>
      <c r="H1153" s="167"/>
      <c r="I1153" s="167"/>
      <c r="J1153" s="167"/>
      <c r="K1153" s="167"/>
      <c r="L1153" s="167"/>
      <c r="M1153" s="167"/>
      <c r="N1153" s="167"/>
      <c r="O1153" s="167"/>
      <c r="P1153" s="164"/>
      <c r="Q1153" s="165"/>
      <c r="R1153" s="165"/>
      <c r="S1153" s="167"/>
      <c r="T1153" s="167"/>
      <c r="U1153" s="167"/>
      <c r="V1153" s="168"/>
      <c r="W1153" s="168"/>
      <c r="X1153" s="168"/>
      <c r="Y1153" s="168"/>
      <c r="Z1153" s="168"/>
      <c r="AA1153" s="168"/>
      <c r="AB1153" s="164"/>
      <c r="AC1153" s="165"/>
      <c r="AD1153" s="165"/>
      <c r="AE1153" s="169"/>
      <c r="AF1153" s="169"/>
      <c r="AG1153" s="169"/>
      <c r="AH1153" s="168"/>
      <c r="AI1153" s="168"/>
      <c r="AJ1153" s="168"/>
      <c r="AK1153" s="170"/>
      <c r="AL1153" s="170"/>
    </row>
    <row r="1154" ht="15.75" customHeight="1">
      <c r="A1154" s="161"/>
      <c r="B1154" s="161"/>
      <c r="C1154" s="162"/>
      <c r="D1154" s="163"/>
      <c r="E1154" s="164"/>
      <c r="F1154" s="165"/>
      <c r="G1154" s="166"/>
      <c r="H1154" s="167"/>
      <c r="I1154" s="167"/>
      <c r="J1154" s="167"/>
      <c r="K1154" s="167"/>
      <c r="L1154" s="167"/>
      <c r="M1154" s="167"/>
      <c r="N1154" s="167"/>
      <c r="O1154" s="167"/>
      <c r="P1154" s="164"/>
      <c r="Q1154" s="165"/>
      <c r="R1154" s="165"/>
      <c r="S1154" s="167"/>
      <c r="T1154" s="167"/>
      <c r="U1154" s="167"/>
      <c r="V1154" s="168"/>
      <c r="W1154" s="168"/>
      <c r="X1154" s="168"/>
      <c r="Y1154" s="168"/>
      <c r="Z1154" s="168"/>
      <c r="AA1154" s="168"/>
      <c r="AB1154" s="164"/>
      <c r="AC1154" s="165"/>
      <c r="AD1154" s="165"/>
      <c r="AE1154" s="169"/>
      <c r="AF1154" s="169"/>
      <c r="AG1154" s="169"/>
      <c r="AH1154" s="168"/>
      <c r="AI1154" s="168"/>
      <c r="AJ1154" s="168"/>
      <c r="AK1154" s="170"/>
      <c r="AL1154" s="170"/>
    </row>
    <row r="1155" ht="15.75" customHeight="1">
      <c r="A1155" s="161"/>
      <c r="B1155" s="161"/>
      <c r="C1155" s="162"/>
      <c r="D1155" s="163"/>
      <c r="E1155" s="164"/>
      <c r="F1155" s="165"/>
      <c r="G1155" s="166"/>
      <c r="H1155" s="167"/>
      <c r="I1155" s="167"/>
      <c r="J1155" s="167"/>
      <c r="K1155" s="167"/>
      <c r="L1155" s="167"/>
      <c r="M1155" s="167"/>
      <c r="N1155" s="167"/>
      <c r="O1155" s="167"/>
      <c r="P1155" s="164"/>
      <c r="Q1155" s="165"/>
      <c r="R1155" s="165"/>
      <c r="S1155" s="167"/>
      <c r="T1155" s="167"/>
      <c r="U1155" s="167"/>
      <c r="V1155" s="168"/>
      <c r="W1155" s="168"/>
      <c r="X1155" s="168"/>
      <c r="Y1155" s="168"/>
      <c r="Z1155" s="168"/>
      <c r="AA1155" s="168"/>
      <c r="AB1155" s="164"/>
      <c r="AC1155" s="165"/>
      <c r="AD1155" s="165"/>
      <c r="AE1155" s="169"/>
      <c r="AF1155" s="169"/>
      <c r="AG1155" s="169"/>
      <c r="AH1155" s="168"/>
      <c r="AI1155" s="168"/>
      <c r="AJ1155" s="168"/>
      <c r="AK1155" s="170"/>
      <c r="AL1155" s="170"/>
    </row>
    <row r="1156" ht="15.75" customHeight="1">
      <c r="A1156" s="161"/>
      <c r="B1156" s="161"/>
      <c r="C1156" s="162"/>
      <c r="D1156" s="163"/>
      <c r="E1156" s="164"/>
      <c r="F1156" s="165"/>
      <c r="G1156" s="166"/>
      <c r="H1156" s="167"/>
      <c r="I1156" s="167"/>
      <c r="J1156" s="167"/>
      <c r="K1156" s="167"/>
      <c r="L1156" s="167"/>
      <c r="M1156" s="167"/>
      <c r="N1156" s="167"/>
      <c r="O1156" s="167"/>
      <c r="P1156" s="164"/>
      <c r="Q1156" s="165"/>
      <c r="R1156" s="165"/>
      <c r="S1156" s="167"/>
      <c r="T1156" s="167"/>
      <c r="U1156" s="167"/>
      <c r="V1156" s="168"/>
      <c r="W1156" s="168"/>
      <c r="X1156" s="168"/>
      <c r="Y1156" s="168"/>
      <c r="Z1156" s="168"/>
      <c r="AA1156" s="168"/>
      <c r="AB1156" s="164"/>
      <c r="AC1156" s="165"/>
      <c r="AD1156" s="165"/>
      <c r="AE1156" s="169"/>
      <c r="AF1156" s="169"/>
      <c r="AG1156" s="169"/>
      <c r="AH1156" s="168"/>
      <c r="AI1156" s="168"/>
      <c r="AJ1156" s="168"/>
      <c r="AK1156" s="170"/>
      <c r="AL1156" s="170"/>
    </row>
    <row r="1157" ht="15.75" customHeight="1">
      <c r="A1157" s="161"/>
      <c r="B1157" s="161"/>
      <c r="C1157" s="162"/>
      <c r="D1157" s="163"/>
      <c r="E1157" s="164"/>
      <c r="F1157" s="165"/>
      <c r="G1157" s="166"/>
      <c r="H1157" s="167"/>
      <c r="I1157" s="167"/>
      <c r="J1157" s="167"/>
      <c r="K1157" s="167"/>
      <c r="L1157" s="167"/>
      <c r="M1157" s="167"/>
      <c r="N1157" s="167"/>
      <c r="O1157" s="167"/>
      <c r="P1157" s="164"/>
      <c r="Q1157" s="165"/>
      <c r="R1157" s="165"/>
      <c r="S1157" s="167"/>
      <c r="T1157" s="167"/>
      <c r="U1157" s="167"/>
      <c r="V1157" s="168"/>
      <c r="W1157" s="168"/>
      <c r="X1157" s="168"/>
      <c r="Y1157" s="168"/>
      <c r="Z1157" s="168"/>
      <c r="AA1157" s="168"/>
      <c r="AB1157" s="164"/>
      <c r="AC1157" s="165"/>
      <c r="AD1157" s="165"/>
      <c r="AE1157" s="169"/>
      <c r="AF1157" s="169"/>
      <c r="AG1157" s="169"/>
      <c r="AH1157" s="168"/>
      <c r="AI1157" s="168"/>
      <c r="AJ1157" s="168"/>
      <c r="AK1157" s="170"/>
      <c r="AL1157" s="170"/>
    </row>
    <row r="1158" ht="15.75" customHeight="1">
      <c r="A1158" s="161"/>
      <c r="B1158" s="161"/>
      <c r="C1158" s="162"/>
      <c r="D1158" s="163"/>
      <c r="E1158" s="164"/>
      <c r="F1158" s="165"/>
      <c r="G1158" s="166"/>
      <c r="H1158" s="167"/>
      <c r="I1158" s="167"/>
      <c r="J1158" s="167"/>
      <c r="K1158" s="167"/>
      <c r="L1158" s="167"/>
      <c r="M1158" s="167"/>
      <c r="N1158" s="167"/>
      <c r="O1158" s="167"/>
      <c r="P1158" s="164"/>
      <c r="Q1158" s="165"/>
      <c r="R1158" s="165"/>
      <c r="S1158" s="167"/>
      <c r="T1158" s="167"/>
      <c r="U1158" s="167"/>
      <c r="V1158" s="168"/>
      <c r="W1158" s="168"/>
      <c r="X1158" s="168"/>
      <c r="Y1158" s="168"/>
      <c r="Z1158" s="168"/>
      <c r="AA1158" s="168"/>
      <c r="AB1158" s="164"/>
      <c r="AC1158" s="165"/>
      <c r="AD1158" s="165"/>
      <c r="AE1158" s="169"/>
      <c r="AF1158" s="169"/>
      <c r="AG1158" s="169"/>
      <c r="AH1158" s="168"/>
      <c r="AI1158" s="168"/>
      <c r="AJ1158" s="168"/>
      <c r="AK1158" s="170"/>
      <c r="AL1158" s="170"/>
    </row>
    <row r="1159" ht="15.75" customHeight="1">
      <c r="A1159" s="161"/>
      <c r="B1159" s="161"/>
      <c r="C1159" s="162"/>
      <c r="D1159" s="163"/>
      <c r="E1159" s="164"/>
      <c r="F1159" s="165"/>
      <c r="G1159" s="166"/>
      <c r="H1159" s="167"/>
      <c r="I1159" s="167"/>
      <c r="J1159" s="167"/>
      <c r="K1159" s="167"/>
      <c r="L1159" s="167"/>
      <c r="M1159" s="167"/>
      <c r="N1159" s="167"/>
      <c r="O1159" s="167"/>
      <c r="P1159" s="164"/>
      <c r="Q1159" s="165"/>
      <c r="R1159" s="165"/>
      <c r="S1159" s="167"/>
      <c r="T1159" s="167"/>
      <c r="U1159" s="167"/>
      <c r="V1159" s="168"/>
      <c r="W1159" s="168"/>
      <c r="X1159" s="168"/>
      <c r="Y1159" s="168"/>
      <c r="Z1159" s="168"/>
      <c r="AA1159" s="168"/>
      <c r="AB1159" s="164"/>
      <c r="AC1159" s="165"/>
      <c r="AD1159" s="165"/>
      <c r="AE1159" s="169"/>
      <c r="AF1159" s="169"/>
      <c r="AG1159" s="169"/>
      <c r="AH1159" s="168"/>
      <c r="AI1159" s="168"/>
      <c r="AJ1159" s="168"/>
      <c r="AK1159" s="170"/>
      <c r="AL1159" s="170"/>
    </row>
    <row r="1160" ht="15.75" customHeight="1">
      <c r="A1160" s="161"/>
      <c r="B1160" s="161"/>
      <c r="C1160" s="162"/>
      <c r="D1160" s="163"/>
      <c r="E1160" s="164"/>
      <c r="F1160" s="165"/>
      <c r="G1160" s="166"/>
      <c r="H1160" s="167"/>
      <c r="I1160" s="167"/>
      <c r="J1160" s="167"/>
      <c r="K1160" s="167"/>
      <c r="L1160" s="167"/>
      <c r="M1160" s="167"/>
      <c r="N1160" s="167"/>
      <c r="O1160" s="167"/>
      <c r="P1160" s="164"/>
      <c r="Q1160" s="165"/>
      <c r="R1160" s="165"/>
      <c r="S1160" s="167"/>
      <c r="T1160" s="167"/>
      <c r="U1160" s="167"/>
      <c r="V1160" s="168"/>
      <c r="W1160" s="168"/>
      <c r="X1160" s="168"/>
      <c r="Y1160" s="168"/>
      <c r="Z1160" s="168"/>
      <c r="AA1160" s="168"/>
      <c r="AB1160" s="164"/>
      <c r="AC1160" s="165"/>
      <c r="AD1160" s="165"/>
      <c r="AE1160" s="169"/>
      <c r="AF1160" s="169"/>
      <c r="AG1160" s="169"/>
      <c r="AH1160" s="168"/>
      <c r="AI1160" s="168"/>
      <c r="AJ1160" s="168"/>
      <c r="AK1160" s="170"/>
      <c r="AL1160" s="170"/>
    </row>
    <row r="1161" ht="15.75" customHeight="1">
      <c r="A1161" s="161"/>
      <c r="B1161" s="161"/>
      <c r="C1161" s="162"/>
      <c r="D1161" s="163"/>
      <c r="E1161" s="164"/>
      <c r="F1161" s="165"/>
      <c r="G1161" s="166"/>
      <c r="H1161" s="167"/>
      <c r="I1161" s="167"/>
      <c r="J1161" s="167"/>
      <c r="K1161" s="167"/>
      <c r="L1161" s="167"/>
      <c r="M1161" s="167"/>
      <c r="N1161" s="167"/>
      <c r="O1161" s="167"/>
      <c r="P1161" s="164"/>
      <c r="Q1161" s="165"/>
      <c r="R1161" s="165"/>
      <c r="S1161" s="167"/>
      <c r="T1161" s="167"/>
      <c r="U1161" s="167"/>
      <c r="V1161" s="168"/>
      <c r="W1161" s="168"/>
      <c r="X1161" s="168"/>
      <c r="Y1161" s="168"/>
      <c r="Z1161" s="168"/>
      <c r="AA1161" s="168"/>
      <c r="AB1161" s="164"/>
      <c r="AC1161" s="165"/>
      <c r="AD1161" s="165"/>
      <c r="AE1161" s="169"/>
      <c r="AF1161" s="169"/>
      <c r="AG1161" s="169"/>
      <c r="AH1161" s="168"/>
      <c r="AI1161" s="168"/>
      <c r="AJ1161" s="168"/>
      <c r="AK1161" s="170"/>
      <c r="AL1161" s="170"/>
    </row>
    <row r="1162" ht="15.75" customHeight="1">
      <c r="A1162" s="161"/>
      <c r="B1162" s="161"/>
      <c r="C1162" s="162"/>
      <c r="D1162" s="163"/>
      <c r="E1162" s="164"/>
      <c r="F1162" s="165"/>
      <c r="G1162" s="166"/>
      <c r="H1162" s="167"/>
      <c r="I1162" s="167"/>
      <c r="J1162" s="167"/>
      <c r="K1162" s="167"/>
      <c r="L1162" s="167"/>
      <c r="M1162" s="167"/>
      <c r="N1162" s="167"/>
      <c r="O1162" s="167"/>
      <c r="P1162" s="164"/>
      <c r="Q1162" s="165"/>
      <c r="R1162" s="165"/>
      <c r="S1162" s="167"/>
      <c r="T1162" s="167"/>
      <c r="U1162" s="167"/>
      <c r="V1162" s="168"/>
      <c r="W1162" s="168"/>
      <c r="X1162" s="168"/>
      <c r="Y1162" s="168"/>
      <c r="Z1162" s="168"/>
      <c r="AA1162" s="168"/>
      <c r="AB1162" s="164"/>
      <c r="AC1162" s="165"/>
      <c r="AD1162" s="165"/>
      <c r="AE1162" s="169"/>
      <c r="AF1162" s="169"/>
      <c r="AG1162" s="169"/>
      <c r="AH1162" s="168"/>
      <c r="AI1162" s="168"/>
      <c r="AJ1162" s="168"/>
      <c r="AK1162" s="170"/>
      <c r="AL1162" s="170"/>
    </row>
    <row r="1163" ht="15.75" customHeight="1">
      <c r="A1163" s="161"/>
      <c r="B1163" s="161"/>
      <c r="C1163" s="162"/>
      <c r="D1163" s="163"/>
      <c r="E1163" s="164"/>
      <c r="F1163" s="165"/>
      <c r="G1163" s="166"/>
      <c r="H1163" s="167"/>
      <c r="I1163" s="167"/>
      <c r="J1163" s="167"/>
      <c r="K1163" s="167"/>
      <c r="L1163" s="167"/>
      <c r="M1163" s="167"/>
      <c r="N1163" s="167"/>
      <c r="O1163" s="167"/>
      <c r="P1163" s="164"/>
      <c r="Q1163" s="165"/>
      <c r="R1163" s="165"/>
      <c r="S1163" s="167"/>
      <c r="T1163" s="167"/>
      <c r="U1163" s="167"/>
      <c r="V1163" s="168"/>
      <c r="W1163" s="168"/>
      <c r="X1163" s="168"/>
      <c r="Y1163" s="168"/>
      <c r="Z1163" s="168"/>
      <c r="AA1163" s="168"/>
      <c r="AB1163" s="164"/>
      <c r="AC1163" s="165"/>
      <c r="AD1163" s="165"/>
      <c r="AE1163" s="169"/>
      <c r="AF1163" s="169"/>
      <c r="AG1163" s="169"/>
      <c r="AH1163" s="168"/>
      <c r="AI1163" s="168"/>
      <c r="AJ1163" s="168"/>
      <c r="AK1163" s="170"/>
      <c r="AL1163" s="170"/>
    </row>
    <row r="1164" ht="15.75" customHeight="1">
      <c r="A1164" s="161"/>
      <c r="B1164" s="161"/>
      <c r="C1164" s="162"/>
      <c r="D1164" s="163"/>
      <c r="E1164" s="164"/>
      <c r="F1164" s="165"/>
      <c r="G1164" s="166"/>
      <c r="H1164" s="167"/>
      <c r="I1164" s="167"/>
      <c r="J1164" s="167"/>
      <c r="K1164" s="167"/>
      <c r="L1164" s="167"/>
      <c r="M1164" s="167"/>
      <c r="N1164" s="167"/>
      <c r="O1164" s="167"/>
      <c r="P1164" s="164"/>
      <c r="Q1164" s="165"/>
      <c r="R1164" s="165"/>
      <c r="S1164" s="167"/>
      <c r="T1164" s="167"/>
      <c r="U1164" s="167"/>
      <c r="V1164" s="168"/>
      <c r="W1164" s="168"/>
      <c r="X1164" s="168"/>
      <c r="Y1164" s="168"/>
      <c r="Z1164" s="168"/>
      <c r="AA1164" s="168"/>
      <c r="AB1164" s="164"/>
      <c r="AC1164" s="165"/>
      <c r="AD1164" s="165"/>
      <c r="AE1164" s="169"/>
      <c r="AF1164" s="169"/>
      <c r="AG1164" s="169"/>
      <c r="AH1164" s="168"/>
      <c r="AI1164" s="168"/>
      <c r="AJ1164" s="168"/>
      <c r="AK1164" s="170"/>
      <c r="AL1164" s="170"/>
    </row>
    <row r="1165" ht="15.75" customHeight="1">
      <c r="A1165" s="161"/>
      <c r="B1165" s="161"/>
      <c r="C1165" s="162"/>
      <c r="D1165" s="163"/>
      <c r="E1165" s="164"/>
      <c r="F1165" s="165"/>
      <c r="G1165" s="166"/>
      <c r="H1165" s="167"/>
      <c r="I1165" s="167"/>
      <c r="J1165" s="167"/>
      <c r="K1165" s="167"/>
      <c r="L1165" s="167"/>
      <c r="M1165" s="167"/>
      <c r="N1165" s="167"/>
      <c r="O1165" s="167"/>
      <c r="P1165" s="164"/>
      <c r="Q1165" s="165"/>
      <c r="R1165" s="165"/>
      <c r="S1165" s="167"/>
      <c r="T1165" s="167"/>
      <c r="U1165" s="167"/>
      <c r="V1165" s="168"/>
      <c r="W1165" s="168"/>
      <c r="X1165" s="168"/>
      <c r="Y1165" s="168"/>
      <c r="Z1165" s="168"/>
      <c r="AA1165" s="168"/>
      <c r="AB1165" s="164"/>
      <c r="AC1165" s="165"/>
      <c r="AD1165" s="165"/>
      <c r="AE1165" s="169"/>
      <c r="AF1165" s="169"/>
      <c r="AG1165" s="169"/>
      <c r="AH1165" s="168"/>
      <c r="AI1165" s="168"/>
      <c r="AJ1165" s="168"/>
      <c r="AK1165" s="170"/>
      <c r="AL1165" s="170"/>
    </row>
    <row r="1166" ht="15.75" customHeight="1">
      <c r="A1166" s="161"/>
      <c r="B1166" s="161"/>
      <c r="C1166" s="162"/>
      <c r="D1166" s="163"/>
      <c r="E1166" s="164"/>
      <c r="F1166" s="165"/>
      <c r="G1166" s="166"/>
      <c r="H1166" s="167"/>
      <c r="I1166" s="167"/>
      <c r="J1166" s="167"/>
      <c r="K1166" s="167"/>
      <c r="L1166" s="167"/>
      <c r="M1166" s="167"/>
      <c r="N1166" s="167"/>
      <c r="O1166" s="167"/>
      <c r="P1166" s="164"/>
      <c r="Q1166" s="165"/>
      <c r="R1166" s="165"/>
      <c r="S1166" s="167"/>
      <c r="T1166" s="167"/>
      <c r="U1166" s="167"/>
      <c r="V1166" s="168"/>
      <c r="W1166" s="168"/>
      <c r="X1166" s="168"/>
      <c r="Y1166" s="168"/>
      <c r="Z1166" s="168"/>
      <c r="AA1166" s="168"/>
      <c r="AB1166" s="164"/>
      <c r="AC1166" s="165"/>
      <c r="AD1166" s="165"/>
      <c r="AE1166" s="169"/>
      <c r="AF1166" s="169"/>
      <c r="AG1166" s="169"/>
      <c r="AH1166" s="168"/>
      <c r="AI1166" s="168"/>
      <c r="AJ1166" s="168"/>
      <c r="AK1166" s="170"/>
      <c r="AL1166" s="170"/>
    </row>
    <row r="1167" ht="15.75" customHeight="1">
      <c r="A1167" s="161"/>
      <c r="B1167" s="161"/>
      <c r="C1167" s="162"/>
      <c r="D1167" s="163"/>
      <c r="E1167" s="164"/>
      <c r="F1167" s="165"/>
      <c r="G1167" s="166"/>
      <c r="H1167" s="167"/>
      <c r="I1167" s="167"/>
      <c r="J1167" s="167"/>
      <c r="K1167" s="167"/>
      <c r="L1167" s="167"/>
      <c r="M1167" s="167"/>
      <c r="N1167" s="167"/>
      <c r="O1167" s="167"/>
      <c r="P1167" s="164"/>
      <c r="Q1167" s="165"/>
      <c r="R1167" s="165"/>
      <c r="S1167" s="167"/>
      <c r="T1167" s="167"/>
      <c r="U1167" s="167"/>
      <c r="V1167" s="168"/>
      <c r="W1167" s="168"/>
      <c r="X1167" s="168"/>
      <c r="Y1167" s="168"/>
      <c r="Z1167" s="168"/>
      <c r="AA1167" s="168"/>
      <c r="AB1167" s="164"/>
      <c r="AC1167" s="165"/>
      <c r="AD1167" s="165"/>
      <c r="AE1167" s="169"/>
      <c r="AF1167" s="169"/>
      <c r="AG1167" s="169"/>
      <c r="AH1167" s="168"/>
      <c r="AI1167" s="168"/>
      <c r="AJ1167" s="168"/>
      <c r="AK1167" s="170"/>
      <c r="AL1167" s="170"/>
    </row>
    <row r="1168" ht="15.75" customHeight="1">
      <c r="A1168" s="161"/>
      <c r="B1168" s="161"/>
      <c r="C1168" s="162"/>
      <c r="D1168" s="163"/>
      <c r="E1168" s="164"/>
      <c r="F1168" s="165"/>
      <c r="G1168" s="166"/>
      <c r="H1168" s="167"/>
      <c r="I1168" s="167"/>
      <c r="J1168" s="167"/>
      <c r="K1168" s="167"/>
      <c r="L1168" s="167"/>
      <c r="M1168" s="167"/>
      <c r="N1168" s="167"/>
      <c r="O1168" s="167"/>
      <c r="P1168" s="164"/>
      <c r="Q1168" s="165"/>
      <c r="R1168" s="165"/>
      <c r="S1168" s="167"/>
      <c r="T1168" s="167"/>
      <c r="U1168" s="167"/>
      <c r="V1168" s="168"/>
      <c r="W1168" s="168"/>
      <c r="X1168" s="168"/>
      <c r="Y1168" s="168"/>
      <c r="Z1168" s="168"/>
      <c r="AA1168" s="168"/>
      <c r="AB1168" s="164"/>
      <c r="AC1168" s="165"/>
      <c r="AD1168" s="165"/>
      <c r="AE1168" s="169"/>
      <c r="AF1168" s="169"/>
      <c r="AG1168" s="169"/>
      <c r="AH1168" s="168"/>
      <c r="AI1168" s="168"/>
      <c r="AJ1168" s="168"/>
      <c r="AK1168" s="170"/>
      <c r="AL1168" s="170"/>
    </row>
    <row r="1169" ht="15.75" customHeight="1">
      <c r="A1169" s="161"/>
      <c r="B1169" s="161"/>
      <c r="C1169" s="162"/>
      <c r="D1169" s="163"/>
      <c r="E1169" s="164"/>
      <c r="F1169" s="165"/>
      <c r="G1169" s="166"/>
      <c r="H1169" s="167"/>
      <c r="I1169" s="167"/>
      <c r="J1169" s="167"/>
      <c r="K1169" s="167"/>
      <c r="L1169" s="167"/>
      <c r="M1169" s="167"/>
      <c r="N1169" s="167"/>
      <c r="O1169" s="167"/>
      <c r="P1169" s="164"/>
      <c r="Q1169" s="165"/>
      <c r="R1169" s="165"/>
      <c r="S1169" s="167"/>
      <c r="T1169" s="167"/>
      <c r="U1169" s="167"/>
      <c r="V1169" s="168"/>
      <c r="W1169" s="168"/>
      <c r="X1169" s="168"/>
      <c r="Y1169" s="168"/>
      <c r="Z1169" s="168"/>
      <c r="AA1169" s="168"/>
      <c r="AB1169" s="164"/>
      <c r="AC1169" s="165"/>
      <c r="AD1169" s="165"/>
      <c r="AE1169" s="169"/>
      <c r="AF1169" s="169"/>
      <c r="AG1169" s="169"/>
      <c r="AH1169" s="168"/>
      <c r="AI1169" s="168"/>
      <c r="AJ1169" s="168"/>
      <c r="AK1169" s="170"/>
      <c r="AL1169" s="170"/>
    </row>
    <row r="1170" ht="15.75" customHeight="1">
      <c r="A1170" s="161"/>
      <c r="B1170" s="161"/>
      <c r="C1170" s="162"/>
      <c r="D1170" s="163"/>
      <c r="E1170" s="164"/>
      <c r="F1170" s="165"/>
      <c r="G1170" s="166"/>
      <c r="H1170" s="167"/>
      <c r="I1170" s="167"/>
      <c r="J1170" s="167"/>
      <c r="K1170" s="167"/>
      <c r="L1170" s="167"/>
      <c r="M1170" s="167"/>
      <c r="N1170" s="167"/>
      <c r="O1170" s="167"/>
      <c r="P1170" s="164"/>
      <c r="Q1170" s="165"/>
      <c r="R1170" s="165"/>
      <c r="S1170" s="167"/>
      <c r="T1170" s="167"/>
      <c r="U1170" s="167"/>
      <c r="V1170" s="168"/>
      <c r="W1170" s="168"/>
      <c r="X1170" s="168"/>
      <c r="Y1170" s="168"/>
      <c r="Z1170" s="168"/>
      <c r="AA1170" s="168"/>
      <c r="AB1170" s="164"/>
      <c r="AC1170" s="165"/>
      <c r="AD1170" s="165"/>
      <c r="AE1170" s="169"/>
      <c r="AF1170" s="169"/>
      <c r="AG1170" s="169"/>
      <c r="AH1170" s="168"/>
      <c r="AI1170" s="168"/>
      <c r="AJ1170" s="168"/>
      <c r="AK1170" s="170"/>
      <c r="AL1170" s="170"/>
    </row>
    <row r="1171" ht="15.75" customHeight="1">
      <c r="A1171" s="161"/>
      <c r="B1171" s="161"/>
      <c r="C1171" s="162"/>
      <c r="D1171" s="163"/>
      <c r="E1171" s="164"/>
      <c r="F1171" s="165"/>
      <c r="G1171" s="166"/>
      <c r="H1171" s="167"/>
      <c r="I1171" s="167"/>
      <c r="J1171" s="167"/>
      <c r="K1171" s="167"/>
      <c r="L1171" s="167"/>
      <c r="M1171" s="167"/>
      <c r="N1171" s="167"/>
      <c r="O1171" s="167"/>
      <c r="P1171" s="164"/>
      <c r="Q1171" s="165"/>
      <c r="R1171" s="165"/>
      <c r="S1171" s="167"/>
      <c r="T1171" s="167"/>
      <c r="U1171" s="167"/>
      <c r="V1171" s="168"/>
      <c r="W1171" s="168"/>
      <c r="X1171" s="168"/>
      <c r="Y1171" s="168"/>
      <c r="Z1171" s="168"/>
      <c r="AA1171" s="168"/>
      <c r="AB1171" s="164"/>
      <c r="AC1171" s="165"/>
      <c r="AD1171" s="165"/>
      <c r="AE1171" s="169"/>
      <c r="AF1171" s="169"/>
      <c r="AG1171" s="169"/>
      <c r="AH1171" s="168"/>
      <c r="AI1171" s="168"/>
      <c r="AJ1171" s="168"/>
      <c r="AK1171" s="170"/>
      <c r="AL1171" s="170"/>
    </row>
    <row r="1172" ht="15.75" customHeight="1">
      <c r="A1172" s="161"/>
      <c r="B1172" s="161"/>
      <c r="C1172" s="162"/>
      <c r="D1172" s="163"/>
      <c r="E1172" s="164"/>
      <c r="F1172" s="165"/>
      <c r="G1172" s="166"/>
      <c r="H1172" s="167"/>
      <c r="I1172" s="167"/>
      <c r="J1172" s="167"/>
      <c r="K1172" s="167"/>
      <c r="L1172" s="167"/>
      <c r="M1172" s="167"/>
      <c r="N1172" s="167"/>
      <c r="O1172" s="167"/>
      <c r="P1172" s="164"/>
      <c r="Q1172" s="165"/>
      <c r="R1172" s="165"/>
      <c r="S1172" s="167"/>
      <c r="T1172" s="167"/>
      <c r="U1172" s="167"/>
      <c r="V1172" s="168"/>
      <c r="W1172" s="168"/>
      <c r="X1172" s="168"/>
      <c r="Y1172" s="168"/>
      <c r="Z1172" s="168"/>
      <c r="AA1172" s="168"/>
      <c r="AB1172" s="164"/>
      <c r="AC1172" s="165"/>
      <c r="AD1172" s="165"/>
      <c r="AE1172" s="169"/>
      <c r="AF1172" s="169"/>
      <c r="AG1172" s="169"/>
      <c r="AH1172" s="168"/>
      <c r="AI1172" s="168"/>
      <c r="AJ1172" s="168"/>
      <c r="AK1172" s="170"/>
      <c r="AL1172" s="170"/>
    </row>
    <row r="1173" ht="15.75" customHeight="1">
      <c r="A1173" s="161"/>
      <c r="B1173" s="161"/>
      <c r="C1173" s="162"/>
      <c r="D1173" s="163"/>
      <c r="E1173" s="164"/>
      <c r="F1173" s="165"/>
      <c r="G1173" s="166"/>
      <c r="H1173" s="167"/>
      <c r="I1173" s="167"/>
      <c r="J1173" s="167"/>
      <c r="K1173" s="167"/>
      <c r="L1173" s="167"/>
      <c r="M1173" s="167"/>
      <c r="N1173" s="167"/>
      <c r="O1173" s="167"/>
      <c r="P1173" s="164"/>
      <c r="Q1173" s="165"/>
      <c r="R1173" s="165"/>
      <c r="S1173" s="167"/>
      <c r="T1173" s="167"/>
      <c r="U1173" s="167"/>
      <c r="V1173" s="168"/>
      <c r="W1173" s="168"/>
      <c r="X1173" s="168"/>
      <c r="Y1173" s="168"/>
      <c r="Z1173" s="168"/>
      <c r="AA1173" s="168"/>
      <c r="AB1173" s="164"/>
      <c r="AC1173" s="165"/>
      <c r="AD1173" s="165"/>
      <c r="AE1173" s="169"/>
      <c r="AF1173" s="169"/>
      <c r="AG1173" s="169"/>
      <c r="AH1173" s="168"/>
      <c r="AI1173" s="168"/>
      <c r="AJ1173" s="168"/>
      <c r="AK1173" s="170"/>
      <c r="AL1173" s="170"/>
    </row>
    <row r="1174" ht="15.75" customHeight="1">
      <c r="A1174" s="161"/>
      <c r="B1174" s="161"/>
      <c r="C1174" s="162"/>
      <c r="D1174" s="163"/>
      <c r="E1174" s="164"/>
      <c r="F1174" s="165"/>
      <c r="G1174" s="166"/>
      <c r="H1174" s="167"/>
      <c r="I1174" s="167"/>
      <c r="J1174" s="167"/>
      <c r="K1174" s="167"/>
      <c r="L1174" s="167"/>
      <c r="M1174" s="167"/>
      <c r="N1174" s="167"/>
      <c r="O1174" s="167"/>
      <c r="P1174" s="164"/>
      <c r="Q1174" s="165"/>
      <c r="R1174" s="165"/>
      <c r="S1174" s="167"/>
      <c r="T1174" s="167"/>
      <c r="U1174" s="167"/>
      <c r="V1174" s="168"/>
      <c r="W1174" s="168"/>
      <c r="X1174" s="168"/>
      <c r="Y1174" s="168"/>
      <c r="Z1174" s="168"/>
      <c r="AA1174" s="168"/>
      <c r="AB1174" s="164"/>
      <c r="AC1174" s="165"/>
      <c r="AD1174" s="165"/>
      <c r="AE1174" s="169"/>
      <c r="AF1174" s="169"/>
      <c r="AG1174" s="169"/>
      <c r="AH1174" s="168"/>
      <c r="AI1174" s="168"/>
      <c r="AJ1174" s="168"/>
      <c r="AK1174" s="170"/>
      <c r="AL1174" s="170"/>
    </row>
    <row r="1175" ht="15.75" customHeight="1">
      <c r="A1175" s="161"/>
      <c r="B1175" s="161"/>
      <c r="C1175" s="162"/>
      <c r="D1175" s="163"/>
      <c r="E1175" s="164"/>
      <c r="F1175" s="165"/>
      <c r="G1175" s="166"/>
      <c r="H1175" s="167"/>
      <c r="I1175" s="167"/>
      <c r="J1175" s="167"/>
      <c r="K1175" s="167"/>
      <c r="L1175" s="167"/>
      <c r="M1175" s="167"/>
      <c r="N1175" s="167"/>
      <c r="O1175" s="167"/>
      <c r="P1175" s="164"/>
      <c r="Q1175" s="165"/>
      <c r="R1175" s="165"/>
      <c r="S1175" s="167"/>
      <c r="T1175" s="167"/>
      <c r="U1175" s="167"/>
      <c r="V1175" s="168"/>
      <c r="W1175" s="168"/>
      <c r="X1175" s="168"/>
      <c r="Y1175" s="168"/>
      <c r="Z1175" s="168"/>
      <c r="AA1175" s="168"/>
      <c r="AB1175" s="164"/>
      <c r="AC1175" s="165"/>
      <c r="AD1175" s="165"/>
      <c r="AE1175" s="169"/>
      <c r="AF1175" s="169"/>
      <c r="AG1175" s="169"/>
      <c r="AH1175" s="168"/>
      <c r="AI1175" s="168"/>
      <c r="AJ1175" s="168"/>
      <c r="AK1175" s="170"/>
      <c r="AL1175" s="170"/>
    </row>
    <row r="1176" ht="15.75" customHeight="1">
      <c r="A1176" s="161"/>
      <c r="B1176" s="161"/>
      <c r="C1176" s="162"/>
      <c r="D1176" s="163"/>
      <c r="E1176" s="164"/>
      <c r="F1176" s="165"/>
      <c r="G1176" s="166"/>
      <c r="H1176" s="167"/>
      <c r="I1176" s="167"/>
      <c r="J1176" s="167"/>
      <c r="K1176" s="167"/>
      <c r="L1176" s="167"/>
      <c r="M1176" s="167"/>
      <c r="N1176" s="167"/>
      <c r="O1176" s="167"/>
      <c r="P1176" s="164"/>
      <c r="Q1176" s="165"/>
      <c r="R1176" s="165"/>
      <c r="S1176" s="167"/>
      <c r="T1176" s="167"/>
      <c r="U1176" s="167"/>
      <c r="V1176" s="168"/>
      <c r="W1176" s="168"/>
      <c r="X1176" s="168"/>
      <c r="Y1176" s="168"/>
      <c r="Z1176" s="168"/>
      <c r="AA1176" s="168"/>
      <c r="AB1176" s="164"/>
      <c r="AC1176" s="165"/>
      <c r="AD1176" s="165"/>
      <c r="AE1176" s="169"/>
      <c r="AF1176" s="169"/>
      <c r="AG1176" s="169"/>
      <c r="AH1176" s="168"/>
      <c r="AI1176" s="168"/>
      <c r="AJ1176" s="168"/>
      <c r="AK1176" s="170"/>
      <c r="AL1176" s="170"/>
    </row>
    <row r="1177" ht="15.75" customHeight="1">
      <c r="A1177" s="161"/>
      <c r="B1177" s="161"/>
      <c r="C1177" s="162"/>
      <c r="D1177" s="163"/>
      <c r="E1177" s="164"/>
      <c r="F1177" s="165"/>
      <c r="G1177" s="166"/>
      <c r="H1177" s="167"/>
      <c r="I1177" s="167"/>
      <c r="J1177" s="167"/>
      <c r="K1177" s="167"/>
      <c r="L1177" s="167"/>
      <c r="M1177" s="167"/>
      <c r="N1177" s="167"/>
      <c r="O1177" s="167"/>
      <c r="P1177" s="164"/>
      <c r="Q1177" s="165"/>
      <c r="R1177" s="165"/>
      <c r="S1177" s="167"/>
      <c r="T1177" s="167"/>
      <c r="U1177" s="167"/>
      <c r="V1177" s="168"/>
      <c r="W1177" s="168"/>
      <c r="X1177" s="168"/>
      <c r="Y1177" s="168"/>
      <c r="Z1177" s="168"/>
      <c r="AA1177" s="168"/>
      <c r="AB1177" s="164"/>
      <c r="AC1177" s="165"/>
      <c r="AD1177" s="165"/>
      <c r="AE1177" s="169"/>
      <c r="AF1177" s="169"/>
      <c r="AG1177" s="169"/>
      <c r="AH1177" s="168"/>
      <c r="AI1177" s="168"/>
      <c r="AJ1177" s="168"/>
      <c r="AK1177" s="170"/>
      <c r="AL1177" s="170"/>
    </row>
    <row r="1178" ht="15.75" customHeight="1">
      <c r="A1178" s="161"/>
      <c r="B1178" s="161"/>
      <c r="C1178" s="162"/>
      <c r="D1178" s="163"/>
      <c r="E1178" s="164"/>
      <c r="F1178" s="165"/>
      <c r="G1178" s="166"/>
      <c r="H1178" s="167"/>
      <c r="I1178" s="167"/>
      <c r="J1178" s="167"/>
      <c r="K1178" s="167"/>
      <c r="L1178" s="167"/>
      <c r="M1178" s="167"/>
      <c r="N1178" s="167"/>
      <c r="O1178" s="167"/>
      <c r="P1178" s="164"/>
      <c r="Q1178" s="165"/>
      <c r="R1178" s="165"/>
      <c r="S1178" s="167"/>
      <c r="T1178" s="167"/>
      <c r="U1178" s="167"/>
      <c r="V1178" s="168"/>
      <c r="W1178" s="168"/>
      <c r="X1178" s="168"/>
      <c r="Y1178" s="168"/>
      <c r="Z1178" s="168"/>
      <c r="AA1178" s="168"/>
      <c r="AB1178" s="164"/>
      <c r="AC1178" s="165"/>
      <c r="AD1178" s="165"/>
      <c r="AE1178" s="169"/>
      <c r="AF1178" s="169"/>
      <c r="AG1178" s="169"/>
      <c r="AH1178" s="168"/>
      <c r="AI1178" s="168"/>
      <c r="AJ1178" s="168"/>
      <c r="AK1178" s="170"/>
      <c r="AL1178" s="170"/>
    </row>
    <row r="1179" ht="15.75" customHeight="1">
      <c r="A1179" s="161"/>
      <c r="B1179" s="161"/>
      <c r="C1179" s="162"/>
      <c r="D1179" s="163"/>
      <c r="E1179" s="164"/>
      <c r="F1179" s="165"/>
      <c r="G1179" s="166"/>
      <c r="H1179" s="167"/>
      <c r="I1179" s="167"/>
      <c r="J1179" s="167"/>
      <c r="K1179" s="167"/>
      <c r="L1179" s="167"/>
      <c r="M1179" s="167"/>
      <c r="N1179" s="167"/>
      <c r="O1179" s="167"/>
      <c r="P1179" s="164"/>
      <c r="Q1179" s="165"/>
      <c r="R1179" s="165"/>
      <c r="S1179" s="167"/>
      <c r="T1179" s="167"/>
      <c r="U1179" s="167"/>
      <c r="V1179" s="168"/>
      <c r="W1179" s="168"/>
      <c r="X1179" s="168"/>
      <c r="Y1179" s="168"/>
      <c r="Z1179" s="168"/>
      <c r="AA1179" s="168"/>
      <c r="AB1179" s="164"/>
      <c r="AC1179" s="165"/>
      <c r="AD1179" s="165"/>
      <c r="AE1179" s="169"/>
      <c r="AF1179" s="169"/>
      <c r="AG1179" s="169"/>
      <c r="AH1179" s="168"/>
      <c r="AI1179" s="168"/>
      <c r="AJ1179" s="168"/>
      <c r="AK1179" s="170"/>
      <c r="AL1179" s="170"/>
    </row>
    <row r="1180" ht="15.75" customHeight="1">
      <c r="A1180" s="161"/>
      <c r="B1180" s="161"/>
      <c r="C1180" s="162"/>
      <c r="D1180" s="163"/>
      <c r="E1180" s="164"/>
      <c r="F1180" s="165"/>
      <c r="G1180" s="166"/>
      <c r="H1180" s="167"/>
      <c r="I1180" s="167"/>
      <c r="J1180" s="167"/>
      <c r="K1180" s="167"/>
      <c r="L1180" s="167"/>
      <c r="M1180" s="167"/>
      <c r="N1180" s="167"/>
      <c r="O1180" s="167"/>
      <c r="P1180" s="164"/>
      <c r="Q1180" s="165"/>
      <c r="R1180" s="165"/>
      <c r="S1180" s="167"/>
      <c r="T1180" s="167"/>
      <c r="U1180" s="167"/>
      <c r="V1180" s="168"/>
      <c r="W1180" s="168"/>
      <c r="X1180" s="168"/>
      <c r="Y1180" s="168"/>
      <c r="Z1180" s="168"/>
      <c r="AA1180" s="168"/>
      <c r="AB1180" s="164"/>
      <c r="AC1180" s="165"/>
      <c r="AD1180" s="165"/>
      <c r="AE1180" s="169"/>
      <c r="AF1180" s="169"/>
      <c r="AG1180" s="169"/>
      <c r="AH1180" s="168"/>
      <c r="AI1180" s="168"/>
      <c r="AJ1180" s="168"/>
      <c r="AK1180" s="170"/>
      <c r="AL1180" s="170"/>
    </row>
    <row r="1181" ht="15.75" customHeight="1">
      <c r="A1181" s="161"/>
      <c r="B1181" s="161"/>
      <c r="C1181" s="162"/>
      <c r="D1181" s="163"/>
      <c r="E1181" s="164"/>
      <c r="F1181" s="165"/>
      <c r="G1181" s="166"/>
      <c r="H1181" s="167"/>
      <c r="I1181" s="167"/>
      <c r="J1181" s="167"/>
      <c r="K1181" s="167"/>
      <c r="L1181" s="167"/>
      <c r="M1181" s="167"/>
      <c r="N1181" s="167"/>
      <c r="O1181" s="167"/>
      <c r="P1181" s="164"/>
      <c r="Q1181" s="165"/>
      <c r="R1181" s="165"/>
      <c r="S1181" s="167"/>
      <c r="T1181" s="167"/>
      <c r="U1181" s="167"/>
      <c r="V1181" s="168"/>
      <c r="W1181" s="168"/>
      <c r="X1181" s="168"/>
      <c r="Y1181" s="168"/>
      <c r="Z1181" s="168"/>
      <c r="AA1181" s="168"/>
      <c r="AB1181" s="164"/>
      <c r="AC1181" s="165"/>
      <c r="AD1181" s="165"/>
      <c r="AE1181" s="169"/>
      <c r="AF1181" s="169"/>
      <c r="AG1181" s="169"/>
      <c r="AH1181" s="168"/>
      <c r="AI1181" s="168"/>
      <c r="AJ1181" s="168"/>
      <c r="AK1181" s="170"/>
      <c r="AL1181" s="170"/>
    </row>
    <row r="1182" ht="15.75" customHeight="1">
      <c r="A1182" s="161"/>
      <c r="B1182" s="161"/>
      <c r="C1182" s="162"/>
      <c r="D1182" s="163"/>
      <c r="E1182" s="164"/>
      <c r="F1182" s="165"/>
      <c r="G1182" s="166"/>
      <c r="H1182" s="167"/>
      <c r="I1182" s="167"/>
      <c r="J1182" s="167"/>
      <c r="K1182" s="167"/>
      <c r="L1182" s="167"/>
      <c r="M1182" s="167"/>
      <c r="N1182" s="167"/>
      <c r="O1182" s="167"/>
      <c r="P1182" s="164"/>
      <c r="Q1182" s="165"/>
      <c r="R1182" s="165"/>
      <c r="S1182" s="167"/>
      <c r="T1182" s="167"/>
      <c r="U1182" s="167"/>
      <c r="V1182" s="168"/>
      <c r="W1182" s="168"/>
      <c r="X1182" s="168"/>
      <c r="Y1182" s="168"/>
      <c r="Z1182" s="168"/>
      <c r="AA1182" s="168"/>
      <c r="AB1182" s="164"/>
      <c r="AC1182" s="165"/>
      <c r="AD1182" s="165"/>
      <c r="AE1182" s="169"/>
      <c r="AF1182" s="169"/>
      <c r="AG1182" s="169"/>
      <c r="AH1182" s="168"/>
      <c r="AI1182" s="168"/>
      <c r="AJ1182" s="168"/>
      <c r="AK1182" s="170"/>
      <c r="AL1182" s="170"/>
    </row>
    <row r="1183" ht="15.75" customHeight="1">
      <c r="A1183" s="161"/>
      <c r="B1183" s="161"/>
      <c r="C1183" s="162"/>
      <c r="D1183" s="163"/>
      <c r="E1183" s="164"/>
      <c r="F1183" s="165"/>
      <c r="G1183" s="166"/>
      <c r="H1183" s="167"/>
      <c r="I1183" s="167"/>
      <c r="J1183" s="167"/>
      <c r="K1183" s="167"/>
      <c r="L1183" s="167"/>
      <c r="M1183" s="167"/>
      <c r="N1183" s="167"/>
      <c r="O1183" s="167"/>
      <c r="P1183" s="164"/>
      <c r="Q1183" s="165"/>
      <c r="R1183" s="165"/>
      <c r="S1183" s="167"/>
      <c r="T1183" s="167"/>
      <c r="U1183" s="167"/>
      <c r="V1183" s="168"/>
      <c r="W1183" s="168"/>
      <c r="X1183" s="168"/>
      <c r="Y1183" s="168"/>
      <c r="Z1183" s="168"/>
      <c r="AA1183" s="168"/>
      <c r="AB1183" s="164"/>
      <c r="AC1183" s="165"/>
      <c r="AD1183" s="165"/>
      <c r="AE1183" s="169"/>
      <c r="AF1183" s="169"/>
      <c r="AG1183" s="169"/>
      <c r="AH1183" s="168"/>
      <c r="AI1183" s="168"/>
      <c r="AJ1183" s="168"/>
      <c r="AK1183" s="170"/>
      <c r="AL1183" s="170"/>
    </row>
    <row r="1184" ht="15.75" customHeight="1">
      <c r="A1184" s="161"/>
      <c r="B1184" s="161"/>
      <c r="C1184" s="162"/>
      <c r="D1184" s="163"/>
      <c r="E1184" s="164"/>
      <c r="F1184" s="165"/>
      <c r="G1184" s="166"/>
      <c r="H1184" s="167"/>
      <c r="I1184" s="167"/>
      <c r="J1184" s="167"/>
      <c r="K1184" s="167"/>
      <c r="L1184" s="167"/>
      <c r="M1184" s="167"/>
      <c r="N1184" s="167"/>
      <c r="O1184" s="167"/>
      <c r="P1184" s="164"/>
      <c r="Q1184" s="165"/>
      <c r="R1184" s="165"/>
      <c r="S1184" s="167"/>
      <c r="T1184" s="167"/>
      <c r="U1184" s="167"/>
      <c r="V1184" s="168"/>
      <c r="W1184" s="168"/>
      <c r="X1184" s="168"/>
      <c r="Y1184" s="168"/>
      <c r="Z1184" s="168"/>
      <c r="AA1184" s="168"/>
      <c r="AB1184" s="164"/>
      <c r="AC1184" s="165"/>
      <c r="AD1184" s="165"/>
      <c r="AE1184" s="169"/>
      <c r="AF1184" s="169"/>
      <c r="AG1184" s="169"/>
      <c r="AH1184" s="168"/>
      <c r="AI1184" s="168"/>
      <c r="AJ1184" s="168"/>
      <c r="AK1184" s="170"/>
      <c r="AL1184" s="170"/>
    </row>
    <row r="1185" ht="15.75" customHeight="1">
      <c r="A1185" s="161"/>
      <c r="B1185" s="161"/>
      <c r="C1185" s="162"/>
      <c r="D1185" s="163"/>
      <c r="E1185" s="164"/>
      <c r="F1185" s="165"/>
      <c r="G1185" s="166"/>
      <c r="H1185" s="167"/>
      <c r="I1185" s="167"/>
      <c r="J1185" s="167"/>
      <c r="K1185" s="167"/>
      <c r="L1185" s="167"/>
      <c r="M1185" s="167"/>
      <c r="N1185" s="167"/>
      <c r="O1185" s="167"/>
      <c r="P1185" s="164"/>
      <c r="Q1185" s="165"/>
      <c r="R1185" s="165"/>
      <c r="S1185" s="167"/>
      <c r="T1185" s="167"/>
      <c r="U1185" s="167"/>
      <c r="V1185" s="168"/>
      <c r="W1185" s="168"/>
      <c r="X1185" s="168"/>
      <c r="Y1185" s="168"/>
      <c r="Z1185" s="168"/>
      <c r="AA1185" s="168"/>
      <c r="AB1185" s="164"/>
      <c r="AC1185" s="165"/>
      <c r="AD1185" s="165"/>
      <c r="AE1185" s="169"/>
      <c r="AF1185" s="169"/>
      <c r="AG1185" s="169"/>
      <c r="AH1185" s="168"/>
      <c r="AI1185" s="168"/>
      <c r="AJ1185" s="168"/>
      <c r="AK1185" s="170"/>
      <c r="AL1185" s="170"/>
    </row>
    <row r="1186" ht="15.75" customHeight="1">
      <c r="A1186" s="161"/>
      <c r="B1186" s="161"/>
      <c r="C1186" s="162"/>
      <c r="D1186" s="163"/>
      <c r="E1186" s="164"/>
      <c r="F1186" s="165"/>
      <c r="G1186" s="166"/>
      <c r="H1186" s="167"/>
      <c r="I1186" s="167"/>
      <c r="J1186" s="167"/>
      <c r="K1186" s="167"/>
      <c r="L1186" s="167"/>
      <c r="M1186" s="167"/>
      <c r="N1186" s="167"/>
      <c r="O1186" s="167"/>
      <c r="P1186" s="164"/>
      <c r="Q1186" s="165"/>
      <c r="R1186" s="165"/>
      <c r="S1186" s="167"/>
      <c r="T1186" s="167"/>
      <c r="U1186" s="167"/>
      <c r="V1186" s="168"/>
      <c r="W1186" s="168"/>
      <c r="X1186" s="168"/>
      <c r="Y1186" s="168"/>
      <c r="Z1186" s="168"/>
      <c r="AA1186" s="168"/>
      <c r="AB1186" s="164"/>
      <c r="AC1186" s="165"/>
      <c r="AD1186" s="165"/>
      <c r="AE1186" s="169"/>
      <c r="AF1186" s="169"/>
      <c r="AG1186" s="169"/>
      <c r="AH1186" s="168"/>
      <c r="AI1186" s="168"/>
      <c r="AJ1186" s="168"/>
      <c r="AK1186" s="170"/>
      <c r="AL1186" s="170"/>
    </row>
    <row r="1187" ht="15.75" customHeight="1">
      <c r="A1187" s="161"/>
      <c r="B1187" s="161"/>
      <c r="C1187" s="162"/>
      <c r="D1187" s="163"/>
      <c r="E1187" s="164"/>
      <c r="F1187" s="165"/>
      <c r="G1187" s="166"/>
      <c r="H1187" s="167"/>
      <c r="I1187" s="167"/>
      <c r="J1187" s="167"/>
      <c r="K1187" s="167"/>
      <c r="L1187" s="167"/>
      <c r="M1187" s="167"/>
      <c r="N1187" s="167"/>
      <c r="O1187" s="167"/>
      <c r="P1187" s="164"/>
      <c r="Q1187" s="165"/>
      <c r="R1187" s="165"/>
      <c r="S1187" s="167"/>
      <c r="T1187" s="167"/>
      <c r="U1187" s="167"/>
      <c r="V1187" s="168"/>
      <c r="W1187" s="168"/>
      <c r="X1187" s="168"/>
      <c r="Y1187" s="168"/>
      <c r="Z1187" s="168"/>
      <c r="AA1187" s="168"/>
      <c r="AB1187" s="164"/>
      <c r="AC1187" s="165"/>
      <c r="AD1187" s="165"/>
      <c r="AE1187" s="169"/>
      <c r="AF1187" s="169"/>
      <c r="AG1187" s="169"/>
      <c r="AH1187" s="168"/>
      <c r="AI1187" s="168"/>
      <c r="AJ1187" s="168"/>
      <c r="AK1187" s="170"/>
      <c r="AL1187" s="170"/>
    </row>
    <row r="1188" ht="15.75" customHeight="1">
      <c r="A1188" s="161"/>
      <c r="B1188" s="161"/>
      <c r="C1188" s="162"/>
      <c r="D1188" s="163"/>
      <c r="E1188" s="164"/>
      <c r="F1188" s="165"/>
      <c r="G1188" s="166"/>
      <c r="H1188" s="167"/>
      <c r="I1188" s="167"/>
      <c r="J1188" s="167"/>
      <c r="K1188" s="167"/>
      <c r="L1188" s="167"/>
      <c r="M1188" s="167"/>
      <c r="N1188" s="167"/>
      <c r="O1188" s="167"/>
      <c r="P1188" s="164"/>
      <c r="Q1188" s="165"/>
      <c r="R1188" s="165"/>
      <c r="S1188" s="167"/>
      <c r="T1188" s="167"/>
      <c r="U1188" s="167"/>
      <c r="V1188" s="168"/>
      <c r="W1188" s="168"/>
      <c r="X1188" s="168"/>
      <c r="Y1188" s="168"/>
      <c r="Z1188" s="168"/>
      <c r="AA1188" s="168"/>
      <c r="AB1188" s="164"/>
      <c r="AC1188" s="165"/>
      <c r="AD1188" s="165"/>
      <c r="AE1188" s="169"/>
      <c r="AF1188" s="169"/>
      <c r="AG1188" s="169"/>
      <c r="AH1188" s="168"/>
      <c r="AI1188" s="168"/>
      <c r="AJ1188" s="168"/>
      <c r="AK1188" s="170"/>
      <c r="AL1188" s="170"/>
    </row>
    <row r="1189" ht="15.75" customHeight="1">
      <c r="A1189" s="161"/>
      <c r="B1189" s="161"/>
      <c r="C1189" s="162"/>
      <c r="D1189" s="163"/>
      <c r="E1189" s="164"/>
      <c r="F1189" s="165"/>
      <c r="G1189" s="166"/>
      <c r="H1189" s="167"/>
      <c r="I1189" s="167"/>
      <c r="J1189" s="167"/>
      <c r="K1189" s="167"/>
      <c r="L1189" s="167"/>
      <c r="M1189" s="167"/>
      <c r="N1189" s="167"/>
      <c r="O1189" s="167"/>
      <c r="P1189" s="164"/>
      <c r="Q1189" s="165"/>
      <c r="R1189" s="165"/>
      <c r="S1189" s="167"/>
      <c r="T1189" s="167"/>
      <c r="U1189" s="167"/>
      <c r="V1189" s="168"/>
      <c r="W1189" s="168"/>
      <c r="X1189" s="168"/>
      <c r="Y1189" s="168"/>
      <c r="Z1189" s="168"/>
      <c r="AA1189" s="168"/>
      <c r="AB1189" s="164"/>
      <c r="AC1189" s="165"/>
      <c r="AD1189" s="165"/>
      <c r="AE1189" s="169"/>
      <c r="AF1189" s="169"/>
      <c r="AG1189" s="169"/>
      <c r="AH1189" s="168"/>
      <c r="AI1189" s="168"/>
      <c r="AJ1189" s="168"/>
      <c r="AK1189" s="170"/>
      <c r="AL1189" s="170"/>
    </row>
    <row r="1190" ht="15.75" customHeight="1">
      <c r="A1190" s="161"/>
      <c r="B1190" s="161"/>
      <c r="C1190" s="162"/>
      <c r="D1190" s="163"/>
      <c r="E1190" s="164"/>
      <c r="F1190" s="165"/>
      <c r="G1190" s="166"/>
      <c r="H1190" s="167"/>
      <c r="I1190" s="167"/>
      <c r="J1190" s="167"/>
      <c r="K1190" s="167"/>
      <c r="L1190" s="167"/>
      <c r="M1190" s="167"/>
      <c r="N1190" s="167"/>
      <c r="O1190" s="167"/>
      <c r="P1190" s="164"/>
      <c r="Q1190" s="165"/>
      <c r="R1190" s="165"/>
      <c r="S1190" s="167"/>
      <c r="T1190" s="167"/>
      <c r="U1190" s="167"/>
      <c r="V1190" s="168"/>
      <c r="W1190" s="168"/>
      <c r="X1190" s="168"/>
      <c r="Y1190" s="168"/>
      <c r="Z1190" s="168"/>
      <c r="AA1190" s="168"/>
      <c r="AB1190" s="164"/>
      <c r="AC1190" s="165"/>
      <c r="AD1190" s="165"/>
      <c r="AE1190" s="169"/>
      <c r="AF1190" s="169"/>
      <c r="AG1190" s="169"/>
      <c r="AH1190" s="168"/>
      <c r="AI1190" s="168"/>
      <c r="AJ1190" s="168"/>
      <c r="AK1190" s="170"/>
      <c r="AL1190" s="170"/>
    </row>
    <row r="1191" ht="15.75" customHeight="1">
      <c r="A1191" s="161"/>
      <c r="B1191" s="161"/>
      <c r="C1191" s="162"/>
      <c r="D1191" s="163"/>
      <c r="E1191" s="164"/>
      <c r="F1191" s="165"/>
      <c r="G1191" s="166"/>
      <c r="H1191" s="167"/>
      <c r="I1191" s="167"/>
      <c r="J1191" s="167"/>
      <c r="K1191" s="167"/>
      <c r="L1191" s="167"/>
      <c r="M1191" s="167"/>
      <c r="N1191" s="167"/>
      <c r="O1191" s="167"/>
      <c r="P1191" s="164"/>
      <c r="Q1191" s="165"/>
      <c r="R1191" s="165"/>
      <c r="S1191" s="167"/>
      <c r="T1191" s="167"/>
      <c r="U1191" s="167"/>
      <c r="V1191" s="168"/>
      <c r="W1191" s="168"/>
      <c r="X1191" s="168"/>
      <c r="Y1191" s="168"/>
      <c r="Z1191" s="168"/>
      <c r="AA1191" s="168"/>
      <c r="AB1191" s="164"/>
      <c r="AC1191" s="165"/>
      <c r="AD1191" s="165"/>
      <c r="AE1191" s="169"/>
      <c r="AF1191" s="169"/>
      <c r="AG1191" s="169"/>
      <c r="AH1191" s="168"/>
      <c r="AI1191" s="168"/>
      <c r="AJ1191" s="168"/>
      <c r="AK1191" s="170"/>
      <c r="AL1191" s="170"/>
    </row>
    <row r="1192" ht="15.75" customHeight="1">
      <c r="A1192" s="161"/>
      <c r="B1192" s="161"/>
      <c r="C1192" s="162"/>
      <c r="D1192" s="163"/>
      <c r="E1192" s="164"/>
      <c r="F1192" s="165"/>
      <c r="G1192" s="166"/>
      <c r="H1192" s="167"/>
      <c r="I1192" s="167"/>
      <c r="J1192" s="167"/>
      <c r="K1192" s="167"/>
      <c r="L1192" s="167"/>
      <c r="M1192" s="167"/>
      <c r="N1192" s="167"/>
      <c r="O1192" s="167"/>
      <c r="P1192" s="164"/>
      <c r="Q1192" s="165"/>
      <c r="R1192" s="165"/>
      <c r="S1192" s="167"/>
      <c r="T1192" s="167"/>
      <c r="U1192" s="167"/>
      <c r="V1192" s="168"/>
      <c r="W1192" s="168"/>
      <c r="X1192" s="168"/>
      <c r="Y1192" s="168"/>
      <c r="Z1192" s="168"/>
      <c r="AA1192" s="168"/>
      <c r="AB1192" s="164"/>
      <c r="AC1192" s="165"/>
      <c r="AD1192" s="165"/>
      <c r="AE1192" s="169"/>
      <c r="AF1192" s="169"/>
      <c r="AG1192" s="169"/>
      <c r="AH1192" s="168"/>
      <c r="AI1192" s="168"/>
      <c r="AJ1192" s="168"/>
      <c r="AK1192" s="170"/>
      <c r="AL1192" s="170"/>
    </row>
    <row r="1193" ht="15.75" customHeight="1">
      <c r="A1193" s="161"/>
      <c r="B1193" s="161"/>
      <c r="C1193" s="162"/>
      <c r="D1193" s="163"/>
      <c r="E1193" s="164"/>
      <c r="F1193" s="165"/>
      <c r="G1193" s="166"/>
      <c r="H1193" s="167"/>
      <c r="I1193" s="167"/>
      <c r="J1193" s="167"/>
      <c r="K1193" s="167"/>
      <c r="L1193" s="167"/>
      <c r="M1193" s="167"/>
      <c r="N1193" s="167"/>
      <c r="O1193" s="167"/>
      <c r="P1193" s="164"/>
      <c r="Q1193" s="165"/>
      <c r="R1193" s="165"/>
      <c r="S1193" s="167"/>
      <c r="T1193" s="167"/>
      <c r="U1193" s="167"/>
      <c r="V1193" s="168"/>
      <c r="W1193" s="168"/>
      <c r="X1193" s="168"/>
      <c r="Y1193" s="168"/>
      <c r="Z1193" s="168"/>
      <c r="AA1193" s="168"/>
      <c r="AB1193" s="164"/>
      <c r="AC1193" s="165"/>
      <c r="AD1193" s="165"/>
      <c r="AE1193" s="169"/>
      <c r="AF1193" s="169"/>
      <c r="AG1193" s="169"/>
      <c r="AH1193" s="168"/>
      <c r="AI1193" s="168"/>
      <c r="AJ1193" s="168"/>
      <c r="AK1193" s="170"/>
      <c r="AL1193" s="170"/>
    </row>
    <row r="1194" ht="15.75" customHeight="1">
      <c r="A1194" s="161"/>
      <c r="B1194" s="161"/>
      <c r="C1194" s="162"/>
      <c r="D1194" s="163"/>
      <c r="E1194" s="164"/>
      <c r="F1194" s="165"/>
      <c r="G1194" s="166"/>
      <c r="H1194" s="167"/>
      <c r="I1194" s="167"/>
      <c r="J1194" s="167"/>
      <c r="K1194" s="167"/>
      <c r="L1194" s="167"/>
      <c r="M1194" s="167"/>
      <c r="N1194" s="167"/>
      <c r="O1194" s="167"/>
      <c r="P1194" s="164"/>
      <c r="Q1194" s="165"/>
      <c r="R1194" s="165"/>
      <c r="S1194" s="167"/>
      <c r="T1194" s="167"/>
      <c r="U1194" s="167"/>
      <c r="V1194" s="168"/>
      <c r="W1194" s="168"/>
      <c r="X1194" s="168"/>
      <c r="Y1194" s="168"/>
      <c r="Z1194" s="168"/>
      <c r="AA1194" s="168"/>
      <c r="AB1194" s="164"/>
      <c r="AC1194" s="165"/>
      <c r="AD1194" s="165"/>
      <c r="AE1194" s="169"/>
      <c r="AF1194" s="169"/>
      <c r="AG1194" s="169"/>
      <c r="AH1194" s="168"/>
      <c r="AI1194" s="168"/>
      <c r="AJ1194" s="168"/>
      <c r="AK1194" s="170"/>
      <c r="AL1194" s="170"/>
    </row>
    <row r="1195" ht="15.75" customHeight="1">
      <c r="A1195" s="161"/>
      <c r="B1195" s="161"/>
      <c r="C1195" s="162"/>
      <c r="D1195" s="163"/>
      <c r="E1195" s="164"/>
      <c r="F1195" s="165"/>
      <c r="G1195" s="166"/>
      <c r="H1195" s="167"/>
      <c r="I1195" s="167"/>
      <c r="J1195" s="167"/>
      <c r="K1195" s="167"/>
      <c r="L1195" s="167"/>
      <c r="M1195" s="167"/>
      <c r="N1195" s="167"/>
      <c r="O1195" s="167"/>
      <c r="P1195" s="164"/>
      <c r="Q1195" s="165"/>
      <c r="R1195" s="165"/>
      <c r="S1195" s="167"/>
      <c r="T1195" s="167"/>
      <c r="U1195" s="167"/>
      <c r="V1195" s="168"/>
      <c r="W1195" s="168"/>
      <c r="X1195" s="168"/>
      <c r="Y1195" s="168"/>
      <c r="Z1195" s="168"/>
      <c r="AA1195" s="168"/>
      <c r="AB1195" s="164"/>
      <c r="AC1195" s="165"/>
      <c r="AD1195" s="165"/>
      <c r="AE1195" s="169"/>
      <c r="AF1195" s="169"/>
      <c r="AG1195" s="169"/>
      <c r="AH1195" s="168"/>
      <c r="AI1195" s="168"/>
      <c r="AJ1195" s="168"/>
      <c r="AK1195" s="170"/>
      <c r="AL1195" s="170"/>
    </row>
    <row r="1196" ht="15.75" customHeight="1">
      <c r="A1196" s="161"/>
      <c r="B1196" s="161"/>
      <c r="C1196" s="162"/>
      <c r="D1196" s="163"/>
      <c r="E1196" s="164"/>
      <c r="F1196" s="165"/>
      <c r="G1196" s="166"/>
      <c r="H1196" s="167"/>
      <c r="I1196" s="167"/>
      <c r="J1196" s="167"/>
      <c r="K1196" s="167"/>
      <c r="L1196" s="167"/>
      <c r="M1196" s="167"/>
      <c r="N1196" s="167"/>
      <c r="O1196" s="167"/>
      <c r="P1196" s="164"/>
      <c r="Q1196" s="165"/>
      <c r="R1196" s="165"/>
      <c r="S1196" s="167"/>
      <c r="T1196" s="167"/>
      <c r="U1196" s="167"/>
      <c r="V1196" s="168"/>
      <c r="W1196" s="168"/>
      <c r="X1196" s="168"/>
      <c r="Y1196" s="168"/>
      <c r="Z1196" s="168"/>
      <c r="AA1196" s="168"/>
      <c r="AB1196" s="164"/>
      <c r="AC1196" s="165"/>
      <c r="AD1196" s="165"/>
      <c r="AE1196" s="169"/>
      <c r="AF1196" s="169"/>
      <c r="AG1196" s="169"/>
      <c r="AH1196" s="168"/>
      <c r="AI1196" s="168"/>
      <c r="AJ1196" s="168"/>
      <c r="AK1196" s="170"/>
      <c r="AL1196" s="170"/>
    </row>
    <row r="1197" ht="15.75" customHeight="1">
      <c r="A1197" s="161"/>
      <c r="B1197" s="161"/>
      <c r="C1197" s="162"/>
      <c r="D1197" s="163"/>
      <c r="E1197" s="164"/>
      <c r="F1197" s="165"/>
      <c r="G1197" s="166"/>
      <c r="H1197" s="167"/>
      <c r="I1197" s="167"/>
      <c r="J1197" s="167"/>
      <c r="K1197" s="167"/>
      <c r="L1197" s="167"/>
      <c r="M1197" s="167"/>
      <c r="N1197" s="167"/>
      <c r="O1197" s="167"/>
      <c r="P1197" s="164"/>
      <c r="Q1197" s="165"/>
      <c r="R1197" s="165"/>
      <c r="S1197" s="167"/>
      <c r="T1197" s="167"/>
      <c r="U1197" s="167"/>
      <c r="V1197" s="168"/>
      <c r="W1197" s="168"/>
      <c r="X1197" s="168"/>
      <c r="Y1197" s="168"/>
      <c r="Z1197" s="168"/>
      <c r="AA1197" s="168"/>
      <c r="AB1197" s="164"/>
      <c r="AC1197" s="165"/>
      <c r="AD1197" s="165"/>
      <c r="AE1197" s="169"/>
      <c r="AF1197" s="169"/>
      <c r="AG1197" s="169"/>
      <c r="AH1197" s="168"/>
      <c r="AI1197" s="168"/>
      <c r="AJ1197" s="168"/>
      <c r="AK1197" s="170"/>
      <c r="AL1197" s="170"/>
    </row>
    <row r="1198" ht="15.75" customHeight="1">
      <c r="A1198" s="161"/>
      <c r="B1198" s="161"/>
      <c r="C1198" s="162"/>
      <c r="D1198" s="163"/>
      <c r="E1198" s="164"/>
      <c r="F1198" s="165"/>
      <c r="G1198" s="166"/>
      <c r="H1198" s="167"/>
      <c r="I1198" s="167"/>
      <c r="J1198" s="167"/>
      <c r="K1198" s="167"/>
      <c r="L1198" s="167"/>
      <c r="M1198" s="167"/>
      <c r="N1198" s="167"/>
      <c r="O1198" s="167"/>
      <c r="P1198" s="164"/>
      <c r="Q1198" s="165"/>
      <c r="R1198" s="165"/>
      <c r="S1198" s="167"/>
      <c r="T1198" s="167"/>
      <c r="U1198" s="167"/>
      <c r="V1198" s="168"/>
      <c r="W1198" s="168"/>
      <c r="X1198" s="168"/>
      <c r="Y1198" s="168"/>
      <c r="Z1198" s="168"/>
      <c r="AA1198" s="168"/>
      <c r="AB1198" s="164"/>
      <c r="AC1198" s="165"/>
      <c r="AD1198" s="165"/>
      <c r="AE1198" s="169"/>
      <c r="AF1198" s="169"/>
      <c r="AG1198" s="169"/>
      <c r="AH1198" s="168"/>
      <c r="AI1198" s="168"/>
      <c r="AJ1198" s="168"/>
      <c r="AK1198" s="170"/>
      <c r="AL1198" s="170"/>
    </row>
    <row r="1199" ht="15.75" customHeight="1">
      <c r="A1199" s="161"/>
      <c r="B1199" s="161"/>
      <c r="C1199" s="162"/>
      <c r="D1199" s="163"/>
      <c r="E1199" s="164"/>
      <c r="F1199" s="165"/>
      <c r="G1199" s="166"/>
      <c r="H1199" s="167"/>
      <c r="I1199" s="167"/>
      <c r="J1199" s="167"/>
      <c r="K1199" s="167"/>
      <c r="L1199" s="167"/>
      <c r="M1199" s="167"/>
      <c r="N1199" s="167"/>
      <c r="O1199" s="167"/>
      <c r="P1199" s="164"/>
      <c r="Q1199" s="165"/>
      <c r="R1199" s="165"/>
      <c r="S1199" s="167"/>
      <c r="T1199" s="167"/>
      <c r="U1199" s="167"/>
      <c r="V1199" s="168"/>
      <c r="W1199" s="168"/>
      <c r="X1199" s="168"/>
      <c r="Y1199" s="168"/>
      <c r="Z1199" s="168"/>
      <c r="AA1199" s="168"/>
      <c r="AB1199" s="164"/>
      <c r="AC1199" s="165"/>
      <c r="AD1199" s="165"/>
      <c r="AE1199" s="169"/>
      <c r="AF1199" s="169"/>
      <c r="AG1199" s="169"/>
      <c r="AH1199" s="168"/>
      <c r="AI1199" s="168"/>
      <c r="AJ1199" s="168"/>
      <c r="AK1199" s="170"/>
      <c r="AL1199" s="170"/>
    </row>
    <row r="1200" ht="15.75" customHeight="1">
      <c r="A1200" s="161"/>
      <c r="B1200" s="161"/>
      <c r="C1200" s="162"/>
      <c r="D1200" s="163"/>
      <c r="E1200" s="164"/>
      <c r="F1200" s="165"/>
      <c r="G1200" s="166"/>
      <c r="H1200" s="167"/>
      <c r="I1200" s="167"/>
      <c r="J1200" s="167"/>
      <c r="K1200" s="167"/>
      <c r="L1200" s="167"/>
      <c r="M1200" s="167"/>
      <c r="N1200" s="167"/>
      <c r="O1200" s="167"/>
      <c r="P1200" s="164"/>
      <c r="Q1200" s="165"/>
      <c r="R1200" s="165"/>
      <c r="S1200" s="167"/>
      <c r="T1200" s="167"/>
      <c r="U1200" s="167"/>
      <c r="V1200" s="168"/>
      <c r="W1200" s="168"/>
      <c r="X1200" s="168"/>
      <c r="Y1200" s="168"/>
      <c r="Z1200" s="168"/>
      <c r="AA1200" s="168"/>
      <c r="AB1200" s="164"/>
      <c r="AC1200" s="165"/>
      <c r="AD1200" s="165"/>
      <c r="AE1200" s="169"/>
      <c r="AF1200" s="169"/>
      <c r="AG1200" s="169"/>
      <c r="AH1200" s="168"/>
      <c r="AI1200" s="168"/>
      <c r="AJ1200" s="168"/>
      <c r="AK1200" s="170"/>
      <c r="AL1200" s="170"/>
    </row>
    <row r="1201" ht="15.75" customHeight="1">
      <c r="A1201" s="161"/>
      <c r="B1201" s="161"/>
      <c r="C1201" s="162"/>
      <c r="D1201" s="163"/>
      <c r="E1201" s="164"/>
      <c r="F1201" s="165"/>
      <c r="G1201" s="166"/>
      <c r="H1201" s="167"/>
      <c r="I1201" s="167"/>
      <c r="J1201" s="167"/>
      <c r="K1201" s="167"/>
      <c r="L1201" s="167"/>
      <c r="M1201" s="167"/>
      <c r="N1201" s="167"/>
      <c r="O1201" s="167"/>
      <c r="P1201" s="164"/>
      <c r="Q1201" s="165"/>
      <c r="R1201" s="165"/>
      <c r="S1201" s="167"/>
      <c r="T1201" s="167"/>
      <c r="U1201" s="167"/>
      <c r="V1201" s="168"/>
      <c r="W1201" s="168"/>
      <c r="X1201" s="168"/>
      <c r="Y1201" s="168"/>
      <c r="Z1201" s="168"/>
      <c r="AA1201" s="168"/>
      <c r="AB1201" s="164"/>
      <c r="AC1201" s="165"/>
      <c r="AD1201" s="165"/>
      <c r="AE1201" s="169"/>
      <c r="AF1201" s="169"/>
      <c r="AG1201" s="169"/>
      <c r="AH1201" s="168"/>
      <c r="AI1201" s="168"/>
      <c r="AJ1201" s="168"/>
      <c r="AK1201" s="170"/>
      <c r="AL1201" s="170"/>
    </row>
    <row r="1202" ht="15.75" customHeight="1">
      <c r="A1202" s="161"/>
      <c r="B1202" s="161"/>
      <c r="C1202" s="162"/>
      <c r="D1202" s="163"/>
      <c r="E1202" s="164"/>
      <c r="F1202" s="165"/>
      <c r="G1202" s="166"/>
      <c r="H1202" s="167"/>
      <c r="I1202" s="167"/>
      <c r="J1202" s="167"/>
      <c r="K1202" s="167"/>
      <c r="L1202" s="167"/>
      <c r="M1202" s="167"/>
      <c r="N1202" s="167"/>
      <c r="O1202" s="167"/>
      <c r="P1202" s="164"/>
      <c r="Q1202" s="165"/>
      <c r="R1202" s="165"/>
      <c r="S1202" s="167"/>
      <c r="T1202" s="167"/>
      <c r="U1202" s="167"/>
      <c r="V1202" s="168"/>
      <c r="W1202" s="168"/>
      <c r="X1202" s="168"/>
      <c r="Y1202" s="168"/>
      <c r="Z1202" s="168"/>
      <c r="AA1202" s="168"/>
      <c r="AB1202" s="164"/>
      <c r="AC1202" s="165"/>
      <c r="AD1202" s="165"/>
      <c r="AE1202" s="169"/>
      <c r="AF1202" s="169"/>
      <c r="AG1202" s="169"/>
      <c r="AH1202" s="168"/>
      <c r="AI1202" s="168"/>
      <c r="AJ1202" s="168"/>
      <c r="AK1202" s="170"/>
      <c r="AL1202" s="170"/>
    </row>
    <row r="1203" ht="15.75" customHeight="1">
      <c r="A1203" s="161"/>
      <c r="B1203" s="161"/>
      <c r="C1203" s="162"/>
      <c r="D1203" s="163"/>
      <c r="E1203" s="164"/>
      <c r="F1203" s="165"/>
      <c r="G1203" s="166"/>
      <c r="H1203" s="167"/>
      <c r="I1203" s="167"/>
      <c r="J1203" s="167"/>
      <c r="K1203" s="167"/>
      <c r="L1203" s="167"/>
      <c r="M1203" s="167"/>
      <c r="N1203" s="167"/>
      <c r="O1203" s="167"/>
      <c r="P1203" s="164"/>
      <c r="Q1203" s="165"/>
      <c r="R1203" s="165"/>
      <c r="S1203" s="167"/>
      <c r="T1203" s="167"/>
      <c r="U1203" s="167"/>
      <c r="V1203" s="168"/>
      <c r="W1203" s="168"/>
      <c r="X1203" s="168"/>
      <c r="Y1203" s="168"/>
      <c r="Z1203" s="168"/>
      <c r="AA1203" s="168"/>
      <c r="AB1203" s="164"/>
      <c r="AC1203" s="165"/>
      <c r="AD1203" s="165"/>
      <c r="AE1203" s="169"/>
      <c r="AF1203" s="169"/>
      <c r="AG1203" s="169"/>
      <c r="AH1203" s="168"/>
      <c r="AI1203" s="168"/>
      <c r="AJ1203" s="168"/>
      <c r="AK1203" s="170"/>
      <c r="AL1203" s="170"/>
    </row>
    <row r="1204" ht="15.75" customHeight="1">
      <c r="A1204" s="161"/>
      <c r="B1204" s="161"/>
      <c r="C1204" s="162"/>
      <c r="D1204" s="163"/>
      <c r="E1204" s="164"/>
      <c r="F1204" s="165"/>
      <c r="G1204" s="166"/>
      <c r="H1204" s="167"/>
      <c r="I1204" s="167"/>
      <c r="J1204" s="167"/>
      <c r="K1204" s="167"/>
      <c r="L1204" s="167"/>
      <c r="M1204" s="167"/>
      <c r="N1204" s="167"/>
      <c r="O1204" s="167"/>
      <c r="P1204" s="164"/>
      <c r="Q1204" s="165"/>
      <c r="R1204" s="165"/>
      <c r="S1204" s="167"/>
      <c r="T1204" s="167"/>
      <c r="U1204" s="167"/>
      <c r="V1204" s="168"/>
      <c r="W1204" s="168"/>
      <c r="X1204" s="168"/>
      <c r="Y1204" s="168"/>
      <c r="Z1204" s="168"/>
      <c r="AA1204" s="168"/>
      <c r="AB1204" s="164"/>
      <c r="AC1204" s="165"/>
      <c r="AD1204" s="165"/>
      <c r="AE1204" s="169"/>
      <c r="AF1204" s="169"/>
      <c r="AG1204" s="169"/>
      <c r="AH1204" s="168"/>
      <c r="AI1204" s="168"/>
      <c r="AJ1204" s="168"/>
      <c r="AK1204" s="170"/>
      <c r="AL1204" s="170"/>
    </row>
    <row r="1205" ht="15.75" customHeight="1">
      <c r="A1205" s="161"/>
      <c r="B1205" s="161"/>
      <c r="C1205" s="162"/>
      <c r="D1205" s="163"/>
      <c r="E1205" s="164"/>
      <c r="F1205" s="165"/>
      <c r="G1205" s="166"/>
      <c r="H1205" s="167"/>
      <c r="I1205" s="167"/>
      <c r="J1205" s="167"/>
      <c r="K1205" s="167"/>
      <c r="L1205" s="167"/>
      <c r="M1205" s="167"/>
      <c r="N1205" s="167"/>
      <c r="O1205" s="167"/>
      <c r="P1205" s="164"/>
      <c r="Q1205" s="165"/>
      <c r="R1205" s="165"/>
      <c r="S1205" s="167"/>
      <c r="T1205" s="167"/>
      <c r="U1205" s="167"/>
      <c r="V1205" s="168"/>
      <c r="W1205" s="168"/>
      <c r="X1205" s="168"/>
      <c r="Y1205" s="168"/>
      <c r="Z1205" s="168"/>
      <c r="AA1205" s="168"/>
      <c r="AB1205" s="164"/>
      <c r="AC1205" s="165"/>
      <c r="AD1205" s="165"/>
      <c r="AE1205" s="169"/>
      <c r="AF1205" s="169"/>
      <c r="AG1205" s="169"/>
      <c r="AH1205" s="168"/>
      <c r="AI1205" s="168"/>
      <c r="AJ1205" s="168"/>
      <c r="AK1205" s="170"/>
      <c r="AL1205" s="170"/>
    </row>
    <row r="1206" ht="15.75" customHeight="1">
      <c r="A1206" s="161"/>
      <c r="B1206" s="161"/>
      <c r="C1206" s="162"/>
      <c r="D1206" s="163"/>
      <c r="E1206" s="164"/>
      <c r="F1206" s="165"/>
      <c r="G1206" s="166"/>
      <c r="H1206" s="167"/>
      <c r="I1206" s="167"/>
      <c r="J1206" s="167"/>
      <c r="K1206" s="167"/>
      <c r="L1206" s="167"/>
      <c r="M1206" s="167"/>
      <c r="N1206" s="167"/>
      <c r="O1206" s="167"/>
      <c r="P1206" s="164"/>
      <c r="Q1206" s="165"/>
      <c r="R1206" s="165"/>
      <c r="S1206" s="167"/>
      <c r="T1206" s="167"/>
      <c r="U1206" s="167"/>
      <c r="V1206" s="168"/>
      <c r="W1206" s="168"/>
      <c r="X1206" s="168"/>
      <c r="Y1206" s="168"/>
      <c r="Z1206" s="168"/>
      <c r="AA1206" s="168"/>
      <c r="AB1206" s="164"/>
      <c r="AC1206" s="165"/>
      <c r="AD1206" s="165"/>
      <c r="AE1206" s="169"/>
      <c r="AF1206" s="169"/>
      <c r="AG1206" s="169"/>
      <c r="AH1206" s="168"/>
      <c r="AI1206" s="168"/>
      <c r="AJ1206" s="168"/>
      <c r="AK1206" s="170"/>
      <c r="AL1206" s="170"/>
    </row>
    <row r="1207" ht="15.75" customHeight="1">
      <c r="A1207" s="161"/>
      <c r="B1207" s="161"/>
      <c r="C1207" s="162"/>
      <c r="D1207" s="163"/>
      <c r="E1207" s="164"/>
      <c r="F1207" s="165"/>
      <c r="G1207" s="166"/>
      <c r="H1207" s="167"/>
      <c r="I1207" s="167"/>
      <c r="J1207" s="167"/>
      <c r="K1207" s="167"/>
      <c r="L1207" s="167"/>
      <c r="M1207" s="167"/>
      <c r="N1207" s="167"/>
      <c r="O1207" s="167"/>
      <c r="P1207" s="164"/>
      <c r="Q1207" s="165"/>
      <c r="R1207" s="165"/>
      <c r="S1207" s="167"/>
      <c r="T1207" s="167"/>
      <c r="U1207" s="167"/>
      <c r="V1207" s="168"/>
      <c r="W1207" s="168"/>
      <c r="X1207" s="168"/>
      <c r="Y1207" s="168"/>
      <c r="Z1207" s="168"/>
      <c r="AA1207" s="168"/>
      <c r="AB1207" s="164"/>
      <c r="AC1207" s="165"/>
      <c r="AD1207" s="165"/>
      <c r="AE1207" s="169"/>
      <c r="AF1207" s="169"/>
      <c r="AG1207" s="169"/>
      <c r="AH1207" s="168"/>
      <c r="AI1207" s="168"/>
      <c r="AJ1207" s="168"/>
      <c r="AK1207" s="170"/>
      <c r="AL1207" s="170"/>
    </row>
    <row r="1208" ht="15.75" customHeight="1">
      <c r="A1208" s="161"/>
      <c r="B1208" s="161"/>
      <c r="C1208" s="162"/>
      <c r="D1208" s="163"/>
      <c r="E1208" s="164"/>
      <c r="F1208" s="165"/>
      <c r="G1208" s="166"/>
      <c r="H1208" s="167"/>
      <c r="I1208" s="167"/>
      <c r="J1208" s="167"/>
      <c r="K1208" s="167"/>
      <c r="L1208" s="167"/>
      <c r="M1208" s="167"/>
      <c r="N1208" s="167"/>
      <c r="O1208" s="167"/>
      <c r="P1208" s="164"/>
      <c r="Q1208" s="165"/>
      <c r="R1208" s="165"/>
      <c r="S1208" s="167"/>
      <c r="T1208" s="167"/>
      <c r="U1208" s="167"/>
      <c r="V1208" s="168"/>
      <c r="W1208" s="168"/>
      <c r="X1208" s="168"/>
      <c r="Y1208" s="168"/>
      <c r="Z1208" s="168"/>
      <c r="AA1208" s="168"/>
      <c r="AB1208" s="164"/>
      <c r="AC1208" s="165"/>
      <c r="AD1208" s="165"/>
      <c r="AE1208" s="169"/>
      <c r="AF1208" s="169"/>
      <c r="AG1208" s="169"/>
      <c r="AH1208" s="168"/>
      <c r="AI1208" s="168"/>
      <c r="AJ1208" s="168"/>
      <c r="AK1208" s="170"/>
      <c r="AL1208" s="170"/>
    </row>
    <row r="1209" ht="15.75" customHeight="1">
      <c r="A1209" s="161"/>
      <c r="B1209" s="161"/>
      <c r="C1209" s="162"/>
      <c r="D1209" s="163"/>
      <c r="E1209" s="164"/>
      <c r="F1209" s="165"/>
      <c r="G1209" s="166"/>
      <c r="H1209" s="167"/>
      <c r="I1209" s="167"/>
      <c r="J1209" s="167"/>
      <c r="K1209" s="167"/>
      <c r="L1209" s="167"/>
      <c r="M1209" s="167"/>
      <c r="N1209" s="167"/>
      <c r="O1209" s="167"/>
      <c r="P1209" s="164"/>
      <c r="Q1209" s="165"/>
      <c r="R1209" s="165"/>
      <c r="S1209" s="167"/>
      <c r="T1209" s="167"/>
      <c r="U1209" s="167"/>
      <c r="V1209" s="168"/>
      <c r="W1209" s="168"/>
      <c r="X1209" s="168"/>
      <c r="Y1209" s="168"/>
      <c r="Z1209" s="168"/>
      <c r="AA1209" s="168"/>
      <c r="AB1209" s="164"/>
      <c r="AC1209" s="165"/>
      <c r="AD1209" s="165"/>
      <c r="AE1209" s="169"/>
      <c r="AF1209" s="169"/>
      <c r="AG1209" s="169"/>
      <c r="AH1209" s="168"/>
      <c r="AI1209" s="168"/>
      <c r="AJ1209" s="168"/>
      <c r="AK1209" s="170"/>
      <c r="AL1209" s="170"/>
    </row>
    <row r="1210" ht="15.75" customHeight="1">
      <c r="A1210" s="161"/>
      <c r="B1210" s="161"/>
      <c r="C1210" s="162"/>
      <c r="D1210" s="163"/>
      <c r="E1210" s="164"/>
      <c r="F1210" s="165"/>
      <c r="G1210" s="166"/>
      <c r="H1210" s="167"/>
      <c r="I1210" s="167"/>
      <c r="J1210" s="167"/>
      <c r="K1210" s="167"/>
      <c r="L1210" s="167"/>
      <c r="M1210" s="167"/>
      <c r="N1210" s="167"/>
      <c r="O1210" s="167"/>
      <c r="P1210" s="164"/>
      <c r="Q1210" s="165"/>
      <c r="R1210" s="165"/>
      <c r="S1210" s="167"/>
      <c r="T1210" s="167"/>
      <c r="U1210" s="167"/>
      <c r="V1210" s="168"/>
      <c r="W1210" s="168"/>
      <c r="X1210" s="168"/>
      <c r="Y1210" s="168"/>
      <c r="Z1210" s="168"/>
      <c r="AA1210" s="168"/>
      <c r="AB1210" s="164"/>
      <c r="AC1210" s="165"/>
      <c r="AD1210" s="165"/>
      <c r="AE1210" s="169"/>
      <c r="AF1210" s="169"/>
      <c r="AG1210" s="169"/>
      <c r="AH1210" s="168"/>
      <c r="AI1210" s="168"/>
      <c r="AJ1210" s="168"/>
      <c r="AK1210" s="170"/>
      <c r="AL1210" s="170"/>
    </row>
    <row r="1211" ht="15.75" customHeight="1">
      <c r="A1211" s="161"/>
      <c r="B1211" s="161"/>
      <c r="C1211" s="162"/>
      <c r="D1211" s="163"/>
      <c r="E1211" s="164"/>
      <c r="F1211" s="165"/>
      <c r="G1211" s="166"/>
      <c r="H1211" s="167"/>
      <c r="I1211" s="167"/>
      <c r="J1211" s="167"/>
      <c r="K1211" s="167"/>
      <c r="L1211" s="167"/>
      <c r="M1211" s="167"/>
      <c r="N1211" s="167"/>
      <c r="O1211" s="167"/>
      <c r="P1211" s="164"/>
      <c r="Q1211" s="165"/>
      <c r="R1211" s="165"/>
      <c r="S1211" s="167"/>
      <c r="T1211" s="167"/>
      <c r="U1211" s="167"/>
      <c r="V1211" s="168"/>
      <c r="W1211" s="168"/>
      <c r="X1211" s="168"/>
      <c r="Y1211" s="168"/>
      <c r="Z1211" s="168"/>
      <c r="AA1211" s="168"/>
      <c r="AB1211" s="164"/>
      <c r="AC1211" s="165"/>
      <c r="AD1211" s="165"/>
      <c r="AE1211" s="169"/>
      <c r="AF1211" s="169"/>
      <c r="AG1211" s="169"/>
      <c r="AH1211" s="168"/>
      <c r="AI1211" s="168"/>
      <c r="AJ1211" s="168"/>
      <c r="AK1211" s="170"/>
      <c r="AL1211" s="170"/>
    </row>
    <row r="1212" ht="15.75" customHeight="1">
      <c r="A1212" s="161"/>
      <c r="B1212" s="161"/>
      <c r="C1212" s="162"/>
      <c r="D1212" s="163"/>
      <c r="E1212" s="164"/>
      <c r="F1212" s="165"/>
      <c r="G1212" s="166"/>
      <c r="H1212" s="167"/>
      <c r="I1212" s="167"/>
      <c r="J1212" s="167"/>
      <c r="K1212" s="167"/>
      <c r="L1212" s="167"/>
      <c r="M1212" s="167"/>
      <c r="N1212" s="167"/>
      <c r="O1212" s="167"/>
      <c r="P1212" s="164"/>
      <c r="Q1212" s="165"/>
      <c r="R1212" s="165"/>
      <c r="S1212" s="167"/>
      <c r="T1212" s="167"/>
      <c r="U1212" s="167"/>
      <c r="V1212" s="168"/>
      <c r="W1212" s="168"/>
      <c r="X1212" s="168"/>
      <c r="Y1212" s="168"/>
      <c r="Z1212" s="168"/>
      <c r="AA1212" s="168"/>
      <c r="AB1212" s="164"/>
      <c r="AC1212" s="165"/>
      <c r="AD1212" s="165"/>
      <c r="AE1212" s="169"/>
      <c r="AF1212" s="169"/>
      <c r="AG1212" s="169"/>
      <c r="AH1212" s="168"/>
      <c r="AI1212" s="168"/>
      <c r="AJ1212" s="168"/>
      <c r="AK1212" s="170"/>
      <c r="AL1212" s="170"/>
    </row>
    <row r="1213" ht="15.75" customHeight="1">
      <c r="A1213" s="161"/>
      <c r="B1213" s="161"/>
      <c r="C1213" s="162"/>
      <c r="D1213" s="163"/>
      <c r="E1213" s="164"/>
      <c r="F1213" s="165"/>
      <c r="G1213" s="166"/>
      <c r="H1213" s="167"/>
      <c r="I1213" s="167"/>
      <c r="J1213" s="167"/>
      <c r="K1213" s="167"/>
      <c r="L1213" s="167"/>
      <c r="M1213" s="167"/>
      <c r="N1213" s="167"/>
      <c r="O1213" s="167"/>
      <c r="P1213" s="164"/>
      <c r="Q1213" s="165"/>
      <c r="R1213" s="165"/>
      <c r="S1213" s="167"/>
      <c r="T1213" s="167"/>
      <c r="U1213" s="167"/>
      <c r="V1213" s="168"/>
      <c r="W1213" s="168"/>
      <c r="X1213" s="168"/>
      <c r="Y1213" s="168"/>
      <c r="Z1213" s="168"/>
      <c r="AA1213" s="168"/>
      <c r="AB1213" s="164"/>
      <c r="AC1213" s="165"/>
      <c r="AD1213" s="165"/>
      <c r="AE1213" s="169"/>
      <c r="AF1213" s="169"/>
      <c r="AG1213" s="169"/>
      <c r="AH1213" s="168"/>
      <c r="AI1213" s="168"/>
      <c r="AJ1213" s="168"/>
      <c r="AK1213" s="170"/>
      <c r="AL1213" s="170"/>
    </row>
    <row r="1214" ht="15.75" customHeight="1">
      <c r="A1214" s="161"/>
      <c r="B1214" s="161"/>
      <c r="C1214" s="162"/>
      <c r="D1214" s="163"/>
      <c r="E1214" s="164"/>
      <c r="F1214" s="165"/>
      <c r="G1214" s="166"/>
      <c r="H1214" s="167"/>
      <c r="I1214" s="167"/>
      <c r="J1214" s="167"/>
      <c r="K1214" s="167"/>
      <c r="L1214" s="167"/>
      <c r="M1214" s="167"/>
      <c r="N1214" s="167"/>
      <c r="O1214" s="167"/>
      <c r="P1214" s="164"/>
      <c r="Q1214" s="165"/>
      <c r="R1214" s="165"/>
      <c r="S1214" s="167"/>
      <c r="T1214" s="167"/>
      <c r="U1214" s="167"/>
      <c r="V1214" s="168"/>
      <c r="W1214" s="168"/>
      <c r="X1214" s="168"/>
      <c r="Y1214" s="168"/>
      <c r="Z1214" s="168"/>
      <c r="AA1214" s="168"/>
      <c r="AB1214" s="164"/>
      <c r="AC1214" s="165"/>
      <c r="AD1214" s="165"/>
      <c r="AE1214" s="169"/>
      <c r="AF1214" s="169"/>
      <c r="AG1214" s="169"/>
      <c r="AH1214" s="168"/>
      <c r="AI1214" s="168"/>
      <c r="AJ1214" s="168"/>
      <c r="AK1214" s="170"/>
      <c r="AL1214" s="170"/>
    </row>
    <row r="1215" ht="15.75" customHeight="1">
      <c r="A1215" s="161"/>
      <c r="B1215" s="161"/>
      <c r="C1215" s="162"/>
      <c r="D1215" s="163"/>
      <c r="E1215" s="164"/>
      <c r="F1215" s="165"/>
      <c r="G1215" s="166"/>
      <c r="H1215" s="167"/>
      <c r="I1215" s="167"/>
      <c r="J1215" s="167"/>
      <c r="K1215" s="167"/>
      <c r="L1215" s="167"/>
      <c r="M1215" s="167"/>
      <c r="N1215" s="167"/>
      <c r="O1215" s="167"/>
      <c r="P1215" s="164"/>
      <c r="Q1215" s="165"/>
      <c r="R1215" s="165"/>
      <c r="S1215" s="167"/>
      <c r="T1215" s="167"/>
      <c r="U1215" s="167"/>
      <c r="V1215" s="168"/>
      <c r="W1215" s="168"/>
      <c r="X1215" s="168"/>
      <c r="Y1215" s="168"/>
      <c r="Z1215" s="168"/>
      <c r="AA1215" s="168"/>
      <c r="AB1215" s="164"/>
      <c r="AC1215" s="165"/>
      <c r="AD1215" s="165"/>
      <c r="AE1215" s="169"/>
      <c r="AF1215" s="169"/>
      <c r="AG1215" s="169"/>
      <c r="AH1215" s="168"/>
      <c r="AI1215" s="168"/>
      <c r="AJ1215" s="168"/>
      <c r="AK1215" s="170"/>
      <c r="AL1215" s="170"/>
    </row>
    <row r="1216" ht="15.75" customHeight="1">
      <c r="A1216" s="161"/>
      <c r="B1216" s="161"/>
      <c r="C1216" s="162"/>
      <c r="D1216" s="163"/>
      <c r="E1216" s="164"/>
      <c r="F1216" s="165"/>
      <c r="G1216" s="166"/>
      <c r="H1216" s="167"/>
      <c r="I1216" s="167"/>
      <c r="J1216" s="167"/>
      <c r="K1216" s="167"/>
      <c r="L1216" s="167"/>
      <c r="M1216" s="167"/>
      <c r="N1216" s="167"/>
      <c r="O1216" s="167"/>
      <c r="P1216" s="164"/>
      <c r="Q1216" s="165"/>
      <c r="R1216" s="165"/>
      <c r="S1216" s="167"/>
      <c r="T1216" s="167"/>
      <c r="U1216" s="167"/>
      <c r="V1216" s="168"/>
      <c r="W1216" s="168"/>
      <c r="X1216" s="168"/>
      <c r="Y1216" s="168"/>
      <c r="Z1216" s="168"/>
      <c r="AA1216" s="168"/>
      <c r="AB1216" s="164"/>
      <c r="AC1216" s="165"/>
      <c r="AD1216" s="165"/>
      <c r="AE1216" s="169"/>
      <c r="AF1216" s="169"/>
      <c r="AG1216" s="169"/>
      <c r="AH1216" s="168"/>
      <c r="AI1216" s="168"/>
      <c r="AJ1216" s="168"/>
      <c r="AK1216" s="170"/>
      <c r="AL1216" s="170"/>
    </row>
    <row r="1217" ht="15.75" customHeight="1">
      <c r="A1217" s="161"/>
      <c r="B1217" s="161"/>
      <c r="C1217" s="162"/>
      <c r="D1217" s="163"/>
      <c r="E1217" s="164"/>
      <c r="F1217" s="165"/>
      <c r="G1217" s="166"/>
      <c r="H1217" s="167"/>
      <c r="I1217" s="167"/>
      <c r="J1217" s="167"/>
      <c r="K1217" s="167"/>
      <c r="L1217" s="167"/>
      <c r="M1217" s="167"/>
      <c r="N1217" s="167"/>
      <c r="O1217" s="167"/>
      <c r="P1217" s="164"/>
      <c r="Q1217" s="165"/>
      <c r="R1217" s="165"/>
      <c r="S1217" s="167"/>
      <c r="T1217" s="167"/>
      <c r="U1217" s="167"/>
      <c r="V1217" s="168"/>
      <c r="W1217" s="168"/>
      <c r="X1217" s="168"/>
      <c r="Y1217" s="168"/>
      <c r="Z1217" s="168"/>
      <c r="AA1217" s="168"/>
      <c r="AB1217" s="164"/>
      <c r="AC1217" s="165"/>
      <c r="AD1217" s="165"/>
      <c r="AE1217" s="169"/>
      <c r="AF1217" s="169"/>
      <c r="AG1217" s="169"/>
      <c r="AH1217" s="168"/>
      <c r="AI1217" s="168"/>
      <c r="AJ1217" s="168"/>
      <c r="AK1217" s="170"/>
      <c r="AL1217" s="170"/>
    </row>
    <row r="1218" ht="15.75" customHeight="1">
      <c r="A1218" s="161"/>
      <c r="B1218" s="161"/>
      <c r="C1218" s="162"/>
      <c r="D1218" s="163"/>
      <c r="E1218" s="164"/>
      <c r="F1218" s="165"/>
      <c r="G1218" s="166"/>
      <c r="H1218" s="167"/>
      <c r="I1218" s="167"/>
      <c r="J1218" s="167"/>
      <c r="K1218" s="167"/>
      <c r="L1218" s="167"/>
      <c r="M1218" s="167"/>
      <c r="N1218" s="167"/>
      <c r="O1218" s="167"/>
      <c r="P1218" s="164"/>
      <c r="Q1218" s="165"/>
      <c r="R1218" s="165"/>
      <c r="S1218" s="167"/>
      <c r="T1218" s="167"/>
      <c r="U1218" s="167"/>
      <c r="V1218" s="168"/>
      <c r="W1218" s="168"/>
      <c r="X1218" s="168"/>
      <c r="Y1218" s="168"/>
      <c r="Z1218" s="168"/>
      <c r="AA1218" s="168"/>
      <c r="AB1218" s="164"/>
      <c r="AC1218" s="165"/>
      <c r="AD1218" s="165"/>
      <c r="AE1218" s="169"/>
      <c r="AF1218" s="169"/>
      <c r="AG1218" s="169"/>
      <c r="AH1218" s="168"/>
      <c r="AI1218" s="168"/>
      <c r="AJ1218" s="168"/>
      <c r="AK1218" s="170"/>
      <c r="AL1218" s="170"/>
    </row>
    <row r="1219" ht="15.75" customHeight="1">
      <c r="A1219" s="161"/>
      <c r="B1219" s="161"/>
      <c r="C1219" s="162"/>
      <c r="D1219" s="163"/>
      <c r="E1219" s="164"/>
      <c r="F1219" s="165"/>
      <c r="G1219" s="166"/>
      <c r="H1219" s="167"/>
      <c r="I1219" s="167"/>
      <c r="J1219" s="167"/>
      <c r="K1219" s="167"/>
      <c r="L1219" s="167"/>
      <c r="M1219" s="167"/>
      <c r="N1219" s="167"/>
      <c r="O1219" s="167"/>
      <c r="P1219" s="164"/>
      <c r="Q1219" s="165"/>
      <c r="R1219" s="165"/>
      <c r="S1219" s="167"/>
      <c r="T1219" s="167"/>
      <c r="U1219" s="167"/>
      <c r="V1219" s="168"/>
      <c r="W1219" s="168"/>
      <c r="X1219" s="168"/>
      <c r="Y1219" s="168"/>
      <c r="Z1219" s="168"/>
      <c r="AA1219" s="168"/>
      <c r="AB1219" s="164"/>
      <c r="AC1219" s="165"/>
      <c r="AD1219" s="165"/>
      <c r="AE1219" s="169"/>
      <c r="AF1219" s="169"/>
      <c r="AG1219" s="169"/>
      <c r="AH1219" s="168"/>
      <c r="AI1219" s="168"/>
      <c r="AJ1219" s="168"/>
      <c r="AK1219" s="170"/>
      <c r="AL1219" s="170"/>
    </row>
    <row r="1220" ht="15.75" customHeight="1">
      <c r="A1220" s="161"/>
      <c r="B1220" s="161"/>
      <c r="C1220" s="162"/>
      <c r="D1220" s="163"/>
      <c r="E1220" s="164"/>
      <c r="F1220" s="165"/>
      <c r="G1220" s="166"/>
      <c r="H1220" s="167"/>
      <c r="I1220" s="167"/>
      <c r="J1220" s="167"/>
      <c r="K1220" s="167"/>
      <c r="L1220" s="167"/>
      <c r="M1220" s="167"/>
      <c r="N1220" s="167"/>
      <c r="O1220" s="167"/>
      <c r="P1220" s="164"/>
      <c r="Q1220" s="165"/>
      <c r="R1220" s="165"/>
      <c r="S1220" s="167"/>
      <c r="T1220" s="167"/>
      <c r="U1220" s="167"/>
      <c r="V1220" s="168"/>
      <c r="W1220" s="168"/>
      <c r="X1220" s="168"/>
      <c r="Y1220" s="168"/>
      <c r="Z1220" s="168"/>
      <c r="AA1220" s="168"/>
      <c r="AB1220" s="164"/>
      <c r="AC1220" s="165"/>
      <c r="AD1220" s="165"/>
      <c r="AE1220" s="169"/>
      <c r="AF1220" s="169"/>
      <c r="AG1220" s="169"/>
      <c r="AH1220" s="168"/>
      <c r="AI1220" s="168"/>
      <c r="AJ1220" s="168"/>
      <c r="AK1220" s="170"/>
      <c r="AL1220" s="170"/>
    </row>
    <row r="1221" ht="15.75" customHeight="1">
      <c r="A1221" s="161"/>
      <c r="B1221" s="161"/>
      <c r="C1221" s="162"/>
      <c r="D1221" s="163"/>
      <c r="E1221" s="164"/>
      <c r="F1221" s="165"/>
      <c r="G1221" s="166"/>
      <c r="H1221" s="167"/>
      <c r="I1221" s="167"/>
      <c r="J1221" s="167"/>
      <c r="K1221" s="167"/>
      <c r="L1221" s="167"/>
      <c r="M1221" s="167"/>
      <c r="N1221" s="167"/>
      <c r="O1221" s="167"/>
      <c r="P1221" s="164"/>
      <c r="Q1221" s="165"/>
      <c r="R1221" s="165"/>
      <c r="S1221" s="167"/>
      <c r="T1221" s="167"/>
      <c r="U1221" s="167"/>
      <c r="V1221" s="168"/>
      <c r="W1221" s="168"/>
      <c r="X1221" s="168"/>
      <c r="Y1221" s="168"/>
      <c r="Z1221" s="168"/>
      <c r="AA1221" s="168"/>
      <c r="AB1221" s="164"/>
      <c r="AC1221" s="165"/>
      <c r="AD1221" s="165"/>
      <c r="AE1221" s="169"/>
      <c r="AF1221" s="169"/>
      <c r="AG1221" s="169"/>
      <c r="AH1221" s="168"/>
      <c r="AI1221" s="168"/>
      <c r="AJ1221" s="168"/>
      <c r="AK1221" s="170"/>
      <c r="AL1221" s="170"/>
    </row>
    <row r="1222" ht="15.75" customHeight="1">
      <c r="A1222" s="161"/>
      <c r="B1222" s="161"/>
      <c r="C1222" s="162"/>
      <c r="D1222" s="163"/>
      <c r="E1222" s="164"/>
      <c r="F1222" s="165"/>
      <c r="G1222" s="166"/>
      <c r="H1222" s="167"/>
      <c r="I1222" s="167"/>
      <c r="J1222" s="167"/>
      <c r="K1222" s="167"/>
      <c r="L1222" s="167"/>
      <c r="M1222" s="167"/>
      <c r="N1222" s="167"/>
      <c r="O1222" s="167"/>
      <c r="P1222" s="164"/>
      <c r="Q1222" s="165"/>
      <c r="R1222" s="165"/>
      <c r="S1222" s="167"/>
      <c r="T1222" s="167"/>
      <c r="U1222" s="167"/>
      <c r="V1222" s="168"/>
      <c r="W1222" s="168"/>
      <c r="X1222" s="168"/>
      <c r="Y1222" s="168"/>
      <c r="Z1222" s="168"/>
      <c r="AA1222" s="168"/>
      <c r="AB1222" s="164"/>
      <c r="AC1222" s="165"/>
      <c r="AD1222" s="165"/>
      <c r="AE1222" s="169"/>
      <c r="AF1222" s="169"/>
      <c r="AG1222" s="169"/>
      <c r="AH1222" s="168"/>
      <c r="AI1222" s="168"/>
      <c r="AJ1222" s="168"/>
      <c r="AK1222" s="170"/>
      <c r="AL1222" s="170"/>
    </row>
    <row r="1223" ht="15.75" customHeight="1">
      <c r="A1223" s="161"/>
      <c r="B1223" s="161"/>
      <c r="C1223" s="162"/>
      <c r="D1223" s="163"/>
      <c r="E1223" s="164"/>
      <c r="F1223" s="165"/>
      <c r="G1223" s="166"/>
      <c r="H1223" s="167"/>
      <c r="I1223" s="167"/>
      <c r="J1223" s="167"/>
      <c r="K1223" s="167"/>
      <c r="L1223" s="167"/>
      <c r="M1223" s="167"/>
      <c r="N1223" s="167"/>
      <c r="O1223" s="167"/>
      <c r="P1223" s="164"/>
      <c r="Q1223" s="165"/>
      <c r="R1223" s="165"/>
      <c r="S1223" s="167"/>
      <c r="T1223" s="167"/>
      <c r="U1223" s="167"/>
      <c r="V1223" s="168"/>
      <c r="W1223" s="168"/>
      <c r="X1223" s="168"/>
      <c r="Y1223" s="168"/>
      <c r="Z1223" s="168"/>
      <c r="AA1223" s="168"/>
      <c r="AB1223" s="164"/>
      <c r="AC1223" s="165"/>
      <c r="AD1223" s="165"/>
      <c r="AE1223" s="169"/>
      <c r="AF1223" s="169"/>
      <c r="AG1223" s="169"/>
      <c r="AH1223" s="168"/>
      <c r="AI1223" s="168"/>
      <c r="AJ1223" s="168"/>
      <c r="AK1223" s="170"/>
      <c r="AL1223" s="170"/>
    </row>
    <row r="1224" ht="15.75" customHeight="1">
      <c r="A1224" s="161"/>
      <c r="B1224" s="161"/>
      <c r="C1224" s="162"/>
      <c r="D1224" s="163"/>
      <c r="E1224" s="164"/>
      <c r="F1224" s="165"/>
      <c r="G1224" s="166"/>
      <c r="H1224" s="167"/>
      <c r="I1224" s="167"/>
      <c r="J1224" s="167"/>
      <c r="K1224" s="167"/>
      <c r="L1224" s="167"/>
      <c r="M1224" s="167"/>
      <c r="N1224" s="167"/>
      <c r="O1224" s="167"/>
      <c r="P1224" s="164"/>
      <c r="Q1224" s="165"/>
      <c r="R1224" s="165"/>
      <c r="S1224" s="167"/>
      <c r="T1224" s="167"/>
      <c r="U1224" s="167"/>
      <c r="V1224" s="168"/>
      <c r="W1224" s="168"/>
      <c r="X1224" s="168"/>
      <c r="Y1224" s="168"/>
      <c r="Z1224" s="168"/>
      <c r="AA1224" s="168"/>
      <c r="AB1224" s="164"/>
      <c r="AC1224" s="165"/>
      <c r="AD1224" s="165"/>
      <c r="AE1224" s="169"/>
      <c r="AF1224" s="169"/>
      <c r="AG1224" s="169"/>
      <c r="AH1224" s="168"/>
      <c r="AI1224" s="168"/>
      <c r="AJ1224" s="168"/>
      <c r="AK1224" s="170"/>
      <c r="AL1224" s="170"/>
    </row>
    <row r="1225" ht="15.75" customHeight="1">
      <c r="A1225" s="161"/>
      <c r="B1225" s="161"/>
      <c r="C1225" s="162"/>
      <c r="D1225" s="163"/>
      <c r="E1225" s="164"/>
      <c r="F1225" s="165"/>
      <c r="G1225" s="166"/>
      <c r="H1225" s="167"/>
      <c r="I1225" s="167"/>
      <c r="J1225" s="167"/>
      <c r="K1225" s="167"/>
      <c r="L1225" s="167"/>
      <c r="M1225" s="167"/>
      <c r="N1225" s="167"/>
      <c r="O1225" s="167"/>
      <c r="P1225" s="164"/>
      <c r="Q1225" s="165"/>
      <c r="R1225" s="165"/>
      <c r="S1225" s="167"/>
      <c r="T1225" s="167"/>
      <c r="U1225" s="167"/>
      <c r="V1225" s="168"/>
      <c r="W1225" s="168"/>
      <c r="X1225" s="168"/>
      <c r="Y1225" s="168"/>
      <c r="Z1225" s="168"/>
      <c r="AA1225" s="168"/>
      <c r="AB1225" s="164"/>
      <c r="AC1225" s="165"/>
      <c r="AD1225" s="165"/>
      <c r="AE1225" s="169"/>
      <c r="AF1225" s="169"/>
      <c r="AG1225" s="169"/>
      <c r="AH1225" s="168"/>
      <c r="AI1225" s="168"/>
      <c r="AJ1225" s="168"/>
      <c r="AK1225" s="170"/>
      <c r="AL1225" s="170"/>
    </row>
    <row r="1226" ht="15.75" customHeight="1">
      <c r="A1226" s="161"/>
      <c r="B1226" s="161"/>
      <c r="C1226" s="162"/>
      <c r="D1226" s="163"/>
      <c r="E1226" s="164"/>
      <c r="F1226" s="165"/>
      <c r="G1226" s="166"/>
      <c r="H1226" s="167"/>
      <c r="I1226" s="167"/>
      <c r="J1226" s="167"/>
      <c r="K1226" s="167"/>
      <c r="L1226" s="167"/>
      <c r="M1226" s="167"/>
      <c r="N1226" s="167"/>
      <c r="O1226" s="167"/>
      <c r="P1226" s="164"/>
      <c r="Q1226" s="165"/>
      <c r="R1226" s="165"/>
      <c r="S1226" s="167"/>
      <c r="T1226" s="167"/>
      <c r="U1226" s="167"/>
      <c r="V1226" s="168"/>
      <c r="W1226" s="168"/>
      <c r="X1226" s="168"/>
      <c r="Y1226" s="168"/>
      <c r="Z1226" s="168"/>
      <c r="AA1226" s="168"/>
      <c r="AB1226" s="164"/>
      <c r="AC1226" s="165"/>
      <c r="AD1226" s="165"/>
      <c r="AE1226" s="169"/>
      <c r="AF1226" s="169"/>
      <c r="AG1226" s="169"/>
      <c r="AH1226" s="168"/>
      <c r="AI1226" s="168"/>
      <c r="AJ1226" s="168"/>
      <c r="AK1226" s="170"/>
      <c r="AL1226" s="170"/>
    </row>
    <row r="1227" ht="15.75" customHeight="1">
      <c r="A1227" s="161"/>
      <c r="B1227" s="161"/>
      <c r="C1227" s="162"/>
      <c r="D1227" s="163"/>
      <c r="E1227" s="164"/>
      <c r="F1227" s="165"/>
      <c r="G1227" s="166"/>
      <c r="H1227" s="167"/>
      <c r="I1227" s="167"/>
      <c r="J1227" s="167"/>
      <c r="K1227" s="167"/>
      <c r="L1227" s="167"/>
      <c r="M1227" s="167"/>
      <c r="N1227" s="167"/>
      <c r="O1227" s="167"/>
      <c r="P1227" s="164"/>
      <c r="Q1227" s="165"/>
      <c r="R1227" s="165"/>
      <c r="S1227" s="167"/>
      <c r="T1227" s="167"/>
      <c r="U1227" s="167"/>
      <c r="V1227" s="168"/>
      <c r="W1227" s="168"/>
      <c r="X1227" s="168"/>
      <c r="Y1227" s="168"/>
      <c r="Z1227" s="168"/>
      <c r="AA1227" s="168"/>
      <c r="AB1227" s="164"/>
      <c r="AC1227" s="165"/>
      <c r="AD1227" s="165"/>
      <c r="AE1227" s="169"/>
      <c r="AF1227" s="169"/>
      <c r="AG1227" s="169"/>
      <c r="AH1227" s="168"/>
      <c r="AI1227" s="168"/>
      <c r="AJ1227" s="168"/>
      <c r="AK1227" s="170"/>
      <c r="AL1227" s="170"/>
    </row>
    <row r="1228" ht="15.75" customHeight="1">
      <c r="A1228" s="161"/>
      <c r="B1228" s="161"/>
      <c r="C1228" s="162"/>
      <c r="D1228" s="163"/>
      <c r="E1228" s="164"/>
      <c r="F1228" s="165"/>
      <c r="G1228" s="166"/>
      <c r="H1228" s="167"/>
      <c r="I1228" s="167"/>
      <c r="J1228" s="167"/>
      <c r="K1228" s="167"/>
      <c r="L1228" s="167"/>
      <c r="M1228" s="167"/>
      <c r="N1228" s="167"/>
      <c r="O1228" s="167"/>
      <c r="P1228" s="164"/>
      <c r="Q1228" s="165"/>
      <c r="R1228" s="165"/>
      <c r="S1228" s="167"/>
      <c r="T1228" s="167"/>
      <c r="U1228" s="167"/>
      <c r="V1228" s="168"/>
      <c r="W1228" s="168"/>
      <c r="X1228" s="168"/>
      <c r="Y1228" s="168"/>
      <c r="Z1228" s="168"/>
      <c r="AA1228" s="168"/>
      <c r="AB1228" s="164"/>
      <c r="AC1228" s="165"/>
      <c r="AD1228" s="165"/>
      <c r="AE1228" s="169"/>
      <c r="AF1228" s="169"/>
      <c r="AG1228" s="169"/>
      <c r="AH1228" s="168"/>
      <c r="AI1228" s="168"/>
      <c r="AJ1228" s="168"/>
      <c r="AK1228" s="170"/>
      <c r="AL1228" s="170"/>
    </row>
    <row r="1229" ht="15.75" customHeight="1">
      <c r="A1229" s="161"/>
      <c r="B1229" s="161"/>
      <c r="C1229" s="162"/>
      <c r="D1229" s="163"/>
      <c r="E1229" s="164"/>
      <c r="F1229" s="165"/>
      <c r="G1229" s="166"/>
      <c r="H1229" s="167"/>
      <c r="I1229" s="167"/>
      <c r="J1229" s="167"/>
      <c r="K1229" s="167"/>
      <c r="L1229" s="167"/>
      <c r="M1229" s="167"/>
      <c r="N1229" s="167"/>
      <c r="O1229" s="167"/>
      <c r="P1229" s="164"/>
      <c r="Q1229" s="165"/>
      <c r="R1229" s="165"/>
      <c r="S1229" s="167"/>
      <c r="T1229" s="167"/>
      <c r="U1229" s="167"/>
      <c r="V1229" s="168"/>
      <c r="W1229" s="168"/>
      <c r="X1229" s="168"/>
      <c r="Y1229" s="168"/>
      <c r="Z1229" s="168"/>
      <c r="AA1229" s="168"/>
      <c r="AB1229" s="164"/>
      <c r="AC1229" s="165"/>
      <c r="AD1229" s="165"/>
      <c r="AE1229" s="169"/>
      <c r="AF1229" s="169"/>
      <c r="AG1229" s="169"/>
      <c r="AH1229" s="168"/>
      <c r="AI1229" s="168"/>
      <c r="AJ1229" s="168"/>
      <c r="AK1229" s="170"/>
      <c r="AL1229" s="170"/>
    </row>
    <row r="1230" ht="15.75" customHeight="1">
      <c r="A1230" s="161"/>
      <c r="B1230" s="161"/>
      <c r="C1230" s="162"/>
      <c r="D1230" s="163"/>
      <c r="E1230" s="164"/>
      <c r="F1230" s="165"/>
      <c r="G1230" s="166"/>
      <c r="H1230" s="167"/>
      <c r="I1230" s="167"/>
      <c r="J1230" s="167"/>
      <c r="K1230" s="167"/>
      <c r="L1230" s="167"/>
      <c r="M1230" s="167"/>
      <c r="N1230" s="167"/>
      <c r="O1230" s="167"/>
      <c r="P1230" s="164"/>
      <c r="Q1230" s="165"/>
      <c r="R1230" s="165"/>
      <c r="S1230" s="167"/>
      <c r="T1230" s="167"/>
      <c r="U1230" s="167"/>
      <c r="V1230" s="168"/>
      <c r="W1230" s="168"/>
      <c r="X1230" s="168"/>
      <c r="Y1230" s="168"/>
      <c r="Z1230" s="168"/>
      <c r="AA1230" s="168"/>
      <c r="AB1230" s="164"/>
      <c r="AC1230" s="165"/>
      <c r="AD1230" s="165"/>
      <c r="AE1230" s="169"/>
      <c r="AF1230" s="169"/>
      <c r="AG1230" s="169"/>
      <c r="AH1230" s="168"/>
      <c r="AI1230" s="168"/>
      <c r="AJ1230" s="168"/>
      <c r="AK1230" s="170"/>
      <c r="AL1230" s="170"/>
    </row>
    <row r="1231" ht="15.75" customHeight="1">
      <c r="A1231" s="161"/>
      <c r="B1231" s="161"/>
      <c r="C1231" s="162"/>
      <c r="D1231" s="163"/>
      <c r="E1231" s="164"/>
      <c r="F1231" s="165"/>
      <c r="G1231" s="166"/>
      <c r="H1231" s="167"/>
      <c r="I1231" s="167"/>
      <c r="J1231" s="167"/>
      <c r="K1231" s="167"/>
      <c r="L1231" s="167"/>
      <c r="M1231" s="167"/>
      <c r="N1231" s="167"/>
      <c r="O1231" s="167"/>
      <c r="P1231" s="164"/>
      <c r="Q1231" s="165"/>
      <c r="R1231" s="165"/>
      <c r="S1231" s="167"/>
      <c r="T1231" s="167"/>
      <c r="U1231" s="167"/>
      <c r="V1231" s="168"/>
      <c r="W1231" s="168"/>
      <c r="X1231" s="168"/>
      <c r="Y1231" s="168"/>
      <c r="Z1231" s="168"/>
      <c r="AA1231" s="168"/>
      <c r="AB1231" s="164"/>
      <c r="AC1231" s="165"/>
      <c r="AD1231" s="165"/>
      <c r="AE1231" s="169"/>
      <c r="AF1231" s="169"/>
      <c r="AG1231" s="169"/>
      <c r="AH1231" s="168"/>
      <c r="AI1231" s="168"/>
      <c r="AJ1231" s="168"/>
      <c r="AK1231" s="170"/>
      <c r="AL1231" s="170"/>
    </row>
    <row r="1232" ht="15.75" customHeight="1">
      <c r="A1232" s="161"/>
      <c r="B1232" s="161"/>
      <c r="C1232" s="162"/>
      <c r="D1232" s="163"/>
      <c r="E1232" s="164"/>
      <c r="F1232" s="165"/>
      <c r="G1232" s="166"/>
      <c r="H1232" s="167"/>
      <c r="I1232" s="167"/>
      <c r="J1232" s="167"/>
      <c r="K1232" s="167"/>
      <c r="L1232" s="167"/>
      <c r="M1232" s="167"/>
      <c r="N1232" s="167"/>
      <c r="O1232" s="167"/>
      <c r="P1232" s="164"/>
      <c r="Q1232" s="165"/>
      <c r="R1232" s="165"/>
      <c r="S1232" s="167"/>
      <c r="T1232" s="167"/>
      <c r="U1232" s="167"/>
      <c r="V1232" s="168"/>
      <c r="W1232" s="168"/>
      <c r="X1232" s="168"/>
      <c r="Y1232" s="168"/>
      <c r="Z1232" s="168"/>
      <c r="AA1232" s="168"/>
      <c r="AB1232" s="164"/>
      <c r="AC1232" s="165"/>
      <c r="AD1232" s="165"/>
      <c r="AE1232" s="169"/>
      <c r="AF1232" s="169"/>
      <c r="AG1232" s="169"/>
      <c r="AH1232" s="168"/>
      <c r="AI1232" s="168"/>
      <c r="AJ1232" s="168"/>
      <c r="AK1232" s="170"/>
      <c r="AL1232" s="170"/>
    </row>
    <row r="1233" ht="15.75" customHeight="1">
      <c r="A1233" s="161"/>
      <c r="B1233" s="161"/>
      <c r="C1233" s="162"/>
      <c r="D1233" s="163"/>
      <c r="E1233" s="164"/>
      <c r="F1233" s="165"/>
      <c r="G1233" s="166"/>
      <c r="H1233" s="167"/>
      <c r="I1233" s="167"/>
      <c r="J1233" s="167"/>
      <c r="K1233" s="167"/>
      <c r="L1233" s="167"/>
      <c r="M1233" s="167"/>
      <c r="N1233" s="167"/>
      <c r="O1233" s="167"/>
      <c r="P1233" s="164"/>
      <c r="Q1233" s="165"/>
      <c r="R1233" s="165"/>
      <c r="S1233" s="167"/>
      <c r="T1233" s="167"/>
      <c r="U1233" s="167"/>
      <c r="V1233" s="168"/>
      <c r="W1233" s="168"/>
      <c r="X1233" s="168"/>
      <c r="Y1233" s="168"/>
      <c r="Z1233" s="168"/>
      <c r="AA1233" s="168"/>
      <c r="AB1233" s="164"/>
      <c r="AC1233" s="165"/>
      <c r="AD1233" s="165"/>
      <c r="AE1233" s="169"/>
      <c r="AF1233" s="169"/>
      <c r="AG1233" s="169"/>
      <c r="AH1233" s="168"/>
      <c r="AI1233" s="168"/>
      <c r="AJ1233" s="168"/>
      <c r="AK1233" s="170"/>
      <c r="AL1233" s="170"/>
    </row>
    <row r="1234" ht="15.75" customHeight="1">
      <c r="A1234" s="161"/>
      <c r="B1234" s="161"/>
      <c r="C1234" s="162"/>
      <c r="D1234" s="163"/>
      <c r="E1234" s="164"/>
      <c r="F1234" s="165"/>
      <c r="G1234" s="166"/>
      <c r="H1234" s="167"/>
      <c r="I1234" s="167"/>
      <c r="J1234" s="167"/>
      <c r="K1234" s="167"/>
      <c r="L1234" s="167"/>
      <c r="M1234" s="167"/>
      <c r="N1234" s="167"/>
      <c r="O1234" s="167"/>
      <c r="P1234" s="164"/>
      <c r="Q1234" s="165"/>
      <c r="R1234" s="165"/>
      <c r="S1234" s="167"/>
      <c r="T1234" s="167"/>
      <c r="U1234" s="167"/>
      <c r="V1234" s="168"/>
      <c r="W1234" s="168"/>
      <c r="X1234" s="168"/>
      <c r="Y1234" s="168"/>
      <c r="Z1234" s="168"/>
      <c r="AA1234" s="168"/>
      <c r="AB1234" s="164"/>
      <c r="AC1234" s="165"/>
      <c r="AD1234" s="165"/>
      <c r="AE1234" s="169"/>
      <c r="AF1234" s="169"/>
      <c r="AG1234" s="169"/>
      <c r="AH1234" s="168"/>
      <c r="AI1234" s="168"/>
      <c r="AJ1234" s="168"/>
      <c r="AK1234" s="170"/>
      <c r="AL1234" s="170"/>
    </row>
    <row r="1235" ht="15.75" customHeight="1">
      <c r="A1235" s="161"/>
      <c r="B1235" s="161"/>
      <c r="C1235" s="162"/>
      <c r="D1235" s="163"/>
      <c r="E1235" s="164"/>
      <c r="F1235" s="165"/>
      <c r="G1235" s="166"/>
      <c r="H1235" s="167"/>
      <c r="I1235" s="167"/>
      <c r="J1235" s="167"/>
      <c r="K1235" s="167"/>
      <c r="L1235" s="167"/>
      <c r="M1235" s="167"/>
      <c r="N1235" s="167"/>
      <c r="O1235" s="167"/>
      <c r="P1235" s="164"/>
      <c r="Q1235" s="165"/>
      <c r="R1235" s="165"/>
      <c r="S1235" s="167"/>
      <c r="T1235" s="167"/>
      <c r="U1235" s="167"/>
      <c r="V1235" s="168"/>
      <c r="W1235" s="168"/>
      <c r="X1235" s="168"/>
      <c r="Y1235" s="168"/>
      <c r="Z1235" s="168"/>
      <c r="AA1235" s="168"/>
      <c r="AB1235" s="164"/>
      <c r="AC1235" s="165"/>
      <c r="AD1235" s="165"/>
      <c r="AE1235" s="169"/>
      <c r="AF1235" s="169"/>
      <c r="AG1235" s="169"/>
      <c r="AH1235" s="168"/>
      <c r="AI1235" s="168"/>
      <c r="AJ1235" s="168"/>
      <c r="AK1235" s="170"/>
      <c r="AL1235" s="170"/>
    </row>
    <row r="1236" ht="15.75" customHeight="1">
      <c r="A1236" s="161"/>
      <c r="B1236" s="161"/>
      <c r="C1236" s="162"/>
      <c r="D1236" s="163"/>
      <c r="E1236" s="164"/>
      <c r="F1236" s="165"/>
      <c r="G1236" s="166"/>
      <c r="H1236" s="167"/>
      <c r="I1236" s="167"/>
      <c r="J1236" s="167"/>
      <c r="K1236" s="167"/>
      <c r="L1236" s="167"/>
      <c r="M1236" s="167"/>
      <c r="N1236" s="167"/>
      <c r="O1236" s="167"/>
      <c r="P1236" s="164"/>
      <c r="Q1236" s="165"/>
      <c r="R1236" s="165"/>
      <c r="S1236" s="167"/>
      <c r="T1236" s="167"/>
      <c r="U1236" s="167"/>
      <c r="V1236" s="168"/>
      <c r="W1236" s="168"/>
      <c r="X1236" s="168"/>
      <c r="Y1236" s="168"/>
      <c r="Z1236" s="168"/>
      <c r="AA1236" s="168"/>
      <c r="AB1236" s="164"/>
      <c r="AC1236" s="165"/>
      <c r="AD1236" s="165"/>
      <c r="AE1236" s="169"/>
      <c r="AF1236" s="169"/>
      <c r="AG1236" s="169"/>
      <c r="AH1236" s="168"/>
      <c r="AI1236" s="168"/>
      <c r="AJ1236" s="168"/>
      <c r="AK1236" s="170"/>
      <c r="AL1236" s="170"/>
    </row>
    <row r="1237" ht="15.75" customHeight="1">
      <c r="A1237" s="161"/>
      <c r="B1237" s="161"/>
      <c r="C1237" s="162"/>
      <c r="D1237" s="163"/>
      <c r="E1237" s="164"/>
      <c r="F1237" s="165"/>
      <c r="G1237" s="166"/>
      <c r="H1237" s="167"/>
      <c r="I1237" s="167"/>
      <c r="J1237" s="167"/>
      <c r="K1237" s="167"/>
      <c r="L1237" s="167"/>
      <c r="M1237" s="167"/>
      <c r="N1237" s="167"/>
      <c r="O1237" s="167"/>
      <c r="P1237" s="164"/>
      <c r="Q1237" s="165"/>
      <c r="R1237" s="165"/>
      <c r="S1237" s="167"/>
      <c r="T1237" s="167"/>
      <c r="U1237" s="167"/>
      <c r="V1237" s="168"/>
      <c r="W1237" s="168"/>
      <c r="X1237" s="168"/>
      <c r="Y1237" s="168"/>
      <c r="Z1237" s="168"/>
      <c r="AA1237" s="168"/>
      <c r="AB1237" s="164"/>
      <c r="AC1237" s="165"/>
      <c r="AD1237" s="165"/>
      <c r="AE1237" s="169"/>
      <c r="AF1237" s="169"/>
      <c r="AG1237" s="169"/>
      <c r="AH1237" s="168"/>
      <c r="AI1237" s="168"/>
      <c r="AJ1237" s="168"/>
      <c r="AK1237" s="170"/>
      <c r="AL1237" s="170"/>
    </row>
    <row r="1238" ht="15.75" customHeight="1">
      <c r="A1238" s="161"/>
      <c r="B1238" s="161"/>
      <c r="C1238" s="162"/>
      <c r="D1238" s="163"/>
      <c r="E1238" s="164"/>
      <c r="F1238" s="165"/>
      <c r="G1238" s="166"/>
      <c r="H1238" s="167"/>
      <c r="I1238" s="167"/>
      <c r="J1238" s="167"/>
      <c r="K1238" s="167"/>
      <c r="L1238" s="167"/>
      <c r="M1238" s="167"/>
      <c r="N1238" s="167"/>
      <c r="O1238" s="167"/>
      <c r="P1238" s="164"/>
      <c r="Q1238" s="165"/>
      <c r="R1238" s="165"/>
      <c r="S1238" s="167"/>
      <c r="T1238" s="167"/>
      <c r="U1238" s="167"/>
      <c r="V1238" s="168"/>
      <c r="W1238" s="168"/>
      <c r="X1238" s="168"/>
      <c r="Y1238" s="168"/>
      <c r="Z1238" s="168"/>
      <c r="AA1238" s="168"/>
      <c r="AB1238" s="164"/>
      <c r="AC1238" s="165"/>
      <c r="AD1238" s="165"/>
      <c r="AE1238" s="169"/>
      <c r="AF1238" s="169"/>
      <c r="AG1238" s="169"/>
      <c r="AH1238" s="168"/>
      <c r="AI1238" s="168"/>
      <c r="AJ1238" s="168"/>
      <c r="AK1238" s="170"/>
      <c r="AL1238" s="170"/>
    </row>
    <row r="1239" ht="15.75" customHeight="1">
      <c r="A1239" s="161"/>
      <c r="B1239" s="161"/>
      <c r="C1239" s="162"/>
      <c r="D1239" s="163"/>
      <c r="E1239" s="164"/>
      <c r="F1239" s="165"/>
      <c r="G1239" s="166"/>
      <c r="H1239" s="167"/>
      <c r="I1239" s="167"/>
      <c r="J1239" s="167"/>
      <c r="K1239" s="167"/>
      <c r="L1239" s="167"/>
      <c r="M1239" s="167"/>
      <c r="N1239" s="167"/>
      <c r="O1239" s="167"/>
      <c r="P1239" s="164"/>
      <c r="Q1239" s="165"/>
      <c r="R1239" s="165"/>
      <c r="S1239" s="167"/>
      <c r="T1239" s="167"/>
      <c r="U1239" s="167"/>
      <c r="V1239" s="168"/>
      <c r="W1239" s="168"/>
      <c r="X1239" s="168"/>
      <c r="Y1239" s="168"/>
      <c r="Z1239" s="168"/>
      <c r="AA1239" s="168"/>
      <c r="AB1239" s="164"/>
      <c r="AC1239" s="165"/>
      <c r="AD1239" s="165"/>
      <c r="AE1239" s="169"/>
      <c r="AF1239" s="169"/>
      <c r="AG1239" s="169"/>
      <c r="AH1239" s="168"/>
      <c r="AI1239" s="168"/>
      <c r="AJ1239" s="168"/>
      <c r="AK1239" s="170"/>
      <c r="AL1239" s="170"/>
    </row>
    <row r="1240" ht="15.75" customHeight="1">
      <c r="A1240" s="161"/>
      <c r="B1240" s="161"/>
      <c r="C1240" s="162"/>
      <c r="D1240" s="163"/>
      <c r="E1240" s="164"/>
      <c r="F1240" s="165"/>
      <c r="G1240" s="166"/>
      <c r="H1240" s="167"/>
      <c r="I1240" s="167"/>
      <c r="J1240" s="167"/>
      <c r="K1240" s="167"/>
      <c r="L1240" s="167"/>
      <c r="M1240" s="167"/>
      <c r="N1240" s="167"/>
      <c r="O1240" s="167"/>
      <c r="P1240" s="164"/>
      <c r="Q1240" s="165"/>
      <c r="R1240" s="165"/>
      <c r="S1240" s="167"/>
      <c r="T1240" s="167"/>
      <c r="U1240" s="167"/>
      <c r="V1240" s="168"/>
      <c r="W1240" s="168"/>
      <c r="X1240" s="168"/>
      <c r="Y1240" s="168"/>
      <c r="Z1240" s="168"/>
      <c r="AA1240" s="168"/>
      <c r="AB1240" s="164"/>
      <c r="AC1240" s="165"/>
      <c r="AD1240" s="165"/>
      <c r="AE1240" s="169"/>
      <c r="AF1240" s="169"/>
      <c r="AG1240" s="169"/>
      <c r="AH1240" s="168"/>
      <c r="AI1240" s="168"/>
      <c r="AJ1240" s="168"/>
      <c r="AK1240" s="170"/>
      <c r="AL1240" s="170"/>
    </row>
    <row r="1241" ht="15.75" customHeight="1">
      <c r="A1241" s="161"/>
      <c r="B1241" s="161"/>
      <c r="C1241" s="162"/>
      <c r="D1241" s="163"/>
      <c r="E1241" s="164"/>
      <c r="F1241" s="165"/>
      <c r="G1241" s="166"/>
      <c r="H1241" s="167"/>
      <c r="I1241" s="167"/>
      <c r="J1241" s="167"/>
      <c r="K1241" s="167"/>
      <c r="L1241" s="167"/>
      <c r="M1241" s="167"/>
      <c r="N1241" s="167"/>
      <c r="O1241" s="167"/>
      <c r="P1241" s="164"/>
      <c r="Q1241" s="165"/>
      <c r="R1241" s="165"/>
      <c r="S1241" s="167"/>
      <c r="T1241" s="167"/>
      <c r="U1241" s="167"/>
      <c r="V1241" s="168"/>
      <c r="W1241" s="168"/>
      <c r="X1241" s="168"/>
      <c r="Y1241" s="168"/>
      <c r="Z1241" s="168"/>
      <c r="AA1241" s="168"/>
      <c r="AB1241" s="164"/>
      <c r="AC1241" s="165"/>
      <c r="AD1241" s="165"/>
      <c r="AE1241" s="169"/>
      <c r="AF1241" s="169"/>
      <c r="AG1241" s="169"/>
      <c r="AH1241" s="168"/>
      <c r="AI1241" s="168"/>
      <c r="AJ1241" s="168"/>
      <c r="AK1241" s="170"/>
      <c r="AL1241" s="170"/>
    </row>
    <row r="1242" ht="15.75" customHeight="1">
      <c r="A1242" s="161"/>
      <c r="B1242" s="161"/>
      <c r="C1242" s="162"/>
      <c r="D1242" s="163"/>
      <c r="E1242" s="164"/>
      <c r="F1242" s="165"/>
      <c r="G1242" s="166"/>
      <c r="H1242" s="167"/>
      <c r="I1242" s="167"/>
      <c r="J1242" s="167"/>
      <c r="K1242" s="167"/>
      <c r="L1242" s="167"/>
      <c r="M1242" s="167"/>
      <c r="N1242" s="167"/>
      <c r="O1242" s="167"/>
      <c r="P1242" s="164"/>
      <c r="Q1242" s="165"/>
      <c r="R1242" s="165"/>
      <c r="S1242" s="167"/>
      <c r="T1242" s="167"/>
      <c r="U1242" s="167"/>
      <c r="V1242" s="168"/>
      <c r="W1242" s="168"/>
      <c r="X1242" s="168"/>
      <c r="Y1242" s="168"/>
      <c r="Z1242" s="168"/>
      <c r="AA1242" s="168"/>
      <c r="AB1242" s="164"/>
      <c r="AC1242" s="165"/>
      <c r="AD1242" s="165"/>
      <c r="AE1242" s="169"/>
      <c r="AF1242" s="169"/>
      <c r="AG1242" s="169"/>
      <c r="AH1242" s="168"/>
      <c r="AI1242" s="168"/>
      <c r="AJ1242" s="168"/>
      <c r="AK1242" s="170"/>
      <c r="AL1242" s="170"/>
    </row>
    <row r="1243" ht="15.75" customHeight="1">
      <c r="A1243" s="161"/>
      <c r="B1243" s="161"/>
      <c r="C1243" s="162"/>
      <c r="D1243" s="163"/>
      <c r="E1243" s="164"/>
      <c r="F1243" s="165"/>
      <c r="G1243" s="166"/>
      <c r="H1243" s="167"/>
      <c r="I1243" s="167"/>
      <c r="J1243" s="167"/>
      <c r="K1243" s="167"/>
      <c r="L1243" s="167"/>
      <c r="M1243" s="167"/>
      <c r="N1243" s="167"/>
      <c r="O1243" s="167"/>
      <c r="P1243" s="164"/>
      <c r="Q1243" s="165"/>
      <c r="R1243" s="165"/>
      <c r="S1243" s="167"/>
      <c r="T1243" s="167"/>
      <c r="U1243" s="167"/>
      <c r="V1243" s="168"/>
      <c r="W1243" s="168"/>
      <c r="X1243" s="168"/>
      <c r="Y1243" s="168"/>
      <c r="Z1243" s="168"/>
      <c r="AA1243" s="168"/>
      <c r="AB1243" s="164"/>
      <c r="AC1243" s="165"/>
      <c r="AD1243" s="165"/>
      <c r="AE1243" s="169"/>
      <c r="AF1243" s="169"/>
      <c r="AG1243" s="169"/>
      <c r="AH1243" s="168"/>
      <c r="AI1243" s="168"/>
      <c r="AJ1243" s="168"/>
      <c r="AK1243" s="170"/>
      <c r="AL1243" s="170"/>
    </row>
    <row r="1244" ht="15.75" customHeight="1">
      <c r="A1244" s="161"/>
      <c r="B1244" s="161"/>
      <c r="C1244" s="162"/>
      <c r="D1244" s="163"/>
      <c r="E1244" s="164"/>
      <c r="F1244" s="165"/>
      <c r="G1244" s="166"/>
      <c r="H1244" s="167"/>
      <c r="I1244" s="167"/>
      <c r="J1244" s="167"/>
      <c r="K1244" s="167"/>
      <c r="L1244" s="167"/>
      <c r="M1244" s="167"/>
      <c r="N1244" s="167"/>
      <c r="O1244" s="167"/>
      <c r="P1244" s="164"/>
      <c r="Q1244" s="165"/>
      <c r="R1244" s="165"/>
      <c r="S1244" s="167"/>
      <c r="T1244" s="167"/>
      <c r="U1244" s="167"/>
      <c r="V1244" s="168"/>
      <c r="W1244" s="168"/>
      <c r="X1244" s="168"/>
      <c r="Y1244" s="168"/>
      <c r="Z1244" s="168"/>
      <c r="AA1244" s="168"/>
      <c r="AB1244" s="164"/>
      <c r="AC1244" s="165"/>
      <c r="AD1244" s="165"/>
      <c r="AE1244" s="169"/>
      <c r="AF1244" s="169"/>
      <c r="AG1244" s="169"/>
      <c r="AH1244" s="168"/>
      <c r="AI1244" s="168"/>
      <c r="AJ1244" s="168"/>
      <c r="AK1244" s="170"/>
      <c r="AL1244" s="170"/>
    </row>
    <row r="1245" ht="15.75" customHeight="1">
      <c r="A1245" s="161"/>
      <c r="B1245" s="161"/>
      <c r="C1245" s="162"/>
      <c r="D1245" s="163"/>
      <c r="E1245" s="164"/>
      <c r="F1245" s="165"/>
      <c r="G1245" s="166"/>
      <c r="H1245" s="167"/>
      <c r="I1245" s="167"/>
      <c r="J1245" s="167"/>
      <c r="K1245" s="167"/>
      <c r="L1245" s="167"/>
      <c r="M1245" s="167"/>
      <c r="N1245" s="167"/>
      <c r="O1245" s="167"/>
      <c r="P1245" s="164"/>
      <c r="Q1245" s="165"/>
      <c r="R1245" s="165"/>
      <c r="S1245" s="167"/>
      <c r="T1245" s="167"/>
      <c r="U1245" s="167"/>
      <c r="V1245" s="168"/>
      <c r="W1245" s="168"/>
      <c r="X1245" s="168"/>
      <c r="Y1245" s="168"/>
      <c r="Z1245" s="168"/>
      <c r="AA1245" s="168"/>
      <c r="AB1245" s="164"/>
      <c r="AC1245" s="165"/>
      <c r="AD1245" s="165"/>
      <c r="AE1245" s="169"/>
      <c r="AF1245" s="169"/>
      <c r="AG1245" s="169"/>
      <c r="AH1245" s="168"/>
      <c r="AI1245" s="168"/>
      <c r="AJ1245" s="168"/>
      <c r="AK1245" s="170"/>
      <c r="AL1245" s="170"/>
    </row>
    <row r="1246" ht="15.75" customHeight="1">
      <c r="A1246" s="161"/>
      <c r="B1246" s="161"/>
      <c r="C1246" s="162"/>
      <c r="D1246" s="163"/>
      <c r="E1246" s="164"/>
      <c r="F1246" s="165"/>
      <c r="G1246" s="166"/>
      <c r="H1246" s="167"/>
      <c r="I1246" s="167"/>
      <c r="J1246" s="167"/>
      <c r="K1246" s="167"/>
      <c r="L1246" s="167"/>
      <c r="M1246" s="167"/>
      <c r="N1246" s="167"/>
      <c r="O1246" s="167"/>
      <c r="P1246" s="164"/>
      <c r="Q1246" s="165"/>
      <c r="R1246" s="165"/>
      <c r="S1246" s="167"/>
      <c r="T1246" s="167"/>
      <c r="U1246" s="167"/>
      <c r="V1246" s="168"/>
      <c r="W1246" s="168"/>
      <c r="X1246" s="168"/>
      <c r="Y1246" s="168"/>
      <c r="Z1246" s="168"/>
      <c r="AA1246" s="168"/>
      <c r="AB1246" s="164"/>
      <c r="AC1246" s="165"/>
      <c r="AD1246" s="165"/>
      <c r="AE1246" s="169"/>
      <c r="AF1246" s="169"/>
      <c r="AG1246" s="169"/>
      <c r="AH1246" s="168"/>
      <c r="AI1246" s="168"/>
      <c r="AJ1246" s="168"/>
      <c r="AK1246" s="170"/>
      <c r="AL1246" s="170"/>
    </row>
    <row r="1247" ht="15.75" customHeight="1">
      <c r="A1247" s="161"/>
      <c r="B1247" s="161"/>
      <c r="C1247" s="162"/>
      <c r="D1247" s="163"/>
      <c r="E1247" s="164"/>
      <c r="F1247" s="165"/>
      <c r="G1247" s="166"/>
      <c r="H1247" s="167"/>
      <c r="I1247" s="167"/>
      <c r="J1247" s="167"/>
      <c r="K1247" s="167"/>
      <c r="L1247" s="167"/>
      <c r="M1247" s="167"/>
      <c r="N1247" s="167"/>
      <c r="O1247" s="167"/>
      <c r="P1247" s="164"/>
      <c r="Q1247" s="165"/>
      <c r="R1247" s="165"/>
      <c r="S1247" s="167"/>
      <c r="T1247" s="167"/>
      <c r="U1247" s="167"/>
      <c r="V1247" s="168"/>
      <c r="W1247" s="168"/>
      <c r="X1247" s="168"/>
      <c r="Y1247" s="168"/>
      <c r="Z1247" s="168"/>
      <c r="AA1247" s="168"/>
      <c r="AB1247" s="164"/>
      <c r="AC1247" s="165"/>
      <c r="AD1247" s="165"/>
      <c r="AE1247" s="169"/>
      <c r="AF1247" s="169"/>
      <c r="AG1247" s="169"/>
      <c r="AH1247" s="168"/>
      <c r="AI1247" s="168"/>
      <c r="AJ1247" s="168"/>
      <c r="AK1247" s="170"/>
      <c r="AL1247" s="170"/>
    </row>
    <row r="1248" ht="15.75" customHeight="1">
      <c r="A1248" s="161"/>
      <c r="B1248" s="161"/>
      <c r="C1248" s="162"/>
      <c r="D1248" s="163"/>
      <c r="E1248" s="164"/>
      <c r="F1248" s="165"/>
      <c r="G1248" s="166"/>
      <c r="H1248" s="167"/>
      <c r="I1248" s="167"/>
      <c r="J1248" s="167"/>
      <c r="K1248" s="167"/>
      <c r="L1248" s="167"/>
      <c r="M1248" s="167"/>
      <c r="N1248" s="167"/>
      <c r="O1248" s="167"/>
      <c r="P1248" s="164"/>
      <c r="Q1248" s="165"/>
      <c r="R1248" s="165"/>
      <c r="S1248" s="167"/>
      <c r="T1248" s="167"/>
      <c r="U1248" s="167"/>
      <c r="V1248" s="168"/>
      <c r="W1248" s="168"/>
      <c r="X1248" s="168"/>
      <c r="Y1248" s="168"/>
      <c r="Z1248" s="168"/>
      <c r="AA1248" s="168"/>
      <c r="AB1248" s="164"/>
      <c r="AC1248" s="165"/>
      <c r="AD1248" s="165"/>
      <c r="AE1248" s="169"/>
      <c r="AF1248" s="169"/>
      <c r="AG1248" s="169"/>
      <c r="AH1248" s="168"/>
      <c r="AI1248" s="168"/>
      <c r="AJ1248" s="168"/>
      <c r="AK1248" s="170"/>
      <c r="AL1248" s="170"/>
    </row>
    <row r="1249" ht="15.75" customHeight="1">
      <c r="A1249" s="161"/>
      <c r="B1249" s="161"/>
      <c r="C1249" s="162"/>
      <c r="D1249" s="163"/>
      <c r="E1249" s="164"/>
      <c r="F1249" s="165"/>
      <c r="G1249" s="166"/>
      <c r="H1249" s="167"/>
      <c r="I1249" s="167"/>
      <c r="J1249" s="167"/>
      <c r="K1249" s="167"/>
      <c r="L1249" s="167"/>
      <c r="M1249" s="167"/>
      <c r="N1249" s="167"/>
      <c r="O1249" s="167"/>
      <c r="P1249" s="164"/>
      <c r="Q1249" s="165"/>
      <c r="R1249" s="165"/>
      <c r="S1249" s="167"/>
      <c r="T1249" s="167"/>
      <c r="U1249" s="167"/>
      <c r="V1249" s="168"/>
      <c r="W1249" s="168"/>
      <c r="X1249" s="168"/>
      <c r="Y1249" s="168"/>
      <c r="Z1249" s="168"/>
      <c r="AA1249" s="168"/>
      <c r="AB1249" s="164"/>
      <c r="AC1249" s="165"/>
      <c r="AD1249" s="165"/>
      <c r="AE1249" s="169"/>
      <c r="AF1249" s="169"/>
      <c r="AG1249" s="169"/>
      <c r="AH1249" s="168"/>
      <c r="AI1249" s="168"/>
      <c r="AJ1249" s="168"/>
      <c r="AK1249" s="170"/>
      <c r="AL1249" s="170"/>
    </row>
    <row r="1250" ht="15.75" customHeight="1">
      <c r="A1250" s="161"/>
      <c r="B1250" s="161"/>
      <c r="C1250" s="162"/>
      <c r="D1250" s="163"/>
      <c r="E1250" s="164"/>
      <c r="F1250" s="165"/>
      <c r="G1250" s="166"/>
      <c r="H1250" s="167"/>
      <c r="I1250" s="167"/>
      <c r="J1250" s="167"/>
      <c r="K1250" s="167"/>
      <c r="L1250" s="167"/>
      <c r="M1250" s="167"/>
      <c r="N1250" s="167"/>
      <c r="O1250" s="167"/>
      <c r="P1250" s="164"/>
      <c r="Q1250" s="165"/>
      <c r="R1250" s="165"/>
      <c r="S1250" s="167"/>
      <c r="T1250" s="167"/>
      <c r="U1250" s="167"/>
      <c r="V1250" s="168"/>
      <c r="W1250" s="168"/>
      <c r="X1250" s="168"/>
      <c r="Y1250" s="168"/>
      <c r="Z1250" s="168"/>
      <c r="AA1250" s="168"/>
      <c r="AB1250" s="164"/>
      <c r="AC1250" s="165"/>
      <c r="AD1250" s="165"/>
      <c r="AE1250" s="169"/>
      <c r="AF1250" s="169"/>
      <c r="AG1250" s="169"/>
      <c r="AH1250" s="168"/>
      <c r="AI1250" s="168"/>
      <c r="AJ1250" s="168"/>
      <c r="AK1250" s="170"/>
      <c r="AL1250" s="170"/>
    </row>
    <row r="1251" ht="15.75" customHeight="1">
      <c r="A1251" s="161"/>
      <c r="B1251" s="161"/>
      <c r="C1251" s="162"/>
      <c r="D1251" s="163"/>
      <c r="E1251" s="164"/>
      <c r="F1251" s="165"/>
      <c r="G1251" s="166"/>
      <c r="H1251" s="167"/>
      <c r="I1251" s="167"/>
      <c r="J1251" s="167"/>
      <c r="K1251" s="167"/>
      <c r="L1251" s="167"/>
      <c r="M1251" s="167"/>
      <c r="N1251" s="167"/>
      <c r="O1251" s="167"/>
      <c r="P1251" s="164"/>
      <c r="Q1251" s="165"/>
      <c r="R1251" s="165"/>
      <c r="S1251" s="167"/>
      <c r="T1251" s="167"/>
      <c r="U1251" s="167"/>
      <c r="V1251" s="168"/>
      <c r="W1251" s="168"/>
      <c r="X1251" s="168"/>
      <c r="Y1251" s="168"/>
      <c r="Z1251" s="168"/>
      <c r="AA1251" s="168"/>
      <c r="AB1251" s="164"/>
      <c r="AC1251" s="165"/>
      <c r="AD1251" s="165"/>
      <c r="AE1251" s="169"/>
      <c r="AF1251" s="169"/>
      <c r="AG1251" s="169"/>
      <c r="AH1251" s="168"/>
      <c r="AI1251" s="168"/>
      <c r="AJ1251" s="168"/>
      <c r="AK1251" s="170"/>
      <c r="AL1251" s="170"/>
    </row>
    <row r="1252" ht="15.75" customHeight="1">
      <c r="A1252" s="161"/>
      <c r="B1252" s="161"/>
      <c r="C1252" s="162"/>
      <c r="D1252" s="163"/>
      <c r="E1252" s="164"/>
      <c r="F1252" s="165"/>
      <c r="G1252" s="166"/>
      <c r="H1252" s="167"/>
      <c r="I1252" s="167"/>
      <c r="J1252" s="167"/>
      <c r="K1252" s="167"/>
      <c r="L1252" s="167"/>
      <c r="M1252" s="167"/>
      <c r="N1252" s="167"/>
      <c r="O1252" s="167"/>
      <c r="P1252" s="164"/>
      <c r="Q1252" s="165"/>
      <c r="R1252" s="165"/>
      <c r="S1252" s="167"/>
      <c r="T1252" s="167"/>
      <c r="U1252" s="167"/>
      <c r="V1252" s="168"/>
      <c r="W1252" s="168"/>
      <c r="X1252" s="168"/>
      <c r="Y1252" s="168"/>
      <c r="Z1252" s="168"/>
      <c r="AA1252" s="168"/>
      <c r="AB1252" s="164"/>
      <c r="AC1252" s="165"/>
      <c r="AD1252" s="165"/>
      <c r="AE1252" s="169"/>
      <c r="AF1252" s="169"/>
      <c r="AG1252" s="169"/>
      <c r="AH1252" s="168"/>
      <c r="AI1252" s="168"/>
      <c r="AJ1252" s="168"/>
      <c r="AK1252" s="170"/>
      <c r="AL1252" s="170"/>
    </row>
    <row r="1253" ht="15.75" customHeight="1">
      <c r="A1253" s="161"/>
      <c r="B1253" s="161"/>
      <c r="C1253" s="162"/>
      <c r="D1253" s="163"/>
      <c r="E1253" s="164"/>
      <c r="F1253" s="165"/>
      <c r="G1253" s="166"/>
      <c r="H1253" s="167"/>
      <c r="I1253" s="167"/>
      <c r="J1253" s="167"/>
      <c r="K1253" s="167"/>
      <c r="L1253" s="167"/>
      <c r="M1253" s="167"/>
      <c r="N1253" s="167"/>
      <c r="O1253" s="167"/>
      <c r="P1253" s="164"/>
      <c r="Q1253" s="165"/>
      <c r="R1253" s="165"/>
      <c r="S1253" s="167"/>
      <c r="T1253" s="167"/>
      <c r="U1253" s="167"/>
      <c r="V1253" s="168"/>
      <c r="W1253" s="168"/>
      <c r="X1253" s="168"/>
      <c r="Y1253" s="168"/>
      <c r="Z1253" s="168"/>
      <c r="AA1253" s="168"/>
      <c r="AB1253" s="164"/>
      <c r="AC1253" s="165"/>
      <c r="AD1253" s="165"/>
      <c r="AE1253" s="169"/>
      <c r="AF1253" s="169"/>
      <c r="AG1253" s="169"/>
      <c r="AH1253" s="168"/>
      <c r="AI1253" s="168"/>
      <c r="AJ1253" s="168"/>
      <c r="AK1253" s="170"/>
      <c r="AL1253" s="170"/>
    </row>
    <row r="1254" ht="15.75" customHeight="1">
      <c r="A1254" s="161"/>
      <c r="B1254" s="161"/>
      <c r="C1254" s="162"/>
      <c r="D1254" s="163"/>
      <c r="E1254" s="164"/>
      <c r="F1254" s="165"/>
      <c r="G1254" s="166"/>
      <c r="H1254" s="167"/>
      <c r="I1254" s="167"/>
      <c r="J1254" s="167"/>
      <c r="K1254" s="167"/>
      <c r="L1254" s="167"/>
      <c r="M1254" s="167"/>
      <c r="N1254" s="167"/>
      <c r="O1254" s="167"/>
      <c r="P1254" s="164"/>
      <c r="Q1254" s="165"/>
      <c r="R1254" s="165"/>
      <c r="S1254" s="167"/>
      <c r="T1254" s="167"/>
      <c r="U1254" s="167"/>
      <c r="V1254" s="168"/>
      <c r="W1254" s="168"/>
      <c r="X1254" s="168"/>
      <c r="Y1254" s="168"/>
      <c r="Z1254" s="168"/>
      <c r="AA1254" s="168"/>
      <c r="AB1254" s="164"/>
      <c r="AC1254" s="165"/>
      <c r="AD1254" s="165"/>
      <c r="AE1254" s="169"/>
      <c r="AF1254" s="169"/>
      <c r="AG1254" s="169"/>
      <c r="AH1254" s="168"/>
      <c r="AI1254" s="168"/>
      <c r="AJ1254" s="168"/>
      <c r="AK1254" s="170"/>
      <c r="AL1254" s="170"/>
    </row>
    <row r="1255" ht="15.75" customHeight="1">
      <c r="A1255" s="161"/>
      <c r="B1255" s="161"/>
      <c r="C1255" s="162"/>
      <c r="D1255" s="163"/>
      <c r="E1255" s="164"/>
      <c r="F1255" s="165"/>
      <c r="G1255" s="166"/>
      <c r="H1255" s="167"/>
      <c r="I1255" s="167"/>
      <c r="J1255" s="167"/>
      <c r="K1255" s="167"/>
      <c r="L1255" s="167"/>
      <c r="M1255" s="167"/>
      <c r="N1255" s="167"/>
      <c r="O1255" s="167"/>
      <c r="P1255" s="164"/>
      <c r="Q1255" s="165"/>
      <c r="R1255" s="165"/>
      <c r="S1255" s="167"/>
      <c r="T1255" s="167"/>
      <c r="U1255" s="167"/>
      <c r="V1255" s="168"/>
      <c r="W1255" s="168"/>
      <c r="X1255" s="168"/>
      <c r="Y1255" s="168"/>
      <c r="Z1255" s="168"/>
      <c r="AA1255" s="168"/>
      <c r="AB1255" s="164"/>
      <c r="AC1255" s="165"/>
      <c r="AD1255" s="165"/>
      <c r="AE1255" s="169"/>
      <c r="AF1255" s="169"/>
      <c r="AG1255" s="169"/>
      <c r="AH1255" s="168"/>
      <c r="AI1255" s="168"/>
      <c r="AJ1255" s="168"/>
      <c r="AK1255" s="170"/>
      <c r="AL1255" s="170"/>
    </row>
    <row r="1256" ht="15.75" customHeight="1">
      <c r="A1256" s="161"/>
      <c r="B1256" s="161"/>
      <c r="C1256" s="162"/>
      <c r="D1256" s="163"/>
      <c r="E1256" s="164"/>
      <c r="F1256" s="165"/>
      <c r="G1256" s="166"/>
      <c r="H1256" s="167"/>
      <c r="I1256" s="167"/>
      <c r="J1256" s="167"/>
      <c r="K1256" s="167"/>
      <c r="L1256" s="167"/>
      <c r="M1256" s="167"/>
      <c r="N1256" s="167"/>
      <c r="O1256" s="167"/>
      <c r="P1256" s="164"/>
      <c r="Q1256" s="165"/>
      <c r="R1256" s="165"/>
      <c r="S1256" s="167"/>
      <c r="T1256" s="167"/>
      <c r="U1256" s="167"/>
      <c r="V1256" s="168"/>
      <c r="W1256" s="168"/>
      <c r="X1256" s="168"/>
      <c r="Y1256" s="168"/>
      <c r="Z1256" s="168"/>
      <c r="AA1256" s="168"/>
      <c r="AB1256" s="164"/>
      <c r="AC1256" s="165"/>
      <c r="AD1256" s="165"/>
      <c r="AE1256" s="169"/>
      <c r="AF1256" s="169"/>
      <c r="AG1256" s="169"/>
      <c r="AH1256" s="168"/>
      <c r="AI1256" s="168"/>
      <c r="AJ1256" s="168"/>
      <c r="AK1256" s="170"/>
      <c r="AL1256" s="170"/>
    </row>
    <row r="1257" ht="15.75" customHeight="1">
      <c r="A1257" s="161"/>
      <c r="B1257" s="161"/>
      <c r="C1257" s="162"/>
      <c r="D1257" s="163"/>
      <c r="E1257" s="164"/>
      <c r="F1257" s="165"/>
      <c r="G1257" s="166"/>
      <c r="H1257" s="167"/>
      <c r="I1257" s="167"/>
      <c r="J1257" s="167"/>
      <c r="K1257" s="167"/>
      <c r="L1257" s="167"/>
      <c r="M1257" s="167"/>
      <c r="N1257" s="167"/>
      <c r="O1257" s="167"/>
      <c r="P1257" s="164"/>
      <c r="Q1257" s="165"/>
      <c r="R1257" s="165"/>
      <c r="S1257" s="167"/>
      <c r="T1257" s="167"/>
      <c r="U1257" s="167"/>
      <c r="V1257" s="168"/>
      <c r="W1257" s="168"/>
      <c r="X1257" s="168"/>
      <c r="Y1257" s="168"/>
      <c r="Z1257" s="168"/>
      <c r="AA1257" s="168"/>
      <c r="AB1257" s="164"/>
      <c r="AC1257" s="165"/>
      <c r="AD1257" s="165"/>
      <c r="AE1257" s="169"/>
      <c r="AF1257" s="169"/>
      <c r="AG1257" s="169"/>
      <c r="AH1257" s="168"/>
      <c r="AI1257" s="168"/>
      <c r="AJ1257" s="168"/>
      <c r="AK1257" s="170"/>
      <c r="AL1257" s="170"/>
    </row>
    <row r="1258" ht="15.75" customHeight="1">
      <c r="A1258" s="161"/>
      <c r="B1258" s="161"/>
      <c r="C1258" s="162"/>
      <c r="D1258" s="163"/>
      <c r="E1258" s="164"/>
      <c r="F1258" s="165"/>
      <c r="G1258" s="166"/>
      <c r="H1258" s="167"/>
      <c r="I1258" s="167"/>
      <c r="J1258" s="167"/>
      <c r="K1258" s="167"/>
      <c r="L1258" s="167"/>
      <c r="M1258" s="167"/>
      <c r="N1258" s="167"/>
      <c r="O1258" s="167"/>
      <c r="P1258" s="164"/>
      <c r="Q1258" s="165"/>
      <c r="R1258" s="165"/>
      <c r="S1258" s="167"/>
      <c r="T1258" s="167"/>
      <c r="U1258" s="167"/>
      <c r="V1258" s="168"/>
      <c r="W1258" s="168"/>
      <c r="X1258" s="168"/>
      <c r="Y1258" s="168"/>
      <c r="Z1258" s="168"/>
      <c r="AA1258" s="168"/>
      <c r="AB1258" s="164"/>
      <c r="AC1258" s="165"/>
      <c r="AD1258" s="165"/>
      <c r="AE1258" s="169"/>
      <c r="AF1258" s="169"/>
      <c r="AG1258" s="169"/>
      <c r="AH1258" s="168"/>
      <c r="AI1258" s="168"/>
      <c r="AJ1258" s="168"/>
      <c r="AK1258" s="170"/>
      <c r="AL1258" s="170"/>
    </row>
    <row r="1259" ht="15.75" customHeight="1">
      <c r="A1259" s="161"/>
      <c r="B1259" s="161"/>
      <c r="C1259" s="162"/>
      <c r="D1259" s="163"/>
      <c r="E1259" s="164"/>
      <c r="F1259" s="165"/>
      <c r="G1259" s="166"/>
      <c r="H1259" s="167"/>
      <c r="I1259" s="167"/>
      <c r="J1259" s="167"/>
      <c r="K1259" s="167"/>
      <c r="L1259" s="167"/>
      <c r="M1259" s="167"/>
      <c r="N1259" s="167"/>
      <c r="O1259" s="167"/>
      <c r="P1259" s="164"/>
      <c r="Q1259" s="165"/>
      <c r="R1259" s="165"/>
      <c r="S1259" s="167"/>
      <c r="T1259" s="167"/>
      <c r="U1259" s="167"/>
      <c r="V1259" s="168"/>
      <c r="W1259" s="168"/>
      <c r="X1259" s="168"/>
      <c r="Y1259" s="168"/>
      <c r="Z1259" s="168"/>
      <c r="AA1259" s="168"/>
      <c r="AB1259" s="164"/>
      <c r="AC1259" s="165"/>
      <c r="AD1259" s="165"/>
      <c r="AE1259" s="169"/>
      <c r="AF1259" s="169"/>
      <c r="AG1259" s="169"/>
      <c r="AH1259" s="168"/>
      <c r="AI1259" s="168"/>
      <c r="AJ1259" s="168"/>
      <c r="AK1259" s="170"/>
      <c r="AL1259" s="170"/>
    </row>
    <row r="1260" ht="15.75" customHeight="1">
      <c r="A1260" s="161"/>
      <c r="B1260" s="161"/>
      <c r="C1260" s="162"/>
      <c r="D1260" s="163"/>
      <c r="E1260" s="164"/>
      <c r="F1260" s="165"/>
      <c r="G1260" s="166"/>
      <c r="H1260" s="167"/>
      <c r="I1260" s="167"/>
      <c r="J1260" s="167"/>
      <c r="K1260" s="167"/>
      <c r="L1260" s="167"/>
      <c r="M1260" s="167"/>
      <c r="N1260" s="167"/>
      <c r="O1260" s="167"/>
      <c r="P1260" s="164"/>
      <c r="Q1260" s="165"/>
      <c r="R1260" s="165"/>
      <c r="S1260" s="167"/>
      <c r="T1260" s="167"/>
      <c r="U1260" s="167"/>
      <c r="V1260" s="168"/>
      <c r="W1260" s="168"/>
      <c r="X1260" s="168"/>
      <c r="Y1260" s="168"/>
      <c r="Z1260" s="168"/>
      <c r="AA1260" s="168"/>
      <c r="AB1260" s="164"/>
      <c r="AC1260" s="165"/>
      <c r="AD1260" s="165"/>
      <c r="AE1260" s="169"/>
      <c r="AF1260" s="169"/>
      <c r="AG1260" s="169"/>
      <c r="AH1260" s="168"/>
      <c r="AI1260" s="168"/>
      <c r="AJ1260" s="168"/>
      <c r="AK1260" s="170"/>
      <c r="AL1260" s="170"/>
    </row>
    <row r="1261" ht="15.75" customHeight="1">
      <c r="A1261" s="161"/>
      <c r="B1261" s="161"/>
      <c r="C1261" s="162"/>
      <c r="D1261" s="163"/>
      <c r="E1261" s="164"/>
      <c r="F1261" s="165"/>
      <c r="G1261" s="166"/>
      <c r="H1261" s="167"/>
      <c r="I1261" s="167"/>
      <c r="J1261" s="167"/>
      <c r="K1261" s="167"/>
      <c r="L1261" s="167"/>
      <c r="M1261" s="167"/>
      <c r="N1261" s="167"/>
      <c r="O1261" s="167"/>
      <c r="P1261" s="164"/>
      <c r="Q1261" s="165"/>
      <c r="R1261" s="165"/>
      <c r="S1261" s="167"/>
      <c r="T1261" s="167"/>
      <c r="U1261" s="167"/>
      <c r="V1261" s="168"/>
      <c r="W1261" s="168"/>
      <c r="X1261" s="168"/>
      <c r="Y1261" s="168"/>
      <c r="Z1261" s="168"/>
      <c r="AA1261" s="168"/>
      <c r="AB1261" s="164"/>
      <c r="AC1261" s="165"/>
      <c r="AD1261" s="165"/>
      <c r="AE1261" s="169"/>
      <c r="AF1261" s="169"/>
      <c r="AG1261" s="169"/>
      <c r="AH1261" s="168"/>
      <c r="AI1261" s="168"/>
      <c r="AJ1261" s="168"/>
      <c r="AK1261" s="170"/>
      <c r="AL1261" s="170"/>
    </row>
    <row r="1262" ht="15.75" customHeight="1">
      <c r="A1262" s="161"/>
      <c r="B1262" s="161"/>
      <c r="C1262" s="162"/>
      <c r="D1262" s="163"/>
      <c r="E1262" s="164"/>
      <c r="F1262" s="165"/>
      <c r="G1262" s="166"/>
      <c r="H1262" s="167"/>
      <c r="I1262" s="167"/>
      <c r="J1262" s="167"/>
      <c r="K1262" s="167"/>
      <c r="L1262" s="167"/>
      <c r="M1262" s="167"/>
      <c r="N1262" s="167"/>
      <c r="O1262" s="167"/>
      <c r="P1262" s="164"/>
      <c r="Q1262" s="165"/>
      <c r="R1262" s="165"/>
      <c r="S1262" s="167"/>
      <c r="T1262" s="167"/>
      <c r="U1262" s="167"/>
      <c r="V1262" s="168"/>
      <c r="W1262" s="168"/>
      <c r="X1262" s="168"/>
      <c r="Y1262" s="168"/>
      <c r="Z1262" s="168"/>
      <c r="AA1262" s="168"/>
      <c r="AB1262" s="164"/>
      <c r="AC1262" s="165"/>
      <c r="AD1262" s="165"/>
      <c r="AE1262" s="169"/>
      <c r="AF1262" s="169"/>
      <c r="AG1262" s="169"/>
      <c r="AH1262" s="168"/>
      <c r="AI1262" s="168"/>
      <c r="AJ1262" s="168"/>
      <c r="AK1262" s="170"/>
      <c r="AL1262" s="170"/>
    </row>
    <row r="1263" ht="15.75" customHeight="1">
      <c r="A1263" s="161"/>
      <c r="B1263" s="161"/>
      <c r="C1263" s="162"/>
      <c r="D1263" s="163"/>
      <c r="E1263" s="164"/>
      <c r="F1263" s="165"/>
      <c r="G1263" s="166"/>
      <c r="H1263" s="167"/>
      <c r="I1263" s="167"/>
      <c r="J1263" s="167"/>
      <c r="K1263" s="167"/>
      <c r="L1263" s="167"/>
      <c r="M1263" s="167"/>
      <c r="N1263" s="167"/>
      <c r="O1263" s="167"/>
      <c r="P1263" s="164"/>
      <c r="Q1263" s="165"/>
      <c r="R1263" s="165"/>
      <c r="S1263" s="167"/>
      <c r="T1263" s="167"/>
      <c r="U1263" s="167"/>
      <c r="V1263" s="168"/>
      <c r="W1263" s="168"/>
      <c r="X1263" s="168"/>
      <c r="Y1263" s="168"/>
      <c r="Z1263" s="168"/>
      <c r="AA1263" s="168"/>
      <c r="AB1263" s="164"/>
      <c r="AC1263" s="165"/>
      <c r="AD1263" s="165"/>
      <c r="AE1263" s="169"/>
      <c r="AF1263" s="169"/>
      <c r="AG1263" s="169"/>
      <c r="AH1263" s="168"/>
      <c r="AI1263" s="168"/>
      <c r="AJ1263" s="168"/>
      <c r="AK1263" s="170"/>
      <c r="AL1263" s="170"/>
    </row>
    <row r="1264" ht="15.75" customHeight="1">
      <c r="A1264" s="161"/>
      <c r="B1264" s="161"/>
      <c r="C1264" s="162"/>
      <c r="D1264" s="163"/>
      <c r="E1264" s="164"/>
      <c r="F1264" s="165"/>
      <c r="G1264" s="166"/>
      <c r="H1264" s="167"/>
      <c r="I1264" s="167"/>
      <c r="J1264" s="167"/>
      <c r="K1264" s="167"/>
      <c r="L1264" s="167"/>
      <c r="M1264" s="167"/>
      <c r="N1264" s="167"/>
      <c r="O1264" s="167"/>
      <c r="P1264" s="164"/>
      <c r="Q1264" s="165"/>
      <c r="R1264" s="165"/>
      <c r="S1264" s="167"/>
      <c r="T1264" s="167"/>
      <c r="U1264" s="167"/>
      <c r="V1264" s="168"/>
      <c r="W1264" s="168"/>
      <c r="X1264" s="168"/>
      <c r="Y1264" s="168"/>
      <c r="Z1264" s="168"/>
      <c r="AA1264" s="168"/>
      <c r="AB1264" s="164"/>
      <c r="AC1264" s="165"/>
      <c r="AD1264" s="165"/>
      <c r="AE1264" s="169"/>
      <c r="AF1264" s="169"/>
      <c r="AG1264" s="169"/>
      <c r="AH1264" s="168"/>
      <c r="AI1264" s="168"/>
      <c r="AJ1264" s="168"/>
      <c r="AK1264" s="170"/>
      <c r="AL1264" s="170"/>
    </row>
    <row r="1265" ht="15.75" customHeight="1">
      <c r="A1265" s="161"/>
      <c r="B1265" s="161"/>
      <c r="C1265" s="162"/>
      <c r="D1265" s="163"/>
      <c r="E1265" s="164"/>
      <c r="F1265" s="165"/>
      <c r="G1265" s="166"/>
      <c r="H1265" s="167"/>
      <c r="I1265" s="167"/>
      <c r="J1265" s="167"/>
      <c r="K1265" s="167"/>
      <c r="L1265" s="167"/>
      <c r="M1265" s="167"/>
      <c r="N1265" s="167"/>
      <c r="O1265" s="167"/>
      <c r="P1265" s="164"/>
      <c r="Q1265" s="165"/>
      <c r="R1265" s="165"/>
      <c r="S1265" s="167"/>
      <c r="T1265" s="167"/>
      <c r="U1265" s="167"/>
      <c r="V1265" s="168"/>
      <c r="W1265" s="168"/>
      <c r="X1265" s="168"/>
      <c r="Y1265" s="168"/>
      <c r="Z1265" s="168"/>
      <c r="AA1265" s="168"/>
      <c r="AB1265" s="164"/>
      <c r="AC1265" s="165"/>
      <c r="AD1265" s="165"/>
      <c r="AE1265" s="169"/>
      <c r="AF1265" s="169"/>
      <c r="AG1265" s="169"/>
      <c r="AH1265" s="168"/>
      <c r="AI1265" s="168"/>
      <c r="AJ1265" s="168"/>
      <c r="AK1265" s="170"/>
      <c r="AL1265" s="170"/>
    </row>
    <row r="1266" ht="15.75" customHeight="1">
      <c r="A1266" s="161"/>
      <c r="B1266" s="161"/>
      <c r="C1266" s="162"/>
      <c r="D1266" s="163"/>
      <c r="E1266" s="164"/>
      <c r="F1266" s="165"/>
      <c r="G1266" s="166"/>
      <c r="H1266" s="167"/>
      <c r="I1266" s="167"/>
      <c r="J1266" s="167"/>
      <c r="K1266" s="167"/>
      <c r="L1266" s="167"/>
      <c r="M1266" s="167"/>
      <c r="N1266" s="167"/>
      <c r="O1266" s="167"/>
      <c r="P1266" s="164"/>
      <c r="Q1266" s="165"/>
      <c r="R1266" s="165"/>
      <c r="S1266" s="167"/>
      <c r="T1266" s="167"/>
      <c r="U1266" s="167"/>
      <c r="V1266" s="168"/>
      <c r="W1266" s="168"/>
      <c r="X1266" s="168"/>
      <c r="Y1266" s="168"/>
      <c r="Z1266" s="168"/>
      <c r="AA1266" s="168"/>
      <c r="AB1266" s="164"/>
      <c r="AC1266" s="165"/>
      <c r="AD1266" s="165"/>
      <c r="AE1266" s="169"/>
      <c r="AF1266" s="169"/>
      <c r="AG1266" s="169"/>
      <c r="AH1266" s="168"/>
      <c r="AI1266" s="168"/>
      <c r="AJ1266" s="168"/>
      <c r="AK1266" s="170"/>
      <c r="AL1266" s="170"/>
    </row>
    <row r="1267" ht="15.75" customHeight="1">
      <c r="A1267" s="161"/>
      <c r="B1267" s="161"/>
      <c r="C1267" s="162"/>
      <c r="D1267" s="163"/>
      <c r="E1267" s="164"/>
      <c r="F1267" s="165"/>
      <c r="G1267" s="166"/>
      <c r="H1267" s="167"/>
      <c r="I1267" s="167"/>
      <c r="J1267" s="167"/>
      <c r="K1267" s="167"/>
      <c r="L1267" s="167"/>
      <c r="M1267" s="167"/>
      <c r="N1267" s="167"/>
      <c r="O1267" s="167"/>
      <c r="P1267" s="164"/>
      <c r="Q1267" s="165"/>
      <c r="R1267" s="165"/>
      <c r="S1267" s="167"/>
      <c r="T1267" s="167"/>
      <c r="U1267" s="167"/>
      <c r="V1267" s="168"/>
      <c r="W1267" s="168"/>
      <c r="X1267" s="168"/>
      <c r="Y1267" s="168"/>
      <c r="Z1267" s="168"/>
      <c r="AA1267" s="168"/>
      <c r="AB1267" s="164"/>
      <c r="AC1267" s="165"/>
      <c r="AD1267" s="165"/>
      <c r="AE1267" s="169"/>
      <c r="AF1267" s="169"/>
      <c r="AG1267" s="169"/>
      <c r="AH1267" s="168"/>
      <c r="AI1267" s="168"/>
      <c r="AJ1267" s="168"/>
      <c r="AK1267" s="170"/>
      <c r="AL1267" s="170"/>
    </row>
    <row r="1268" ht="15.75" customHeight="1">
      <c r="A1268" s="161"/>
      <c r="B1268" s="161"/>
      <c r="C1268" s="162"/>
      <c r="D1268" s="163"/>
      <c r="E1268" s="164"/>
      <c r="F1268" s="165"/>
      <c r="G1268" s="166"/>
      <c r="H1268" s="167"/>
      <c r="I1268" s="167"/>
      <c r="J1268" s="167"/>
      <c r="K1268" s="167"/>
      <c r="L1268" s="167"/>
      <c r="M1268" s="167"/>
      <c r="N1268" s="167"/>
      <c r="O1268" s="167"/>
      <c r="P1268" s="164"/>
      <c r="Q1268" s="165"/>
      <c r="R1268" s="165"/>
      <c r="S1268" s="167"/>
      <c r="T1268" s="167"/>
      <c r="U1268" s="167"/>
      <c r="V1268" s="168"/>
      <c r="W1268" s="168"/>
      <c r="X1268" s="168"/>
      <c r="Y1268" s="168"/>
      <c r="Z1268" s="168"/>
      <c r="AA1268" s="168"/>
      <c r="AB1268" s="164"/>
      <c r="AC1268" s="165"/>
      <c r="AD1268" s="165"/>
      <c r="AE1268" s="169"/>
      <c r="AF1268" s="169"/>
      <c r="AG1268" s="169"/>
      <c r="AH1268" s="168"/>
      <c r="AI1268" s="168"/>
      <c r="AJ1268" s="168"/>
      <c r="AK1268" s="170"/>
      <c r="AL1268" s="170"/>
    </row>
    <row r="1269" ht="15.75" customHeight="1">
      <c r="A1269" s="161"/>
      <c r="B1269" s="161"/>
      <c r="C1269" s="162"/>
      <c r="D1269" s="163"/>
      <c r="E1269" s="164"/>
      <c r="F1269" s="165"/>
      <c r="G1269" s="166"/>
      <c r="H1269" s="167"/>
      <c r="I1269" s="167"/>
      <c r="J1269" s="167"/>
      <c r="K1269" s="167"/>
      <c r="L1269" s="167"/>
      <c r="M1269" s="167"/>
      <c r="N1269" s="167"/>
      <c r="O1269" s="167"/>
      <c r="P1269" s="164"/>
      <c r="Q1269" s="165"/>
      <c r="R1269" s="165"/>
      <c r="S1269" s="167"/>
      <c r="T1269" s="167"/>
      <c r="U1269" s="167"/>
      <c r="V1269" s="168"/>
      <c r="W1269" s="168"/>
      <c r="X1269" s="168"/>
      <c r="Y1269" s="168"/>
      <c r="Z1269" s="168"/>
      <c r="AA1269" s="168"/>
      <c r="AB1269" s="164"/>
      <c r="AC1269" s="165"/>
      <c r="AD1269" s="165"/>
      <c r="AE1269" s="169"/>
      <c r="AF1269" s="169"/>
      <c r="AG1269" s="169"/>
      <c r="AH1269" s="168"/>
      <c r="AI1269" s="168"/>
      <c r="AJ1269" s="168"/>
      <c r="AK1269" s="170"/>
      <c r="AL1269" s="170"/>
    </row>
    <row r="1270" ht="15.75" customHeight="1">
      <c r="A1270" s="161"/>
      <c r="B1270" s="161"/>
      <c r="C1270" s="162"/>
      <c r="D1270" s="163"/>
      <c r="E1270" s="164"/>
      <c r="F1270" s="165"/>
      <c r="G1270" s="166"/>
      <c r="H1270" s="167"/>
      <c r="I1270" s="167"/>
      <c r="J1270" s="167"/>
      <c r="K1270" s="167"/>
      <c r="L1270" s="167"/>
      <c r="M1270" s="167"/>
      <c r="N1270" s="167"/>
      <c r="O1270" s="167"/>
      <c r="P1270" s="164"/>
      <c r="Q1270" s="165"/>
      <c r="R1270" s="165"/>
      <c r="S1270" s="167"/>
      <c r="T1270" s="167"/>
      <c r="U1270" s="167"/>
      <c r="V1270" s="168"/>
      <c r="W1270" s="168"/>
      <c r="X1270" s="168"/>
      <c r="Y1270" s="168"/>
      <c r="Z1270" s="168"/>
      <c r="AA1270" s="168"/>
      <c r="AB1270" s="164"/>
      <c r="AC1270" s="165"/>
      <c r="AD1270" s="165"/>
      <c r="AE1270" s="169"/>
      <c r="AF1270" s="169"/>
      <c r="AG1270" s="169"/>
      <c r="AH1270" s="168"/>
      <c r="AI1270" s="168"/>
      <c r="AJ1270" s="168"/>
      <c r="AK1270" s="170"/>
      <c r="AL1270" s="170"/>
    </row>
    <row r="1271" ht="15.75" customHeight="1">
      <c r="A1271" s="161"/>
      <c r="B1271" s="161"/>
      <c r="C1271" s="162"/>
      <c r="D1271" s="163"/>
      <c r="E1271" s="164"/>
      <c r="F1271" s="165"/>
      <c r="G1271" s="166"/>
      <c r="H1271" s="167"/>
      <c r="I1271" s="167"/>
      <c r="J1271" s="167"/>
      <c r="K1271" s="167"/>
      <c r="L1271" s="167"/>
      <c r="M1271" s="167"/>
      <c r="N1271" s="167"/>
      <c r="O1271" s="167"/>
      <c r="P1271" s="164"/>
      <c r="Q1271" s="165"/>
      <c r="R1271" s="165"/>
      <c r="S1271" s="167"/>
      <c r="T1271" s="167"/>
      <c r="U1271" s="167"/>
      <c r="V1271" s="168"/>
      <c r="W1271" s="168"/>
      <c r="X1271" s="168"/>
      <c r="Y1271" s="168"/>
      <c r="Z1271" s="168"/>
      <c r="AA1271" s="168"/>
      <c r="AB1271" s="164"/>
      <c r="AC1271" s="165"/>
      <c r="AD1271" s="165"/>
      <c r="AE1271" s="169"/>
      <c r="AF1271" s="169"/>
      <c r="AG1271" s="169"/>
      <c r="AH1271" s="168"/>
      <c r="AI1271" s="168"/>
      <c r="AJ1271" s="168"/>
      <c r="AK1271" s="170"/>
      <c r="AL1271" s="170"/>
    </row>
    <row r="1272" ht="15.75" customHeight="1">
      <c r="A1272" s="161"/>
      <c r="B1272" s="161"/>
      <c r="C1272" s="162"/>
      <c r="D1272" s="163"/>
      <c r="E1272" s="164"/>
      <c r="F1272" s="165"/>
      <c r="G1272" s="166"/>
      <c r="H1272" s="167"/>
      <c r="I1272" s="167"/>
      <c r="J1272" s="167"/>
      <c r="K1272" s="167"/>
      <c r="L1272" s="167"/>
      <c r="M1272" s="167"/>
      <c r="N1272" s="167"/>
      <c r="O1272" s="167"/>
      <c r="P1272" s="164"/>
      <c r="Q1272" s="165"/>
      <c r="R1272" s="165"/>
      <c r="S1272" s="167"/>
      <c r="T1272" s="167"/>
      <c r="U1272" s="167"/>
      <c r="V1272" s="168"/>
      <c r="W1272" s="168"/>
      <c r="X1272" s="168"/>
      <c r="Y1272" s="168"/>
      <c r="Z1272" s="168"/>
      <c r="AA1272" s="168"/>
      <c r="AB1272" s="164"/>
      <c r="AC1272" s="165"/>
      <c r="AD1272" s="165"/>
      <c r="AE1272" s="169"/>
      <c r="AF1272" s="169"/>
      <c r="AG1272" s="169"/>
      <c r="AH1272" s="168"/>
      <c r="AI1272" s="168"/>
      <c r="AJ1272" s="168"/>
      <c r="AK1272" s="170"/>
      <c r="AL1272" s="170"/>
    </row>
    <row r="1273" ht="15.75" customHeight="1">
      <c r="A1273" s="161"/>
      <c r="B1273" s="161"/>
      <c r="C1273" s="162"/>
      <c r="D1273" s="163"/>
      <c r="E1273" s="164"/>
      <c r="F1273" s="165"/>
      <c r="G1273" s="166"/>
      <c r="H1273" s="167"/>
      <c r="I1273" s="167"/>
      <c r="J1273" s="167"/>
      <c r="K1273" s="167"/>
      <c r="L1273" s="167"/>
      <c r="M1273" s="167"/>
      <c r="N1273" s="167"/>
      <c r="O1273" s="167"/>
      <c r="P1273" s="164"/>
      <c r="Q1273" s="165"/>
      <c r="R1273" s="165"/>
      <c r="S1273" s="167"/>
      <c r="T1273" s="167"/>
      <c r="U1273" s="167"/>
      <c r="V1273" s="168"/>
      <c r="W1273" s="168"/>
      <c r="X1273" s="168"/>
      <c r="Y1273" s="168"/>
      <c r="Z1273" s="168"/>
      <c r="AA1273" s="168"/>
      <c r="AB1273" s="164"/>
      <c r="AC1273" s="165"/>
      <c r="AD1273" s="165"/>
      <c r="AE1273" s="169"/>
      <c r="AF1273" s="169"/>
      <c r="AG1273" s="169"/>
      <c r="AH1273" s="168"/>
      <c r="AI1273" s="168"/>
      <c r="AJ1273" s="168"/>
      <c r="AK1273" s="170"/>
      <c r="AL1273" s="170"/>
    </row>
    <row r="1274" ht="15.75" customHeight="1">
      <c r="A1274" s="161"/>
      <c r="B1274" s="161"/>
      <c r="C1274" s="162"/>
      <c r="D1274" s="163"/>
      <c r="E1274" s="164"/>
      <c r="F1274" s="165"/>
      <c r="G1274" s="166"/>
      <c r="H1274" s="167"/>
      <c r="I1274" s="167"/>
      <c r="J1274" s="167"/>
      <c r="K1274" s="167"/>
      <c r="L1274" s="167"/>
      <c r="M1274" s="167"/>
      <c r="N1274" s="167"/>
      <c r="O1274" s="167"/>
      <c r="P1274" s="164"/>
      <c r="Q1274" s="165"/>
      <c r="R1274" s="165"/>
      <c r="S1274" s="167"/>
      <c r="T1274" s="167"/>
      <c r="U1274" s="167"/>
      <c r="V1274" s="168"/>
      <c r="W1274" s="168"/>
      <c r="X1274" s="168"/>
      <c r="Y1274" s="168"/>
      <c r="Z1274" s="168"/>
      <c r="AA1274" s="168"/>
      <c r="AB1274" s="164"/>
      <c r="AC1274" s="165"/>
      <c r="AD1274" s="165"/>
      <c r="AE1274" s="169"/>
      <c r="AF1274" s="169"/>
      <c r="AG1274" s="169"/>
      <c r="AH1274" s="168"/>
      <c r="AI1274" s="168"/>
      <c r="AJ1274" s="168"/>
      <c r="AK1274" s="170"/>
      <c r="AL1274" s="170"/>
    </row>
    <row r="1275" ht="15.75" customHeight="1">
      <c r="A1275" s="161"/>
      <c r="B1275" s="161"/>
      <c r="C1275" s="162"/>
      <c r="D1275" s="163"/>
      <c r="E1275" s="164"/>
      <c r="F1275" s="165"/>
      <c r="G1275" s="166"/>
      <c r="H1275" s="167"/>
      <c r="I1275" s="167"/>
      <c r="J1275" s="167"/>
      <c r="K1275" s="167"/>
      <c r="L1275" s="167"/>
      <c r="M1275" s="167"/>
      <c r="N1275" s="167"/>
      <c r="O1275" s="167"/>
      <c r="P1275" s="164"/>
      <c r="Q1275" s="165"/>
      <c r="R1275" s="165"/>
      <c r="S1275" s="167"/>
      <c r="T1275" s="167"/>
      <c r="U1275" s="167"/>
      <c r="V1275" s="168"/>
      <c r="W1275" s="168"/>
      <c r="X1275" s="168"/>
      <c r="Y1275" s="168"/>
      <c r="Z1275" s="168"/>
      <c r="AA1275" s="168"/>
      <c r="AB1275" s="164"/>
      <c r="AC1275" s="165"/>
      <c r="AD1275" s="165"/>
      <c r="AE1275" s="169"/>
      <c r="AF1275" s="169"/>
      <c r="AG1275" s="169"/>
      <c r="AH1275" s="168"/>
      <c r="AI1275" s="168"/>
      <c r="AJ1275" s="168"/>
      <c r="AK1275" s="170"/>
      <c r="AL1275" s="170"/>
    </row>
    <row r="1276" ht="15.75" customHeight="1">
      <c r="A1276" s="161"/>
      <c r="B1276" s="161"/>
      <c r="C1276" s="162"/>
      <c r="D1276" s="163"/>
      <c r="E1276" s="164"/>
      <c r="F1276" s="165"/>
      <c r="G1276" s="166"/>
      <c r="H1276" s="167"/>
      <c r="I1276" s="167"/>
      <c r="J1276" s="167"/>
      <c r="K1276" s="167"/>
      <c r="L1276" s="167"/>
      <c r="M1276" s="167"/>
      <c r="N1276" s="167"/>
      <c r="O1276" s="167"/>
      <c r="P1276" s="164"/>
      <c r="Q1276" s="165"/>
      <c r="R1276" s="165"/>
      <c r="S1276" s="167"/>
      <c r="T1276" s="167"/>
      <c r="U1276" s="167"/>
      <c r="V1276" s="168"/>
      <c r="W1276" s="168"/>
      <c r="X1276" s="168"/>
      <c r="Y1276" s="168"/>
      <c r="Z1276" s="168"/>
      <c r="AA1276" s="168"/>
      <c r="AB1276" s="164"/>
      <c r="AC1276" s="165"/>
      <c r="AD1276" s="165"/>
      <c r="AE1276" s="169"/>
      <c r="AF1276" s="169"/>
      <c r="AG1276" s="169"/>
      <c r="AH1276" s="168"/>
      <c r="AI1276" s="168"/>
      <c r="AJ1276" s="168"/>
      <c r="AK1276" s="170"/>
      <c r="AL1276" s="170"/>
    </row>
    <row r="1277" ht="15.75" customHeight="1">
      <c r="A1277" s="161"/>
      <c r="B1277" s="161"/>
      <c r="C1277" s="162"/>
      <c r="D1277" s="163"/>
      <c r="E1277" s="164"/>
      <c r="F1277" s="165"/>
      <c r="G1277" s="166"/>
      <c r="H1277" s="167"/>
      <c r="I1277" s="167"/>
      <c r="J1277" s="167"/>
      <c r="K1277" s="167"/>
      <c r="L1277" s="167"/>
      <c r="M1277" s="167"/>
      <c r="N1277" s="167"/>
      <c r="O1277" s="167"/>
      <c r="P1277" s="164"/>
      <c r="Q1277" s="165"/>
      <c r="R1277" s="165"/>
      <c r="S1277" s="167"/>
      <c r="T1277" s="167"/>
      <c r="U1277" s="167"/>
      <c r="V1277" s="168"/>
      <c r="W1277" s="168"/>
      <c r="X1277" s="168"/>
      <c r="Y1277" s="168"/>
      <c r="Z1277" s="168"/>
      <c r="AA1277" s="168"/>
      <c r="AB1277" s="164"/>
      <c r="AC1277" s="165"/>
      <c r="AD1277" s="165"/>
      <c r="AE1277" s="169"/>
      <c r="AF1277" s="169"/>
      <c r="AG1277" s="169"/>
      <c r="AH1277" s="168"/>
      <c r="AI1277" s="168"/>
      <c r="AJ1277" s="168"/>
      <c r="AK1277" s="170"/>
      <c r="AL1277" s="170"/>
    </row>
    <row r="1278" ht="15.75" customHeight="1">
      <c r="A1278" s="161"/>
      <c r="B1278" s="161"/>
      <c r="C1278" s="162"/>
      <c r="D1278" s="163"/>
      <c r="E1278" s="164"/>
      <c r="F1278" s="165"/>
      <c r="G1278" s="166"/>
      <c r="H1278" s="167"/>
      <c r="I1278" s="167"/>
      <c r="J1278" s="167"/>
      <c r="K1278" s="167"/>
      <c r="L1278" s="167"/>
      <c r="M1278" s="167"/>
      <c r="N1278" s="167"/>
      <c r="O1278" s="167"/>
      <c r="P1278" s="164"/>
      <c r="Q1278" s="165"/>
      <c r="R1278" s="165"/>
      <c r="S1278" s="167"/>
      <c r="T1278" s="167"/>
      <c r="U1278" s="167"/>
      <c r="V1278" s="168"/>
      <c r="W1278" s="168"/>
      <c r="X1278" s="168"/>
      <c r="Y1278" s="168"/>
      <c r="Z1278" s="168"/>
      <c r="AA1278" s="168"/>
      <c r="AB1278" s="164"/>
      <c r="AC1278" s="165"/>
      <c r="AD1278" s="165"/>
      <c r="AE1278" s="169"/>
      <c r="AF1278" s="169"/>
      <c r="AG1278" s="169"/>
      <c r="AH1278" s="168"/>
      <c r="AI1278" s="168"/>
      <c r="AJ1278" s="168"/>
      <c r="AK1278" s="170"/>
      <c r="AL1278" s="170"/>
    </row>
    <row r="1279" ht="15.75" customHeight="1">
      <c r="A1279" s="161"/>
      <c r="B1279" s="161"/>
      <c r="C1279" s="162"/>
      <c r="D1279" s="163"/>
      <c r="E1279" s="164"/>
      <c r="F1279" s="165"/>
      <c r="G1279" s="166"/>
      <c r="H1279" s="167"/>
      <c r="I1279" s="167"/>
      <c r="J1279" s="167"/>
      <c r="K1279" s="167"/>
      <c r="L1279" s="167"/>
      <c r="M1279" s="167"/>
      <c r="N1279" s="167"/>
      <c r="O1279" s="167"/>
      <c r="P1279" s="164"/>
      <c r="Q1279" s="165"/>
      <c r="R1279" s="165"/>
      <c r="S1279" s="167"/>
      <c r="T1279" s="167"/>
      <c r="U1279" s="167"/>
      <c r="V1279" s="168"/>
      <c r="W1279" s="168"/>
      <c r="X1279" s="168"/>
      <c r="Y1279" s="168"/>
      <c r="Z1279" s="168"/>
      <c r="AA1279" s="168"/>
      <c r="AB1279" s="164"/>
      <c r="AC1279" s="165"/>
      <c r="AD1279" s="165"/>
      <c r="AE1279" s="169"/>
      <c r="AF1279" s="169"/>
      <c r="AG1279" s="169"/>
      <c r="AH1279" s="168"/>
      <c r="AI1279" s="168"/>
      <c r="AJ1279" s="168"/>
      <c r="AK1279" s="170"/>
      <c r="AL1279" s="170"/>
    </row>
    <row r="1280" ht="15.75" customHeight="1">
      <c r="A1280" s="161"/>
      <c r="B1280" s="161"/>
      <c r="C1280" s="162"/>
      <c r="D1280" s="163"/>
      <c r="E1280" s="164"/>
      <c r="F1280" s="165"/>
      <c r="G1280" s="166"/>
      <c r="H1280" s="167"/>
      <c r="I1280" s="167"/>
      <c r="J1280" s="167"/>
      <c r="K1280" s="167"/>
      <c r="L1280" s="167"/>
      <c r="M1280" s="167"/>
      <c r="N1280" s="167"/>
      <c r="O1280" s="167"/>
      <c r="P1280" s="164"/>
      <c r="Q1280" s="165"/>
      <c r="R1280" s="165"/>
      <c r="S1280" s="167"/>
      <c r="T1280" s="167"/>
      <c r="U1280" s="167"/>
      <c r="V1280" s="168"/>
      <c r="W1280" s="168"/>
      <c r="X1280" s="168"/>
      <c r="Y1280" s="168"/>
      <c r="Z1280" s="168"/>
      <c r="AA1280" s="168"/>
      <c r="AB1280" s="164"/>
      <c r="AC1280" s="165"/>
      <c r="AD1280" s="165"/>
      <c r="AE1280" s="169"/>
      <c r="AF1280" s="169"/>
      <c r="AG1280" s="169"/>
      <c r="AH1280" s="168"/>
      <c r="AI1280" s="168"/>
      <c r="AJ1280" s="168"/>
      <c r="AK1280" s="170"/>
      <c r="AL1280" s="170"/>
    </row>
    <row r="1281" ht="15.75" customHeight="1">
      <c r="A1281" s="161"/>
      <c r="B1281" s="161"/>
      <c r="C1281" s="162"/>
      <c r="D1281" s="163"/>
      <c r="E1281" s="164"/>
      <c r="F1281" s="165"/>
      <c r="G1281" s="166"/>
      <c r="H1281" s="167"/>
      <c r="I1281" s="167"/>
      <c r="J1281" s="167"/>
      <c r="K1281" s="167"/>
      <c r="L1281" s="167"/>
      <c r="M1281" s="167"/>
      <c r="N1281" s="167"/>
      <c r="O1281" s="167"/>
      <c r="P1281" s="164"/>
      <c r="Q1281" s="165"/>
      <c r="R1281" s="165"/>
      <c r="S1281" s="167"/>
      <c r="T1281" s="167"/>
      <c r="U1281" s="167"/>
      <c r="V1281" s="168"/>
      <c r="W1281" s="168"/>
      <c r="X1281" s="168"/>
      <c r="Y1281" s="168"/>
      <c r="Z1281" s="168"/>
      <c r="AA1281" s="168"/>
      <c r="AB1281" s="164"/>
      <c r="AC1281" s="165"/>
      <c r="AD1281" s="165"/>
      <c r="AE1281" s="169"/>
      <c r="AF1281" s="169"/>
      <c r="AG1281" s="169"/>
      <c r="AH1281" s="168"/>
      <c r="AI1281" s="168"/>
      <c r="AJ1281" s="168"/>
      <c r="AK1281" s="170"/>
      <c r="AL1281" s="170"/>
    </row>
    <row r="1282" ht="15.75" customHeight="1">
      <c r="A1282" s="161"/>
      <c r="B1282" s="161"/>
      <c r="C1282" s="162"/>
      <c r="D1282" s="163"/>
      <c r="E1282" s="164"/>
      <c r="F1282" s="165"/>
      <c r="G1282" s="166"/>
      <c r="H1282" s="167"/>
      <c r="I1282" s="167"/>
      <c r="J1282" s="167"/>
      <c r="K1282" s="167"/>
      <c r="L1282" s="167"/>
      <c r="M1282" s="167"/>
      <c r="N1282" s="167"/>
      <c r="O1282" s="167"/>
      <c r="P1282" s="164"/>
      <c r="Q1282" s="165"/>
      <c r="R1282" s="165"/>
      <c r="S1282" s="167"/>
      <c r="T1282" s="167"/>
      <c r="U1282" s="167"/>
      <c r="V1282" s="168"/>
      <c r="W1282" s="168"/>
      <c r="X1282" s="168"/>
      <c r="Y1282" s="168"/>
      <c r="Z1282" s="168"/>
      <c r="AA1282" s="168"/>
      <c r="AB1282" s="164"/>
      <c r="AC1282" s="165"/>
      <c r="AD1282" s="165"/>
      <c r="AE1282" s="169"/>
      <c r="AF1282" s="169"/>
      <c r="AG1282" s="169"/>
      <c r="AH1282" s="168"/>
      <c r="AI1282" s="168"/>
      <c r="AJ1282" s="168"/>
      <c r="AK1282" s="170"/>
      <c r="AL1282" s="170"/>
    </row>
    <row r="1283" ht="15.75" customHeight="1">
      <c r="A1283" s="161"/>
      <c r="B1283" s="161"/>
      <c r="C1283" s="162"/>
      <c r="D1283" s="163"/>
      <c r="E1283" s="164"/>
      <c r="F1283" s="165"/>
      <c r="G1283" s="166"/>
      <c r="H1283" s="167"/>
      <c r="I1283" s="167"/>
      <c r="J1283" s="167"/>
      <c r="K1283" s="167"/>
      <c r="L1283" s="167"/>
      <c r="M1283" s="167"/>
      <c r="N1283" s="167"/>
      <c r="O1283" s="167"/>
      <c r="P1283" s="164"/>
      <c r="Q1283" s="165"/>
      <c r="R1283" s="165"/>
      <c r="S1283" s="167"/>
      <c r="T1283" s="167"/>
      <c r="U1283" s="167"/>
      <c r="V1283" s="168"/>
      <c r="W1283" s="168"/>
      <c r="X1283" s="168"/>
      <c r="Y1283" s="168"/>
      <c r="Z1283" s="168"/>
      <c r="AA1283" s="168"/>
      <c r="AB1283" s="164"/>
      <c r="AC1283" s="165"/>
      <c r="AD1283" s="165"/>
      <c r="AE1283" s="169"/>
      <c r="AF1283" s="169"/>
      <c r="AG1283" s="169"/>
      <c r="AH1283" s="168"/>
      <c r="AI1283" s="168"/>
      <c r="AJ1283" s="168"/>
      <c r="AK1283" s="170"/>
      <c r="AL1283" s="170"/>
    </row>
    <row r="1284" ht="15.75" customHeight="1">
      <c r="A1284" s="161"/>
      <c r="B1284" s="161"/>
      <c r="C1284" s="162"/>
      <c r="D1284" s="163"/>
      <c r="E1284" s="164"/>
      <c r="F1284" s="165"/>
      <c r="G1284" s="166"/>
      <c r="H1284" s="167"/>
      <c r="I1284" s="167"/>
      <c r="J1284" s="167"/>
      <c r="K1284" s="167"/>
      <c r="L1284" s="167"/>
      <c r="M1284" s="167"/>
      <c r="N1284" s="167"/>
      <c r="O1284" s="167"/>
      <c r="P1284" s="164"/>
      <c r="Q1284" s="165"/>
      <c r="R1284" s="165"/>
      <c r="S1284" s="167"/>
      <c r="T1284" s="167"/>
      <c r="U1284" s="167"/>
      <c r="V1284" s="168"/>
      <c r="W1284" s="168"/>
      <c r="X1284" s="168"/>
      <c r="Y1284" s="168"/>
      <c r="Z1284" s="168"/>
      <c r="AA1284" s="168"/>
      <c r="AB1284" s="164"/>
      <c r="AC1284" s="165"/>
      <c r="AD1284" s="165"/>
      <c r="AE1284" s="169"/>
      <c r="AF1284" s="169"/>
      <c r="AG1284" s="169"/>
      <c r="AH1284" s="168"/>
      <c r="AI1284" s="168"/>
      <c r="AJ1284" s="168"/>
      <c r="AK1284" s="170"/>
      <c r="AL1284" s="170"/>
    </row>
    <row r="1285" ht="15.75" customHeight="1">
      <c r="A1285" s="161"/>
      <c r="B1285" s="161"/>
      <c r="C1285" s="162"/>
      <c r="D1285" s="163"/>
      <c r="E1285" s="164"/>
      <c r="F1285" s="165"/>
      <c r="G1285" s="166"/>
      <c r="H1285" s="167"/>
      <c r="I1285" s="167"/>
      <c r="J1285" s="167"/>
      <c r="K1285" s="167"/>
      <c r="L1285" s="167"/>
      <c r="M1285" s="167"/>
      <c r="N1285" s="167"/>
      <c r="O1285" s="167"/>
      <c r="P1285" s="164"/>
      <c r="Q1285" s="165"/>
      <c r="R1285" s="165"/>
      <c r="S1285" s="167"/>
      <c r="T1285" s="167"/>
      <c r="U1285" s="167"/>
      <c r="V1285" s="168"/>
      <c r="W1285" s="168"/>
      <c r="X1285" s="168"/>
      <c r="Y1285" s="168"/>
      <c r="Z1285" s="168"/>
      <c r="AA1285" s="168"/>
      <c r="AB1285" s="164"/>
      <c r="AC1285" s="165"/>
      <c r="AD1285" s="165"/>
      <c r="AE1285" s="169"/>
      <c r="AF1285" s="169"/>
      <c r="AG1285" s="169"/>
      <c r="AH1285" s="168"/>
      <c r="AI1285" s="168"/>
      <c r="AJ1285" s="168"/>
      <c r="AK1285" s="170"/>
      <c r="AL1285" s="170"/>
    </row>
    <row r="1286" ht="15.75" customHeight="1">
      <c r="A1286" s="161"/>
      <c r="B1286" s="161"/>
      <c r="C1286" s="162"/>
      <c r="D1286" s="163"/>
      <c r="E1286" s="164"/>
      <c r="F1286" s="165"/>
      <c r="G1286" s="166"/>
      <c r="H1286" s="167"/>
      <c r="I1286" s="167"/>
      <c r="J1286" s="167"/>
      <c r="K1286" s="167"/>
      <c r="L1286" s="167"/>
      <c r="M1286" s="167"/>
      <c r="N1286" s="167"/>
      <c r="O1286" s="167"/>
      <c r="P1286" s="164"/>
      <c r="Q1286" s="165"/>
      <c r="R1286" s="165"/>
      <c r="S1286" s="167"/>
      <c r="T1286" s="167"/>
      <c r="U1286" s="167"/>
      <c r="V1286" s="168"/>
      <c r="W1286" s="168"/>
      <c r="X1286" s="168"/>
      <c r="Y1286" s="168"/>
      <c r="Z1286" s="168"/>
      <c r="AA1286" s="168"/>
      <c r="AB1286" s="164"/>
      <c r="AC1286" s="165"/>
      <c r="AD1286" s="165"/>
      <c r="AE1286" s="169"/>
      <c r="AF1286" s="169"/>
      <c r="AG1286" s="169"/>
      <c r="AH1286" s="168"/>
      <c r="AI1286" s="168"/>
      <c r="AJ1286" s="168"/>
      <c r="AK1286" s="170"/>
      <c r="AL1286" s="170"/>
    </row>
    <row r="1287" ht="15.75" customHeight="1">
      <c r="A1287" s="161"/>
      <c r="B1287" s="161"/>
      <c r="C1287" s="162"/>
      <c r="D1287" s="163"/>
      <c r="E1287" s="164"/>
      <c r="F1287" s="165"/>
      <c r="G1287" s="166"/>
      <c r="H1287" s="167"/>
      <c r="I1287" s="167"/>
      <c r="J1287" s="167"/>
      <c r="K1287" s="167"/>
      <c r="L1287" s="167"/>
      <c r="M1287" s="167"/>
      <c r="N1287" s="167"/>
      <c r="O1287" s="167"/>
      <c r="P1287" s="164"/>
      <c r="Q1287" s="165"/>
      <c r="R1287" s="165"/>
      <c r="S1287" s="167"/>
      <c r="T1287" s="167"/>
      <c r="U1287" s="167"/>
      <c r="V1287" s="168"/>
      <c r="W1287" s="168"/>
      <c r="X1287" s="168"/>
      <c r="Y1287" s="168"/>
      <c r="Z1287" s="168"/>
      <c r="AA1287" s="168"/>
      <c r="AB1287" s="164"/>
      <c r="AC1287" s="165"/>
      <c r="AD1287" s="165"/>
      <c r="AE1287" s="169"/>
      <c r="AF1287" s="169"/>
      <c r="AG1287" s="169"/>
      <c r="AH1287" s="168"/>
      <c r="AI1287" s="168"/>
      <c r="AJ1287" s="168"/>
      <c r="AK1287" s="170"/>
      <c r="AL1287" s="170"/>
    </row>
    <row r="1288" ht="15.75" customHeight="1">
      <c r="A1288" s="161"/>
      <c r="B1288" s="161"/>
      <c r="C1288" s="162"/>
      <c r="D1288" s="163"/>
      <c r="E1288" s="164"/>
      <c r="F1288" s="165"/>
      <c r="G1288" s="166"/>
      <c r="H1288" s="167"/>
      <c r="I1288" s="167"/>
      <c r="J1288" s="167"/>
      <c r="K1288" s="167"/>
      <c r="L1288" s="167"/>
      <c r="M1288" s="167"/>
      <c r="N1288" s="167"/>
      <c r="O1288" s="167"/>
      <c r="P1288" s="164"/>
      <c r="Q1288" s="165"/>
      <c r="R1288" s="165"/>
      <c r="S1288" s="167"/>
      <c r="T1288" s="167"/>
      <c r="U1288" s="167"/>
      <c r="V1288" s="168"/>
      <c r="W1288" s="168"/>
      <c r="X1288" s="168"/>
      <c r="Y1288" s="168"/>
      <c r="Z1288" s="168"/>
      <c r="AA1288" s="168"/>
      <c r="AB1288" s="164"/>
      <c r="AC1288" s="165"/>
      <c r="AD1288" s="165"/>
      <c r="AE1288" s="169"/>
      <c r="AF1288" s="169"/>
      <c r="AG1288" s="169"/>
      <c r="AH1288" s="168"/>
      <c r="AI1288" s="168"/>
      <c r="AJ1288" s="168"/>
      <c r="AK1288" s="170"/>
      <c r="AL1288" s="170"/>
    </row>
    <row r="1289" ht="15.75" customHeight="1">
      <c r="A1289" s="161"/>
      <c r="B1289" s="161"/>
      <c r="C1289" s="162"/>
      <c r="D1289" s="163"/>
      <c r="E1289" s="164"/>
      <c r="F1289" s="165"/>
      <c r="G1289" s="166"/>
      <c r="H1289" s="167"/>
      <c r="I1289" s="167"/>
      <c r="J1289" s="167"/>
      <c r="K1289" s="167"/>
      <c r="L1289" s="167"/>
      <c r="M1289" s="167"/>
      <c r="N1289" s="167"/>
      <c r="O1289" s="167"/>
      <c r="P1289" s="164"/>
      <c r="Q1289" s="165"/>
      <c r="R1289" s="165"/>
      <c r="S1289" s="167"/>
      <c r="T1289" s="167"/>
      <c r="U1289" s="167"/>
      <c r="V1289" s="168"/>
      <c r="W1289" s="168"/>
      <c r="X1289" s="168"/>
      <c r="Y1289" s="168"/>
      <c r="Z1289" s="168"/>
      <c r="AA1289" s="168"/>
      <c r="AB1289" s="164"/>
      <c r="AC1289" s="165"/>
      <c r="AD1289" s="165"/>
      <c r="AE1289" s="169"/>
      <c r="AF1289" s="169"/>
      <c r="AG1289" s="169"/>
      <c r="AH1289" s="168"/>
      <c r="AI1289" s="168"/>
      <c r="AJ1289" s="168"/>
      <c r="AK1289" s="170"/>
      <c r="AL1289" s="170"/>
    </row>
    <row r="1290" ht="15.75" customHeight="1">
      <c r="A1290" s="161"/>
      <c r="B1290" s="161"/>
      <c r="C1290" s="162"/>
      <c r="D1290" s="163"/>
      <c r="E1290" s="164"/>
      <c r="F1290" s="165"/>
      <c r="G1290" s="166"/>
      <c r="H1290" s="167"/>
      <c r="I1290" s="167"/>
      <c r="J1290" s="167"/>
      <c r="K1290" s="167"/>
      <c r="L1290" s="167"/>
      <c r="M1290" s="167"/>
      <c r="N1290" s="167"/>
      <c r="O1290" s="167"/>
      <c r="P1290" s="164"/>
      <c r="Q1290" s="165"/>
      <c r="R1290" s="165"/>
      <c r="S1290" s="167"/>
      <c r="T1290" s="167"/>
      <c r="U1290" s="167"/>
      <c r="V1290" s="168"/>
      <c r="W1290" s="168"/>
      <c r="X1290" s="168"/>
      <c r="Y1290" s="168"/>
      <c r="Z1290" s="168"/>
      <c r="AA1290" s="168"/>
      <c r="AB1290" s="164"/>
      <c r="AC1290" s="165"/>
      <c r="AD1290" s="165"/>
      <c r="AE1290" s="169"/>
      <c r="AF1290" s="169"/>
      <c r="AG1290" s="169"/>
      <c r="AH1290" s="168"/>
      <c r="AI1290" s="168"/>
      <c r="AJ1290" s="168"/>
      <c r="AK1290" s="170"/>
      <c r="AL1290" s="170"/>
    </row>
    <row r="1291" ht="15.75" customHeight="1">
      <c r="A1291" s="161"/>
      <c r="B1291" s="161"/>
      <c r="C1291" s="162"/>
      <c r="D1291" s="163"/>
      <c r="E1291" s="164"/>
      <c r="F1291" s="165"/>
      <c r="G1291" s="166"/>
      <c r="H1291" s="167"/>
      <c r="I1291" s="167"/>
      <c r="J1291" s="167"/>
      <c r="K1291" s="167"/>
      <c r="L1291" s="167"/>
      <c r="M1291" s="167"/>
      <c r="N1291" s="167"/>
      <c r="O1291" s="167"/>
      <c r="P1291" s="164"/>
      <c r="Q1291" s="165"/>
      <c r="R1291" s="165"/>
      <c r="S1291" s="167"/>
      <c r="T1291" s="167"/>
      <c r="U1291" s="167"/>
      <c r="V1291" s="168"/>
      <c r="W1291" s="168"/>
      <c r="X1291" s="168"/>
      <c r="Y1291" s="168"/>
      <c r="Z1291" s="168"/>
      <c r="AA1291" s="168"/>
      <c r="AB1291" s="164"/>
      <c r="AC1291" s="165"/>
      <c r="AD1291" s="165"/>
      <c r="AE1291" s="169"/>
      <c r="AF1291" s="169"/>
      <c r="AG1291" s="169"/>
      <c r="AH1291" s="168"/>
      <c r="AI1291" s="168"/>
      <c r="AJ1291" s="168"/>
      <c r="AK1291" s="170"/>
      <c r="AL1291" s="170"/>
    </row>
    <row r="1292" ht="15.75" customHeight="1">
      <c r="A1292" s="161"/>
      <c r="B1292" s="161"/>
      <c r="C1292" s="162"/>
      <c r="D1292" s="163"/>
      <c r="E1292" s="164"/>
      <c r="F1292" s="165"/>
      <c r="G1292" s="166"/>
      <c r="H1292" s="167"/>
      <c r="I1292" s="167"/>
      <c r="J1292" s="167"/>
      <c r="K1292" s="167"/>
      <c r="L1292" s="167"/>
      <c r="M1292" s="167"/>
      <c r="N1292" s="167"/>
      <c r="O1292" s="167"/>
      <c r="P1292" s="164"/>
      <c r="Q1292" s="165"/>
      <c r="R1292" s="165"/>
      <c r="S1292" s="167"/>
      <c r="T1292" s="167"/>
      <c r="U1292" s="167"/>
      <c r="V1292" s="168"/>
      <c r="W1292" s="168"/>
      <c r="X1292" s="168"/>
      <c r="Y1292" s="168"/>
      <c r="Z1292" s="168"/>
      <c r="AA1292" s="168"/>
      <c r="AB1292" s="164"/>
      <c r="AC1292" s="165"/>
      <c r="AD1292" s="165"/>
      <c r="AE1292" s="169"/>
      <c r="AF1292" s="169"/>
      <c r="AG1292" s="169"/>
      <c r="AH1292" s="168"/>
      <c r="AI1292" s="168"/>
      <c r="AJ1292" s="168"/>
      <c r="AK1292" s="170"/>
      <c r="AL1292" s="170"/>
    </row>
    <row r="1293" ht="15.75" customHeight="1">
      <c r="A1293" s="161"/>
      <c r="B1293" s="161"/>
      <c r="C1293" s="162"/>
      <c r="D1293" s="163"/>
      <c r="E1293" s="164"/>
      <c r="F1293" s="165"/>
      <c r="G1293" s="166"/>
      <c r="H1293" s="167"/>
      <c r="I1293" s="167"/>
      <c r="J1293" s="167"/>
      <c r="K1293" s="167"/>
      <c r="L1293" s="167"/>
      <c r="M1293" s="167"/>
      <c r="N1293" s="167"/>
      <c r="O1293" s="167"/>
      <c r="P1293" s="164"/>
      <c r="Q1293" s="165"/>
      <c r="R1293" s="165"/>
      <c r="S1293" s="167"/>
      <c r="T1293" s="167"/>
      <c r="U1293" s="167"/>
      <c r="V1293" s="168"/>
      <c r="W1293" s="168"/>
      <c r="X1293" s="168"/>
      <c r="Y1293" s="168"/>
      <c r="Z1293" s="168"/>
      <c r="AA1293" s="168"/>
      <c r="AB1293" s="164"/>
      <c r="AC1293" s="165"/>
      <c r="AD1293" s="165"/>
      <c r="AE1293" s="169"/>
      <c r="AF1293" s="169"/>
      <c r="AG1293" s="169"/>
      <c r="AH1293" s="168"/>
      <c r="AI1293" s="168"/>
      <c r="AJ1293" s="168"/>
      <c r="AK1293" s="170"/>
      <c r="AL1293" s="170"/>
    </row>
    <row r="1294" ht="15.75" customHeight="1">
      <c r="A1294" s="161"/>
      <c r="B1294" s="161"/>
      <c r="C1294" s="162"/>
      <c r="D1294" s="163"/>
      <c r="E1294" s="164"/>
      <c r="F1294" s="165"/>
      <c r="G1294" s="166"/>
      <c r="H1294" s="167"/>
      <c r="I1294" s="167"/>
      <c r="J1294" s="167"/>
      <c r="K1294" s="167"/>
      <c r="L1294" s="167"/>
      <c r="M1294" s="167"/>
      <c r="N1294" s="167"/>
      <c r="O1294" s="167"/>
      <c r="P1294" s="164"/>
      <c r="Q1294" s="165"/>
      <c r="R1294" s="165"/>
      <c r="S1294" s="167"/>
      <c r="T1294" s="167"/>
      <c r="U1294" s="167"/>
      <c r="V1294" s="168"/>
      <c r="W1294" s="168"/>
      <c r="X1294" s="168"/>
      <c r="Y1294" s="168"/>
      <c r="Z1294" s="168"/>
      <c r="AA1294" s="168"/>
      <c r="AB1294" s="164"/>
      <c r="AC1294" s="165"/>
      <c r="AD1294" s="165"/>
      <c r="AE1294" s="169"/>
      <c r="AF1294" s="169"/>
      <c r="AG1294" s="169"/>
      <c r="AH1294" s="168"/>
      <c r="AI1294" s="168"/>
      <c r="AJ1294" s="168"/>
      <c r="AK1294" s="170"/>
      <c r="AL1294" s="170"/>
    </row>
    <row r="1295" ht="15.75" customHeight="1">
      <c r="A1295" s="161"/>
      <c r="B1295" s="161"/>
      <c r="C1295" s="162"/>
      <c r="D1295" s="163"/>
      <c r="E1295" s="164"/>
      <c r="F1295" s="165"/>
      <c r="G1295" s="166"/>
      <c r="H1295" s="167"/>
      <c r="I1295" s="167"/>
      <c r="J1295" s="167"/>
      <c r="K1295" s="167"/>
      <c r="L1295" s="167"/>
      <c r="M1295" s="167"/>
      <c r="N1295" s="167"/>
      <c r="O1295" s="167"/>
      <c r="P1295" s="164"/>
      <c r="Q1295" s="165"/>
      <c r="R1295" s="165"/>
      <c r="S1295" s="167"/>
      <c r="T1295" s="167"/>
      <c r="U1295" s="167"/>
      <c r="V1295" s="168"/>
      <c r="W1295" s="168"/>
      <c r="X1295" s="168"/>
      <c r="Y1295" s="168"/>
      <c r="Z1295" s="168"/>
      <c r="AA1295" s="168"/>
      <c r="AB1295" s="164"/>
      <c r="AC1295" s="165"/>
      <c r="AD1295" s="165"/>
      <c r="AE1295" s="169"/>
      <c r="AF1295" s="169"/>
      <c r="AG1295" s="169"/>
      <c r="AH1295" s="168"/>
      <c r="AI1295" s="168"/>
      <c r="AJ1295" s="168"/>
      <c r="AK1295" s="170"/>
      <c r="AL1295" s="170"/>
    </row>
    <row r="1296" ht="15.75" customHeight="1">
      <c r="A1296" s="161"/>
      <c r="B1296" s="161"/>
      <c r="C1296" s="162"/>
      <c r="D1296" s="163"/>
      <c r="E1296" s="164"/>
      <c r="F1296" s="165"/>
      <c r="G1296" s="166"/>
      <c r="H1296" s="167"/>
      <c r="I1296" s="167"/>
      <c r="J1296" s="167"/>
      <c r="K1296" s="167"/>
      <c r="L1296" s="167"/>
      <c r="M1296" s="167"/>
      <c r="N1296" s="167"/>
      <c r="O1296" s="167"/>
      <c r="P1296" s="164"/>
      <c r="Q1296" s="165"/>
      <c r="R1296" s="165"/>
      <c r="S1296" s="167"/>
      <c r="T1296" s="167"/>
      <c r="U1296" s="167"/>
      <c r="V1296" s="168"/>
      <c r="W1296" s="168"/>
      <c r="X1296" s="168"/>
      <c r="Y1296" s="168"/>
      <c r="Z1296" s="168"/>
      <c r="AA1296" s="168"/>
      <c r="AB1296" s="164"/>
      <c r="AC1296" s="165"/>
      <c r="AD1296" s="165"/>
      <c r="AE1296" s="169"/>
      <c r="AF1296" s="169"/>
      <c r="AG1296" s="169"/>
      <c r="AH1296" s="168"/>
      <c r="AI1296" s="168"/>
      <c r="AJ1296" s="168"/>
      <c r="AK1296" s="170"/>
      <c r="AL1296" s="170"/>
    </row>
    <row r="1297" ht="15.75" customHeight="1">
      <c r="A1297" s="161"/>
      <c r="B1297" s="161"/>
      <c r="C1297" s="162"/>
      <c r="D1297" s="163"/>
      <c r="E1297" s="164"/>
      <c r="F1297" s="165"/>
      <c r="G1297" s="166"/>
      <c r="H1297" s="167"/>
      <c r="I1297" s="167"/>
      <c r="J1297" s="167"/>
      <c r="K1297" s="167"/>
      <c r="L1297" s="167"/>
      <c r="M1297" s="167"/>
      <c r="N1297" s="167"/>
      <c r="O1297" s="167"/>
      <c r="P1297" s="164"/>
      <c r="Q1297" s="165"/>
      <c r="R1297" s="165"/>
      <c r="S1297" s="167"/>
      <c r="T1297" s="167"/>
      <c r="U1297" s="167"/>
      <c r="V1297" s="168"/>
      <c r="W1297" s="168"/>
      <c r="X1297" s="168"/>
      <c r="Y1297" s="168"/>
      <c r="Z1297" s="168"/>
      <c r="AA1297" s="168"/>
      <c r="AB1297" s="164"/>
      <c r="AC1297" s="165"/>
      <c r="AD1297" s="165"/>
      <c r="AE1297" s="169"/>
      <c r="AF1297" s="169"/>
      <c r="AG1297" s="169"/>
      <c r="AH1297" s="168"/>
      <c r="AI1297" s="168"/>
      <c r="AJ1297" s="168"/>
      <c r="AK1297" s="170"/>
      <c r="AL1297" s="170"/>
    </row>
    <row r="1298" ht="15.75" customHeight="1">
      <c r="A1298" s="161"/>
      <c r="B1298" s="161"/>
      <c r="C1298" s="162"/>
      <c r="D1298" s="163"/>
      <c r="E1298" s="164"/>
      <c r="F1298" s="165"/>
      <c r="G1298" s="166"/>
      <c r="H1298" s="167"/>
      <c r="I1298" s="167"/>
      <c r="J1298" s="167"/>
      <c r="K1298" s="167"/>
      <c r="L1298" s="167"/>
      <c r="M1298" s="167"/>
      <c r="N1298" s="167"/>
      <c r="O1298" s="167"/>
      <c r="P1298" s="164"/>
      <c r="Q1298" s="165"/>
      <c r="R1298" s="165"/>
      <c r="S1298" s="167"/>
      <c r="T1298" s="167"/>
      <c r="U1298" s="167"/>
      <c r="V1298" s="168"/>
      <c r="W1298" s="168"/>
      <c r="X1298" s="168"/>
      <c r="Y1298" s="168"/>
      <c r="Z1298" s="168"/>
      <c r="AA1298" s="168"/>
      <c r="AB1298" s="164"/>
      <c r="AC1298" s="165"/>
      <c r="AD1298" s="165"/>
      <c r="AE1298" s="169"/>
      <c r="AF1298" s="169"/>
      <c r="AG1298" s="169"/>
      <c r="AH1298" s="168"/>
      <c r="AI1298" s="168"/>
      <c r="AJ1298" s="168"/>
      <c r="AK1298" s="170"/>
      <c r="AL1298" s="170"/>
    </row>
    <row r="1299" ht="15.75" customHeight="1">
      <c r="A1299" s="161"/>
      <c r="B1299" s="161"/>
      <c r="C1299" s="162"/>
      <c r="D1299" s="163"/>
      <c r="E1299" s="164"/>
      <c r="F1299" s="165"/>
      <c r="G1299" s="166"/>
      <c r="H1299" s="167"/>
      <c r="I1299" s="167"/>
      <c r="J1299" s="167"/>
      <c r="K1299" s="167"/>
      <c r="L1299" s="167"/>
      <c r="M1299" s="167"/>
      <c r="N1299" s="167"/>
      <c r="O1299" s="167"/>
      <c r="P1299" s="164"/>
      <c r="Q1299" s="165"/>
      <c r="R1299" s="165"/>
      <c r="S1299" s="167"/>
      <c r="T1299" s="167"/>
      <c r="U1299" s="167"/>
      <c r="V1299" s="168"/>
      <c r="W1299" s="168"/>
      <c r="X1299" s="168"/>
      <c r="Y1299" s="168"/>
      <c r="Z1299" s="168"/>
      <c r="AA1299" s="168"/>
      <c r="AB1299" s="164"/>
      <c r="AC1299" s="165"/>
      <c r="AD1299" s="165"/>
      <c r="AE1299" s="169"/>
      <c r="AF1299" s="169"/>
      <c r="AG1299" s="169"/>
      <c r="AH1299" s="168"/>
      <c r="AI1299" s="168"/>
      <c r="AJ1299" s="168"/>
      <c r="AK1299" s="170"/>
      <c r="AL1299" s="170"/>
    </row>
  </sheetData>
  <autoFilter ref="$A$1:$AJ$1"/>
  <conditionalFormatting sqref="AJ2:AJ366 AK2:AL367">
    <cfRule type="cellIs" dxfId="3" priority="1" operator="greaterThanOrEqual">
      <formula>#REF!</formula>
    </cfRule>
  </conditionalFormatting>
  <conditionalFormatting sqref="AJ2:AJ366 AK2:AL367">
    <cfRule type="cellIs" dxfId="4" priority="2" operator="lessThan">
      <formula>#REF!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63"/>
    <col customWidth="1" min="3" max="3" width="13.0"/>
    <col customWidth="1" min="5" max="5" width="0.38"/>
    <col customWidth="1" min="6" max="6" width="15.88"/>
    <col customWidth="1" min="7" max="7" width="14.88"/>
    <col customWidth="1" min="8" max="8" width="15.63"/>
  </cols>
  <sheetData>
    <row r="1">
      <c r="E1" s="171"/>
    </row>
    <row r="2">
      <c r="A2" s="172" t="s">
        <v>1650</v>
      </c>
      <c r="B2" s="173"/>
      <c r="C2" s="173"/>
      <c r="D2" s="173"/>
      <c r="E2" s="173"/>
      <c r="F2" s="173"/>
      <c r="G2" s="173"/>
      <c r="H2" s="174"/>
    </row>
    <row r="3">
      <c r="A3" s="175" t="s">
        <v>1651</v>
      </c>
      <c r="B3" s="176">
        <v>2025.0</v>
      </c>
      <c r="C3" s="173"/>
      <c r="D3" s="173"/>
      <c r="E3" s="177"/>
      <c r="F3" s="176" t="s">
        <v>1652</v>
      </c>
      <c r="G3" s="173"/>
      <c r="H3" s="173"/>
    </row>
    <row r="4">
      <c r="A4" s="175" t="s">
        <v>1615</v>
      </c>
      <c r="B4" s="175" t="s">
        <v>1653</v>
      </c>
      <c r="C4" s="178" t="s">
        <v>1654</v>
      </c>
      <c r="D4" s="175" t="s">
        <v>1605</v>
      </c>
      <c r="E4" s="179"/>
      <c r="F4" s="175" t="s">
        <v>1653</v>
      </c>
      <c r="G4" s="178" t="s">
        <v>1654</v>
      </c>
      <c r="H4" s="175" t="s">
        <v>1605</v>
      </c>
    </row>
    <row r="5">
      <c r="A5" s="180" t="s">
        <v>1655</v>
      </c>
      <c r="B5" s="181"/>
      <c r="C5" s="182"/>
      <c r="D5" s="181" t="str">
        <f t="shared" ref="D5:D17" si="1">IFERROR(B5/C5,"-")</f>
        <v>-</v>
      </c>
      <c r="E5" s="183"/>
      <c r="F5" s="181"/>
      <c r="G5" s="182"/>
      <c r="H5" s="181" t="str">
        <f t="shared" ref="H5:H17" si="2">IFERROR(F5/G5,"-")</f>
        <v>-</v>
      </c>
    </row>
    <row r="6">
      <c r="A6" s="180" t="s">
        <v>1656</v>
      </c>
      <c r="B6" s="181"/>
      <c r="C6" s="182"/>
      <c r="D6" s="181" t="str">
        <f t="shared" si="1"/>
        <v>-</v>
      </c>
      <c r="E6" s="183"/>
      <c r="F6" s="181"/>
      <c r="G6" s="182"/>
      <c r="H6" s="181" t="str">
        <f t="shared" si="2"/>
        <v>-</v>
      </c>
    </row>
    <row r="7">
      <c r="A7" s="180" t="s">
        <v>1657</v>
      </c>
      <c r="B7" s="181"/>
      <c r="C7" s="182"/>
      <c r="D7" s="181" t="str">
        <f t="shared" si="1"/>
        <v>-</v>
      </c>
      <c r="E7" s="183"/>
      <c r="F7" s="181"/>
      <c r="G7" s="182"/>
      <c r="H7" s="181" t="str">
        <f t="shared" si="2"/>
        <v>-</v>
      </c>
    </row>
    <row r="8">
      <c r="A8" s="180" t="s">
        <v>1658</v>
      </c>
      <c r="B8" s="181"/>
      <c r="C8" s="182"/>
      <c r="D8" s="181" t="str">
        <f t="shared" si="1"/>
        <v>-</v>
      </c>
      <c r="E8" s="183"/>
      <c r="F8" s="181"/>
      <c r="G8" s="182"/>
      <c r="H8" s="181" t="str">
        <f t="shared" si="2"/>
        <v>-</v>
      </c>
    </row>
    <row r="9">
      <c r="A9" s="180" t="s">
        <v>1659</v>
      </c>
      <c r="B9" s="181"/>
      <c r="C9" s="182"/>
      <c r="D9" s="181" t="str">
        <f t="shared" si="1"/>
        <v>-</v>
      </c>
      <c r="E9" s="183"/>
      <c r="F9" s="181"/>
      <c r="G9" s="182"/>
      <c r="H9" s="181" t="str">
        <f t="shared" si="2"/>
        <v>-</v>
      </c>
    </row>
    <row r="10">
      <c r="A10" s="180" t="s">
        <v>1660</v>
      </c>
      <c r="B10" s="181"/>
      <c r="C10" s="182"/>
      <c r="D10" s="181" t="str">
        <f t="shared" si="1"/>
        <v>-</v>
      </c>
      <c r="E10" s="184"/>
      <c r="F10" s="185"/>
      <c r="G10" s="186"/>
      <c r="H10" s="181" t="str">
        <f t="shared" si="2"/>
        <v>-</v>
      </c>
    </row>
    <row r="11">
      <c r="A11" s="180" t="s">
        <v>1661</v>
      </c>
      <c r="B11" s="181"/>
      <c r="C11" s="182"/>
      <c r="D11" s="181" t="str">
        <f t="shared" si="1"/>
        <v>-</v>
      </c>
      <c r="E11" s="184"/>
      <c r="F11" s="185"/>
      <c r="G11" s="186"/>
      <c r="H11" s="181" t="str">
        <f t="shared" si="2"/>
        <v>-</v>
      </c>
    </row>
    <row r="12">
      <c r="A12" s="180" t="s">
        <v>1662</v>
      </c>
      <c r="B12" s="181"/>
      <c r="C12" s="182"/>
      <c r="D12" s="181" t="str">
        <f t="shared" si="1"/>
        <v>-</v>
      </c>
      <c r="E12" s="184"/>
      <c r="F12" s="185"/>
      <c r="G12" s="186"/>
      <c r="H12" s="181" t="str">
        <f t="shared" si="2"/>
        <v>-</v>
      </c>
    </row>
    <row r="13">
      <c r="A13" s="180" t="s">
        <v>1663</v>
      </c>
      <c r="B13" s="181"/>
      <c r="C13" s="182"/>
      <c r="D13" s="181" t="str">
        <f t="shared" si="1"/>
        <v>-</v>
      </c>
      <c r="E13" s="184"/>
      <c r="F13" s="185"/>
      <c r="G13" s="186"/>
      <c r="H13" s="181" t="str">
        <f t="shared" si="2"/>
        <v>-</v>
      </c>
    </row>
    <row r="14">
      <c r="A14" s="180" t="s">
        <v>1664</v>
      </c>
      <c r="B14" s="181"/>
      <c r="C14" s="182"/>
      <c r="D14" s="181" t="str">
        <f t="shared" si="1"/>
        <v>-</v>
      </c>
      <c r="E14" s="184"/>
      <c r="F14" s="185"/>
      <c r="G14" s="186"/>
      <c r="H14" s="181" t="str">
        <f t="shared" si="2"/>
        <v>-</v>
      </c>
    </row>
    <row r="15">
      <c r="A15" s="180" t="s">
        <v>1665</v>
      </c>
      <c r="B15" s="181"/>
      <c r="C15" s="182"/>
      <c r="D15" s="181" t="str">
        <f t="shared" si="1"/>
        <v>-</v>
      </c>
      <c r="E15" s="184"/>
      <c r="F15" s="185"/>
      <c r="G15" s="186"/>
      <c r="H15" s="181" t="str">
        <f t="shared" si="2"/>
        <v>-</v>
      </c>
    </row>
    <row r="16">
      <c r="A16" s="180" t="s">
        <v>1666</v>
      </c>
      <c r="B16" s="181"/>
      <c r="C16" s="182"/>
      <c r="D16" s="181" t="str">
        <f t="shared" si="1"/>
        <v>-</v>
      </c>
      <c r="E16" s="184"/>
      <c r="F16" s="185"/>
      <c r="G16" s="186"/>
      <c r="H16" s="181" t="str">
        <f t="shared" si="2"/>
        <v>-</v>
      </c>
    </row>
    <row r="17">
      <c r="A17" s="187" t="s">
        <v>1667</v>
      </c>
      <c r="B17" s="188">
        <f>SUM(B4:B16)</f>
        <v>0</v>
      </c>
      <c r="C17" s="178">
        <f>SUM(C5:C16)</f>
        <v>0</v>
      </c>
      <c r="D17" s="188" t="str">
        <f t="shared" si="1"/>
        <v>-</v>
      </c>
      <c r="E17" s="189"/>
      <c r="F17" s="188">
        <f>SUM(F4:F16)</f>
        <v>0</v>
      </c>
      <c r="G17" s="178">
        <f>SUM(G5:G16)</f>
        <v>0</v>
      </c>
      <c r="H17" s="188" t="str">
        <f t="shared" si="2"/>
        <v>-</v>
      </c>
    </row>
    <row r="18">
      <c r="A18" s="54"/>
      <c r="B18" s="54"/>
      <c r="C18" s="190"/>
      <c r="D18" s="54"/>
      <c r="E18" s="191"/>
      <c r="F18" s="54"/>
      <c r="G18" s="54"/>
      <c r="H18" s="54"/>
    </row>
    <row r="19">
      <c r="A19" s="172" t="s">
        <v>1650</v>
      </c>
      <c r="B19" s="173"/>
      <c r="C19" s="173"/>
      <c r="D19" s="173"/>
      <c r="E19" s="173"/>
      <c r="F19" s="173"/>
      <c r="G19" s="173"/>
      <c r="H19" s="174"/>
    </row>
    <row r="20">
      <c r="A20" s="175" t="s">
        <v>1651</v>
      </c>
      <c r="B20" s="176" t="s">
        <v>1668</v>
      </c>
      <c r="C20" s="173"/>
      <c r="D20" s="173"/>
      <c r="E20" s="192"/>
      <c r="F20" s="176" t="s">
        <v>1669</v>
      </c>
      <c r="G20" s="173"/>
      <c r="H20" s="173"/>
    </row>
    <row r="21">
      <c r="A21" s="175" t="s">
        <v>1615</v>
      </c>
      <c r="B21" s="175" t="s">
        <v>1653</v>
      </c>
      <c r="C21" s="178" t="s">
        <v>1654</v>
      </c>
      <c r="D21" s="175" t="s">
        <v>1605</v>
      </c>
      <c r="E21" s="179"/>
      <c r="F21" s="175" t="s">
        <v>1653</v>
      </c>
      <c r="G21" s="178" t="s">
        <v>1654</v>
      </c>
      <c r="H21" s="175" t="s">
        <v>1605</v>
      </c>
    </row>
    <row r="22">
      <c r="A22" s="180" t="s">
        <v>1655</v>
      </c>
      <c r="B22" s="181">
        <f t="shared" ref="B22:C22" si="3">F5-B5</f>
        <v>0</v>
      </c>
      <c r="C22" s="182">
        <f t="shared" si="3"/>
        <v>0</v>
      </c>
      <c r="D22" s="181" t="str">
        <f t="shared" ref="D22:D34" si="6">IFERROR(H5-D5,"-")</f>
        <v>-</v>
      </c>
      <c r="E22" s="193"/>
      <c r="F22" s="194" t="str">
        <f t="shared" ref="F22:H22" si="4">(F5/B5)-100%</f>
        <v>#DIV/0!</v>
      </c>
      <c r="G22" s="194" t="str">
        <f t="shared" si="4"/>
        <v>#DIV/0!</v>
      </c>
      <c r="H22" s="194" t="str">
        <f t="shared" si="4"/>
        <v>#VALUE!</v>
      </c>
    </row>
    <row r="23">
      <c r="A23" s="180" t="s">
        <v>1656</v>
      </c>
      <c r="B23" s="181">
        <f t="shared" ref="B23:C23" si="5">F6-B6</f>
        <v>0</v>
      </c>
      <c r="C23" s="182">
        <f t="shared" si="5"/>
        <v>0</v>
      </c>
      <c r="D23" s="181" t="str">
        <f t="shared" si="6"/>
        <v>-</v>
      </c>
      <c r="E23" s="193"/>
      <c r="F23" s="194" t="str">
        <f t="shared" ref="F23:H23" si="7">(F6/B6)-100%</f>
        <v>#DIV/0!</v>
      </c>
      <c r="G23" s="194" t="str">
        <f t="shared" si="7"/>
        <v>#DIV/0!</v>
      </c>
      <c r="H23" s="194" t="str">
        <f t="shared" si="7"/>
        <v>#VALUE!</v>
      </c>
    </row>
    <row r="24">
      <c r="A24" s="180" t="s">
        <v>1657</v>
      </c>
      <c r="B24" s="181">
        <f t="shared" ref="B24:C24" si="8">F7-B7</f>
        <v>0</v>
      </c>
      <c r="C24" s="182">
        <f t="shared" si="8"/>
        <v>0</v>
      </c>
      <c r="D24" s="181" t="str">
        <f t="shared" si="6"/>
        <v>-</v>
      </c>
      <c r="E24" s="193"/>
      <c r="F24" s="194" t="str">
        <f t="shared" ref="F24:H24" si="9">(F7/B7)-100%</f>
        <v>#DIV/0!</v>
      </c>
      <c r="G24" s="194" t="str">
        <f t="shared" si="9"/>
        <v>#DIV/0!</v>
      </c>
      <c r="H24" s="194" t="str">
        <f t="shared" si="9"/>
        <v>#VALUE!</v>
      </c>
    </row>
    <row r="25">
      <c r="A25" s="180" t="s">
        <v>1658</v>
      </c>
      <c r="B25" s="181">
        <f t="shared" ref="B25:C25" si="10">F8-B8</f>
        <v>0</v>
      </c>
      <c r="C25" s="182">
        <f t="shared" si="10"/>
        <v>0</v>
      </c>
      <c r="D25" s="181" t="str">
        <f t="shared" si="6"/>
        <v>-</v>
      </c>
      <c r="E25" s="193"/>
      <c r="F25" s="194" t="str">
        <f t="shared" ref="F25:H25" si="11">(F8/B8)-100%</f>
        <v>#DIV/0!</v>
      </c>
      <c r="G25" s="194" t="str">
        <f t="shared" si="11"/>
        <v>#DIV/0!</v>
      </c>
      <c r="H25" s="194" t="str">
        <f t="shared" si="11"/>
        <v>#VALUE!</v>
      </c>
    </row>
    <row r="26">
      <c r="A26" s="180" t="s">
        <v>1659</v>
      </c>
      <c r="B26" s="181">
        <f t="shared" ref="B26:C26" si="12">F9-B9</f>
        <v>0</v>
      </c>
      <c r="C26" s="182">
        <f t="shared" si="12"/>
        <v>0</v>
      </c>
      <c r="D26" s="181" t="str">
        <f t="shared" si="6"/>
        <v>-</v>
      </c>
      <c r="E26" s="193"/>
      <c r="F26" s="194" t="str">
        <f t="shared" ref="F26:H26" si="13">(F9/B9)-100%</f>
        <v>#DIV/0!</v>
      </c>
      <c r="G26" s="194" t="str">
        <f t="shared" si="13"/>
        <v>#DIV/0!</v>
      </c>
      <c r="H26" s="194" t="str">
        <f t="shared" si="13"/>
        <v>#VALUE!</v>
      </c>
    </row>
    <row r="27">
      <c r="A27" s="180" t="s">
        <v>1660</v>
      </c>
      <c r="B27" s="181">
        <f t="shared" ref="B27:C27" si="14">F10-B10</f>
        <v>0</v>
      </c>
      <c r="C27" s="182">
        <f t="shared" si="14"/>
        <v>0</v>
      </c>
      <c r="D27" s="181" t="str">
        <f t="shared" si="6"/>
        <v>-</v>
      </c>
      <c r="E27" s="193"/>
      <c r="F27" s="194" t="str">
        <f t="shared" ref="F27:H27" si="15">(F10/B10)-100%</f>
        <v>#DIV/0!</v>
      </c>
      <c r="G27" s="194" t="str">
        <f t="shared" si="15"/>
        <v>#DIV/0!</v>
      </c>
      <c r="H27" s="194" t="str">
        <f t="shared" si="15"/>
        <v>#VALUE!</v>
      </c>
    </row>
    <row r="28">
      <c r="A28" s="180" t="s">
        <v>1661</v>
      </c>
      <c r="B28" s="181">
        <f t="shared" ref="B28:C28" si="16">F11-B11</f>
        <v>0</v>
      </c>
      <c r="C28" s="182">
        <f t="shared" si="16"/>
        <v>0</v>
      </c>
      <c r="D28" s="181" t="str">
        <f t="shared" si="6"/>
        <v>-</v>
      </c>
      <c r="E28" s="193"/>
      <c r="F28" s="194" t="str">
        <f t="shared" ref="F28:H28" si="17">(F11/B11)-100%</f>
        <v>#DIV/0!</v>
      </c>
      <c r="G28" s="194" t="str">
        <f t="shared" si="17"/>
        <v>#DIV/0!</v>
      </c>
      <c r="H28" s="194" t="str">
        <f t="shared" si="17"/>
        <v>#VALUE!</v>
      </c>
    </row>
    <row r="29">
      <c r="A29" s="180" t="s">
        <v>1662</v>
      </c>
      <c r="B29" s="181">
        <f t="shared" ref="B29:C29" si="18">F12-B12</f>
        <v>0</v>
      </c>
      <c r="C29" s="182">
        <f t="shared" si="18"/>
        <v>0</v>
      </c>
      <c r="D29" s="181" t="str">
        <f t="shared" si="6"/>
        <v>-</v>
      </c>
      <c r="E29" s="193"/>
      <c r="F29" s="194" t="str">
        <f t="shared" ref="F29:H29" si="19">(F12/B12)-100%</f>
        <v>#DIV/0!</v>
      </c>
      <c r="G29" s="194" t="str">
        <f t="shared" si="19"/>
        <v>#DIV/0!</v>
      </c>
      <c r="H29" s="194" t="str">
        <f t="shared" si="19"/>
        <v>#VALUE!</v>
      </c>
    </row>
    <row r="30">
      <c r="A30" s="180" t="s">
        <v>1663</v>
      </c>
      <c r="B30" s="181">
        <f t="shared" ref="B30:C30" si="20">F13-B13</f>
        <v>0</v>
      </c>
      <c r="C30" s="182">
        <f t="shared" si="20"/>
        <v>0</v>
      </c>
      <c r="D30" s="181" t="str">
        <f t="shared" si="6"/>
        <v>-</v>
      </c>
      <c r="E30" s="193"/>
      <c r="F30" s="194" t="str">
        <f t="shared" ref="F30:H30" si="21">(F13/B13)-100%</f>
        <v>#DIV/0!</v>
      </c>
      <c r="G30" s="194" t="str">
        <f t="shared" si="21"/>
        <v>#DIV/0!</v>
      </c>
      <c r="H30" s="194" t="str">
        <f t="shared" si="21"/>
        <v>#VALUE!</v>
      </c>
    </row>
    <row r="31">
      <c r="A31" s="180" t="s">
        <v>1664</v>
      </c>
      <c r="B31" s="181">
        <f t="shared" ref="B31:C31" si="22">F14-B14</f>
        <v>0</v>
      </c>
      <c r="C31" s="182">
        <f t="shared" si="22"/>
        <v>0</v>
      </c>
      <c r="D31" s="181" t="str">
        <f t="shared" si="6"/>
        <v>-</v>
      </c>
      <c r="E31" s="193"/>
      <c r="F31" s="194" t="str">
        <f t="shared" ref="F31:H31" si="23">(F14/B14)-100%</f>
        <v>#DIV/0!</v>
      </c>
      <c r="G31" s="194" t="str">
        <f t="shared" si="23"/>
        <v>#DIV/0!</v>
      </c>
      <c r="H31" s="194" t="str">
        <f t="shared" si="23"/>
        <v>#VALUE!</v>
      </c>
    </row>
    <row r="32">
      <c r="A32" s="180" t="s">
        <v>1665</v>
      </c>
      <c r="B32" s="181">
        <f t="shared" ref="B32:C32" si="24">F15-B15</f>
        <v>0</v>
      </c>
      <c r="C32" s="182">
        <f t="shared" si="24"/>
        <v>0</v>
      </c>
      <c r="D32" s="181" t="str">
        <f t="shared" si="6"/>
        <v>-</v>
      </c>
      <c r="E32" s="193"/>
      <c r="F32" s="194" t="str">
        <f t="shared" ref="F32:H32" si="25">(F15/B15)-100%</f>
        <v>#DIV/0!</v>
      </c>
      <c r="G32" s="194" t="str">
        <f t="shared" si="25"/>
        <v>#DIV/0!</v>
      </c>
      <c r="H32" s="194" t="str">
        <f t="shared" si="25"/>
        <v>#VALUE!</v>
      </c>
    </row>
    <row r="33">
      <c r="A33" s="180" t="s">
        <v>1666</v>
      </c>
      <c r="B33" s="181">
        <f t="shared" ref="B33:C33" si="26">F16-B16</f>
        <v>0</v>
      </c>
      <c r="C33" s="182">
        <f t="shared" si="26"/>
        <v>0</v>
      </c>
      <c r="D33" s="181" t="str">
        <f t="shared" si="6"/>
        <v>-</v>
      </c>
      <c r="E33" s="193"/>
      <c r="F33" s="194" t="str">
        <f t="shared" ref="F33:H33" si="27">(F16/B16)-100%</f>
        <v>#DIV/0!</v>
      </c>
      <c r="G33" s="194" t="str">
        <f t="shared" si="27"/>
        <v>#DIV/0!</v>
      </c>
      <c r="H33" s="194" t="str">
        <f t="shared" si="27"/>
        <v>#VALUE!</v>
      </c>
    </row>
    <row r="34">
      <c r="A34" s="187" t="s">
        <v>1667</v>
      </c>
      <c r="B34" s="188">
        <f>SUM(B21:B33)</f>
        <v>0</v>
      </c>
      <c r="C34" s="178">
        <f>SUM(C22:C33)</f>
        <v>0</v>
      </c>
      <c r="D34" s="188" t="str">
        <f t="shared" si="6"/>
        <v>-</v>
      </c>
      <c r="E34" s="195"/>
      <c r="F34" s="196" t="str">
        <f t="shared" ref="F34:H34" si="28">AVERAGE(F22:F33)</f>
        <v>#DIV/0!</v>
      </c>
      <c r="G34" s="196" t="str">
        <f t="shared" si="28"/>
        <v>#DIV/0!</v>
      </c>
      <c r="H34" s="196" t="str">
        <f t="shared" si="28"/>
        <v>#VALUE!</v>
      </c>
    </row>
    <row r="35">
      <c r="E35" s="171"/>
    </row>
    <row r="36">
      <c r="A36" s="172" t="s">
        <v>1670</v>
      </c>
      <c r="B36" s="173"/>
      <c r="C36" s="173"/>
      <c r="D36" s="173"/>
      <c r="E36" s="173"/>
      <c r="F36" s="173"/>
      <c r="G36" s="173"/>
      <c r="H36" s="174"/>
    </row>
    <row r="37">
      <c r="A37" s="175" t="s">
        <v>1651</v>
      </c>
      <c r="B37" s="197">
        <v>2025.0</v>
      </c>
      <c r="C37" s="198"/>
      <c r="D37" s="199"/>
      <c r="E37" s="177"/>
      <c r="F37" s="176" t="s">
        <v>1652</v>
      </c>
      <c r="G37" s="173"/>
      <c r="H37" s="173"/>
    </row>
    <row r="38">
      <c r="A38" s="175" t="s">
        <v>1615</v>
      </c>
      <c r="B38" s="175" t="s">
        <v>1653</v>
      </c>
      <c r="C38" s="178" t="s">
        <v>1654</v>
      </c>
      <c r="D38" s="175" t="s">
        <v>1605</v>
      </c>
      <c r="E38" s="179"/>
      <c r="F38" s="175" t="s">
        <v>1653</v>
      </c>
      <c r="G38" s="178" t="s">
        <v>1654</v>
      </c>
      <c r="H38" s="175" t="s">
        <v>1605</v>
      </c>
    </row>
    <row r="39">
      <c r="A39" s="180" t="s">
        <v>1655</v>
      </c>
      <c r="B39" s="181"/>
      <c r="C39" s="182"/>
      <c r="D39" s="181" t="str">
        <f t="shared" ref="D39:D51" si="29">IFERROR(B39/C39,"-")</f>
        <v>-</v>
      </c>
      <c r="E39" s="183"/>
      <c r="F39" s="181"/>
      <c r="G39" s="182"/>
      <c r="H39" s="181" t="str">
        <f t="shared" ref="H39:H51" si="30">IFERROR(F39/G39,"-")</f>
        <v>-</v>
      </c>
    </row>
    <row r="40">
      <c r="A40" s="180" t="s">
        <v>1656</v>
      </c>
      <c r="B40" s="181"/>
      <c r="C40" s="182"/>
      <c r="D40" s="181" t="str">
        <f t="shared" si="29"/>
        <v>-</v>
      </c>
      <c r="E40" s="183"/>
      <c r="F40" s="181"/>
      <c r="G40" s="182"/>
      <c r="H40" s="181" t="str">
        <f t="shared" si="30"/>
        <v>-</v>
      </c>
    </row>
    <row r="41">
      <c r="A41" s="180" t="s">
        <v>1657</v>
      </c>
      <c r="B41" s="181"/>
      <c r="C41" s="182"/>
      <c r="D41" s="181" t="str">
        <f t="shared" si="29"/>
        <v>-</v>
      </c>
      <c r="E41" s="183"/>
      <c r="F41" s="181"/>
      <c r="G41" s="182"/>
      <c r="H41" s="181" t="str">
        <f t="shared" si="30"/>
        <v>-</v>
      </c>
    </row>
    <row r="42">
      <c r="A42" s="180" t="s">
        <v>1658</v>
      </c>
      <c r="B42" s="181"/>
      <c r="C42" s="182"/>
      <c r="D42" s="181" t="str">
        <f t="shared" si="29"/>
        <v>-</v>
      </c>
      <c r="E42" s="183"/>
      <c r="F42" s="181"/>
      <c r="G42" s="182"/>
      <c r="H42" s="181" t="str">
        <f t="shared" si="30"/>
        <v>-</v>
      </c>
    </row>
    <row r="43">
      <c r="A43" s="180" t="s">
        <v>1659</v>
      </c>
      <c r="B43" s="181"/>
      <c r="C43" s="182"/>
      <c r="D43" s="181" t="str">
        <f t="shared" si="29"/>
        <v>-</v>
      </c>
      <c r="E43" s="183"/>
      <c r="F43" s="181"/>
      <c r="G43" s="182"/>
      <c r="H43" s="181" t="str">
        <f t="shared" si="30"/>
        <v>-</v>
      </c>
    </row>
    <row r="44">
      <c r="A44" s="180" t="s">
        <v>1660</v>
      </c>
      <c r="B44" s="181"/>
      <c r="C44" s="182"/>
      <c r="D44" s="181" t="str">
        <f t="shared" si="29"/>
        <v>-</v>
      </c>
      <c r="E44" s="184"/>
      <c r="F44" s="185"/>
      <c r="G44" s="186"/>
      <c r="H44" s="181" t="str">
        <f t="shared" si="30"/>
        <v>-</v>
      </c>
    </row>
    <row r="45">
      <c r="A45" s="180" t="s">
        <v>1661</v>
      </c>
      <c r="B45" s="181"/>
      <c r="C45" s="182"/>
      <c r="D45" s="181" t="str">
        <f t="shared" si="29"/>
        <v>-</v>
      </c>
      <c r="E45" s="184"/>
      <c r="F45" s="185"/>
      <c r="G45" s="186"/>
      <c r="H45" s="181" t="str">
        <f t="shared" si="30"/>
        <v>-</v>
      </c>
    </row>
    <row r="46">
      <c r="A46" s="180" t="s">
        <v>1662</v>
      </c>
      <c r="B46" s="181"/>
      <c r="C46" s="182"/>
      <c r="D46" s="181" t="str">
        <f t="shared" si="29"/>
        <v>-</v>
      </c>
      <c r="E46" s="184"/>
      <c r="F46" s="185"/>
      <c r="G46" s="186"/>
      <c r="H46" s="181" t="str">
        <f t="shared" si="30"/>
        <v>-</v>
      </c>
    </row>
    <row r="47">
      <c r="A47" s="180" t="s">
        <v>1663</v>
      </c>
      <c r="B47" s="181"/>
      <c r="C47" s="182"/>
      <c r="D47" s="181" t="str">
        <f t="shared" si="29"/>
        <v>-</v>
      </c>
      <c r="E47" s="184"/>
      <c r="F47" s="185"/>
      <c r="G47" s="186"/>
      <c r="H47" s="181" t="str">
        <f t="shared" si="30"/>
        <v>-</v>
      </c>
    </row>
    <row r="48">
      <c r="A48" s="180" t="s">
        <v>1664</v>
      </c>
      <c r="B48" s="181"/>
      <c r="C48" s="182"/>
      <c r="D48" s="181" t="str">
        <f t="shared" si="29"/>
        <v>-</v>
      </c>
      <c r="E48" s="184"/>
      <c r="F48" s="185"/>
      <c r="G48" s="186"/>
      <c r="H48" s="181" t="str">
        <f t="shared" si="30"/>
        <v>-</v>
      </c>
    </row>
    <row r="49">
      <c r="A49" s="180" t="s">
        <v>1665</v>
      </c>
      <c r="B49" s="181"/>
      <c r="C49" s="182"/>
      <c r="D49" s="181" t="str">
        <f t="shared" si="29"/>
        <v>-</v>
      </c>
      <c r="E49" s="184"/>
      <c r="F49" s="185"/>
      <c r="G49" s="186"/>
      <c r="H49" s="181" t="str">
        <f t="shared" si="30"/>
        <v>-</v>
      </c>
    </row>
    <row r="50">
      <c r="A50" s="180" t="s">
        <v>1666</v>
      </c>
      <c r="B50" s="181"/>
      <c r="C50" s="182"/>
      <c r="D50" s="181" t="str">
        <f t="shared" si="29"/>
        <v>-</v>
      </c>
      <c r="E50" s="184"/>
      <c r="F50" s="185"/>
      <c r="G50" s="186"/>
      <c r="H50" s="181" t="str">
        <f t="shared" si="30"/>
        <v>-</v>
      </c>
    </row>
    <row r="51">
      <c r="A51" s="187" t="s">
        <v>1667</v>
      </c>
      <c r="B51" s="188">
        <f>SUM(B38:B50)</f>
        <v>0</v>
      </c>
      <c r="C51" s="178">
        <f>SUM(C39:C50)</f>
        <v>0</v>
      </c>
      <c r="D51" s="188" t="str">
        <f t="shared" si="29"/>
        <v>-</v>
      </c>
      <c r="E51" s="189"/>
      <c r="F51" s="188">
        <f>SUM(F38:F50)</f>
        <v>0</v>
      </c>
      <c r="G51" s="178">
        <f>SUM(G39:G50)</f>
        <v>0</v>
      </c>
      <c r="H51" s="188" t="str">
        <f t="shared" si="30"/>
        <v>-</v>
      </c>
    </row>
    <row r="52">
      <c r="A52" s="54"/>
      <c r="B52" s="54"/>
      <c r="C52" s="190"/>
      <c r="D52" s="54"/>
      <c r="E52" s="191"/>
      <c r="F52" s="54"/>
      <c r="G52" s="54"/>
      <c r="H52" s="54"/>
    </row>
    <row r="53">
      <c r="A53" s="172" t="s">
        <v>1670</v>
      </c>
      <c r="B53" s="173"/>
      <c r="C53" s="173"/>
      <c r="D53" s="173"/>
      <c r="E53" s="173"/>
      <c r="F53" s="173"/>
      <c r="G53" s="173"/>
      <c r="H53" s="174"/>
    </row>
    <row r="54">
      <c r="A54" s="175" t="s">
        <v>1651</v>
      </c>
      <c r="B54" s="176" t="s">
        <v>1668</v>
      </c>
      <c r="C54" s="173"/>
      <c r="D54" s="173"/>
      <c r="E54" s="192"/>
      <c r="F54" s="176" t="s">
        <v>1669</v>
      </c>
      <c r="G54" s="173"/>
      <c r="H54" s="173"/>
    </row>
    <row r="55">
      <c r="A55" s="175" t="s">
        <v>1615</v>
      </c>
      <c r="B55" s="175" t="s">
        <v>1653</v>
      </c>
      <c r="C55" s="178" t="s">
        <v>1654</v>
      </c>
      <c r="D55" s="175" t="s">
        <v>1605</v>
      </c>
      <c r="E55" s="179"/>
      <c r="F55" s="175" t="s">
        <v>1653</v>
      </c>
      <c r="G55" s="178" t="s">
        <v>1654</v>
      </c>
      <c r="H55" s="175" t="s">
        <v>1605</v>
      </c>
    </row>
    <row r="56">
      <c r="A56" s="180" t="s">
        <v>1655</v>
      </c>
      <c r="B56" s="181">
        <f t="shared" ref="B56:C56" si="31">F39-B39</f>
        <v>0</v>
      </c>
      <c r="C56" s="182">
        <f t="shared" si="31"/>
        <v>0</v>
      </c>
      <c r="D56" s="181" t="str">
        <f t="shared" ref="D56:D68" si="34">IFERROR(H39-D39,"-")</f>
        <v>-</v>
      </c>
      <c r="E56" s="193"/>
      <c r="F56" s="194" t="str">
        <f t="shared" ref="F56:H56" si="32">(F39/B39)-100%</f>
        <v>#DIV/0!</v>
      </c>
      <c r="G56" s="194" t="str">
        <f t="shared" si="32"/>
        <v>#DIV/0!</v>
      </c>
      <c r="H56" s="194" t="str">
        <f t="shared" si="32"/>
        <v>#VALUE!</v>
      </c>
    </row>
    <row r="57">
      <c r="A57" s="180" t="s">
        <v>1656</v>
      </c>
      <c r="B57" s="181">
        <f t="shared" ref="B57:C57" si="33">F40-B40</f>
        <v>0</v>
      </c>
      <c r="C57" s="182">
        <f t="shared" si="33"/>
        <v>0</v>
      </c>
      <c r="D57" s="181" t="str">
        <f t="shared" si="34"/>
        <v>-</v>
      </c>
      <c r="E57" s="193"/>
      <c r="F57" s="194" t="str">
        <f t="shared" ref="F57:H57" si="35">(F40/B40)-100%</f>
        <v>#DIV/0!</v>
      </c>
      <c r="G57" s="194" t="str">
        <f t="shared" si="35"/>
        <v>#DIV/0!</v>
      </c>
      <c r="H57" s="194" t="str">
        <f t="shared" si="35"/>
        <v>#VALUE!</v>
      </c>
    </row>
    <row r="58">
      <c r="A58" s="180" t="s">
        <v>1657</v>
      </c>
      <c r="B58" s="181">
        <f t="shared" ref="B58:C58" si="36">F41-B41</f>
        <v>0</v>
      </c>
      <c r="C58" s="182">
        <f t="shared" si="36"/>
        <v>0</v>
      </c>
      <c r="D58" s="181" t="str">
        <f t="shared" si="34"/>
        <v>-</v>
      </c>
      <c r="E58" s="193"/>
      <c r="F58" s="194" t="str">
        <f t="shared" ref="F58:H58" si="37">(F41/B41)-100%</f>
        <v>#DIV/0!</v>
      </c>
      <c r="G58" s="194" t="str">
        <f t="shared" si="37"/>
        <v>#DIV/0!</v>
      </c>
      <c r="H58" s="194" t="str">
        <f t="shared" si="37"/>
        <v>#VALUE!</v>
      </c>
    </row>
    <row r="59">
      <c r="A59" s="180" t="s">
        <v>1658</v>
      </c>
      <c r="B59" s="181">
        <f t="shared" ref="B59:C59" si="38">F42-B42</f>
        <v>0</v>
      </c>
      <c r="C59" s="182">
        <f t="shared" si="38"/>
        <v>0</v>
      </c>
      <c r="D59" s="181" t="str">
        <f t="shared" si="34"/>
        <v>-</v>
      </c>
      <c r="E59" s="193"/>
      <c r="F59" s="194" t="str">
        <f t="shared" ref="F59:H59" si="39">(F42/B42)-100%</f>
        <v>#DIV/0!</v>
      </c>
      <c r="G59" s="194" t="str">
        <f t="shared" si="39"/>
        <v>#DIV/0!</v>
      </c>
      <c r="H59" s="194" t="str">
        <f t="shared" si="39"/>
        <v>#VALUE!</v>
      </c>
    </row>
    <row r="60">
      <c r="A60" s="180" t="s">
        <v>1659</v>
      </c>
      <c r="B60" s="181">
        <f t="shared" ref="B60:C60" si="40">F43-B43</f>
        <v>0</v>
      </c>
      <c r="C60" s="182">
        <f t="shared" si="40"/>
        <v>0</v>
      </c>
      <c r="D60" s="181" t="str">
        <f t="shared" si="34"/>
        <v>-</v>
      </c>
      <c r="E60" s="193"/>
      <c r="F60" s="194" t="str">
        <f t="shared" ref="F60:H60" si="41">(F43/B43)-100%</f>
        <v>#DIV/0!</v>
      </c>
      <c r="G60" s="194" t="str">
        <f t="shared" si="41"/>
        <v>#DIV/0!</v>
      </c>
      <c r="H60" s="194" t="str">
        <f t="shared" si="41"/>
        <v>#VALUE!</v>
      </c>
    </row>
    <row r="61">
      <c r="A61" s="180" t="s">
        <v>1660</v>
      </c>
      <c r="B61" s="181">
        <f t="shared" ref="B61:C61" si="42">F44-B44</f>
        <v>0</v>
      </c>
      <c r="C61" s="182">
        <f t="shared" si="42"/>
        <v>0</v>
      </c>
      <c r="D61" s="181" t="str">
        <f t="shared" si="34"/>
        <v>-</v>
      </c>
      <c r="E61" s="193"/>
      <c r="F61" s="194" t="str">
        <f t="shared" ref="F61:H61" si="43">(F44/B44)-100%</f>
        <v>#DIV/0!</v>
      </c>
      <c r="G61" s="194" t="str">
        <f t="shared" si="43"/>
        <v>#DIV/0!</v>
      </c>
      <c r="H61" s="194" t="str">
        <f t="shared" si="43"/>
        <v>#VALUE!</v>
      </c>
    </row>
    <row r="62">
      <c r="A62" s="180" t="s">
        <v>1661</v>
      </c>
      <c r="B62" s="181">
        <f t="shared" ref="B62:C62" si="44">F45-B45</f>
        <v>0</v>
      </c>
      <c r="C62" s="182">
        <f t="shared" si="44"/>
        <v>0</v>
      </c>
      <c r="D62" s="181" t="str">
        <f t="shared" si="34"/>
        <v>-</v>
      </c>
      <c r="E62" s="193"/>
      <c r="F62" s="194" t="str">
        <f t="shared" ref="F62:H62" si="45">(F45/B45)-100%</f>
        <v>#DIV/0!</v>
      </c>
      <c r="G62" s="194" t="str">
        <f t="shared" si="45"/>
        <v>#DIV/0!</v>
      </c>
      <c r="H62" s="194" t="str">
        <f t="shared" si="45"/>
        <v>#VALUE!</v>
      </c>
    </row>
    <row r="63">
      <c r="A63" s="180" t="s">
        <v>1662</v>
      </c>
      <c r="B63" s="181">
        <f t="shared" ref="B63:C63" si="46">F46-B46</f>
        <v>0</v>
      </c>
      <c r="C63" s="182">
        <f t="shared" si="46"/>
        <v>0</v>
      </c>
      <c r="D63" s="181" t="str">
        <f t="shared" si="34"/>
        <v>-</v>
      </c>
      <c r="E63" s="193"/>
      <c r="F63" s="194" t="str">
        <f t="shared" ref="F63:H63" si="47">(F46/B46)-100%</f>
        <v>#DIV/0!</v>
      </c>
      <c r="G63" s="194" t="str">
        <f t="shared" si="47"/>
        <v>#DIV/0!</v>
      </c>
      <c r="H63" s="194" t="str">
        <f t="shared" si="47"/>
        <v>#VALUE!</v>
      </c>
    </row>
    <row r="64">
      <c r="A64" s="180" t="s">
        <v>1663</v>
      </c>
      <c r="B64" s="181">
        <f t="shared" ref="B64:C64" si="48">F47-B47</f>
        <v>0</v>
      </c>
      <c r="C64" s="182">
        <f t="shared" si="48"/>
        <v>0</v>
      </c>
      <c r="D64" s="181" t="str">
        <f t="shared" si="34"/>
        <v>-</v>
      </c>
      <c r="E64" s="193"/>
      <c r="F64" s="194" t="str">
        <f t="shared" ref="F64:H64" si="49">(F47/B47)-100%</f>
        <v>#DIV/0!</v>
      </c>
      <c r="G64" s="194" t="str">
        <f t="shared" si="49"/>
        <v>#DIV/0!</v>
      </c>
      <c r="H64" s="194" t="str">
        <f t="shared" si="49"/>
        <v>#VALUE!</v>
      </c>
    </row>
    <row r="65">
      <c r="A65" s="180" t="s">
        <v>1664</v>
      </c>
      <c r="B65" s="181">
        <f t="shared" ref="B65:C65" si="50">F48-B48</f>
        <v>0</v>
      </c>
      <c r="C65" s="182">
        <f t="shared" si="50"/>
        <v>0</v>
      </c>
      <c r="D65" s="181" t="str">
        <f t="shared" si="34"/>
        <v>-</v>
      </c>
      <c r="E65" s="193"/>
      <c r="F65" s="194" t="str">
        <f t="shared" ref="F65:H65" si="51">(F48/B48)-100%</f>
        <v>#DIV/0!</v>
      </c>
      <c r="G65" s="194" t="str">
        <f t="shared" si="51"/>
        <v>#DIV/0!</v>
      </c>
      <c r="H65" s="194" t="str">
        <f t="shared" si="51"/>
        <v>#VALUE!</v>
      </c>
    </row>
    <row r="66">
      <c r="A66" s="180" t="s">
        <v>1665</v>
      </c>
      <c r="B66" s="181">
        <f t="shared" ref="B66:C66" si="52">F49-B49</f>
        <v>0</v>
      </c>
      <c r="C66" s="182">
        <f t="shared" si="52"/>
        <v>0</v>
      </c>
      <c r="D66" s="181" t="str">
        <f t="shared" si="34"/>
        <v>-</v>
      </c>
      <c r="E66" s="193"/>
      <c r="F66" s="194" t="str">
        <f t="shared" ref="F66:H66" si="53">(F49/B49)-100%</f>
        <v>#DIV/0!</v>
      </c>
      <c r="G66" s="194" t="str">
        <f t="shared" si="53"/>
        <v>#DIV/0!</v>
      </c>
      <c r="H66" s="194" t="str">
        <f t="shared" si="53"/>
        <v>#VALUE!</v>
      </c>
    </row>
    <row r="67">
      <c r="A67" s="180" t="s">
        <v>1666</v>
      </c>
      <c r="B67" s="181">
        <f t="shared" ref="B67:C67" si="54">F50-B50</f>
        <v>0</v>
      </c>
      <c r="C67" s="182">
        <f t="shared" si="54"/>
        <v>0</v>
      </c>
      <c r="D67" s="181" t="str">
        <f t="shared" si="34"/>
        <v>-</v>
      </c>
      <c r="E67" s="193"/>
      <c r="F67" s="194" t="str">
        <f t="shared" ref="F67:H67" si="55">(F50/B50)-100%</f>
        <v>#DIV/0!</v>
      </c>
      <c r="G67" s="194" t="str">
        <f t="shared" si="55"/>
        <v>#DIV/0!</v>
      </c>
      <c r="H67" s="194" t="str">
        <f t="shared" si="55"/>
        <v>#VALUE!</v>
      </c>
    </row>
    <row r="68">
      <c r="A68" s="187" t="s">
        <v>1667</v>
      </c>
      <c r="B68" s="188">
        <f>SUM(B55:B67)</f>
        <v>0</v>
      </c>
      <c r="C68" s="178">
        <f>SUM(C56:C67)</f>
        <v>0</v>
      </c>
      <c r="D68" s="188" t="str">
        <f t="shared" si="34"/>
        <v>-</v>
      </c>
      <c r="E68" s="195"/>
      <c r="F68" s="196" t="str">
        <f t="shared" ref="F68:H68" si="56">AVERAGE(F56:F67)</f>
        <v>#DIV/0!</v>
      </c>
      <c r="G68" s="196" t="str">
        <f t="shared" si="56"/>
        <v>#DIV/0!</v>
      </c>
      <c r="H68" s="196" t="str">
        <f t="shared" si="56"/>
        <v>#VALUE!</v>
      </c>
    </row>
    <row r="69">
      <c r="E69" s="171"/>
    </row>
    <row r="70">
      <c r="E70" s="171"/>
    </row>
    <row r="71">
      <c r="E71" s="171"/>
    </row>
    <row r="72">
      <c r="E72" s="171"/>
    </row>
    <row r="73">
      <c r="E73" s="171"/>
    </row>
    <row r="74">
      <c r="E74" s="171"/>
    </row>
    <row r="75">
      <c r="E75" s="171"/>
    </row>
    <row r="76">
      <c r="E76" s="171"/>
    </row>
    <row r="77">
      <c r="E77" s="171"/>
    </row>
    <row r="78">
      <c r="E78" s="171"/>
    </row>
    <row r="79">
      <c r="E79" s="171"/>
    </row>
    <row r="80">
      <c r="E80" s="171"/>
    </row>
    <row r="81">
      <c r="E81" s="171"/>
    </row>
    <row r="82">
      <c r="E82" s="171"/>
    </row>
    <row r="83">
      <c r="E83" s="171"/>
    </row>
    <row r="84">
      <c r="E84" s="171"/>
    </row>
    <row r="85">
      <c r="E85" s="171"/>
    </row>
    <row r="86">
      <c r="E86" s="171"/>
    </row>
    <row r="87">
      <c r="E87" s="171"/>
    </row>
    <row r="88">
      <c r="E88" s="171"/>
    </row>
    <row r="89">
      <c r="E89" s="171"/>
    </row>
    <row r="90">
      <c r="E90" s="171"/>
    </row>
    <row r="91">
      <c r="E91" s="171"/>
    </row>
    <row r="92">
      <c r="E92" s="171"/>
    </row>
    <row r="93">
      <c r="E93" s="171"/>
    </row>
    <row r="94">
      <c r="E94" s="171"/>
    </row>
    <row r="95">
      <c r="E95" s="171"/>
    </row>
    <row r="96">
      <c r="E96" s="171"/>
    </row>
    <row r="97">
      <c r="E97" s="171"/>
    </row>
    <row r="98">
      <c r="E98" s="171"/>
    </row>
    <row r="99">
      <c r="E99" s="171"/>
    </row>
    <row r="100">
      <c r="E100" s="171"/>
    </row>
    <row r="101">
      <c r="E101" s="171"/>
    </row>
    <row r="102">
      <c r="E102" s="171"/>
    </row>
    <row r="103">
      <c r="E103" s="171"/>
    </row>
    <row r="104">
      <c r="E104" s="171"/>
    </row>
    <row r="105">
      <c r="E105" s="171"/>
    </row>
    <row r="106">
      <c r="E106" s="171"/>
    </row>
    <row r="107">
      <c r="E107" s="171"/>
    </row>
    <row r="108">
      <c r="E108" s="171"/>
    </row>
    <row r="109">
      <c r="E109" s="171"/>
    </row>
    <row r="110">
      <c r="E110" s="171"/>
    </row>
    <row r="111">
      <c r="E111" s="171"/>
    </row>
    <row r="112">
      <c r="E112" s="171"/>
    </row>
    <row r="113">
      <c r="E113" s="171"/>
    </row>
    <row r="114">
      <c r="E114" s="171"/>
    </row>
    <row r="115">
      <c r="E115" s="171"/>
    </row>
    <row r="116">
      <c r="E116" s="171"/>
    </row>
    <row r="117">
      <c r="E117" s="171"/>
    </row>
    <row r="118">
      <c r="E118" s="171"/>
    </row>
    <row r="119">
      <c r="E119" s="171"/>
    </row>
    <row r="120">
      <c r="E120" s="171"/>
    </row>
    <row r="121">
      <c r="E121" s="171"/>
    </row>
    <row r="122">
      <c r="E122" s="171"/>
    </row>
    <row r="123">
      <c r="E123" s="171"/>
    </row>
    <row r="124">
      <c r="E124" s="171"/>
    </row>
    <row r="125">
      <c r="E125" s="171"/>
    </row>
    <row r="126">
      <c r="E126" s="171"/>
    </row>
    <row r="127">
      <c r="E127" s="171"/>
    </row>
    <row r="128">
      <c r="E128" s="171"/>
    </row>
    <row r="129">
      <c r="E129" s="171"/>
    </row>
    <row r="130">
      <c r="E130" s="171"/>
    </row>
    <row r="131">
      <c r="E131" s="171"/>
    </row>
    <row r="132">
      <c r="E132" s="171"/>
    </row>
    <row r="133">
      <c r="E133" s="171"/>
    </row>
    <row r="134">
      <c r="E134" s="171"/>
    </row>
    <row r="135">
      <c r="E135" s="171"/>
    </row>
    <row r="136">
      <c r="E136" s="171"/>
    </row>
    <row r="137">
      <c r="E137" s="171"/>
    </row>
    <row r="138">
      <c r="E138" s="171"/>
    </row>
    <row r="139">
      <c r="E139" s="171"/>
    </row>
    <row r="140">
      <c r="E140" s="171"/>
    </row>
    <row r="141">
      <c r="E141" s="171"/>
    </row>
    <row r="142">
      <c r="E142" s="171"/>
    </row>
    <row r="143">
      <c r="E143" s="171"/>
    </row>
    <row r="144">
      <c r="E144" s="171"/>
    </row>
    <row r="145">
      <c r="E145" s="171"/>
    </row>
    <row r="146">
      <c r="E146" s="171"/>
    </row>
    <row r="147">
      <c r="E147" s="171"/>
    </row>
    <row r="148">
      <c r="E148" s="171"/>
    </row>
    <row r="149">
      <c r="E149" s="171"/>
    </row>
    <row r="150">
      <c r="E150" s="171"/>
    </row>
    <row r="151">
      <c r="E151" s="171"/>
    </row>
    <row r="152">
      <c r="E152" s="171"/>
    </row>
    <row r="153">
      <c r="E153" s="171"/>
    </row>
    <row r="154">
      <c r="E154" s="171"/>
    </row>
    <row r="155">
      <c r="E155" s="171"/>
    </row>
    <row r="156">
      <c r="E156" s="171"/>
    </row>
    <row r="157">
      <c r="E157" s="171"/>
    </row>
    <row r="158">
      <c r="E158" s="171"/>
    </row>
    <row r="159">
      <c r="E159" s="171"/>
    </row>
    <row r="160">
      <c r="E160" s="171"/>
    </row>
    <row r="161">
      <c r="E161" s="171"/>
    </row>
    <row r="162">
      <c r="E162" s="171"/>
    </row>
    <row r="163">
      <c r="E163" s="171"/>
    </row>
    <row r="164">
      <c r="E164" s="171"/>
    </row>
    <row r="165">
      <c r="E165" s="171"/>
    </row>
    <row r="166">
      <c r="E166" s="171"/>
    </row>
    <row r="167">
      <c r="E167" s="171"/>
    </row>
    <row r="168">
      <c r="E168" s="171"/>
    </row>
    <row r="169">
      <c r="E169" s="171"/>
    </row>
    <row r="170">
      <c r="E170" s="171"/>
    </row>
    <row r="171">
      <c r="E171" s="171"/>
    </row>
    <row r="172">
      <c r="E172" s="171"/>
    </row>
    <row r="173">
      <c r="E173" s="171"/>
    </row>
    <row r="174">
      <c r="E174" s="171"/>
    </row>
    <row r="175">
      <c r="E175" s="171"/>
    </row>
    <row r="176">
      <c r="E176" s="171"/>
    </row>
    <row r="177">
      <c r="E177" s="171"/>
    </row>
    <row r="178">
      <c r="E178" s="171"/>
    </row>
    <row r="179">
      <c r="E179" s="171"/>
    </row>
    <row r="180">
      <c r="E180" s="171"/>
    </row>
    <row r="181">
      <c r="E181" s="171"/>
    </row>
    <row r="182">
      <c r="E182" s="171"/>
    </row>
    <row r="183">
      <c r="E183" s="171"/>
    </row>
    <row r="184">
      <c r="E184" s="171"/>
    </row>
    <row r="185">
      <c r="E185" s="171"/>
    </row>
    <row r="186">
      <c r="E186" s="171"/>
    </row>
    <row r="187">
      <c r="E187" s="171"/>
    </row>
    <row r="188">
      <c r="E188" s="171"/>
    </row>
    <row r="189">
      <c r="E189" s="171"/>
    </row>
    <row r="190">
      <c r="E190" s="171"/>
    </row>
    <row r="191">
      <c r="E191" s="171"/>
    </row>
    <row r="192">
      <c r="E192" s="171"/>
    </row>
    <row r="193">
      <c r="E193" s="171"/>
    </row>
    <row r="194">
      <c r="E194" s="171"/>
    </row>
    <row r="195">
      <c r="E195" s="171"/>
    </row>
    <row r="196">
      <c r="E196" s="171"/>
    </row>
    <row r="197">
      <c r="E197" s="171"/>
    </row>
    <row r="198">
      <c r="E198" s="171"/>
    </row>
    <row r="199">
      <c r="E199" s="171"/>
    </row>
    <row r="200">
      <c r="E200" s="171"/>
    </row>
    <row r="201">
      <c r="E201" s="171"/>
    </row>
    <row r="202">
      <c r="E202" s="171"/>
    </row>
    <row r="203">
      <c r="E203" s="171"/>
    </row>
    <row r="204">
      <c r="E204" s="171"/>
    </row>
    <row r="205">
      <c r="E205" s="171"/>
    </row>
    <row r="206">
      <c r="E206" s="171"/>
    </row>
    <row r="207">
      <c r="E207" s="171"/>
    </row>
    <row r="208">
      <c r="E208" s="171"/>
    </row>
    <row r="209">
      <c r="E209" s="171"/>
    </row>
    <row r="210">
      <c r="E210" s="171"/>
    </row>
    <row r="211">
      <c r="E211" s="171"/>
    </row>
    <row r="212">
      <c r="E212" s="171"/>
    </row>
    <row r="213">
      <c r="E213" s="171"/>
    </row>
    <row r="214">
      <c r="E214" s="171"/>
    </row>
    <row r="215">
      <c r="E215" s="171"/>
    </row>
    <row r="216">
      <c r="E216" s="171"/>
    </row>
    <row r="217">
      <c r="E217" s="171"/>
    </row>
    <row r="218">
      <c r="E218" s="171"/>
    </row>
    <row r="219">
      <c r="E219" s="171"/>
    </row>
    <row r="220">
      <c r="E220" s="171"/>
    </row>
    <row r="221">
      <c r="E221" s="171"/>
    </row>
    <row r="222">
      <c r="E222" s="171"/>
    </row>
    <row r="223">
      <c r="E223" s="171"/>
    </row>
    <row r="224">
      <c r="E224" s="171"/>
    </row>
    <row r="225">
      <c r="E225" s="171"/>
    </row>
    <row r="226">
      <c r="E226" s="171"/>
    </row>
    <row r="227">
      <c r="E227" s="171"/>
    </row>
    <row r="228">
      <c r="E228" s="171"/>
    </row>
    <row r="229">
      <c r="E229" s="171"/>
    </row>
    <row r="230">
      <c r="E230" s="171"/>
    </row>
    <row r="231">
      <c r="E231" s="171"/>
    </row>
    <row r="232">
      <c r="E232" s="171"/>
    </row>
    <row r="233">
      <c r="E233" s="171"/>
    </row>
    <row r="234">
      <c r="E234" s="171"/>
    </row>
    <row r="235">
      <c r="E235" s="171"/>
    </row>
    <row r="236">
      <c r="E236" s="171"/>
    </row>
    <row r="237">
      <c r="E237" s="171"/>
    </row>
    <row r="238">
      <c r="E238" s="171"/>
    </row>
    <row r="239">
      <c r="E239" s="171"/>
    </row>
    <row r="240">
      <c r="E240" s="171"/>
    </row>
    <row r="241">
      <c r="E241" s="171"/>
    </row>
    <row r="242">
      <c r="E242" s="171"/>
    </row>
    <row r="243">
      <c r="E243" s="171"/>
    </row>
    <row r="244">
      <c r="E244" s="171"/>
    </row>
    <row r="245">
      <c r="E245" s="171"/>
    </row>
    <row r="246">
      <c r="E246" s="171"/>
    </row>
    <row r="247">
      <c r="E247" s="171"/>
    </row>
    <row r="248">
      <c r="E248" s="171"/>
    </row>
    <row r="249">
      <c r="E249" s="171"/>
    </row>
    <row r="250">
      <c r="E250" s="171"/>
    </row>
    <row r="251">
      <c r="E251" s="171"/>
    </row>
    <row r="252">
      <c r="E252" s="171"/>
    </row>
    <row r="253">
      <c r="E253" s="171"/>
    </row>
    <row r="254">
      <c r="E254" s="171"/>
    </row>
    <row r="255">
      <c r="E255" s="171"/>
    </row>
    <row r="256">
      <c r="E256" s="171"/>
    </row>
    <row r="257">
      <c r="E257" s="171"/>
    </row>
    <row r="258">
      <c r="E258" s="171"/>
    </row>
    <row r="259">
      <c r="E259" s="171"/>
    </row>
    <row r="260">
      <c r="E260" s="171"/>
    </row>
    <row r="261">
      <c r="E261" s="171"/>
    </row>
    <row r="262">
      <c r="E262" s="171"/>
    </row>
    <row r="263">
      <c r="E263" s="171"/>
    </row>
    <row r="264">
      <c r="E264" s="171"/>
    </row>
    <row r="265">
      <c r="E265" s="171"/>
    </row>
    <row r="266">
      <c r="E266" s="171"/>
    </row>
    <row r="267">
      <c r="E267" s="171"/>
    </row>
    <row r="268">
      <c r="E268" s="171"/>
    </row>
    <row r="269">
      <c r="E269" s="171"/>
    </row>
    <row r="270">
      <c r="E270" s="171"/>
    </row>
    <row r="271">
      <c r="E271" s="171"/>
    </row>
    <row r="272">
      <c r="E272" s="171"/>
    </row>
    <row r="273">
      <c r="E273" s="171"/>
    </row>
    <row r="274">
      <c r="E274" s="171"/>
    </row>
    <row r="275">
      <c r="E275" s="171"/>
    </row>
    <row r="276">
      <c r="E276" s="171"/>
    </row>
    <row r="277">
      <c r="E277" s="171"/>
    </row>
    <row r="278">
      <c r="E278" s="171"/>
    </row>
    <row r="279">
      <c r="E279" s="171"/>
    </row>
    <row r="280">
      <c r="E280" s="171"/>
    </row>
    <row r="281">
      <c r="E281" s="171"/>
    </row>
    <row r="282">
      <c r="E282" s="171"/>
    </row>
    <row r="283">
      <c r="E283" s="171"/>
    </row>
    <row r="284">
      <c r="E284" s="171"/>
    </row>
    <row r="285">
      <c r="E285" s="171"/>
    </row>
    <row r="286">
      <c r="E286" s="171"/>
    </row>
    <row r="287">
      <c r="E287" s="171"/>
    </row>
    <row r="288">
      <c r="E288" s="171"/>
    </row>
    <row r="289">
      <c r="E289" s="171"/>
    </row>
    <row r="290">
      <c r="E290" s="171"/>
    </row>
    <row r="291">
      <c r="E291" s="171"/>
    </row>
    <row r="292">
      <c r="E292" s="171"/>
    </row>
    <row r="293">
      <c r="E293" s="171"/>
    </row>
    <row r="294">
      <c r="E294" s="171"/>
    </row>
    <row r="295">
      <c r="E295" s="171"/>
    </row>
    <row r="296">
      <c r="E296" s="171"/>
    </row>
    <row r="297">
      <c r="E297" s="171"/>
    </row>
    <row r="298">
      <c r="E298" s="171"/>
    </row>
    <row r="299">
      <c r="E299" s="171"/>
    </row>
    <row r="300">
      <c r="E300" s="171"/>
    </row>
    <row r="301">
      <c r="E301" s="171"/>
    </row>
    <row r="302">
      <c r="E302" s="171"/>
    </row>
    <row r="303">
      <c r="E303" s="171"/>
    </row>
    <row r="304">
      <c r="E304" s="171"/>
    </row>
    <row r="305">
      <c r="E305" s="171"/>
    </row>
    <row r="306">
      <c r="E306" s="171"/>
    </row>
    <row r="307">
      <c r="E307" s="171"/>
    </row>
    <row r="308">
      <c r="E308" s="171"/>
    </row>
    <row r="309">
      <c r="E309" s="171"/>
    </row>
    <row r="310">
      <c r="E310" s="171"/>
    </row>
    <row r="311">
      <c r="E311" s="171"/>
    </row>
    <row r="312">
      <c r="E312" s="171"/>
    </row>
    <row r="313">
      <c r="E313" s="171"/>
    </row>
    <row r="314">
      <c r="E314" s="171"/>
    </row>
    <row r="315">
      <c r="E315" s="171"/>
    </row>
    <row r="316">
      <c r="E316" s="171"/>
    </row>
    <row r="317">
      <c r="E317" s="171"/>
    </row>
    <row r="318">
      <c r="E318" s="171"/>
    </row>
    <row r="319">
      <c r="E319" s="171"/>
    </row>
    <row r="320">
      <c r="E320" s="171"/>
    </row>
    <row r="321">
      <c r="E321" s="171"/>
    </row>
    <row r="322">
      <c r="E322" s="171"/>
    </row>
    <row r="323">
      <c r="E323" s="171"/>
    </row>
    <row r="324">
      <c r="E324" s="171"/>
    </row>
    <row r="325">
      <c r="E325" s="171"/>
    </row>
    <row r="326">
      <c r="E326" s="171"/>
    </row>
    <row r="327">
      <c r="E327" s="171"/>
    </row>
    <row r="328">
      <c r="E328" s="171"/>
    </row>
    <row r="329">
      <c r="E329" s="171"/>
    </row>
    <row r="330">
      <c r="E330" s="171"/>
    </row>
    <row r="331">
      <c r="E331" s="171"/>
    </row>
    <row r="332">
      <c r="E332" s="171"/>
    </row>
    <row r="333">
      <c r="E333" s="171"/>
    </row>
    <row r="334">
      <c r="E334" s="171"/>
    </row>
    <row r="335">
      <c r="E335" s="171"/>
    </row>
    <row r="336">
      <c r="E336" s="171"/>
    </row>
    <row r="337">
      <c r="E337" s="171"/>
    </row>
    <row r="338">
      <c r="E338" s="171"/>
    </row>
    <row r="339">
      <c r="E339" s="171"/>
    </row>
    <row r="340">
      <c r="E340" s="171"/>
    </row>
    <row r="341">
      <c r="E341" s="171"/>
    </row>
    <row r="342">
      <c r="E342" s="171"/>
    </row>
    <row r="343">
      <c r="E343" s="171"/>
    </row>
    <row r="344">
      <c r="E344" s="171"/>
    </row>
    <row r="345">
      <c r="E345" s="171"/>
    </row>
    <row r="346">
      <c r="E346" s="171"/>
    </row>
    <row r="347">
      <c r="E347" s="171"/>
    </row>
    <row r="348">
      <c r="E348" s="171"/>
    </row>
    <row r="349">
      <c r="E349" s="171"/>
    </row>
    <row r="350">
      <c r="E350" s="171"/>
    </row>
    <row r="351">
      <c r="E351" s="171"/>
    </row>
    <row r="352">
      <c r="E352" s="171"/>
    </row>
    <row r="353">
      <c r="E353" s="171"/>
    </row>
    <row r="354">
      <c r="E354" s="171"/>
    </row>
    <row r="355">
      <c r="E355" s="171"/>
    </row>
    <row r="356">
      <c r="E356" s="171"/>
    </row>
    <row r="357">
      <c r="E357" s="171"/>
    </row>
    <row r="358">
      <c r="E358" s="171"/>
    </row>
    <row r="359">
      <c r="E359" s="171"/>
    </row>
    <row r="360">
      <c r="E360" s="171"/>
    </row>
    <row r="361">
      <c r="E361" s="171"/>
    </row>
    <row r="362">
      <c r="E362" s="171"/>
    </row>
    <row r="363">
      <c r="E363" s="171"/>
    </row>
    <row r="364">
      <c r="E364" s="171"/>
    </row>
    <row r="365">
      <c r="E365" s="171"/>
    </row>
    <row r="366">
      <c r="E366" s="171"/>
    </row>
    <row r="367">
      <c r="E367" s="171"/>
    </row>
    <row r="368">
      <c r="E368" s="171"/>
    </row>
    <row r="369">
      <c r="E369" s="171"/>
    </row>
    <row r="370">
      <c r="E370" s="171"/>
    </row>
    <row r="371">
      <c r="E371" s="171"/>
    </row>
    <row r="372">
      <c r="E372" s="171"/>
    </row>
    <row r="373">
      <c r="E373" s="171"/>
    </row>
    <row r="374">
      <c r="E374" s="171"/>
    </row>
    <row r="375">
      <c r="E375" s="171"/>
    </row>
    <row r="376">
      <c r="E376" s="171"/>
    </row>
    <row r="377">
      <c r="E377" s="171"/>
    </row>
    <row r="378">
      <c r="E378" s="171"/>
    </row>
    <row r="379">
      <c r="E379" s="171"/>
    </row>
    <row r="380">
      <c r="E380" s="171"/>
    </row>
    <row r="381">
      <c r="E381" s="171"/>
    </row>
    <row r="382">
      <c r="E382" s="171"/>
    </row>
    <row r="383">
      <c r="E383" s="171"/>
    </row>
    <row r="384">
      <c r="E384" s="171"/>
    </row>
    <row r="385">
      <c r="E385" s="171"/>
    </row>
    <row r="386">
      <c r="E386" s="171"/>
    </row>
    <row r="387">
      <c r="E387" s="171"/>
    </row>
    <row r="388">
      <c r="E388" s="171"/>
    </row>
    <row r="389">
      <c r="E389" s="171"/>
    </row>
    <row r="390">
      <c r="E390" s="171"/>
    </row>
    <row r="391">
      <c r="E391" s="171"/>
    </row>
    <row r="392">
      <c r="E392" s="171"/>
    </row>
    <row r="393">
      <c r="E393" s="171"/>
    </row>
    <row r="394">
      <c r="E394" s="171"/>
    </row>
    <row r="395">
      <c r="E395" s="171"/>
    </row>
    <row r="396">
      <c r="E396" s="171"/>
    </row>
    <row r="397">
      <c r="E397" s="171"/>
    </row>
    <row r="398">
      <c r="E398" s="171"/>
    </row>
    <row r="399">
      <c r="E399" s="171"/>
    </row>
    <row r="400">
      <c r="E400" s="171"/>
    </row>
    <row r="401">
      <c r="E401" s="171"/>
    </row>
    <row r="402">
      <c r="E402" s="171"/>
    </row>
    <row r="403">
      <c r="E403" s="171"/>
    </row>
    <row r="404">
      <c r="E404" s="171"/>
    </row>
    <row r="405">
      <c r="E405" s="171"/>
    </row>
    <row r="406">
      <c r="E406" s="171"/>
    </row>
    <row r="407">
      <c r="E407" s="171"/>
    </row>
    <row r="408">
      <c r="E408" s="171"/>
    </row>
    <row r="409">
      <c r="E409" s="171"/>
    </row>
    <row r="410">
      <c r="E410" s="171"/>
    </row>
    <row r="411">
      <c r="E411" s="171"/>
    </row>
    <row r="412">
      <c r="E412" s="171"/>
    </row>
    <row r="413">
      <c r="E413" s="171"/>
    </row>
    <row r="414">
      <c r="E414" s="171"/>
    </row>
    <row r="415">
      <c r="E415" s="171"/>
    </row>
    <row r="416">
      <c r="E416" s="171"/>
    </row>
    <row r="417">
      <c r="E417" s="171"/>
    </row>
    <row r="418">
      <c r="E418" s="171"/>
    </row>
    <row r="419">
      <c r="E419" s="171"/>
    </row>
    <row r="420">
      <c r="E420" s="171"/>
    </row>
    <row r="421">
      <c r="E421" s="171"/>
    </row>
    <row r="422">
      <c r="E422" s="171"/>
    </row>
    <row r="423">
      <c r="E423" s="171"/>
    </row>
    <row r="424">
      <c r="E424" s="171"/>
    </row>
    <row r="425">
      <c r="E425" s="171"/>
    </row>
    <row r="426">
      <c r="E426" s="171"/>
    </row>
    <row r="427">
      <c r="E427" s="171"/>
    </row>
    <row r="428">
      <c r="E428" s="171"/>
    </row>
    <row r="429">
      <c r="E429" s="171"/>
    </row>
    <row r="430">
      <c r="E430" s="171"/>
    </row>
    <row r="431">
      <c r="E431" s="171"/>
    </row>
    <row r="432">
      <c r="E432" s="171"/>
    </row>
    <row r="433">
      <c r="E433" s="171"/>
    </row>
    <row r="434">
      <c r="E434" s="171"/>
    </row>
    <row r="435">
      <c r="E435" s="171"/>
    </row>
    <row r="436">
      <c r="E436" s="171"/>
    </row>
    <row r="437">
      <c r="E437" s="171"/>
    </row>
    <row r="438">
      <c r="E438" s="171"/>
    </row>
    <row r="439">
      <c r="E439" s="171"/>
    </row>
    <row r="440">
      <c r="E440" s="171"/>
    </row>
    <row r="441">
      <c r="E441" s="171"/>
    </row>
    <row r="442">
      <c r="E442" s="171"/>
    </row>
    <row r="443">
      <c r="E443" s="171"/>
    </row>
    <row r="444">
      <c r="E444" s="171"/>
    </row>
    <row r="445">
      <c r="E445" s="171"/>
    </row>
    <row r="446">
      <c r="E446" s="171"/>
    </row>
    <row r="447">
      <c r="E447" s="171"/>
    </row>
    <row r="448">
      <c r="E448" s="171"/>
    </row>
    <row r="449">
      <c r="E449" s="171"/>
    </row>
    <row r="450">
      <c r="E450" s="171"/>
    </row>
    <row r="451">
      <c r="E451" s="171"/>
    </row>
    <row r="452">
      <c r="E452" s="171"/>
    </row>
    <row r="453">
      <c r="E453" s="171"/>
    </row>
    <row r="454">
      <c r="E454" s="171"/>
    </row>
    <row r="455">
      <c r="E455" s="171"/>
    </row>
    <row r="456">
      <c r="E456" s="171"/>
    </row>
    <row r="457">
      <c r="E457" s="171"/>
    </row>
    <row r="458">
      <c r="E458" s="171"/>
    </row>
    <row r="459">
      <c r="E459" s="171"/>
    </row>
    <row r="460">
      <c r="E460" s="171"/>
    </row>
    <row r="461">
      <c r="E461" s="171"/>
    </row>
    <row r="462">
      <c r="E462" s="171"/>
    </row>
    <row r="463">
      <c r="E463" s="171"/>
    </row>
    <row r="464">
      <c r="E464" s="171"/>
    </row>
    <row r="465">
      <c r="E465" s="171"/>
    </row>
    <row r="466">
      <c r="E466" s="171"/>
    </row>
    <row r="467">
      <c r="E467" s="171"/>
    </row>
    <row r="468">
      <c r="E468" s="171"/>
    </row>
    <row r="469">
      <c r="E469" s="171"/>
    </row>
    <row r="470">
      <c r="E470" s="171"/>
    </row>
    <row r="471">
      <c r="E471" s="171"/>
    </row>
    <row r="472">
      <c r="E472" s="171"/>
    </row>
    <row r="473">
      <c r="E473" s="171"/>
    </row>
    <row r="474">
      <c r="E474" s="171"/>
    </row>
    <row r="475">
      <c r="E475" s="171"/>
    </row>
    <row r="476">
      <c r="E476" s="171"/>
    </row>
    <row r="477">
      <c r="E477" s="171"/>
    </row>
    <row r="478">
      <c r="E478" s="171"/>
    </row>
    <row r="479">
      <c r="E479" s="171"/>
    </row>
    <row r="480">
      <c r="E480" s="171"/>
    </row>
    <row r="481">
      <c r="E481" s="171"/>
    </row>
    <row r="482">
      <c r="E482" s="171"/>
    </row>
    <row r="483">
      <c r="E483" s="171"/>
    </row>
    <row r="484">
      <c r="E484" s="171"/>
    </row>
    <row r="485">
      <c r="E485" s="171"/>
    </row>
    <row r="486">
      <c r="E486" s="171"/>
    </row>
    <row r="487">
      <c r="E487" s="171"/>
    </row>
    <row r="488">
      <c r="E488" s="171"/>
    </row>
    <row r="489">
      <c r="E489" s="171"/>
    </row>
    <row r="490">
      <c r="E490" s="171"/>
    </row>
    <row r="491">
      <c r="E491" s="171"/>
    </row>
    <row r="492">
      <c r="E492" s="171"/>
    </row>
    <row r="493">
      <c r="E493" s="171"/>
    </row>
    <row r="494">
      <c r="E494" s="171"/>
    </row>
    <row r="495">
      <c r="E495" s="171"/>
    </row>
    <row r="496">
      <c r="E496" s="171"/>
    </row>
    <row r="497">
      <c r="E497" s="171"/>
    </row>
    <row r="498">
      <c r="E498" s="171"/>
    </row>
    <row r="499">
      <c r="E499" s="171"/>
    </row>
    <row r="500">
      <c r="E500" s="171"/>
    </row>
    <row r="501">
      <c r="E501" s="171"/>
    </row>
    <row r="502">
      <c r="E502" s="171"/>
    </row>
    <row r="503">
      <c r="E503" s="171"/>
    </row>
    <row r="504">
      <c r="E504" s="171"/>
    </row>
    <row r="505">
      <c r="E505" s="171"/>
    </row>
    <row r="506">
      <c r="E506" s="171"/>
    </row>
    <row r="507">
      <c r="E507" s="171"/>
    </row>
    <row r="508">
      <c r="E508" s="171"/>
    </row>
    <row r="509">
      <c r="E509" s="171"/>
    </row>
    <row r="510">
      <c r="E510" s="171"/>
    </row>
    <row r="511">
      <c r="E511" s="171"/>
    </row>
    <row r="512">
      <c r="E512" s="171"/>
    </row>
    <row r="513">
      <c r="E513" s="171"/>
    </row>
    <row r="514">
      <c r="E514" s="171"/>
    </row>
    <row r="515">
      <c r="E515" s="171"/>
    </row>
    <row r="516">
      <c r="E516" s="171"/>
    </row>
    <row r="517">
      <c r="E517" s="171"/>
    </row>
    <row r="518">
      <c r="E518" s="171"/>
    </row>
    <row r="519">
      <c r="E519" s="171"/>
    </row>
    <row r="520">
      <c r="E520" s="171"/>
    </row>
    <row r="521">
      <c r="E521" s="171"/>
    </row>
    <row r="522">
      <c r="E522" s="171"/>
    </row>
    <row r="523">
      <c r="E523" s="171"/>
    </row>
    <row r="524">
      <c r="E524" s="171"/>
    </row>
    <row r="525">
      <c r="E525" s="171"/>
    </row>
    <row r="526">
      <c r="E526" s="171"/>
    </row>
    <row r="527">
      <c r="E527" s="171"/>
    </row>
    <row r="528">
      <c r="E528" s="171"/>
    </row>
    <row r="529">
      <c r="E529" s="171"/>
    </row>
    <row r="530">
      <c r="E530" s="171"/>
    </row>
    <row r="531">
      <c r="E531" s="171"/>
    </row>
    <row r="532">
      <c r="E532" s="171"/>
    </row>
    <row r="533">
      <c r="E533" s="171"/>
    </row>
    <row r="534">
      <c r="E534" s="171"/>
    </row>
    <row r="535">
      <c r="E535" s="171"/>
    </row>
    <row r="536">
      <c r="E536" s="171"/>
    </row>
    <row r="537">
      <c r="E537" s="171"/>
    </row>
    <row r="538">
      <c r="E538" s="171"/>
    </row>
    <row r="539">
      <c r="E539" s="171"/>
    </row>
    <row r="540">
      <c r="E540" s="171"/>
    </row>
    <row r="541">
      <c r="E541" s="171"/>
    </row>
    <row r="542">
      <c r="E542" s="171"/>
    </row>
    <row r="543">
      <c r="E543" s="171"/>
    </row>
    <row r="544">
      <c r="E544" s="171"/>
    </row>
    <row r="545">
      <c r="E545" s="171"/>
    </row>
    <row r="546">
      <c r="E546" s="171"/>
    </row>
    <row r="547">
      <c r="E547" s="171"/>
    </row>
    <row r="548">
      <c r="E548" s="171"/>
    </row>
    <row r="549">
      <c r="E549" s="171"/>
    </row>
    <row r="550">
      <c r="E550" s="171"/>
    </row>
    <row r="551">
      <c r="E551" s="171"/>
    </row>
    <row r="552">
      <c r="E552" s="171"/>
    </row>
    <row r="553">
      <c r="E553" s="171"/>
    </row>
    <row r="554">
      <c r="E554" s="171"/>
    </row>
    <row r="555">
      <c r="E555" s="171"/>
    </row>
    <row r="556">
      <c r="E556" s="171"/>
    </row>
    <row r="557">
      <c r="E557" s="171"/>
    </row>
    <row r="558">
      <c r="E558" s="171"/>
    </row>
    <row r="559">
      <c r="E559" s="171"/>
    </row>
    <row r="560">
      <c r="E560" s="171"/>
    </row>
    <row r="561">
      <c r="E561" s="171"/>
    </row>
    <row r="562">
      <c r="E562" s="171"/>
    </row>
    <row r="563">
      <c r="E563" s="171"/>
    </row>
    <row r="564">
      <c r="E564" s="171"/>
    </row>
    <row r="565">
      <c r="E565" s="171"/>
    </row>
    <row r="566">
      <c r="E566" s="171"/>
    </row>
    <row r="567">
      <c r="E567" s="171"/>
    </row>
    <row r="568">
      <c r="E568" s="171"/>
    </row>
    <row r="569">
      <c r="E569" s="171"/>
    </row>
    <row r="570">
      <c r="E570" s="171"/>
    </row>
    <row r="571">
      <c r="E571" s="171"/>
    </row>
    <row r="572">
      <c r="E572" s="171"/>
    </row>
    <row r="573">
      <c r="E573" s="171"/>
    </row>
    <row r="574">
      <c r="E574" s="171"/>
    </row>
    <row r="575">
      <c r="E575" s="171"/>
    </row>
    <row r="576">
      <c r="E576" s="171"/>
    </row>
    <row r="577">
      <c r="E577" s="171"/>
    </row>
    <row r="578">
      <c r="E578" s="171"/>
    </row>
    <row r="579">
      <c r="E579" s="171"/>
    </row>
    <row r="580">
      <c r="E580" s="171"/>
    </row>
    <row r="581">
      <c r="E581" s="171"/>
    </row>
    <row r="582">
      <c r="E582" s="171"/>
    </row>
    <row r="583">
      <c r="E583" s="171"/>
    </row>
    <row r="584">
      <c r="E584" s="171"/>
    </row>
    <row r="585">
      <c r="E585" s="171"/>
    </row>
    <row r="586">
      <c r="E586" s="171"/>
    </row>
    <row r="587">
      <c r="E587" s="171"/>
    </row>
    <row r="588">
      <c r="E588" s="171"/>
    </row>
    <row r="589">
      <c r="E589" s="171"/>
    </row>
    <row r="590">
      <c r="E590" s="171"/>
    </row>
    <row r="591">
      <c r="E591" s="171"/>
    </row>
    <row r="592">
      <c r="E592" s="171"/>
    </row>
    <row r="593">
      <c r="E593" s="171"/>
    </row>
    <row r="594">
      <c r="E594" s="171"/>
    </row>
    <row r="595">
      <c r="E595" s="171"/>
    </row>
    <row r="596">
      <c r="E596" s="171"/>
    </row>
    <row r="597">
      <c r="E597" s="171"/>
    </row>
    <row r="598">
      <c r="E598" s="171"/>
    </row>
    <row r="599">
      <c r="E599" s="171"/>
    </row>
    <row r="600">
      <c r="E600" s="171"/>
    </row>
    <row r="601">
      <c r="E601" s="171"/>
    </row>
    <row r="602">
      <c r="E602" s="171"/>
    </row>
    <row r="603">
      <c r="E603" s="171"/>
    </row>
    <row r="604">
      <c r="E604" s="171"/>
    </row>
    <row r="605">
      <c r="E605" s="171"/>
    </row>
    <row r="606">
      <c r="E606" s="171"/>
    </row>
    <row r="607">
      <c r="E607" s="171"/>
    </row>
    <row r="608">
      <c r="E608" s="171"/>
    </row>
    <row r="609">
      <c r="E609" s="171"/>
    </row>
    <row r="610">
      <c r="E610" s="171"/>
    </row>
    <row r="611">
      <c r="E611" s="171"/>
    </row>
    <row r="612">
      <c r="E612" s="171"/>
    </row>
    <row r="613">
      <c r="E613" s="171"/>
    </row>
    <row r="614">
      <c r="E614" s="171"/>
    </row>
    <row r="615">
      <c r="E615" s="171"/>
    </row>
    <row r="616">
      <c r="E616" s="171"/>
    </row>
    <row r="617">
      <c r="E617" s="171"/>
    </row>
    <row r="618">
      <c r="E618" s="171"/>
    </row>
    <row r="619">
      <c r="E619" s="171"/>
    </row>
    <row r="620">
      <c r="E620" s="171"/>
    </row>
    <row r="621">
      <c r="E621" s="171"/>
    </row>
    <row r="622">
      <c r="E622" s="171"/>
    </row>
    <row r="623">
      <c r="E623" s="171"/>
    </row>
    <row r="624">
      <c r="E624" s="171"/>
    </row>
    <row r="625">
      <c r="E625" s="171"/>
    </row>
    <row r="626">
      <c r="E626" s="171"/>
    </row>
    <row r="627">
      <c r="E627" s="171"/>
    </row>
    <row r="628">
      <c r="E628" s="171"/>
    </row>
    <row r="629">
      <c r="E629" s="171"/>
    </row>
    <row r="630">
      <c r="E630" s="171"/>
    </row>
    <row r="631">
      <c r="E631" s="171"/>
    </row>
    <row r="632">
      <c r="E632" s="171"/>
    </row>
    <row r="633">
      <c r="E633" s="171"/>
    </row>
    <row r="634">
      <c r="E634" s="171"/>
    </row>
    <row r="635">
      <c r="E635" s="171"/>
    </row>
    <row r="636">
      <c r="E636" s="171"/>
    </row>
    <row r="637">
      <c r="E637" s="171"/>
    </row>
    <row r="638">
      <c r="E638" s="171"/>
    </row>
    <row r="639">
      <c r="E639" s="171"/>
    </row>
    <row r="640">
      <c r="E640" s="171"/>
    </row>
    <row r="641">
      <c r="E641" s="171"/>
    </row>
    <row r="642">
      <c r="E642" s="171"/>
    </row>
    <row r="643">
      <c r="E643" s="171"/>
    </row>
    <row r="644">
      <c r="E644" s="171"/>
    </row>
    <row r="645">
      <c r="E645" s="171"/>
    </row>
    <row r="646">
      <c r="E646" s="171"/>
    </row>
    <row r="647">
      <c r="E647" s="171"/>
    </row>
    <row r="648">
      <c r="E648" s="171"/>
    </row>
    <row r="649">
      <c r="E649" s="171"/>
    </row>
    <row r="650">
      <c r="E650" s="171"/>
    </row>
    <row r="651">
      <c r="E651" s="171"/>
    </row>
    <row r="652">
      <c r="E652" s="171"/>
    </row>
    <row r="653">
      <c r="E653" s="171"/>
    </row>
    <row r="654">
      <c r="E654" s="171"/>
    </row>
    <row r="655">
      <c r="E655" s="171"/>
    </row>
    <row r="656">
      <c r="E656" s="171"/>
    </row>
    <row r="657">
      <c r="E657" s="171"/>
    </row>
    <row r="658">
      <c r="E658" s="171"/>
    </row>
    <row r="659">
      <c r="E659" s="171"/>
    </row>
    <row r="660">
      <c r="E660" s="171"/>
    </row>
    <row r="661">
      <c r="E661" s="171"/>
    </row>
    <row r="662">
      <c r="E662" s="171"/>
    </row>
    <row r="663">
      <c r="E663" s="171"/>
    </row>
    <row r="664">
      <c r="E664" s="171"/>
    </row>
    <row r="665">
      <c r="E665" s="171"/>
    </row>
    <row r="666">
      <c r="E666" s="171"/>
    </row>
    <row r="667">
      <c r="E667" s="171"/>
    </row>
    <row r="668">
      <c r="E668" s="171"/>
    </row>
    <row r="669">
      <c r="E669" s="171"/>
    </row>
    <row r="670">
      <c r="E670" s="171"/>
    </row>
    <row r="671">
      <c r="E671" s="171"/>
    </row>
    <row r="672">
      <c r="E672" s="171"/>
    </row>
    <row r="673">
      <c r="E673" s="171"/>
    </row>
    <row r="674">
      <c r="E674" s="171"/>
    </row>
    <row r="675">
      <c r="E675" s="171"/>
    </row>
    <row r="676">
      <c r="E676" s="171"/>
    </row>
    <row r="677">
      <c r="E677" s="171"/>
    </row>
    <row r="678">
      <c r="E678" s="171"/>
    </row>
    <row r="679">
      <c r="E679" s="171"/>
    </row>
    <row r="680">
      <c r="E680" s="171"/>
    </row>
    <row r="681">
      <c r="E681" s="171"/>
    </row>
    <row r="682">
      <c r="E682" s="171"/>
    </row>
    <row r="683">
      <c r="E683" s="171"/>
    </row>
    <row r="684">
      <c r="E684" s="171"/>
    </row>
    <row r="685">
      <c r="E685" s="171"/>
    </row>
    <row r="686">
      <c r="E686" s="171"/>
    </row>
    <row r="687">
      <c r="E687" s="171"/>
    </row>
    <row r="688">
      <c r="E688" s="171"/>
    </row>
    <row r="689">
      <c r="E689" s="171"/>
    </row>
    <row r="690">
      <c r="E690" s="171"/>
    </row>
    <row r="691">
      <c r="E691" s="171"/>
    </row>
    <row r="692">
      <c r="E692" s="171"/>
    </row>
    <row r="693">
      <c r="E693" s="171"/>
    </row>
    <row r="694">
      <c r="E694" s="171"/>
    </row>
    <row r="695">
      <c r="E695" s="171"/>
    </row>
    <row r="696">
      <c r="E696" s="171"/>
    </row>
    <row r="697">
      <c r="E697" s="171"/>
    </row>
    <row r="698">
      <c r="E698" s="171"/>
    </row>
    <row r="699">
      <c r="E699" s="171"/>
    </row>
    <row r="700">
      <c r="E700" s="171"/>
    </row>
    <row r="701">
      <c r="E701" s="171"/>
    </row>
    <row r="702">
      <c r="E702" s="171"/>
    </row>
    <row r="703">
      <c r="E703" s="171"/>
    </row>
    <row r="704">
      <c r="E704" s="171"/>
    </row>
    <row r="705">
      <c r="E705" s="171"/>
    </row>
    <row r="706">
      <c r="E706" s="171"/>
    </row>
    <row r="707">
      <c r="E707" s="171"/>
    </row>
    <row r="708">
      <c r="E708" s="171"/>
    </row>
    <row r="709">
      <c r="E709" s="171"/>
    </row>
    <row r="710">
      <c r="E710" s="171"/>
    </row>
    <row r="711">
      <c r="E711" s="171"/>
    </row>
    <row r="712">
      <c r="E712" s="171"/>
    </row>
    <row r="713">
      <c r="E713" s="171"/>
    </row>
    <row r="714">
      <c r="E714" s="171"/>
    </row>
    <row r="715">
      <c r="E715" s="171"/>
    </row>
    <row r="716">
      <c r="E716" s="171"/>
    </row>
    <row r="717">
      <c r="E717" s="171"/>
    </row>
    <row r="718">
      <c r="E718" s="171"/>
    </row>
    <row r="719">
      <c r="E719" s="171"/>
    </row>
    <row r="720">
      <c r="E720" s="171"/>
    </row>
    <row r="721">
      <c r="E721" s="171"/>
    </row>
    <row r="722">
      <c r="E722" s="171"/>
    </row>
    <row r="723">
      <c r="E723" s="171"/>
    </row>
    <row r="724">
      <c r="E724" s="171"/>
    </row>
    <row r="725">
      <c r="E725" s="171"/>
    </row>
    <row r="726">
      <c r="E726" s="171"/>
    </row>
    <row r="727">
      <c r="E727" s="171"/>
    </row>
    <row r="728">
      <c r="E728" s="171"/>
    </row>
    <row r="729">
      <c r="E729" s="171"/>
    </row>
    <row r="730">
      <c r="E730" s="171"/>
    </row>
    <row r="731">
      <c r="E731" s="171"/>
    </row>
    <row r="732">
      <c r="E732" s="171"/>
    </row>
    <row r="733">
      <c r="E733" s="171"/>
    </row>
    <row r="734">
      <c r="E734" s="171"/>
    </row>
    <row r="735">
      <c r="E735" s="171"/>
    </row>
    <row r="736">
      <c r="E736" s="171"/>
    </row>
    <row r="737">
      <c r="E737" s="171"/>
    </row>
    <row r="738">
      <c r="E738" s="171"/>
    </row>
    <row r="739">
      <c r="E739" s="171"/>
    </row>
    <row r="740">
      <c r="E740" s="171"/>
    </row>
    <row r="741">
      <c r="E741" s="171"/>
    </row>
    <row r="742">
      <c r="E742" s="171"/>
    </row>
    <row r="743">
      <c r="E743" s="171"/>
    </row>
    <row r="744">
      <c r="E744" s="171"/>
    </row>
    <row r="745">
      <c r="E745" s="171"/>
    </row>
    <row r="746">
      <c r="E746" s="171"/>
    </row>
    <row r="747">
      <c r="E747" s="171"/>
    </row>
    <row r="748">
      <c r="E748" s="171"/>
    </row>
    <row r="749">
      <c r="E749" s="171"/>
    </row>
    <row r="750">
      <c r="E750" s="171"/>
    </row>
    <row r="751">
      <c r="E751" s="171"/>
    </row>
    <row r="752">
      <c r="E752" s="171"/>
    </row>
    <row r="753">
      <c r="E753" s="171"/>
    </row>
    <row r="754">
      <c r="E754" s="171"/>
    </row>
    <row r="755">
      <c r="E755" s="171"/>
    </row>
    <row r="756">
      <c r="E756" s="171"/>
    </row>
    <row r="757">
      <c r="E757" s="171"/>
    </row>
    <row r="758">
      <c r="E758" s="171"/>
    </row>
    <row r="759">
      <c r="E759" s="171"/>
    </row>
    <row r="760">
      <c r="E760" s="171"/>
    </row>
    <row r="761">
      <c r="E761" s="171"/>
    </row>
    <row r="762">
      <c r="E762" s="171"/>
    </row>
    <row r="763">
      <c r="E763" s="171"/>
    </row>
    <row r="764">
      <c r="E764" s="171"/>
    </row>
    <row r="765">
      <c r="E765" s="171"/>
    </row>
    <row r="766">
      <c r="E766" s="171"/>
    </row>
    <row r="767">
      <c r="E767" s="171"/>
    </row>
    <row r="768">
      <c r="E768" s="171"/>
    </row>
    <row r="769">
      <c r="E769" s="171"/>
    </row>
    <row r="770">
      <c r="E770" s="171"/>
    </row>
    <row r="771">
      <c r="E771" s="171"/>
    </row>
    <row r="772">
      <c r="E772" s="171"/>
    </row>
    <row r="773">
      <c r="E773" s="171"/>
    </row>
    <row r="774">
      <c r="E774" s="171"/>
    </row>
    <row r="775">
      <c r="E775" s="171"/>
    </row>
    <row r="776">
      <c r="E776" s="171"/>
    </row>
    <row r="777">
      <c r="E777" s="171"/>
    </row>
    <row r="778">
      <c r="E778" s="171"/>
    </row>
    <row r="779">
      <c r="E779" s="171"/>
    </row>
    <row r="780">
      <c r="E780" s="171"/>
    </row>
    <row r="781">
      <c r="E781" s="171"/>
    </row>
    <row r="782">
      <c r="E782" s="171"/>
    </row>
    <row r="783">
      <c r="E783" s="171"/>
    </row>
    <row r="784">
      <c r="E784" s="171"/>
    </row>
    <row r="785">
      <c r="E785" s="171"/>
    </row>
    <row r="786">
      <c r="E786" s="171"/>
    </row>
    <row r="787">
      <c r="E787" s="171"/>
    </row>
    <row r="788">
      <c r="E788" s="171"/>
    </row>
    <row r="789">
      <c r="E789" s="171"/>
    </row>
    <row r="790">
      <c r="E790" s="171"/>
    </row>
    <row r="791">
      <c r="E791" s="171"/>
    </row>
    <row r="792">
      <c r="E792" s="171"/>
    </row>
    <row r="793">
      <c r="E793" s="171"/>
    </row>
    <row r="794">
      <c r="E794" s="171"/>
    </row>
    <row r="795">
      <c r="E795" s="171"/>
    </row>
    <row r="796">
      <c r="E796" s="171"/>
    </row>
    <row r="797">
      <c r="E797" s="171"/>
    </row>
    <row r="798">
      <c r="E798" s="171"/>
    </row>
    <row r="799">
      <c r="E799" s="171"/>
    </row>
    <row r="800">
      <c r="E800" s="171"/>
    </row>
    <row r="801">
      <c r="E801" s="171"/>
    </row>
    <row r="802">
      <c r="E802" s="171"/>
    </row>
    <row r="803">
      <c r="E803" s="171"/>
    </row>
    <row r="804">
      <c r="E804" s="171"/>
    </row>
    <row r="805">
      <c r="E805" s="171"/>
    </row>
    <row r="806">
      <c r="E806" s="171"/>
    </row>
    <row r="807">
      <c r="E807" s="171"/>
    </row>
    <row r="808">
      <c r="E808" s="171"/>
    </row>
    <row r="809">
      <c r="E809" s="171"/>
    </row>
    <row r="810">
      <c r="E810" s="171"/>
    </row>
    <row r="811">
      <c r="E811" s="171"/>
    </row>
    <row r="812">
      <c r="E812" s="171"/>
    </row>
    <row r="813">
      <c r="E813" s="171"/>
    </row>
    <row r="814">
      <c r="E814" s="171"/>
    </row>
    <row r="815">
      <c r="E815" s="171"/>
    </row>
    <row r="816">
      <c r="E816" s="171"/>
    </row>
    <row r="817">
      <c r="E817" s="171"/>
    </row>
    <row r="818">
      <c r="E818" s="171"/>
    </row>
    <row r="819">
      <c r="E819" s="171"/>
    </row>
    <row r="820">
      <c r="E820" s="171"/>
    </row>
    <row r="821">
      <c r="E821" s="171"/>
    </row>
    <row r="822">
      <c r="E822" s="171"/>
    </row>
    <row r="823">
      <c r="E823" s="171"/>
    </row>
    <row r="824">
      <c r="E824" s="171"/>
    </row>
    <row r="825">
      <c r="E825" s="171"/>
    </row>
    <row r="826">
      <c r="E826" s="171"/>
    </row>
    <row r="827">
      <c r="E827" s="171"/>
    </row>
    <row r="828">
      <c r="E828" s="171"/>
    </row>
    <row r="829">
      <c r="E829" s="171"/>
    </row>
    <row r="830">
      <c r="E830" s="171"/>
    </row>
    <row r="831">
      <c r="E831" s="171"/>
    </row>
    <row r="832">
      <c r="E832" s="171"/>
    </row>
    <row r="833">
      <c r="E833" s="171"/>
    </row>
    <row r="834">
      <c r="E834" s="171"/>
    </row>
    <row r="835">
      <c r="E835" s="171"/>
    </row>
    <row r="836">
      <c r="E836" s="171"/>
    </row>
    <row r="837">
      <c r="E837" s="171"/>
    </row>
    <row r="838">
      <c r="E838" s="171"/>
    </row>
    <row r="839">
      <c r="E839" s="171"/>
    </row>
    <row r="840">
      <c r="E840" s="171"/>
    </row>
    <row r="841">
      <c r="E841" s="171"/>
    </row>
    <row r="842">
      <c r="E842" s="171"/>
    </row>
    <row r="843">
      <c r="E843" s="171"/>
    </row>
    <row r="844">
      <c r="E844" s="171"/>
    </row>
    <row r="845">
      <c r="E845" s="171"/>
    </row>
    <row r="846">
      <c r="E846" s="171"/>
    </row>
    <row r="847">
      <c r="E847" s="171"/>
    </row>
    <row r="848">
      <c r="E848" s="171"/>
    </row>
    <row r="849">
      <c r="E849" s="171"/>
    </row>
    <row r="850">
      <c r="E850" s="171"/>
    </row>
    <row r="851">
      <c r="E851" s="171"/>
    </row>
    <row r="852">
      <c r="E852" s="171"/>
    </row>
    <row r="853">
      <c r="E853" s="171"/>
    </row>
    <row r="854">
      <c r="E854" s="171"/>
    </row>
    <row r="855">
      <c r="E855" s="171"/>
    </row>
    <row r="856">
      <c r="E856" s="171"/>
    </row>
    <row r="857">
      <c r="E857" s="171"/>
    </row>
    <row r="858">
      <c r="E858" s="171"/>
    </row>
    <row r="859">
      <c r="E859" s="171"/>
    </row>
    <row r="860">
      <c r="E860" s="171"/>
    </row>
    <row r="861">
      <c r="E861" s="171"/>
    </row>
    <row r="862">
      <c r="E862" s="171"/>
    </row>
    <row r="863">
      <c r="E863" s="171"/>
    </row>
    <row r="864">
      <c r="E864" s="171"/>
    </row>
    <row r="865">
      <c r="E865" s="171"/>
    </row>
    <row r="866">
      <c r="E866" s="171"/>
    </row>
    <row r="867">
      <c r="E867" s="171"/>
    </row>
    <row r="868">
      <c r="E868" s="171"/>
    </row>
    <row r="869">
      <c r="E869" s="171"/>
    </row>
    <row r="870">
      <c r="E870" s="171"/>
    </row>
    <row r="871">
      <c r="E871" s="171"/>
    </row>
    <row r="872">
      <c r="E872" s="171"/>
    </row>
    <row r="873">
      <c r="E873" s="171"/>
    </row>
    <row r="874">
      <c r="E874" s="171"/>
    </row>
    <row r="875">
      <c r="E875" s="171"/>
    </row>
    <row r="876">
      <c r="E876" s="171"/>
    </row>
    <row r="877">
      <c r="E877" s="171"/>
    </row>
    <row r="878">
      <c r="E878" s="171"/>
    </row>
    <row r="879">
      <c r="E879" s="171"/>
    </row>
    <row r="880">
      <c r="E880" s="171"/>
    </row>
    <row r="881">
      <c r="E881" s="171"/>
    </row>
    <row r="882">
      <c r="E882" s="171"/>
    </row>
    <row r="883">
      <c r="E883" s="171"/>
    </row>
    <row r="884">
      <c r="E884" s="171"/>
    </row>
    <row r="885">
      <c r="E885" s="171"/>
    </row>
    <row r="886">
      <c r="E886" s="171"/>
    </row>
    <row r="887">
      <c r="E887" s="171"/>
    </row>
    <row r="888">
      <c r="E888" s="171"/>
    </row>
    <row r="889">
      <c r="E889" s="171"/>
    </row>
    <row r="890">
      <c r="E890" s="171"/>
    </row>
    <row r="891">
      <c r="E891" s="171"/>
    </row>
    <row r="892">
      <c r="E892" s="171"/>
    </row>
    <row r="893">
      <c r="E893" s="171"/>
    </row>
    <row r="894">
      <c r="E894" s="171"/>
    </row>
    <row r="895">
      <c r="E895" s="171"/>
    </row>
    <row r="896">
      <c r="E896" s="171"/>
    </row>
    <row r="897">
      <c r="E897" s="171"/>
    </row>
    <row r="898">
      <c r="E898" s="171"/>
    </row>
    <row r="899">
      <c r="E899" s="171"/>
    </row>
    <row r="900">
      <c r="E900" s="171"/>
    </row>
    <row r="901">
      <c r="E901" s="171"/>
    </row>
    <row r="902">
      <c r="E902" s="171"/>
    </row>
    <row r="903">
      <c r="E903" s="171"/>
    </row>
    <row r="904">
      <c r="E904" s="171"/>
    </row>
    <row r="905">
      <c r="E905" s="171"/>
    </row>
    <row r="906">
      <c r="E906" s="171"/>
    </row>
    <row r="907">
      <c r="E907" s="171"/>
    </row>
    <row r="908">
      <c r="E908" s="171"/>
    </row>
    <row r="909">
      <c r="E909" s="171"/>
    </row>
    <row r="910">
      <c r="E910" s="171"/>
    </row>
    <row r="911">
      <c r="E911" s="171"/>
    </row>
    <row r="912">
      <c r="E912" s="171"/>
    </row>
    <row r="913">
      <c r="E913" s="171"/>
    </row>
    <row r="914">
      <c r="E914" s="171"/>
    </row>
    <row r="915">
      <c r="E915" s="171"/>
    </row>
    <row r="916">
      <c r="E916" s="171"/>
    </row>
    <row r="917">
      <c r="E917" s="171"/>
    </row>
    <row r="918">
      <c r="E918" s="171"/>
    </row>
    <row r="919">
      <c r="E919" s="171"/>
    </row>
    <row r="920">
      <c r="E920" s="171"/>
    </row>
    <row r="921">
      <c r="E921" s="171"/>
    </row>
    <row r="922">
      <c r="E922" s="171"/>
    </row>
    <row r="923">
      <c r="E923" s="171"/>
    </row>
    <row r="924">
      <c r="E924" s="171"/>
    </row>
    <row r="925">
      <c r="E925" s="171"/>
    </row>
    <row r="926">
      <c r="E926" s="171"/>
    </row>
    <row r="927">
      <c r="E927" s="171"/>
    </row>
    <row r="928">
      <c r="E928" s="171"/>
    </row>
    <row r="929">
      <c r="E929" s="171"/>
    </row>
    <row r="930">
      <c r="E930" s="171"/>
    </row>
    <row r="931">
      <c r="E931" s="171"/>
    </row>
    <row r="932">
      <c r="E932" s="171"/>
    </row>
    <row r="933">
      <c r="E933" s="171"/>
    </row>
    <row r="934">
      <c r="E934" s="171"/>
    </row>
    <row r="935">
      <c r="E935" s="171"/>
    </row>
    <row r="936">
      <c r="E936" s="171"/>
    </row>
    <row r="937">
      <c r="E937" s="171"/>
    </row>
    <row r="938">
      <c r="E938" s="171"/>
    </row>
    <row r="939">
      <c r="E939" s="171"/>
    </row>
    <row r="940">
      <c r="E940" s="171"/>
    </row>
    <row r="941">
      <c r="E941" s="171"/>
    </row>
    <row r="942">
      <c r="E942" s="171"/>
    </row>
    <row r="943">
      <c r="E943" s="171"/>
    </row>
    <row r="944">
      <c r="E944" s="171"/>
    </row>
    <row r="945">
      <c r="E945" s="171"/>
    </row>
    <row r="946">
      <c r="E946" s="171"/>
    </row>
    <row r="947">
      <c r="E947" s="171"/>
    </row>
    <row r="948">
      <c r="E948" s="171"/>
    </row>
    <row r="949">
      <c r="E949" s="171"/>
    </row>
    <row r="950">
      <c r="E950" s="171"/>
    </row>
    <row r="951">
      <c r="E951" s="171"/>
    </row>
    <row r="952">
      <c r="E952" s="171"/>
    </row>
    <row r="953">
      <c r="E953" s="171"/>
    </row>
    <row r="954">
      <c r="E954" s="171"/>
    </row>
    <row r="955">
      <c r="E955" s="171"/>
    </row>
    <row r="956">
      <c r="E956" s="171"/>
    </row>
    <row r="957">
      <c r="E957" s="171"/>
    </row>
    <row r="958">
      <c r="E958" s="171"/>
    </row>
    <row r="959">
      <c r="E959" s="171"/>
    </row>
    <row r="960">
      <c r="E960" s="171"/>
    </row>
    <row r="961">
      <c r="E961" s="171"/>
    </row>
    <row r="962">
      <c r="E962" s="171"/>
    </row>
    <row r="963">
      <c r="E963" s="171"/>
    </row>
    <row r="964">
      <c r="E964" s="171"/>
    </row>
    <row r="965">
      <c r="E965" s="171"/>
    </row>
    <row r="966">
      <c r="E966" s="171"/>
    </row>
    <row r="967">
      <c r="E967" s="171"/>
    </row>
    <row r="968">
      <c r="E968" s="171"/>
    </row>
    <row r="969">
      <c r="E969" s="171"/>
    </row>
    <row r="970">
      <c r="E970" s="171"/>
    </row>
    <row r="971">
      <c r="E971" s="171"/>
    </row>
    <row r="972">
      <c r="E972" s="171"/>
    </row>
    <row r="973">
      <c r="E973" s="171"/>
    </row>
    <row r="974">
      <c r="E974" s="171"/>
    </row>
    <row r="975">
      <c r="E975" s="171"/>
    </row>
    <row r="976">
      <c r="E976" s="171"/>
    </row>
    <row r="977">
      <c r="E977" s="171"/>
    </row>
    <row r="978">
      <c r="E978" s="171"/>
    </row>
    <row r="979">
      <c r="E979" s="171"/>
    </row>
    <row r="980">
      <c r="E980" s="171"/>
    </row>
    <row r="981">
      <c r="E981" s="171"/>
    </row>
    <row r="982">
      <c r="E982" s="171"/>
    </row>
    <row r="983">
      <c r="E983" s="171"/>
    </row>
    <row r="984">
      <c r="E984" s="171"/>
    </row>
    <row r="985">
      <c r="E985" s="171"/>
    </row>
    <row r="986">
      <c r="E986" s="171"/>
    </row>
    <row r="987">
      <c r="E987" s="171"/>
    </row>
    <row r="988">
      <c r="E988" s="171"/>
    </row>
    <row r="989">
      <c r="E989" s="171"/>
    </row>
    <row r="990">
      <c r="E990" s="171"/>
    </row>
    <row r="991">
      <c r="E991" s="171"/>
    </row>
    <row r="992">
      <c r="E992" s="171"/>
    </row>
    <row r="993">
      <c r="E993" s="171"/>
    </row>
    <row r="994">
      <c r="E994" s="171"/>
    </row>
    <row r="995">
      <c r="E995" s="171"/>
    </row>
    <row r="996">
      <c r="E996" s="171"/>
    </row>
    <row r="997">
      <c r="E997" s="171"/>
    </row>
    <row r="998">
      <c r="E998" s="171"/>
    </row>
    <row r="999">
      <c r="E999" s="171"/>
    </row>
    <row r="1000">
      <c r="E1000" s="171"/>
    </row>
    <row r="1001">
      <c r="E1001" s="171"/>
    </row>
  </sheetData>
  <mergeCells count="12">
    <mergeCell ref="B37:D37"/>
    <mergeCell ref="F37:H37"/>
    <mergeCell ref="A53:H53"/>
    <mergeCell ref="B54:D54"/>
    <mergeCell ref="F54:H54"/>
    <mergeCell ref="A2:H2"/>
    <mergeCell ref="B3:D3"/>
    <mergeCell ref="F3:H3"/>
    <mergeCell ref="A19:H19"/>
    <mergeCell ref="B20:D20"/>
    <mergeCell ref="F20:H20"/>
    <mergeCell ref="A36:H36"/>
  </mergeCells>
  <conditionalFormatting sqref="B22:H33 B56:H67">
    <cfRule type="cellIs" dxfId="3" priority="1" operator="greaterThan">
      <formula>0</formula>
    </cfRule>
  </conditionalFormatting>
  <conditionalFormatting sqref="B22:H33 B56:H67">
    <cfRule type="cellIs" dxfId="4" priority="2" operator="lessThanOrEqual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63"/>
    <col customWidth="1" min="2" max="3" width="15.13"/>
    <col customWidth="1" min="4" max="4" width="15.88"/>
    <col customWidth="1" min="5" max="5" width="4.63"/>
    <col customWidth="1" min="6" max="6" width="30.88"/>
    <col customWidth="1" min="7" max="7" width="19.5"/>
    <col customWidth="1" min="8" max="8" width="19.63"/>
    <col customWidth="1" min="9" max="9" width="20.38"/>
    <col customWidth="1" min="10" max="10" width="4.75"/>
    <col customWidth="1" min="11" max="11" width="36.63"/>
    <col customWidth="1" min="12" max="12" width="18.38"/>
    <col customWidth="1" min="13" max="13" width="16.25"/>
    <col customWidth="1" min="14" max="14" width="17.0"/>
  </cols>
  <sheetData>
    <row r="1">
      <c r="A1" s="200" t="s">
        <v>1671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9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</row>
    <row r="2">
      <c r="A2" s="202"/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9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</row>
    <row r="3">
      <c r="A3" s="203" t="s">
        <v>1672</v>
      </c>
      <c r="B3" s="198"/>
      <c r="C3" s="198"/>
      <c r="D3" s="199"/>
      <c r="E3" s="204"/>
      <c r="F3" s="203" t="s">
        <v>8</v>
      </c>
      <c r="G3" s="198"/>
      <c r="H3" s="198"/>
      <c r="I3" s="199"/>
      <c r="J3" s="204"/>
      <c r="K3" s="203" t="s">
        <v>10</v>
      </c>
      <c r="L3" s="198"/>
      <c r="M3" s="198"/>
      <c r="N3" s="199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</row>
    <row r="4">
      <c r="A4" s="205" t="s">
        <v>1673</v>
      </c>
      <c r="B4" s="206" t="s">
        <v>1674</v>
      </c>
      <c r="C4" s="206" t="s">
        <v>1675</v>
      </c>
      <c r="D4" s="206" t="s">
        <v>1676</v>
      </c>
      <c r="E4" s="207"/>
      <c r="F4" s="205" t="s">
        <v>1673</v>
      </c>
      <c r="G4" s="206" t="s">
        <v>1674</v>
      </c>
      <c r="H4" s="206" t="s">
        <v>1675</v>
      </c>
      <c r="I4" s="206" t="s">
        <v>1676</v>
      </c>
      <c r="J4" s="207"/>
      <c r="K4" s="205" t="s">
        <v>1673</v>
      </c>
      <c r="L4" s="206" t="s">
        <v>1674</v>
      </c>
      <c r="M4" s="206" t="s">
        <v>1675</v>
      </c>
      <c r="N4" s="206" t="s">
        <v>1676</v>
      </c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</row>
    <row r="5">
      <c r="A5" s="208" t="s">
        <v>1677</v>
      </c>
      <c r="B5" s="209">
        <v>45383.0</v>
      </c>
      <c r="C5" s="209">
        <v>45383.0</v>
      </c>
      <c r="D5" s="209">
        <v>45383.0</v>
      </c>
      <c r="E5" s="207"/>
      <c r="F5" s="208" t="s">
        <v>1677</v>
      </c>
      <c r="G5" s="209">
        <v>45383.0</v>
      </c>
      <c r="H5" s="209">
        <v>45383.0</v>
      </c>
      <c r="I5" s="209">
        <v>45383.0</v>
      </c>
      <c r="J5" s="207"/>
      <c r="K5" s="208" t="s">
        <v>1677</v>
      </c>
      <c r="L5" s="209">
        <f t="shared" ref="L5:L7" si="1">M5</f>
        <v>46082</v>
      </c>
      <c r="M5" s="210">
        <v>46082.0</v>
      </c>
      <c r="N5" s="209">
        <f t="shared" ref="N5:N7" si="2">M5</f>
        <v>46082</v>
      </c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</row>
    <row r="6">
      <c r="A6" s="208" t="s">
        <v>1678</v>
      </c>
      <c r="B6" s="209">
        <v>45412.0</v>
      </c>
      <c r="C6" s="209">
        <v>45412.0</v>
      </c>
      <c r="D6" s="209">
        <v>45412.0</v>
      </c>
      <c r="E6" s="207"/>
      <c r="F6" s="208" t="s">
        <v>1678</v>
      </c>
      <c r="G6" s="209">
        <v>45412.0</v>
      </c>
      <c r="H6" s="209">
        <v>45412.0</v>
      </c>
      <c r="I6" s="209">
        <v>45412.0</v>
      </c>
      <c r="J6" s="207"/>
      <c r="K6" s="208" t="s">
        <v>1678</v>
      </c>
      <c r="L6" s="209">
        <f t="shared" si="1"/>
        <v>46112</v>
      </c>
      <c r="M6" s="210">
        <v>46112.0</v>
      </c>
      <c r="N6" s="209">
        <f t="shared" si="2"/>
        <v>46112</v>
      </c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</row>
    <row r="7">
      <c r="A7" s="211" t="s">
        <v>1679</v>
      </c>
      <c r="B7" s="212">
        <f>C7</f>
        <v>9000</v>
      </c>
      <c r="C7" s="213">
        <v>9000.0</v>
      </c>
      <c r="D7" s="212">
        <f>C7</f>
        <v>9000</v>
      </c>
      <c r="E7" s="207"/>
      <c r="F7" s="211" t="s">
        <v>1679</v>
      </c>
      <c r="G7" s="212">
        <f>H7</f>
        <v>10000</v>
      </c>
      <c r="H7" s="213">
        <v>10000.0</v>
      </c>
      <c r="I7" s="212">
        <f>H7</f>
        <v>10000</v>
      </c>
      <c r="J7" s="207"/>
      <c r="K7" s="211" t="s">
        <v>1679</v>
      </c>
      <c r="L7" s="212">
        <f t="shared" si="1"/>
        <v>7500</v>
      </c>
      <c r="M7" s="212">
        <v>7500.0</v>
      </c>
      <c r="N7" s="212">
        <f t="shared" si="2"/>
        <v>7500</v>
      </c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</row>
    <row r="8">
      <c r="A8" s="208" t="s">
        <v>1680</v>
      </c>
      <c r="B8" s="214">
        <f t="shared" ref="B8:D8" si="3">B7/31</f>
        <v>290.3225806</v>
      </c>
      <c r="C8" s="214">
        <f t="shared" si="3"/>
        <v>290.3225806</v>
      </c>
      <c r="D8" s="214">
        <f t="shared" si="3"/>
        <v>290.3225806</v>
      </c>
      <c r="E8" s="207"/>
      <c r="F8" s="208" t="s">
        <v>1680</v>
      </c>
      <c r="G8" s="214">
        <f t="shared" ref="G8:I8" si="4">G7/31</f>
        <v>322.5806452</v>
      </c>
      <c r="H8" s="214">
        <f t="shared" si="4"/>
        <v>322.5806452</v>
      </c>
      <c r="I8" s="214">
        <f t="shared" si="4"/>
        <v>322.5806452</v>
      </c>
      <c r="J8" s="207"/>
      <c r="K8" s="208" t="s">
        <v>1680</v>
      </c>
      <c r="L8" s="214">
        <f t="shared" ref="L8:N8" si="5">L7/31</f>
        <v>241.9354839</v>
      </c>
      <c r="M8" s="214">
        <f t="shared" si="5"/>
        <v>241.9354839</v>
      </c>
      <c r="N8" s="214">
        <f t="shared" si="5"/>
        <v>241.9354839</v>
      </c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</row>
    <row r="9">
      <c r="A9" s="211" t="s">
        <v>1596</v>
      </c>
      <c r="B9" s="212">
        <f>(C9*5%)+C9</f>
        <v>45.612</v>
      </c>
      <c r="C9" s="213">
        <v>43.44</v>
      </c>
      <c r="D9" s="212">
        <f>C9-(C9*5%)</f>
        <v>41.268</v>
      </c>
      <c r="E9" s="207"/>
      <c r="F9" s="211" t="s">
        <v>1596</v>
      </c>
      <c r="G9" s="212">
        <f>(H9*5%)+H9</f>
        <v>54.6</v>
      </c>
      <c r="H9" s="212">
        <v>52.0</v>
      </c>
      <c r="I9" s="212">
        <f>H9-(H9*5%)</f>
        <v>49.4</v>
      </c>
      <c r="J9" s="207"/>
      <c r="K9" s="211" t="s">
        <v>1596</v>
      </c>
      <c r="L9" s="212">
        <f>(M9*5%)+M9</f>
        <v>54.6</v>
      </c>
      <c r="M9" s="212">
        <v>52.0</v>
      </c>
      <c r="N9" s="212">
        <f>M9-(M9*5%)</f>
        <v>49.4</v>
      </c>
      <c r="O9" s="201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</row>
    <row r="10">
      <c r="A10" s="208" t="s">
        <v>1580</v>
      </c>
      <c r="B10" s="215">
        <f t="shared" ref="B10:D10" si="6">B7*1000/B9</f>
        <v>197316.4957</v>
      </c>
      <c r="C10" s="215">
        <f t="shared" si="6"/>
        <v>207182.3204</v>
      </c>
      <c r="D10" s="215">
        <f t="shared" si="6"/>
        <v>218086.6531</v>
      </c>
      <c r="E10" s="207"/>
      <c r="F10" s="208" t="s">
        <v>1580</v>
      </c>
      <c r="G10" s="215">
        <f t="shared" ref="G10:I10" si="7">G7*1000/G9</f>
        <v>183150.1832</v>
      </c>
      <c r="H10" s="215">
        <f t="shared" si="7"/>
        <v>192307.6923</v>
      </c>
      <c r="I10" s="215">
        <f t="shared" si="7"/>
        <v>202429.1498</v>
      </c>
      <c r="J10" s="207"/>
      <c r="K10" s="208" t="s">
        <v>1580</v>
      </c>
      <c r="L10" s="215">
        <f t="shared" ref="L10:N10" si="8">L7*1000/L9</f>
        <v>137362.6374</v>
      </c>
      <c r="M10" s="215">
        <f t="shared" si="8"/>
        <v>144230.7692</v>
      </c>
      <c r="N10" s="215">
        <f t="shared" si="8"/>
        <v>151821.8623</v>
      </c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/>
    </row>
    <row r="11">
      <c r="A11" s="211" t="s">
        <v>1588</v>
      </c>
      <c r="B11" s="216">
        <f>C11-(C11*5%)</f>
        <v>0.0228</v>
      </c>
      <c r="C11" s="217">
        <v>0.024</v>
      </c>
      <c r="D11" s="216">
        <f>(C11*5%)+C11</f>
        <v>0.0252</v>
      </c>
      <c r="E11" s="207"/>
      <c r="F11" s="211" t="s">
        <v>1588</v>
      </c>
      <c r="G11" s="216">
        <f>H11-(H11*5%)</f>
        <v>0.01843</v>
      </c>
      <c r="H11" s="216">
        <v>0.0194</v>
      </c>
      <c r="I11" s="216">
        <f>(H11*5%)+H11</f>
        <v>0.02037</v>
      </c>
      <c r="J11" s="207"/>
      <c r="K11" s="211" t="s">
        <v>1588</v>
      </c>
      <c r="L11" s="216">
        <f>M11-(M11*5%)</f>
        <v>0.01843</v>
      </c>
      <c r="M11" s="216">
        <v>0.0194</v>
      </c>
      <c r="N11" s="216">
        <f>(M11*5%)+M11</f>
        <v>0.02037</v>
      </c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</row>
    <row r="12">
      <c r="A12" s="208" t="s">
        <v>1681</v>
      </c>
      <c r="B12" s="215">
        <f t="shared" ref="B12:D12" si="9">B10*B11</f>
        <v>4498.816101</v>
      </c>
      <c r="C12" s="215">
        <f t="shared" si="9"/>
        <v>4972.375691</v>
      </c>
      <c r="D12" s="215">
        <f t="shared" si="9"/>
        <v>5495.783658</v>
      </c>
      <c r="E12" s="207"/>
      <c r="F12" s="208" t="s">
        <v>1681</v>
      </c>
      <c r="G12" s="215">
        <f t="shared" ref="G12:I12" si="10">G10*G11</f>
        <v>3375.457875</v>
      </c>
      <c r="H12" s="215">
        <f t="shared" si="10"/>
        <v>3730.769231</v>
      </c>
      <c r="I12" s="215">
        <f t="shared" si="10"/>
        <v>4123.481781</v>
      </c>
      <c r="J12" s="207"/>
      <c r="K12" s="208" t="s">
        <v>1681</v>
      </c>
      <c r="L12" s="215">
        <f t="shared" ref="L12:N12" si="11">L10*L11</f>
        <v>2531.593407</v>
      </c>
      <c r="M12" s="215">
        <f t="shared" si="11"/>
        <v>2798.076923</v>
      </c>
      <c r="N12" s="215">
        <f t="shared" si="11"/>
        <v>3092.611336</v>
      </c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</row>
    <row r="13" hidden="1">
      <c r="A13" s="211" t="s">
        <v>1682</v>
      </c>
      <c r="B13" s="218">
        <v>0.0</v>
      </c>
      <c r="C13" s="218">
        <v>0.0</v>
      </c>
      <c r="D13" s="218">
        <v>0.0</v>
      </c>
      <c r="E13" s="207"/>
      <c r="F13" s="211" t="s">
        <v>1682</v>
      </c>
      <c r="G13" s="218">
        <v>0.0</v>
      </c>
      <c r="H13" s="218">
        <v>0.0</v>
      </c>
      <c r="I13" s="218">
        <v>0.0</v>
      </c>
      <c r="J13" s="207"/>
      <c r="K13" s="211" t="s">
        <v>1682</v>
      </c>
      <c r="L13" s="218">
        <v>0.0</v>
      </c>
      <c r="M13" s="218">
        <v>0.0</v>
      </c>
      <c r="N13" s="218">
        <v>0.0</v>
      </c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</row>
    <row r="14">
      <c r="A14" s="208" t="s">
        <v>1683</v>
      </c>
      <c r="B14" s="214">
        <v>0.5</v>
      </c>
      <c r="C14" s="214">
        <v>0.5</v>
      </c>
      <c r="D14" s="214">
        <v>0.5</v>
      </c>
      <c r="E14" s="207"/>
      <c r="F14" s="208" t="s">
        <v>1683</v>
      </c>
      <c r="G14" s="214">
        <v>0.5</v>
      </c>
      <c r="H14" s="214">
        <v>0.5</v>
      </c>
      <c r="I14" s="214">
        <v>0.5</v>
      </c>
      <c r="J14" s="207"/>
      <c r="K14" s="208" t="s">
        <v>1683</v>
      </c>
      <c r="L14" s="214">
        <v>0.5</v>
      </c>
      <c r="M14" s="214">
        <v>0.5</v>
      </c>
      <c r="N14" s="214">
        <v>0.5</v>
      </c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</row>
    <row r="15">
      <c r="A15" s="211" t="s">
        <v>1684</v>
      </c>
      <c r="B15" s="219">
        <f t="shared" ref="B15:B17" si="12">C15-(C15*5%)</f>
        <v>9272.95</v>
      </c>
      <c r="C15" s="213">
        <v>9761.0</v>
      </c>
      <c r="D15" s="212">
        <f t="shared" ref="D15:D17" si="13">(C15*5%)+C15</f>
        <v>10249.05</v>
      </c>
      <c r="E15" s="207"/>
      <c r="F15" s="211" t="s">
        <v>1684</v>
      </c>
      <c r="G15" s="219">
        <f t="shared" ref="G15:G17" si="14">H15-(H15*5%)</f>
        <v>9357.5</v>
      </c>
      <c r="H15" s="212">
        <v>9850.0</v>
      </c>
      <c r="I15" s="212">
        <f t="shared" ref="I15:I17" si="15">(H15*5%)+H15</f>
        <v>10342.5</v>
      </c>
      <c r="J15" s="207"/>
      <c r="K15" s="211" t="s">
        <v>1684</v>
      </c>
      <c r="L15" s="219">
        <f t="shared" ref="L15:L17" si="16">M15-(M15*5%)</f>
        <v>9357.5</v>
      </c>
      <c r="M15" s="212">
        <v>9850.0</v>
      </c>
      <c r="N15" s="212">
        <f t="shared" ref="N15:N17" si="17">(M15*5%)+M15</f>
        <v>10342.5</v>
      </c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</row>
    <row r="16">
      <c r="A16" s="220" t="s">
        <v>1685</v>
      </c>
      <c r="B16" s="216">
        <f t="shared" si="12"/>
        <v>0.03325</v>
      </c>
      <c r="C16" s="217">
        <v>0.035</v>
      </c>
      <c r="D16" s="216">
        <f t="shared" si="13"/>
        <v>0.03675</v>
      </c>
      <c r="E16" s="207"/>
      <c r="F16" s="220" t="s">
        <v>1685</v>
      </c>
      <c r="G16" s="216">
        <f t="shared" si="14"/>
        <v>0.04275</v>
      </c>
      <c r="H16" s="216">
        <v>0.045</v>
      </c>
      <c r="I16" s="216">
        <f t="shared" si="15"/>
        <v>0.04725</v>
      </c>
      <c r="J16" s="207"/>
      <c r="K16" s="220" t="s">
        <v>1685</v>
      </c>
      <c r="L16" s="216">
        <f t="shared" si="16"/>
        <v>0.04275</v>
      </c>
      <c r="M16" s="216">
        <v>0.045</v>
      </c>
      <c r="N16" s="216">
        <f t="shared" si="17"/>
        <v>0.04725</v>
      </c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</row>
    <row r="17">
      <c r="A17" s="220" t="s">
        <v>1686</v>
      </c>
      <c r="B17" s="216">
        <f t="shared" si="12"/>
        <v>0.0855</v>
      </c>
      <c r="C17" s="217">
        <v>0.09</v>
      </c>
      <c r="D17" s="216">
        <f t="shared" si="13"/>
        <v>0.0945</v>
      </c>
      <c r="E17" s="207"/>
      <c r="F17" s="220" t="s">
        <v>1686</v>
      </c>
      <c r="G17" s="216">
        <f t="shared" si="14"/>
        <v>0.09785</v>
      </c>
      <c r="H17" s="221">
        <v>0.103</v>
      </c>
      <c r="I17" s="216">
        <f t="shared" si="15"/>
        <v>0.10815</v>
      </c>
      <c r="J17" s="207"/>
      <c r="K17" s="220" t="s">
        <v>1686</v>
      </c>
      <c r="L17" s="216">
        <f t="shared" si="16"/>
        <v>0.09785</v>
      </c>
      <c r="M17" s="221">
        <v>0.103</v>
      </c>
      <c r="N17" s="216">
        <f t="shared" si="17"/>
        <v>0.10815</v>
      </c>
      <c r="O17" s="201"/>
      <c r="P17" s="201"/>
      <c r="Q17" s="201"/>
      <c r="R17" s="201"/>
      <c r="S17" s="201"/>
      <c r="T17" s="201"/>
      <c r="U17" s="201"/>
      <c r="V17" s="201"/>
      <c r="W17" s="201"/>
      <c r="X17" s="201"/>
      <c r="Y17" s="201"/>
      <c r="Z17" s="201"/>
    </row>
    <row r="18">
      <c r="A18" s="208" t="s">
        <v>1687</v>
      </c>
      <c r="B18" s="214">
        <f t="shared" ref="B18:D18" si="18">B7/B19</f>
        <v>60.16620499</v>
      </c>
      <c r="C18" s="214">
        <f t="shared" si="18"/>
        <v>51.71428571</v>
      </c>
      <c r="D18" s="214">
        <f t="shared" si="18"/>
        <v>44.56106252</v>
      </c>
      <c r="E18" s="207"/>
      <c r="F18" s="208" t="s">
        <v>1687</v>
      </c>
      <c r="G18" s="214">
        <f t="shared" ref="G18:I18" si="19">G7/G19</f>
        <v>69.29967349</v>
      </c>
      <c r="H18" s="214">
        <f t="shared" si="19"/>
        <v>59.56471936</v>
      </c>
      <c r="I18" s="214">
        <f t="shared" si="19"/>
        <v>51.32560852</v>
      </c>
      <c r="J18" s="207"/>
      <c r="K18" s="208" t="s">
        <v>1687</v>
      </c>
      <c r="L18" s="214">
        <f t="shared" ref="L18:N18" si="20">L7/L19</f>
        <v>69.29967349</v>
      </c>
      <c r="M18" s="214">
        <f t="shared" si="20"/>
        <v>59.56471936</v>
      </c>
      <c r="N18" s="214">
        <f t="shared" si="20"/>
        <v>51.32560852</v>
      </c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</row>
    <row r="19">
      <c r="A19" s="208" t="s">
        <v>1688</v>
      </c>
      <c r="B19" s="215">
        <f t="shared" ref="B19:D19" si="21">(B16*(B12+B13))</f>
        <v>149.5856354</v>
      </c>
      <c r="C19" s="215">
        <f t="shared" si="21"/>
        <v>174.0331492</v>
      </c>
      <c r="D19" s="215">
        <f t="shared" si="21"/>
        <v>201.9700494</v>
      </c>
      <c r="E19" s="207"/>
      <c r="F19" s="208" t="s">
        <v>1688</v>
      </c>
      <c r="G19" s="215">
        <f t="shared" ref="G19:I19" si="22">(G16*(G12+G13))</f>
        <v>144.3008242</v>
      </c>
      <c r="H19" s="215">
        <f t="shared" si="22"/>
        <v>167.8846154</v>
      </c>
      <c r="I19" s="215">
        <f t="shared" si="22"/>
        <v>194.8345142</v>
      </c>
      <c r="J19" s="207"/>
      <c r="K19" s="208" t="s">
        <v>1688</v>
      </c>
      <c r="L19" s="215">
        <f t="shared" ref="L19:N19" si="23">(L16*(L12+L13))</f>
        <v>108.2256181</v>
      </c>
      <c r="M19" s="215">
        <f t="shared" si="23"/>
        <v>125.9134615</v>
      </c>
      <c r="N19" s="215">
        <f t="shared" si="23"/>
        <v>146.1258856</v>
      </c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</row>
    <row r="20">
      <c r="A20" s="208" t="s">
        <v>1689</v>
      </c>
      <c r="B20" s="214">
        <f t="shared" ref="B20:D20" si="24">B7/B21</f>
        <v>703.6983039</v>
      </c>
      <c r="C20" s="214">
        <f t="shared" si="24"/>
        <v>574.6031746</v>
      </c>
      <c r="D20" s="214">
        <f t="shared" si="24"/>
        <v>471.5456351</v>
      </c>
      <c r="E20" s="207"/>
      <c r="F20" s="208" t="s">
        <v>1689</v>
      </c>
      <c r="G20" s="214">
        <f t="shared" ref="G20:I20" si="25">G7/G21</f>
        <v>708.2235411</v>
      </c>
      <c r="H20" s="214">
        <f t="shared" si="25"/>
        <v>578.2982462</v>
      </c>
      <c r="I20" s="214">
        <f t="shared" si="25"/>
        <v>474.5779798</v>
      </c>
      <c r="J20" s="207"/>
      <c r="K20" s="208" t="s">
        <v>1689</v>
      </c>
      <c r="L20" s="214">
        <f t="shared" ref="L20:N20" si="26">L7/L21</f>
        <v>708.2235411</v>
      </c>
      <c r="M20" s="214">
        <f t="shared" si="26"/>
        <v>578.2982462</v>
      </c>
      <c r="N20" s="214">
        <f t="shared" si="26"/>
        <v>474.5779798</v>
      </c>
      <c r="O20" s="201"/>
      <c r="P20" s="201"/>
      <c r="Q20" s="201"/>
      <c r="R20" s="201"/>
      <c r="S20" s="201"/>
      <c r="T20" s="201"/>
      <c r="U20" s="201"/>
      <c r="V20" s="201"/>
      <c r="W20" s="201"/>
      <c r="X20" s="201"/>
      <c r="Y20" s="201"/>
      <c r="Z20" s="201"/>
    </row>
    <row r="21">
      <c r="A21" s="208" t="s">
        <v>1690</v>
      </c>
      <c r="B21" s="215">
        <f t="shared" ref="B21:D21" si="27">B19*B17</f>
        <v>12.78957182</v>
      </c>
      <c r="C21" s="215">
        <f t="shared" si="27"/>
        <v>15.66298343</v>
      </c>
      <c r="D21" s="215">
        <f t="shared" si="27"/>
        <v>19.08616967</v>
      </c>
      <c r="E21" s="207"/>
      <c r="F21" s="208" t="s">
        <v>1690</v>
      </c>
      <c r="G21" s="215">
        <f t="shared" ref="G21:I21" si="28">G19*G17</f>
        <v>14.11983565</v>
      </c>
      <c r="H21" s="215">
        <f t="shared" si="28"/>
        <v>17.29211538</v>
      </c>
      <c r="I21" s="215">
        <f t="shared" si="28"/>
        <v>21.07135271</v>
      </c>
      <c r="J21" s="207"/>
      <c r="K21" s="208" t="s">
        <v>1690</v>
      </c>
      <c r="L21" s="215">
        <f t="shared" ref="L21:N21" si="29">L19*L17</f>
        <v>10.58987673</v>
      </c>
      <c r="M21" s="215">
        <f t="shared" si="29"/>
        <v>12.96908654</v>
      </c>
      <c r="N21" s="215">
        <f t="shared" si="29"/>
        <v>15.80351453</v>
      </c>
      <c r="O21" s="201"/>
      <c r="P21" s="201"/>
      <c r="Q21" s="201"/>
      <c r="R21" s="201"/>
      <c r="S21" s="201"/>
      <c r="T21" s="201"/>
      <c r="U21" s="201"/>
      <c r="V21" s="201"/>
      <c r="W21" s="201"/>
      <c r="X21" s="201"/>
      <c r="Y21" s="201"/>
      <c r="Z21" s="201"/>
    </row>
    <row r="22">
      <c r="A22" s="208" t="s">
        <v>1691</v>
      </c>
      <c r="B22" s="214">
        <f t="shared" ref="B22:D22" si="30">B15*B21</f>
        <v>118597.06</v>
      </c>
      <c r="C22" s="214">
        <f t="shared" si="30"/>
        <v>152886.3812</v>
      </c>
      <c r="D22" s="214">
        <f t="shared" si="30"/>
        <v>195615.1073</v>
      </c>
      <c r="E22" s="207"/>
      <c r="F22" s="208" t="s">
        <v>1691</v>
      </c>
      <c r="G22" s="214">
        <f t="shared" ref="G22:I22" si="31">G15*G21</f>
        <v>132126.3621</v>
      </c>
      <c r="H22" s="214">
        <f t="shared" si="31"/>
        <v>170327.3365</v>
      </c>
      <c r="I22" s="214">
        <f t="shared" si="31"/>
        <v>217930.4654</v>
      </c>
      <c r="J22" s="207"/>
      <c r="K22" s="208" t="s">
        <v>1691</v>
      </c>
      <c r="L22" s="214">
        <f t="shared" ref="L22:N22" si="32">L15*L21</f>
        <v>99094.77154</v>
      </c>
      <c r="M22" s="214">
        <f t="shared" si="32"/>
        <v>127745.5024</v>
      </c>
      <c r="N22" s="214">
        <f t="shared" si="32"/>
        <v>163447.849</v>
      </c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</row>
    <row r="23">
      <c r="A23" s="208" t="s">
        <v>1692</v>
      </c>
      <c r="B23" s="76">
        <f t="shared" ref="B23:D23" si="33">B22/B7</f>
        <v>13.17745112</v>
      </c>
      <c r="C23" s="76">
        <f t="shared" si="33"/>
        <v>16.98737569</v>
      </c>
      <c r="D23" s="76">
        <f t="shared" si="33"/>
        <v>21.73501192</v>
      </c>
      <c r="E23" s="207"/>
      <c r="F23" s="208" t="s">
        <v>1692</v>
      </c>
      <c r="G23" s="76">
        <f t="shared" ref="G23:I23" si="34">G22/G7</f>
        <v>13.21263621</v>
      </c>
      <c r="H23" s="76">
        <f t="shared" si="34"/>
        <v>17.03273365</v>
      </c>
      <c r="I23" s="76">
        <f t="shared" si="34"/>
        <v>21.79304654</v>
      </c>
      <c r="J23" s="207"/>
      <c r="K23" s="208" t="s">
        <v>1692</v>
      </c>
      <c r="L23" s="76">
        <f t="shared" ref="L23:N23" si="35">L22/L7</f>
        <v>13.21263621</v>
      </c>
      <c r="M23" s="76">
        <f t="shared" si="35"/>
        <v>17.03273365</v>
      </c>
      <c r="N23" s="76">
        <f t="shared" si="35"/>
        <v>21.79304654</v>
      </c>
      <c r="O23" s="201"/>
      <c r="P23" s="201"/>
      <c r="Q23" s="201"/>
      <c r="R23" s="201"/>
      <c r="S23" s="201"/>
      <c r="T23" s="201"/>
      <c r="U23" s="201"/>
      <c r="V23" s="201"/>
      <c r="W23" s="201"/>
      <c r="X23" s="201"/>
      <c r="Y23" s="201"/>
      <c r="Z23" s="201"/>
    </row>
    <row r="24">
      <c r="A24" s="211" t="s">
        <v>1693</v>
      </c>
      <c r="B24" s="221">
        <v>0.25</v>
      </c>
      <c r="C24" s="221">
        <v>0.25</v>
      </c>
      <c r="D24" s="221">
        <v>0.25</v>
      </c>
      <c r="E24" s="207"/>
      <c r="F24" s="211" t="s">
        <v>1693</v>
      </c>
      <c r="G24" s="221">
        <v>0.25</v>
      </c>
      <c r="H24" s="221">
        <v>0.25</v>
      </c>
      <c r="I24" s="221">
        <v>0.25</v>
      </c>
      <c r="J24" s="207"/>
      <c r="K24" s="211" t="s">
        <v>1693</v>
      </c>
      <c r="L24" s="221">
        <v>0.25</v>
      </c>
      <c r="M24" s="221">
        <v>0.25</v>
      </c>
      <c r="N24" s="221">
        <v>0.25</v>
      </c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/>
      <c r="Z24" s="201"/>
    </row>
    <row r="25">
      <c r="A25" s="208" t="s">
        <v>1608</v>
      </c>
      <c r="B25" s="76">
        <f t="shared" ref="B25:D25" si="36">(B22*B24)/B7</f>
        <v>3.294362779</v>
      </c>
      <c r="C25" s="76">
        <f t="shared" si="36"/>
        <v>4.246843923</v>
      </c>
      <c r="D25" s="76">
        <f t="shared" si="36"/>
        <v>5.43375298</v>
      </c>
      <c r="E25" s="207"/>
      <c r="F25" s="208" t="s">
        <v>1608</v>
      </c>
      <c r="G25" s="76">
        <f t="shared" ref="G25:I25" si="37">(G22*G24)/G7</f>
        <v>3.303159051</v>
      </c>
      <c r="H25" s="76">
        <f t="shared" si="37"/>
        <v>4.258183413</v>
      </c>
      <c r="I25" s="76">
        <f t="shared" si="37"/>
        <v>5.448261634</v>
      </c>
      <c r="J25" s="207"/>
      <c r="K25" s="208" t="s">
        <v>1608</v>
      </c>
      <c r="L25" s="76">
        <f t="shared" ref="L25:N25" si="38">(L22*L24)/L7</f>
        <v>3.303159051</v>
      </c>
      <c r="M25" s="76">
        <f t="shared" si="38"/>
        <v>4.258183413</v>
      </c>
      <c r="N25" s="76">
        <f t="shared" si="38"/>
        <v>5.448261634</v>
      </c>
      <c r="O25" s="201"/>
      <c r="P25" s="201"/>
      <c r="Q25" s="201"/>
      <c r="R25" s="201"/>
      <c r="S25" s="201"/>
      <c r="T25" s="201"/>
      <c r="U25" s="201"/>
      <c r="V25" s="201"/>
      <c r="W25" s="201"/>
      <c r="X25" s="201"/>
      <c r="Y25" s="201"/>
      <c r="Z25" s="201"/>
    </row>
    <row r="26">
      <c r="A26" s="202"/>
      <c r="B26" s="198"/>
      <c r="C26" s="198"/>
      <c r="D26" s="199"/>
      <c r="E26" s="222"/>
      <c r="F26" s="202"/>
      <c r="G26" s="198"/>
      <c r="H26" s="198"/>
      <c r="I26" s="199"/>
      <c r="J26" s="222"/>
      <c r="K26" s="202"/>
      <c r="L26" s="198"/>
      <c r="M26" s="198"/>
      <c r="N26" s="199"/>
      <c r="O26" s="201"/>
      <c r="P26" s="201"/>
      <c r="Q26" s="201"/>
      <c r="R26" s="201"/>
      <c r="S26" s="201"/>
      <c r="T26" s="201"/>
      <c r="U26" s="201"/>
      <c r="V26" s="201"/>
      <c r="W26" s="201"/>
      <c r="X26" s="201"/>
      <c r="Y26" s="201"/>
      <c r="Z26" s="201"/>
    </row>
    <row r="27">
      <c r="A27" s="200" t="s">
        <v>1694</v>
      </c>
      <c r="B27" s="198"/>
      <c r="C27" s="198"/>
      <c r="D27" s="198"/>
      <c r="E27" s="198"/>
      <c r="F27" s="198"/>
      <c r="G27" s="198"/>
      <c r="H27" s="198"/>
      <c r="I27" s="198"/>
      <c r="J27" s="198"/>
      <c r="K27" s="198"/>
      <c r="L27" s="198"/>
      <c r="M27" s="198"/>
      <c r="N27" s="199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01"/>
    </row>
    <row r="28">
      <c r="A28" s="202"/>
      <c r="B28" s="198"/>
      <c r="C28" s="198"/>
      <c r="D28" s="198"/>
      <c r="E28" s="198"/>
      <c r="F28" s="198"/>
      <c r="G28" s="198"/>
      <c r="H28" s="198"/>
      <c r="I28" s="198"/>
      <c r="J28" s="198"/>
      <c r="K28" s="198"/>
      <c r="L28" s="198"/>
      <c r="M28" s="198"/>
      <c r="N28" s="199"/>
      <c r="O28" s="201"/>
      <c r="P28" s="201"/>
      <c r="Q28" s="201"/>
      <c r="R28" s="201"/>
      <c r="S28" s="201"/>
      <c r="T28" s="201"/>
      <c r="U28" s="201"/>
      <c r="V28" s="201"/>
      <c r="W28" s="201"/>
      <c r="X28" s="201"/>
      <c r="Y28" s="201"/>
      <c r="Z28" s="201"/>
    </row>
    <row r="29">
      <c r="A29" s="203" t="s">
        <v>12</v>
      </c>
      <c r="B29" s="198"/>
      <c r="C29" s="198"/>
      <c r="D29" s="199"/>
      <c r="E29" s="204"/>
      <c r="F29" s="203" t="s">
        <v>14</v>
      </c>
      <c r="G29" s="198"/>
      <c r="H29" s="198"/>
      <c r="I29" s="199"/>
      <c r="J29" s="204"/>
      <c r="K29" s="203" t="s">
        <v>16</v>
      </c>
      <c r="L29" s="198"/>
      <c r="M29" s="198"/>
      <c r="N29" s="199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</row>
    <row r="30">
      <c r="A30" s="223" t="s">
        <v>1673</v>
      </c>
      <c r="B30" s="206" t="s">
        <v>1674</v>
      </c>
      <c r="C30" s="206" t="s">
        <v>1675</v>
      </c>
      <c r="D30" s="206" t="s">
        <v>1676</v>
      </c>
      <c r="E30" s="207"/>
      <c r="F30" s="223" t="s">
        <v>1673</v>
      </c>
      <c r="G30" s="206" t="s">
        <v>1674</v>
      </c>
      <c r="H30" s="206" t="s">
        <v>1675</v>
      </c>
      <c r="I30" s="206" t="s">
        <v>1676</v>
      </c>
      <c r="J30" s="207"/>
      <c r="K30" s="223" t="s">
        <v>1673</v>
      </c>
      <c r="L30" s="206" t="s">
        <v>1674</v>
      </c>
      <c r="M30" s="206" t="s">
        <v>1675</v>
      </c>
      <c r="N30" s="206" t="s">
        <v>1676</v>
      </c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1"/>
    </row>
    <row r="31">
      <c r="A31" s="208" t="s">
        <v>1677</v>
      </c>
      <c r="B31" s="209">
        <v>45383.0</v>
      </c>
      <c r="C31" s="209">
        <v>45383.0</v>
      </c>
      <c r="D31" s="209">
        <v>45383.0</v>
      </c>
      <c r="E31" s="207"/>
      <c r="F31" s="208" t="s">
        <v>1677</v>
      </c>
      <c r="G31" s="209">
        <v>45383.0</v>
      </c>
      <c r="H31" s="209">
        <v>45383.0</v>
      </c>
      <c r="I31" s="209">
        <v>45383.0</v>
      </c>
      <c r="J31" s="207"/>
      <c r="K31" s="208" t="s">
        <v>1677</v>
      </c>
      <c r="L31" s="209">
        <v>45383.0</v>
      </c>
      <c r="M31" s="209">
        <v>45383.0</v>
      </c>
      <c r="N31" s="209">
        <v>45383.0</v>
      </c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</row>
    <row r="32">
      <c r="A32" s="208" t="s">
        <v>1678</v>
      </c>
      <c r="B32" s="209">
        <v>45412.0</v>
      </c>
      <c r="C32" s="209">
        <v>45412.0</v>
      </c>
      <c r="D32" s="209">
        <v>45412.0</v>
      </c>
      <c r="E32" s="207"/>
      <c r="F32" s="208" t="s">
        <v>1678</v>
      </c>
      <c r="G32" s="209">
        <v>45412.0</v>
      </c>
      <c r="H32" s="209">
        <v>45412.0</v>
      </c>
      <c r="I32" s="209">
        <v>45412.0</v>
      </c>
      <c r="J32" s="207"/>
      <c r="K32" s="208" t="s">
        <v>1678</v>
      </c>
      <c r="L32" s="209">
        <v>45412.0</v>
      </c>
      <c r="M32" s="209">
        <v>45412.0</v>
      </c>
      <c r="N32" s="209">
        <v>45412.0</v>
      </c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1"/>
    </row>
    <row r="33">
      <c r="A33" s="211" t="s">
        <v>1679</v>
      </c>
      <c r="B33" s="212">
        <f>C33</f>
        <v>7500</v>
      </c>
      <c r="C33" s="213">
        <v>7500.0</v>
      </c>
      <c r="D33" s="212">
        <f>C33</f>
        <v>7500</v>
      </c>
      <c r="E33" s="207"/>
      <c r="F33" s="211" t="s">
        <v>1679</v>
      </c>
      <c r="G33" s="212">
        <f>H33</f>
        <v>7500</v>
      </c>
      <c r="H33" s="213">
        <v>7500.0</v>
      </c>
      <c r="I33" s="212">
        <f>H33</f>
        <v>7500</v>
      </c>
      <c r="J33" s="207"/>
      <c r="K33" s="211" t="s">
        <v>1679</v>
      </c>
      <c r="L33" s="212">
        <f>M33</f>
        <v>7500</v>
      </c>
      <c r="M33" s="213">
        <v>7500.0</v>
      </c>
      <c r="N33" s="212">
        <f>M33</f>
        <v>7500</v>
      </c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201"/>
    </row>
    <row r="34">
      <c r="A34" s="208" t="s">
        <v>1680</v>
      </c>
      <c r="B34" s="214">
        <f t="shared" ref="B34:D34" si="39">B33/31</f>
        <v>241.9354839</v>
      </c>
      <c r="C34" s="214">
        <f t="shared" si="39"/>
        <v>241.9354839</v>
      </c>
      <c r="D34" s="214">
        <f t="shared" si="39"/>
        <v>241.9354839</v>
      </c>
      <c r="E34" s="207"/>
      <c r="F34" s="208" t="s">
        <v>1680</v>
      </c>
      <c r="G34" s="214">
        <f t="shared" ref="G34:I34" si="40">G33/31</f>
        <v>241.9354839</v>
      </c>
      <c r="H34" s="214">
        <f t="shared" si="40"/>
        <v>241.9354839</v>
      </c>
      <c r="I34" s="214">
        <f t="shared" si="40"/>
        <v>241.9354839</v>
      </c>
      <c r="J34" s="207"/>
      <c r="K34" s="208" t="s">
        <v>1680</v>
      </c>
      <c r="L34" s="214">
        <f t="shared" ref="L34:N34" si="41">L33/31</f>
        <v>241.9354839</v>
      </c>
      <c r="M34" s="214">
        <f t="shared" si="41"/>
        <v>241.9354839</v>
      </c>
      <c r="N34" s="214">
        <f t="shared" si="41"/>
        <v>241.9354839</v>
      </c>
      <c r="O34" s="201"/>
      <c r="P34" s="201"/>
      <c r="Q34" s="201"/>
      <c r="R34" s="201"/>
      <c r="S34" s="201"/>
      <c r="T34" s="201"/>
      <c r="U34" s="201"/>
      <c r="V34" s="201"/>
      <c r="W34" s="201"/>
      <c r="X34" s="201"/>
      <c r="Y34" s="201"/>
      <c r="Z34" s="201"/>
    </row>
    <row r="35">
      <c r="A35" s="211" t="s">
        <v>1596</v>
      </c>
      <c r="B35" s="213">
        <f>(C35*5%)+C35</f>
        <v>54.6</v>
      </c>
      <c r="C35" s="213">
        <v>52.0</v>
      </c>
      <c r="D35" s="213">
        <f>C35-(C35*5%)</f>
        <v>49.4</v>
      </c>
      <c r="E35" s="207"/>
      <c r="F35" s="211" t="s">
        <v>1596</v>
      </c>
      <c r="G35" s="213">
        <f>(H35*5%)+H35</f>
        <v>54.6</v>
      </c>
      <c r="H35" s="213">
        <v>52.0</v>
      </c>
      <c r="I35" s="213">
        <f>H35-(H35*5%)</f>
        <v>49.4</v>
      </c>
      <c r="J35" s="207"/>
      <c r="K35" s="211" t="s">
        <v>1596</v>
      </c>
      <c r="L35" s="213">
        <f>(M35*5%)+M35</f>
        <v>54.6</v>
      </c>
      <c r="M35" s="213">
        <v>52.0</v>
      </c>
      <c r="N35" s="213">
        <f>M35-(M35*5%)</f>
        <v>49.4</v>
      </c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1"/>
    </row>
    <row r="36">
      <c r="A36" s="208" t="s">
        <v>1580</v>
      </c>
      <c r="B36" s="215">
        <f t="shared" ref="B36:D36" si="42">B33*1000/B35</f>
        <v>137362.6374</v>
      </c>
      <c r="C36" s="215">
        <f t="shared" si="42"/>
        <v>144230.7692</v>
      </c>
      <c r="D36" s="215">
        <f t="shared" si="42"/>
        <v>151821.8623</v>
      </c>
      <c r="E36" s="207"/>
      <c r="F36" s="208" t="s">
        <v>1580</v>
      </c>
      <c r="G36" s="215">
        <f t="shared" ref="G36:I36" si="43">G33*1000/G35</f>
        <v>137362.6374</v>
      </c>
      <c r="H36" s="215">
        <f t="shared" si="43"/>
        <v>144230.7692</v>
      </c>
      <c r="I36" s="215">
        <f t="shared" si="43"/>
        <v>151821.8623</v>
      </c>
      <c r="J36" s="207"/>
      <c r="K36" s="208" t="s">
        <v>1580</v>
      </c>
      <c r="L36" s="215">
        <f t="shared" ref="L36:N36" si="44">L33*1000/L35</f>
        <v>137362.6374</v>
      </c>
      <c r="M36" s="215">
        <f t="shared" si="44"/>
        <v>144230.7692</v>
      </c>
      <c r="N36" s="215">
        <f t="shared" si="44"/>
        <v>151821.8623</v>
      </c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01"/>
    </row>
    <row r="37">
      <c r="A37" s="211" t="s">
        <v>1588</v>
      </c>
      <c r="B37" s="217">
        <f>C37-(C37*5%)</f>
        <v>0.01843</v>
      </c>
      <c r="C37" s="217">
        <v>0.0194</v>
      </c>
      <c r="D37" s="216">
        <f>(C37*5%)+C37</f>
        <v>0.02037</v>
      </c>
      <c r="E37" s="207"/>
      <c r="F37" s="211" t="s">
        <v>1588</v>
      </c>
      <c r="G37" s="217">
        <f>H37-(H37*5%)</f>
        <v>0.01843</v>
      </c>
      <c r="H37" s="217">
        <v>0.0194</v>
      </c>
      <c r="I37" s="216">
        <f>(H37*5%)+H37</f>
        <v>0.02037</v>
      </c>
      <c r="J37" s="207"/>
      <c r="K37" s="211" t="s">
        <v>1588</v>
      </c>
      <c r="L37" s="217">
        <f>M37-(M37*5%)</f>
        <v>0.01843</v>
      </c>
      <c r="M37" s="217">
        <v>0.0194</v>
      </c>
      <c r="N37" s="216">
        <f>(M37*5%)+M37</f>
        <v>0.02037</v>
      </c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  <c r="Z37" s="201"/>
    </row>
    <row r="38">
      <c r="A38" s="208" t="s">
        <v>1681</v>
      </c>
      <c r="B38" s="215">
        <f t="shared" ref="B38:D38" si="45">B36*B37</f>
        <v>2531.593407</v>
      </c>
      <c r="C38" s="215">
        <f t="shared" si="45"/>
        <v>2798.076923</v>
      </c>
      <c r="D38" s="215">
        <f t="shared" si="45"/>
        <v>3092.611336</v>
      </c>
      <c r="E38" s="207"/>
      <c r="F38" s="208" t="s">
        <v>1681</v>
      </c>
      <c r="G38" s="215">
        <f t="shared" ref="G38:I38" si="46">G36*G37</f>
        <v>2531.593407</v>
      </c>
      <c r="H38" s="215">
        <f t="shared" si="46"/>
        <v>2798.076923</v>
      </c>
      <c r="I38" s="215">
        <f t="shared" si="46"/>
        <v>3092.611336</v>
      </c>
      <c r="J38" s="207"/>
      <c r="K38" s="208" t="s">
        <v>1681</v>
      </c>
      <c r="L38" s="215">
        <f t="shared" ref="L38:N38" si="47">L36*L37</f>
        <v>2531.593407</v>
      </c>
      <c r="M38" s="215">
        <f t="shared" si="47"/>
        <v>2798.076923</v>
      </c>
      <c r="N38" s="215">
        <f t="shared" si="47"/>
        <v>3092.611336</v>
      </c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</row>
    <row r="39" hidden="1">
      <c r="A39" s="211" t="s">
        <v>1682</v>
      </c>
      <c r="B39" s="224">
        <v>0.0</v>
      </c>
      <c r="C39" s="224">
        <v>0.0</v>
      </c>
      <c r="D39" s="224">
        <v>0.0</v>
      </c>
      <c r="E39" s="207"/>
      <c r="F39" s="211" t="s">
        <v>1682</v>
      </c>
      <c r="G39" s="224">
        <v>0.0</v>
      </c>
      <c r="H39" s="224">
        <v>0.0</v>
      </c>
      <c r="I39" s="224">
        <v>0.0</v>
      </c>
      <c r="J39" s="207"/>
      <c r="K39" s="211" t="s">
        <v>1682</v>
      </c>
      <c r="L39" s="224">
        <v>0.0</v>
      </c>
      <c r="M39" s="224">
        <v>0.0</v>
      </c>
      <c r="N39" s="224">
        <v>0.0</v>
      </c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</row>
    <row r="40">
      <c r="A40" s="208" t="s">
        <v>1683</v>
      </c>
      <c r="B40" s="214">
        <v>0.5</v>
      </c>
      <c r="C40" s="214">
        <v>0.5</v>
      </c>
      <c r="D40" s="214">
        <v>0.5</v>
      </c>
      <c r="E40" s="207"/>
      <c r="F40" s="208" t="s">
        <v>1683</v>
      </c>
      <c r="G40" s="214">
        <v>0.5</v>
      </c>
      <c r="H40" s="214">
        <v>0.5</v>
      </c>
      <c r="I40" s="214">
        <v>0.5</v>
      </c>
      <c r="J40" s="207"/>
      <c r="K40" s="208" t="s">
        <v>1683</v>
      </c>
      <c r="L40" s="214">
        <v>0.5</v>
      </c>
      <c r="M40" s="214">
        <v>0.5</v>
      </c>
      <c r="N40" s="214">
        <v>0.5</v>
      </c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</row>
    <row r="41">
      <c r="A41" s="211" t="s">
        <v>1684</v>
      </c>
      <c r="B41" s="225">
        <f t="shared" ref="B41:B43" si="48">C41-(C41*5%)</f>
        <v>9357.5</v>
      </c>
      <c r="C41" s="213">
        <v>9850.0</v>
      </c>
      <c r="D41" s="213">
        <f t="shared" ref="D41:D43" si="49">(C41*5%)+C41</f>
        <v>10342.5</v>
      </c>
      <c r="E41" s="207"/>
      <c r="F41" s="211" t="s">
        <v>1684</v>
      </c>
      <c r="G41" s="225">
        <f t="shared" ref="G41:G43" si="50">H41-(H41*5%)</f>
        <v>9357.5</v>
      </c>
      <c r="H41" s="213">
        <v>9850.0</v>
      </c>
      <c r="I41" s="213">
        <f t="shared" ref="I41:I43" si="51">(H41*5%)+H41</f>
        <v>10342.5</v>
      </c>
      <c r="J41" s="207"/>
      <c r="K41" s="211" t="s">
        <v>1684</v>
      </c>
      <c r="L41" s="225">
        <f t="shared" ref="L41:L43" si="52">M41-(M41*5%)</f>
        <v>9357.5</v>
      </c>
      <c r="M41" s="213">
        <v>9850.0</v>
      </c>
      <c r="N41" s="213">
        <f t="shared" ref="N41:N43" si="53">(M41*5%)+M41</f>
        <v>10342.5</v>
      </c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1"/>
    </row>
    <row r="42">
      <c r="A42" s="226" t="s">
        <v>1685</v>
      </c>
      <c r="B42" s="217">
        <f t="shared" si="48"/>
        <v>0.04275</v>
      </c>
      <c r="C42" s="217">
        <v>0.045</v>
      </c>
      <c r="D42" s="216">
        <f t="shared" si="49"/>
        <v>0.04725</v>
      </c>
      <c r="E42" s="207"/>
      <c r="F42" s="226" t="s">
        <v>1685</v>
      </c>
      <c r="G42" s="217">
        <f t="shared" si="50"/>
        <v>0.04275</v>
      </c>
      <c r="H42" s="217">
        <v>0.045</v>
      </c>
      <c r="I42" s="216">
        <f t="shared" si="51"/>
        <v>0.04725</v>
      </c>
      <c r="J42" s="207"/>
      <c r="K42" s="226" t="s">
        <v>1685</v>
      </c>
      <c r="L42" s="217">
        <f t="shared" si="52"/>
        <v>0.04275</v>
      </c>
      <c r="M42" s="217">
        <v>0.045</v>
      </c>
      <c r="N42" s="216">
        <f t="shared" si="53"/>
        <v>0.04725</v>
      </c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</row>
    <row r="43">
      <c r="A43" s="226" t="s">
        <v>1686</v>
      </c>
      <c r="B43" s="217">
        <f t="shared" si="48"/>
        <v>0.09785</v>
      </c>
      <c r="C43" s="227">
        <v>0.103</v>
      </c>
      <c r="D43" s="216">
        <f t="shared" si="49"/>
        <v>0.10815</v>
      </c>
      <c r="E43" s="207"/>
      <c r="F43" s="226" t="s">
        <v>1686</v>
      </c>
      <c r="G43" s="217">
        <f t="shared" si="50"/>
        <v>0.09785</v>
      </c>
      <c r="H43" s="227">
        <v>0.103</v>
      </c>
      <c r="I43" s="216">
        <f t="shared" si="51"/>
        <v>0.10815</v>
      </c>
      <c r="J43" s="207"/>
      <c r="K43" s="226" t="s">
        <v>1686</v>
      </c>
      <c r="L43" s="217">
        <f t="shared" si="52"/>
        <v>0.09785</v>
      </c>
      <c r="M43" s="227">
        <v>0.103</v>
      </c>
      <c r="N43" s="216">
        <f t="shared" si="53"/>
        <v>0.10815</v>
      </c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201"/>
      <c r="Z43" s="201"/>
    </row>
    <row r="44">
      <c r="A44" s="228" t="s">
        <v>1687</v>
      </c>
      <c r="B44" s="214">
        <f t="shared" ref="B44:D44" si="54">B33/B45</f>
        <v>69.29967349</v>
      </c>
      <c r="C44" s="214">
        <f t="shared" si="54"/>
        <v>59.56471936</v>
      </c>
      <c r="D44" s="214">
        <f t="shared" si="54"/>
        <v>51.32560852</v>
      </c>
      <c r="E44" s="207"/>
      <c r="F44" s="228" t="s">
        <v>1687</v>
      </c>
      <c r="G44" s="214">
        <f t="shared" ref="G44:I44" si="55">G33/G45</f>
        <v>69.29967349</v>
      </c>
      <c r="H44" s="214">
        <f t="shared" si="55"/>
        <v>59.56471936</v>
      </c>
      <c r="I44" s="214">
        <f t="shared" si="55"/>
        <v>51.32560852</v>
      </c>
      <c r="J44" s="207"/>
      <c r="K44" s="228" t="s">
        <v>1687</v>
      </c>
      <c r="L44" s="214">
        <f t="shared" ref="L44:N44" si="56">L33/L45</f>
        <v>69.29967349</v>
      </c>
      <c r="M44" s="214">
        <f t="shared" si="56"/>
        <v>59.56471936</v>
      </c>
      <c r="N44" s="214">
        <f t="shared" si="56"/>
        <v>51.32560852</v>
      </c>
      <c r="O44" s="201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</row>
    <row r="45">
      <c r="A45" s="228" t="s">
        <v>1688</v>
      </c>
      <c r="B45" s="215">
        <f t="shared" ref="B45:D45" si="57">(B42*(B38+B39))</f>
        <v>108.2256181</v>
      </c>
      <c r="C45" s="215">
        <f t="shared" si="57"/>
        <v>125.9134615</v>
      </c>
      <c r="D45" s="215">
        <f t="shared" si="57"/>
        <v>146.1258856</v>
      </c>
      <c r="E45" s="207"/>
      <c r="F45" s="228" t="s">
        <v>1688</v>
      </c>
      <c r="G45" s="215">
        <f t="shared" ref="G45:I45" si="58">(G42*(G38+G39))</f>
        <v>108.2256181</v>
      </c>
      <c r="H45" s="215">
        <f t="shared" si="58"/>
        <v>125.9134615</v>
      </c>
      <c r="I45" s="215">
        <f t="shared" si="58"/>
        <v>146.1258856</v>
      </c>
      <c r="J45" s="207"/>
      <c r="K45" s="228" t="s">
        <v>1688</v>
      </c>
      <c r="L45" s="215">
        <f t="shared" ref="L45:N45" si="59">(L42*(L38+L39))</f>
        <v>108.2256181</v>
      </c>
      <c r="M45" s="215">
        <f t="shared" si="59"/>
        <v>125.9134615</v>
      </c>
      <c r="N45" s="215">
        <f t="shared" si="59"/>
        <v>146.1258856</v>
      </c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</row>
    <row r="46">
      <c r="A46" s="208" t="s">
        <v>1689</v>
      </c>
      <c r="B46" s="214">
        <f t="shared" ref="B46:D46" si="60">B33/B47</f>
        <v>708.2235411</v>
      </c>
      <c r="C46" s="214">
        <f t="shared" si="60"/>
        <v>578.2982462</v>
      </c>
      <c r="D46" s="214">
        <f t="shared" si="60"/>
        <v>474.5779798</v>
      </c>
      <c r="E46" s="207"/>
      <c r="F46" s="208" t="s">
        <v>1689</v>
      </c>
      <c r="G46" s="214">
        <f t="shared" ref="G46:I46" si="61">G33/G47</f>
        <v>708.2235411</v>
      </c>
      <c r="H46" s="214">
        <f t="shared" si="61"/>
        <v>578.2982462</v>
      </c>
      <c r="I46" s="214">
        <f t="shared" si="61"/>
        <v>474.5779798</v>
      </c>
      <c r="J46" s="207"/>
      <c r="K46" s="208" t="s">
        <v>1689</v>
      </c>
      <c r="L46" s="214">
        <f t="shared" ref="L46:N46" si="62">L33/L47</f>
        <v>708.2235411</v>
      </c>
      <c r="M46" s="214">
        <f t="shared" si="62"/>
        <v>578.2982462</v>
      </c>
      <c r="N46" s="214">
        <f t="shared" si="62"/>
        <v>474.5779798</v>
      </c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</row>
    <row r="47">
      <c r="A47" s="208" t="s">
        <v>1690</v>
      </c>
      <c r="B47" s="215">
        <f t="shared" ref="B47:D47" si="63">B45*B43</f>
        <v>10.58987673</v>
      </c>
      <c r="C47" s="215">
        <f t="shared" si="63"/>
        <v>12.96908654</v>
      </c>
      <c r="D47" s="215">
        <f t="shared" si="63"/>
        <v>15.80351453</v>
      </c>
      <c r="E47" s="207"/>
      <c r="F47" s="208" t="s">
        <v>1690</v>
      </c>
      <c r="G47" s="215">
        <f t="shared" ref="G47:I47" si="64">G45*G43</f>
        <v>10.58987673</v>
      </c>
      <c r="H47" s="215">
        <f t="shared" si="64"/>
        <v>12.96908654</v>
      </c>
      <c r="I47" s="215">
        <f t="shared" si="64"/>
        <v>15.80351453</v>
      </c>
      <c r="J47" s="207"/>
      <c r="K47" s="208" t="s">
        <v>1690</v>
      </c>
      <c r="L47" s="215">
        <f t="shared" ref="L47:N47" si="65">L45*L43</f>
        <v>10.58987673</v>
      </c>
      <c r="M47" s="215">
        <f t="shared" si="65"/>
        <v>12.96908654</v>
      </c>
      <c r="N47" s="215">
        <f t="shared" si="65"/>
        <v>15.80351453</v>
      </c>
      <c r="O47" s="201"/>
      <c r="P47" s="201"/>
      <c r="Q47" s="201"/>
      <c r="R47" s="201"/>
      <c r="S47" s="201"/>
      <c r="T47" s="201"/>
      <c r="U47" s="201"/>
      <c r="V47" s="201"/>
      <c r="W47" s="201"/>
      <c r="X47" s="201"/>
      <c r="Y47" s="201"/>
      <c r="Z47" s="201"/>
    </row>
    <row r="48">
      <c r="A48" s="228" t="s">
        <v>1691</v>
      </c>
      <c r="B48" s="214">
        <f t="shared" ref="B48:D48" si="66">B41*B47</f>
        <v>99094.77154</v>
      </c>
      <c r="C48" s="214">
        <f t="shared" si="66"/>
        <v>127745.5024</v>
      </c>
      <c r="D48" s="214">
        <f t="shared" si="66"/>
        <v>163447.849</v>
      </c>
      <c r="E48" s="207"/>
      <c r="F48" s="228" t="s">
        <v>1691</v>
      </c>
      <c r="G48" s="214">
        <f t="shared" ref="G48:I48" si="67">G41*G47</f>
        <v>99094.77154</v>
      </c>
      <c r="H48" s="214">
        <f t="shared" si="67"/>
        <v>127745.5024</v>
      </c>
      <c r="I48" s="214">
        <f t="shared" si="67"/>
        <v>163447.849</v>
      </c>
      <c r="J48" s="207"/>
      <c r="K48" s="228" t="s">
        <v>1691</v>
      </c>
      <c r="L48" s="214">
        <f t="shared" ref="L48:N48" si="68">L41*L47</f>
        <v>99094.77154</v>
      </c>
      <c r="M48" s="214">
        <f t="shared" si="68"/>
        <v>127745.5024</v>
      </c>
      <c r="N48" s="214">
        <f t="shared" si="68"/>
        <v>163447.849</v>
      </c>
      <c r="O48" s="201"/>
      <c r="P48" s="201"/>
      <c r="Q48" s="201"/>
      <c r="R48" s="201"/>
      <c r="S48" s="201"/>
      <c r="T48" s="201"/>
      <c r="U48" s="201"/>
      <c r="V48" s="201"/>
      <c r="W48" s="201"/>
      <c r="X48" s="201"/>
      <c r="Y48" s="201"/>
      <c r="Z48" s="201"/>
    </row>
    <row r="49">
      <c r="A49" s="208" t="s">
        <v>1692</v>
      </c>
      <c r="B49" s="76">
        <f t="shared" ref="B49:D49" si="69">B48/B33</f>
        <v>13.21263621</v>
      </c>
      <c r="C49" s="76">
        <f t="shared" si="69"/>
        <v>17.03273365</v>
      </c>
      <c r="D49" s="76">
        <f t="shared" si="69"/>
        <v>21.79304654</v>
      </c>
      <c r="E49" s="207"/>
      <c r="F49" s="208" t="s">
        <v>1692</v>
      </c>
      <c r="G49" s="76">
        <f t="shared" ref="G49:I49" si="70">G48/G33</f>
        <v>13.21263621</v>
      </c>
      <c r="H49" s="76">
        <f t="shared" si="70"/>
        <v>17.03273365</v>
      </c>
      <c r="I49" s="76">
        <f t="shared" si="70"/>
        <v>21.79304654</v>
      </c>
      <c r="J49" s="207"/>
      <c r="K49" s="208" t="s">
        <v>1692</v>
      </c>
      <c r="L49" s="76">
        <f t="shared" ref="L49:N49" si="71">L48/L33</f>
        <v>13.21263621</v>
      </c>
      <c r="M49" s="76">
        <f t="shared" si="71"/>
        <v>17.03273365</v>
      </c>
      <c r="N49" s="76">
        <f t="shared" si="71"/>
        <v>21.79304654</v>
      </c>
      <c r="O49" s="201"/>
      <c r="P49" s="201"/>
      <c r="Q49" s="201"/>
      <c r="R49" s="201"/>
      <c r="S49" s="201"/>
      <c r="T49" s="201"/>
      <c r="U49" s="201"/>
      <c r="V49" s="201"/>
      <c r="W49" s="201"/>
      <c r="X49" s="201"/>
      <c r="Y49" s="201"/>
      <c r="Z49" s="201"/>
    </row>
    <row r="50">
      <c r="A50" s="211" t="s">
        <v>1693</v>
      </c>
      <c r="B50" s="221">
        <v>0.25</v>
      </c>
      <c r="C50" s="221">
        <v>0.25</v>
      </c>
      <c r="D50" s="221">
        <v>0.25</v>
      </c>
      <c r="E50" s="207"/>
      <c r="F50" s="211" t="s">
        <v>1693</v>
      </c>
      <c r="G50" s="221">
        <v>0.25</v>
      </c>
      <c r="H50" s="221">
        <v>0.25</v>
      </c>
      <c r="I50" s="221">
        <v>0.25</v>
      </c>
      <c r="J50" s="207"/>
      <c r="K50" s="211" t="s">
        <v>1693</v>
      </c>
      <c r="L50" s="221">
        <v>0.25</v>
      </c>
      <c r="M50" s="221">
        <v>0.25</v>
      </c>
      <c r="N50" s="221">
        <v>0.25</v>
      </c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201"/>
      <c r="Z50" s="201"/>
    </row>
    <row r="51">
      <c r="A51" s="208" t="s">
        <v>1608</v>
      </c>
      <c r="B51" s="76">
        <f t="shared" ref="B51:D51" si="72">(B48*B50)/B33</f>
        <v>3.303159051</v>
      </c>
      <c r="C51" s="76">
        <f t="shared" si="72"/>
        <v>4.258183413</v>
      </c>
      <c r="D51" s="76">
        <f t="shared" si="72"/>
        <v>5.448261634</v>
      </c>
      <c r="E51" s="222"/>
      <c r="F51" s="208" t="s">
        <v>1608</v>
      </c>
      <c r="G51" s="76">
        <f t="shared" ref="G51:I51" si="73">(G48*G50)/G33</f>
        <v>3.303159051</v>
      </c>
      <c r="H51" s="76">
        <f t="shared" si="73"/>
        <v>4.258183413</v>
      </c>
      <c r="I51" s="76">
        <f t="shared" si="73"/>
        <v>5.448261634</v>
      </c>
      <c r="J51" s="222"/>
      <c r="K51" s="208" t="s">
        <v>1608</v>
      </c>
      <c r="L51" s="76">
        <f t="shared" ref="L51:N51" si="74">(L48*L50)/L33</f>
        <v>3.303159051</v>
      </c>
      <c r="M51" s="76">
        <f t="shared" si="74"/>
        <v>4.258183413</v>
      </c>
      <c r="N51" s="76">
        <f t="shared" si="74"/>
        <v>5.448261634</v>
      </c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</row>
    <row r="52">
      <c r="A52" s="229"/>
      <c r="B52" s="230"/>
      <c r="C52" s="230"/>
      <c r="D52" s="230"/>
      <c r="E52" s="231"/>
      <c r="F52" s="229"/>
      <c r="G52" s="230"/>
      <c r="H52" s="230"/>
      <c r="I52" s="230"/>
      <c r="J52" s="231"/>
      <c r="K52" s="229"/>
      <c r="L52" s="230"/>
      <c r="M52" s="230"/>
      <c r="N52" s="230"/>
      <c r="O52" s="201"/>
      <c r="P52" s="201"/>
      <c r="Q52" s="201"/>
      <c r="R52" s="201"/>
      <c r="S52" s="201"/>
      <c r="T52" s="201"/>
      <c r="U52" s="201"/>
      <c r="V52" s="201"/>
      <c r="W52" s="201"/>
      <c r="X52" s="201"/>
      <c r="Y52" s="201"/>
      <c r="Z52" s="201"/>
    </row>
    <row r="53">
      <c r="A53" s="200" t="s">
        <v>1695</v>
      </c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9"/>
      <c r="O53" s="201"/>
      <c r="P53" s="201"/>
      <c r="Q53" s="201"/>
      <c r="R53" s="201"/>
      <c r="S53" s="201"/>
      <c r="T53" s="201"/>
      <c r="U53" s="201"/>
      <c r="V53" s="201"/>
      <c r="W53" s="201"/>
      <c r="X53" s="201"/>
      <c r="Y53" s="201"/>
      <c r="Z53" s="201"/>
    </row>
    <row r="54">
      <c r="A54" s="202"/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9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1"/>
    </row>
    <row r="55">
      <c r="A55" s="203" t="s">
        <v>17</v>
      </c>
      <c r="B55" s="198"/>
      <c r="C55" s="198"/>
      <c r="D55" s="199"/>
      <c r="E55" s="204"/>
      <c r="F55" s="203" t="s">
        <v>18</v>
      </c>
      <c r="G55" s="198"/>
      <c r="H55" s="198"/>
      <c r="I55" s="199"/>
      <c r="J55" s="204"/>
      <c r="K55" s="203" t="s">
        <v>19</v>
      </c>
      <c r="L55" s="198"/>
      <c r="M55" s="198"/>
      <c r="N55" s="199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</row>
    <row r="56">
      <c r="A56" s="223" t="s">
        <v>1673</v>
      </c>
      <c r="B56" s="206" t="s">
        <v>1674</v>
      </c>
      <c r="C56" s="206" t="s">
        <v>1675</v>
      </c>
      <c r="D56" s="206" t="s">
        <v>1676</v>
      </c>
      <c r="E56" s="207"/>
      <c r="F56" s="223" t="s">
        <v>1673</v>
      </c>
      <c r="G56" s="206" t="s">
        <v>1674</v>
      </c>
      <c r="H56" s="206" t="s">
        <v>1675</v>
      </c>
      <c r="I56" s="206" t="s">
        <v>1676</v>
      </c>
      <c r="J56" s="207"/>
      <c r="K56" s="223" t="s">
        <v>1673</v>
      </c>
      <c r="L56" s="206" t="s">
        <v>1674</v>
      </c>
      <c r="M56" s="206" t="s">
        <v>1675</v>
      </c>
      <c r="N56" s="206" t="s">
        <v>1676</v>
      </c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</row>
    <row r="57">
      <c r="A57" s="208" t="s">
        <v>1677</v>
      </c>
      <c r="B57" s="209">
        <v>45383.0</v>
      </c>
      <c r="C57" s="209">
        <v>45383.0</v>
      </c>
      <c r="D57" s="209">
        <v>45383.0</v>
      </c>
      <c r="E57" s="207"/>
      <c r="F57" s="208" t="s">
        <v>1677</v>
      </c>
      <c r="G57" s="209">
        <v>45383.0</v>
      </c>
      <c r="H57" s="209">
        <v>45383.0</v>
      </c>
      <c r="I57" s="209">
        <v>45383.0</v>
      </c>
      <c r="J57" s="207"/>
      <c r="K57" s="208" t="s">
        <v>1677</v>
      </c>
      <c r="L57" s="209">
        <v>45383.0</v>
      </c>
      <c r="M57" s="209">
        <v>45383.0</v>
      </c>
      <c r="N57" s="209">
        <v>45383.0</v>
      </c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  <c r="Z57" s="201"/>
    </row>
    <row r="58">
      <c r="A58" s="208" t="s">
        <v>1678</v>
      </c>
      <c r="B58" s="209">
        <v>45412.0</v>
      </c>
      <c r="C58" s="209">
        <v>45412.0</v>
      </c>
      <c r="D58" s="209">
        <v>45412.0</v>
      </c>
      <c r="E58" s="207"/>
      <c r="F58" s="208" t="s">
        <v>1678</v>
      </c>
      <c r="G58" s="209">
        <v>45412.0</v>
      </c>
      <c r="H58" s="209">
        <v>45412.0</v>
      </c>
      <c r="I58" s="209">
        <v>45412.0</v>
      </c>
      <c r="J58" s="207"/>
      <c r="K58" s="208" t="s">
        <v>1678</v>
      </c>
      <c r="L58" s="209">
        <v>45412.0</v>
      </c>
      <c r="M58" s="209">
        <v>45412.0</v>
      </c>
      <c r="N58" s="209">
        <v>45412.0</v>
      </c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</row>
    <row r="59">
      <c r="A59" s="211" t="s">
        <v>1679</v>
      </c>
      <c r="B59" s="212">
        <f>C59</f>
        <v>10000</v>
      </c>
      <c r="C59" s="213">
        <v>10000.0</v>
      </c>
      <c r="D59" s="212">
        <f>C59</f>
        <v>10000</v>
      </c>
      <c r="E59" s="207"/>
      <c r="F59" s="211" t="s">
        <v>1679</v>
      </c>
      <c r="G59" s="212">
        <f>H59</f>
        <v>7500</v>
      </c>
      <c r="H59" s="213">
        <v>7500.0</v>
      </c>
      <c r="I59" s="212">
        <f>H59</f>
        <v>7500</v>
      </c>
      <c r="J59" s="207"/>
      <c r="K59" s="211" t="s">
        <v>1679</v>
      </c>
      <c r="L59" s="212">
        <f>M59</f>
        <v>7500</v>
      </c>
      <c r="M59" s="213">
        <v>7500.0</v>
      </c>
      <c r="N59" s="212">
        <f>M59</f>
        <v>7500</v>
      </c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</row>
    <row r="60">
      <c r="A60" s="208" t="s">
        <v>1680</v>
      </c>
      <c r="B60" s="214">
        <f t="shared" ref="B60:D60" si="75">B59/31</f>
        <v>322.5806452</v>
      </c>
      <c r="C60" s="214">
        <f t="shared" si="75"/>
        <v>322.5806452</v>
      </c>
      <c r="D60" s="214">
        <f t="shared" si="75"/>
        <v>322.5806452</v>
      </c>
      <c r="E60" s="207"/>
      <c r="F60" s="208" t="s">
        <v>1680</v>
      </c>
      <c r="G60" s="214">
        <f t="shared" ref="G60:I60" si="76">G59/31</f>
        <v>241.9354839</v>
      </c>
      <c r="H60" s="214">
        <f t="shared" si="76"/>
        <v>241.9354839</v>
      </c>
      <c r="I60" s="214">
        <f t="shared" si="76"/>
        <v>241.9354839</v>
      </c>
      <c r="J60" s="207"/>
      <c r="K60" s="208" t="s">
        <v>1680</v>
      </c>
      <c r="L60" s="214">
        <f t="shared" ref="L60:N60" si="77">L59/31</f>
        <v>241.9354839</v>
      </c>
      <c r="M60" s="214">
        <f t="shared" si="77"/>
        <v>241.9354839</v>
      </c>
      <c r="N60" s="214">
        <f t="shared" si="77"/>
        <v>241.9354839</v>
      </c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201"/>
    </row>
    <row r="61">
      <c r="A61" s="211" t="s">
        <v>1596</v>
      </c>
      <c r="B61" s="213">
        <f>(C61*5%)+C61</f>
        <v>54.6</v>
      </c>
      <c r="C61" s="213">
        <v>52.0</v>
      </c>
      <c r="D61" s="213">
        <f>C61-(C61*5%)</f>
        <v>49.4</v>
      </c>
      <c r="E61" s="207"/>
      <c r="F61" s="211" t="s">
        <v>1596</v>
      </c>
      <c r="G61" s="213">
        <f>(H61*5%)+H61</f>
        <v>54.6</v>
      </c>
      <c r="H61" s="213">
        <v>52.0</v>
      </c>
      <c r="I61" s="213">
        <f>H61-(H61*5%)</f>
        <v>49.4</v>
      </c>
      <c r="J61" s="207"/>
      <c r="K61" s="211" t="s">
        <v>1596</v>
      </c>
      <c r="L61" s="213">
        <f>(M61*5%)+M61</f>
        <v>54.6</v>
      </c>
      <c r="M61" s="213">
        <v>52.0</v>
      </c>
      <c r="N61" s="213">
        <f>M61-(M61*5%)</f>
        <v>49.4</v>
      </c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</row>
    <row r="62">
      <c r="A62" s="208" t="s">
        <v>1580</v>
      </c>
      <c r="B62" s="215">
        <f t="shared" ref="B62:D62" si="78">B59*1000/B61</f>
        <v>183150.1832</v>
      </c>
      <c r="C62" s="215">
        <f t="shared" si="78"/>
        <v>192307.6923</v>
      </c>
      <c r="D62" s="215">
        <f t="shared" si="78"/>
        <v>202429.1498</v>
      </c>
      <c r="E62" s="207"/>
      <c r="F62" s="208" t="s">
        <v>1580</v>
      </c>
      <c r="G62" s="215">
        <f t="shared" ref="G62:I62" si="79">G59*1000/G61</f>
        <v>137362.6374</v>
      </c>
      <c r="H62" s="215">
        <f t="shared" si="79"/>
        <v>144230.7692</v>
      </c>
      <c r="I62" s="215">
        <f t="shared" si="79"/>
        <v>151821.8623</v>
      </c>
      <c r="J62" s="207"/>
      <c r="K62" s="208" t="s">
        <v>1580</v>
      </c>
      <c r="L62" s="215">
        <f t="shared" ref="L62:N62" si="80">L59*1000/L61</f>
        <v>137362.6374</v>
      </c>
      <c r="M62" s="215">
        <f t="shared" si="80"/>
        <v>144230.7692</v>
      </c>
      <c r="N62" s="215">
        <f t="shared" si="80"/>
        <v>151821.8623</v>
      </c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1"/>
      <c r="Z62" s="201"/>
    </row>
    <row r="63">
      <c r="A63" s="211" t="s">
        <v>1588</v>
      </c>
      <c r="B63" s="217">
        <f>C63-(C63*5%)</f>
        <v>0.01843</v>
      </c>
      <c r="C63" s="217">
        <v>0.0194</v>
      </c>
      <c r="D63" s="216">
        <f>(C63*5%)+C63</f>
        <v>0.02037</v>
      </c>
      <c r="E63" s="207"/>
      <c r="F63" s="211" t="s">
        <v>1588</v>
      </c>
      <c r="G63" s="217">
        <f>H63-(H63*5%)</f>
        <v>0.01843</v>
      </c>
      <c r="H63" s="217">
        <v>0.0194</v>
      </c>
      <c r="I63" s="216">
        <f>(H63*5%)+H63</f>
        <v>0.02037</v>
      </c>
      <c r="J63" s="207"/>
      <c r="K63" s="211" t="s">
        <v>1588</v>
      </c>
      <c r="L63" s="217">
        <f>M63-(M63*5%)</f>
        <v>0.01843</v>
      </c>
      <c r="M63" s="217">
        <v>0.0194</v>
      </c>
      <c r="N63" s="216">
        <f>(M63*5%)+M63</f>
        <v>0.02037</v>
      </c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1"/>
      <c r="Z63" s="201"/>
    </row>
    <row r="64">
      <c r="A64" s="208" t="s">
        <v>1681</v>
      </c>
      <c r="B64" s="215">
        <f t="shared" ref="B64:D64" si="81">B62*B63</f>
        <v>3375.457875</v>
      </c>
      <c r="C64" s="215">
        <f t="shared" si="81"/>
        <v>3730.769231</v>
      </c>
      <c r="D64" s="215">
        <f t="shared" si="81"/>
        <v>4123.481781</v>
      </c>
      <c r="E64" s="207"/>
      <c r="F64" s="208" t="s">
        <v>1681</v>
      </c>
      <c r="G64" s="215">
        <f t="shared" ref="G64:I64" si="82">G62*G63</f>
        <v>2531.593407</v>
      </c>
      <c r="H64" s="215">
        <f t="shared" si="82"/>
        <v>2798.076923</v>
      </c>
      <c r="I64" s="215">
        <f t="shared" si="82"/>
        <v>3092.611336</v>
      </c>
      <c r="J64" s="207"/>
      <c r="K64" s="208" t="s">
        <v>1681</v>
      </c>
      <c r="L64" s="215">
        <f t="shared" ref="L64:N64" si="83">L62*L63</f>
        <v>2531.593407</v>
      </c>
      <c r="M64" s="215">
        <f t="shared" si="83"/>
        <v>2798.076923</v>
      </c>
      <c r="N64" s="215">
        <f t="shared" si="83"/>
        <v>3092.611336</v>
      </c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</row>
    <row r="65" hidden="1">
      <c r="A65" s="211" t="s">
        <v>1682</v>
      </c>
      <c r="B65" s="224">
        <v>0.0</v>
      </c>
      <c r="C65" s="224">
        <v>0.0</v>
      </c>
      <c r="D65" s="224">
        <v>0.0</v>
      </c>
      <c r="E65" s="207"/>
      <c r="F65" s="211" t="s">
        <v>1682</v>
      </c>
      <c r="G65" s="224">
        <v>0.0</v>
      </c>
      <c r="H65" s="224">
        <v>0.0</v>
      </c>
      <c r="I65" s="224">
        <v>0.0</v>
      </c>
      <c r="J65" s="207"/>
      <c r="K65" s="211" t="s">
        <v>1682</v>
      </c>
      <c r="L65" s="224">
        <v>0.0</v>
      </c>
      <c r="M65" s="224">
        <v>0.0</v>
      </c>
      <c r="N65" s="224">
        <v>0.0</v>
      </c>
      <c r="O65" s="201"/>
      <c r="P65" s="201"/>
      <c r="Q65" s="201"/>
      <c r="R65" s="201"/>
      <c r="S65" s="201"/>
      <c r="T65" s="201"/>
      <c r="U65" s="201"/>
      <c r="V65" s="201"/>
      <c r="W65" s="201"/>
      <c r="X65" s="201"/>
      <c r="Y65" s="201"/>
      <c r="Z65" s="201"/>
    </row>
    <row r="66">
      <c r="A66" s="208" t="s">
        <v>1683</v>
      </c>
      <c r="B66" s="214">
        <v>0.5</v>
      </c>
      <c r="C66" s="214">
        <v>0.5</v>
      </c>
      <c r="D66" s="214">
        <v>0.5</v>
      </c>
      <c r="E66" s="207"/>
      <c r="F66" s="208" t="s">
        <v>1683</v>
      </c>
      <c r="G66" s="214">
        <v>0.5</v>
      </c>
      <c r="H66" s="214">
        <v>0.5</v>
      </c>
      <c r="I66" s="214">
        <v>0.5</v>
      </c>
      <c r="J66" s="207"/>
      <c r="K66" s="208" t="s">
        <v>1683</v>
      </c>
      <c r="L66" s="214">
        <v>0.5</v>
      </c>
      <c r="M66" s="214">
        <v>0.5</v>
      </c>
      <c r="N66" s="214">
        <v>0.5</v>
      </c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</row>
    <row r="67">
      <c r="A67" s="211" t="s">
        <v>1684</v>
      </c>
      <c r="B67" s="225">
        <f t="shared" ref="B67:B69" si="84">C67-(C67*5%)</f>
        <v>9357.5</v>
      </c>
      <c r="C67" s="213">
        <v>9850.0</v>
      </c>
      <c r="D67" s="213">
        <f t="shared" ref="D67:D69" si="85">(C67*5%)+C67</f>
        <v>10342.5</v>
      </c>
      <c r="E67" s="207"/>
      <c r="F67" s="211" t="s">
        <v>1684</v>
      </c>
      <c r="G67" s="225">
        <f t="shared" ref="G67:G69" si="86">H67-(H67*5%)</f>
        <v>9357.5</v>
      </c>
      <c r="H67" s="213">
        <v>9850.0</v>
      </c>
      <c r="I67" s="213">
        <f t="shared" ref="I67:I69" si="87">(H67*5%)+H67</f>
        <v>10342.5</v>
      </c>
      <c r="J67" s="207"/>
      <c r="K67" s="211" t="s">
        <v>1684</v>
      </c>
      <c r="L67" s="225">
        <f t="shared" ref="L67:L69" si="88">M67-(M67*5%)</f>
        <v>9357.5</v>
      </c>
      <c r="M67" s="213">
        <v>9850.0</v>
      </c>
      <c r="N67" s="213">
        <f t="shared" ref="N67:N69" si="89">(M67*5%)+M67</f>
        <v>10342.5</v>
      </c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</row>
    <row r="68">
      <c r="A68" s="226" t="s">
        <v>1685</v>
      </c>
      <c r="B68" s="217">
        <f t="shared" si="84"/>
        <v>0.04275</v>
      </c>
      <c r="C68" s="217">
        <v>0.045</v>
      </c>
      <c r="D68" s="216">
        <f t="shared" si="85"/>
        <v>0.04725</v>
      </c>
      <c r="E68" s="207"/>
      <c r="F68" s="226" t="s">
        <v>1685</v>
      </c>
      <c r="G68" s="217">
        <f t="shared" si="86"/>
        <v>0.04275</v>
      </c>
      <c r="H68" s="217">
        <v>0.045</v>
      </c>
      <c r="I68" s="216">
        <f t="shared" si="87"/>
        <v>0.04725</v>
      </c>
      <c r="J68" s="207"/>
      <c r="K68" s="226" t="s">
        <v>1685</v>
      </c>
      <c r="L68" s="217">
        <f t="shared" si="88"/>
        <v>0.04275</v>
      </c>
      <c r="M68" s="217">
        <v>0.045</v>
      </c>
      <c r="N68" s="216">
        <f t="shared" si="89"/>
        <v>0.04725</v>
      </c>
      <c r="O68" s="201"/>
      <c r="P68" s="201"/>
      <c r="Q68" s="201"/>
      <c r="R68" s="201"/>
      <c r="S68" s="201"/>
      <c r="T68" s="201"/>
      <c r="U68" s="201"/>
      <c r="V68" s="201"/>
      <c r="W68" s="201"/>
      <c r="X68" s="201"/>
      <c r="Y68" s="201"/>
      <c r="Z68" s="201"/>
    </row>
    <row r="69">
      <c r="A69" s="226" t="s">
        <v>1686</v>
      </c>
      <c r="B69" s="217">
        <f t="shared" si="84"/>
        <v>0.09785</v>
      </c>
      <c r="C69" s="227">
        <v>0.103</v>
      </c>
      <c r="D69" s="216">
        <f t="shared" si="85"/>
        <v>0.10815</v>
      </c>
      <c r="E69" s="207"/>
      <c r="F69" s="226" t="s">
        <v>1686</v>
      </c>
      <c r="G69" s="217">
        <f t="shared" si="86"/>
        <v>0.09785</v>
      </c>
      <c r="H69" s="227">
        <v>0.103</v>
      </c>
      <c r="I69" s="216">
        <f t="shared" si="87"/>
        <v>0.10815</v>
      </c>
      <c r="J69" s="207"/>
      <c r="K69" s="226" t="s">
        <v>1686</v>
      </c>
      <c r="L69" s="217">
        <f t="shared" si="88"/>
        <v>0.09785</v>
      </c>
      <c r="M69" s="227">
        <v>0.103</v>
      </c>
      <c r="N69" s="216">
        <f t="shared" si="89"/>
        <v>0.10815</v>
      </c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201"/>
    </row>
    <row r="70">
      <c r="A70" s="228" t="s">
        <v>1687</v>
      </c>
      <c r="B70" s="214">
        <f t="shared" ref="B70:D70" si="90">B59/B71</f>
        <v>69.29967349</v>
      </c>
      <c r="C70" s="214">
        <f t="shared" si="90"/>
        <v>59.56471936</v>
      </c>
      <c r="D70" s="214">
        <f t="shared" si="90"/>
        <v>51.32560852</v>
      </c>
      <c r="E70" s="207"/>
      <c r="F70" s="228" t="s">
        <v>1687</v>
      </c>
      <c r="G70" s="214">
        <f t="shared" ref="G70:I70" si="91">G59/G71</f>
        <v>69.29967349</v>
      </c>
      <c r="H70" s="214">
        <f t="shared" si="91"/>
        <v>59.56471936</v>
      </c>
      <c r="I70" s="214">
        <f t="shared" si="91"/>
        <v>51.32560852</v>
      </c>
      <c r="J70" s="207"/>
      <c r="K70" s="228" t="s">
        <v>1687</v>
      </c>
      <c r="L70" s="214">
        <f t="shared" ref="L70:N70" si="92">L59/L71</f>
        <v>69.29967349</v>
      </c>
      <c r="M70" s="214">
        <f t="shared" si="92"/>
        <v>59.56471936</v>
      </c>
      <c r="N70" s="214">
        <f t="shared" si="92"/>
        <v>51.32560852</v>
      </c>
      <c r="O70" s="201"/>
      <c r="P70" s="201"/>
      <c r="Q70" s="201"/>
      <c r="R70" s="201"/>
      <c r="S70" s="201"/>
      <c r="T70" s="201"/>
      <c r="U70" s="201"/>
      <c r="V70" s="201"/>
      <c r="W70" s="201"/>
      <c r="X70" s="201"/>
      <c r="Y70" s="201"/>
      <c r="Z70" s="201"/>
    </row>
    <row r="71">
      <c r="A71" s="228" t="s">
        <v>1688</v>
      </c>
      <c r="B71" s="215">
        <f t="shared" ref="B71:D71" si="93">(B68*(B64+B65))</f>
        <v>144.3008242</v>
      </c>
      <c r="C71" s="215">
        <f t="shared" si="93"/>
        <v>167.8846154</v>
      </c>
      <c r="D71" s="215">
        <f t="shared" si="93"/>
        <v>194.8345142</v>
      </c>
      <c r="E71" s="207"/>
      <c r="F71" s="228" t="s">
        <v>1688</v>
      </c>
      <c r="G71" s="215">
        <f t="shared" ref="G71:I71" si="94">(G68*(G64+G65))</f>
        <v>108.2256181</v>
      </c>
      <c r="H71" s="215">
        <f t="shared" si="94"/>
        <v>125.9134615</v>
      </c>
      <c r="I71" s="215">
        <f t="shared" si="94"/>
        <v>146.1258856</v>
      </c>
      <c r="J71" s="207"/>
      <c r="K71" s="228" t="s">
        <v>1688</v>
      </c>
      <c r="L71" s="215">
        <f t="shared" ref="L71:N71" si="95">(L68*(L64+L65))</f>
        <v>108.2256181</v>
      </c>
      <c r="M71" s="215">
        <f t="shared" si="95"/>
        <v>125.9134615</v>
      </c>
      <c r="N71" s="215">
        <f t="shared" si="95"/>
        <v>146.1258856</v>
      </c>
      <c r="O71" s="201"/>
      <c r="P71" s="201"/>
      <c r="Q71" s="201"/>
      <c r="R71" s="201"/>
      <c r="S71" s="201"/>
      <c r="T71" s="201"/>
      <c r="U71" s="201"/>
      <c r="V71" s="201"/>
      <c r="W71" s="201"/>
      <c r="X71" s="201"/>
      <c r="Y71" s="201"/>
      <c r="Z71" s="201"/>
    </row>
    <row r="72">
      <c r="A72" s="208" t="s">
        <v>1689</v>
      </c>
      <c r="B72" s="214">
        <f t="shared" ref="B72:D72" si="96">B59/B73</f>
        <v>708.2235411</v>
      </c>
      <c r="C72" s="214">
        <f t="shared" si="96"/>
        <v>578.2982462</v>
      </c>
      <c r="D72" s="214">
        <f t="shared" si="96"/>
        <v>474.5779798</v>
      </c>
      <c r="E72" s="207"/>
      <c r="F72" s="208" t="s">
        <v>1689</v>
      </c>
      <c r="G72" s="214">
        <f t="shared" ref="G72:I72" si="97">G59/G73</f>
        <v>708.2235411</v>
      </c>
      <c r="H72" s="214">
        <f t="shared" si="97"/>
        <v>578.2982462</v>
      </c>
      <c r="I72" s="214">
        <f t="shared" si="97"/>
        <v>474.5779798</v>
      </c>
      <c r="J72" s="207"/>
      <c r="K72" s="208" t="s">
        <v>1689</v>
      </c>
      <c r="L72" s="214">
        <f t="shared" ref="L72:N72" si="98">L59/L73</f>
        <v>708.2235411</v>
      </c>
      <c r="M72" s="214">
        <f t="shared" si="98"/>
        <v>578.2982462</v>
      </c>
      <c r="N72" s="214">
        <f t="shared" si="98"/>
        <v>474.5779798</v>
      </c>
      <c r="O72" s="201"/>
      <c r="P72" s="201"/>
      <c r="Q72" s="201"/>
      <c r="R72" s="201"/>
      <c r="S72" s="201"/>
      <c r="T72" s="201"/>
      <c r="U72" s="201"/>
      <c r="V72" s="201"/>
      <c r="W72" s="201"/>
      <c r="X72" s="201"/>
      <c r="Y72" s="201"/>
      <c r="Z72" s="201"/>
    </row>
    <row r="73">
      <c r="A73" s="208" t="s">
        <v>1690</v>
      </c>
      <c r="B73" s="215">
        <f t="shared" ref="B73:D73" si="99">B71*B69</f>
        <v>14.11983565</v>
      </c>
      <c r="C73" s="215">
        <f t="shared" si="99"/>
        <v>17.29211538</v>
      </c>
      <c r="D73" s="215">
        <f t="shared" si="99"/>
        <v>21.07135271</v>
      </c>
      <c r="E73" s="207"/>
      <c r="F73" s="208" t="s">
        <v>1690</v>
      </c>
      <c r="G73" s="215">
        <f t="shared" ref="G73:I73" si="100">G71*G69</f>
        <v>10.58987673</v>
      </c>
      <c r="H73" s="215">
        <f t="shared" si="100"/>
        <v>12.96908654</v>
      </c>
      <c r="I73" s="215">
        <f t="shared" si="100"/>
        <v>15.80351453</v>
      </c>
      <c r="J73" s="207"/>
      <c r="K73" s="208" t="s">
        <v>1690</v>
      </c>
      <c r="L73" s="215">
        <f t="shared" ref="L73:N73" si="101">L71*L69</f>
        <v>10.58987673</v>
      </c>
      <c r="M73" s="215">
        <f t="shared" si="101"/>
        <v>12.96908654</v>
      </c>
      <c r="N73" s="215">
        <f t="shared" si="101"/>
        <v>15.80351453</v>
      </c>
      <c r="O73" s="201"/>
      <c r="P73" s="201"/>
      <c r="Q73" s="201"/>
      <c r="R73" s="201"/>
      <c r="S73" s="201"/>
      <c r="T73" s="201"/>
      <c r="U73" s="201"/>
      <c r="V73" s="201"/>
      <c r="W73" s="201"/>
      <c r="X73" s="201"/>
      <c r="Y73" s="201"/>
      <c r="Z73" s="201"/>
    </row>
    <row r="74">
      <c r="A74" s="228" t="s">
        <v>1691</v>
      </c>
      <c r="B74" s="214">
        <f t="shared" ref="B74:D74" si="102">B67*B73</f>
        <v>132126.3621</v>
      </c>
      <c r="C74" s="214">
        <f t="shared" si="102"/>
        <v>170327.3365</v>
      </c>
      <c r="D74" s="214">
        <f t="shared" si="102"/>
        <v>217930.4654</v>
      </c>
      <c r="E74" s="207"/>
      <c r="F74" s="228" t="s">
        <v>1691</v>
      </c>
      <c r="G74" s="214">
        <f t="shared" ref="G74:I74" si="103">G67*G73</f>
        <v>99094.77154</v>
      </c>
      <c r="H74" s="214">
        <f t="shared" si="103"/>
        <v>127745.5024</v>
      </c>
      <c r="I74" s="214">
        <f t="shared" si="103"/>
        <v>163447.849</v>
      </c>
      <c r="J74" s="207"/>
      <c r="K74" s="228" t="s">
        <v>1691</v>
      </c>
      <c r="L74" s="214">
        <f t="shared" ref="L74:N74" si="104">L67*L73</f>
        <v>99094.77154</v>
      </c>
      <c r="M74" s="214">
        <f t="shared" si="104"/>
        <v>127745.5024</v>
      </c>
      <c r="N74" s="214">
        <f t="shared" si="104"/>
        <v>163447.849</v>
      </c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</row>
    <row r="75">
      <c r="A75" s="208" t="s">
        <v>1692</v>
      </c>
      <c r="B75" s="76">
        <f t="shared" ref="B75:D75" si="105">B74/B59</f>
        <v>13.21263621</v>
      </c>
      <c r="C75" s="76">
        <f t="shared" si="105"/>
        <v>17.03273365</v>
      </c>
      <c r="D75" s="76">
        <f t="shared" si="105"/>
        <v>21.79304654</v>
      </c>
      <c r="E75" s="207"/>
      <c r="F75" s="208" t="s">
        <v>1692</v>
      </c>
      <c r="G75" s="76">
        <f t="shared" ref="G75:I75" si="106">G74/G59</f>
        <v>13.21263621</v>
      </c>
      <c r="H75" s="76">
        <f t="shared" si="106"/>
        <v>17.03273365</v>
      </c>
      <c r="I75" s="76">
        <f t="shared" si="106"/>
        <v>21.79304654</v>
      </c>
      <c r="J75" s="207"/>
      <c r="K75" s="208" t="s">
        <v>1692</v>
      </c>
      <c r="L75" s="76">
        <f t="shared" ref="L75:N75" si="107">L74/L59</f>
        <v>13.21263621</v>
      </c>
      <c r="M75" s="76">
        <f t="shared" si="107"/>
        <v>17.03273365</v>
      </c>
      <c r="N75" s="76">
        <f t="shared" si="107"/>
        <v>21.79304654</v>
      </c>
      <c r="O75" s="201"/>
      <c r="P75" s="201"/>
      <c r="Q75" s="201"/>
      <c r="R75" s="201"/>
      <c r="S75" s="201"/>
      <c r="T75" s="201"/>
      <c r="U75" s="201"/>
      <c r="V75" s="201"/>
      <c r="W75" s="201"/>
      <c r="X75" s="201"/>
      <c r="Y75" s="201"/>
      <c r="Z75" s="201"/>
    </row>
    <row r="76">
      <c r="A76" s="211" t="s">
        <v>1693</v>
      </c>
      <c r="B76" s="221">
        <v>0.25</v>
      </c>
      <c r="C76" s="221">
        <v>0.25</v>
      </c>
      <c r="D76" s="221">
        <v>0.25</v>
      </c>
      <c r="E76" s="207"/>
      <c r="F76" s="211" t="s">
        <v>1693</v>
      </c>
      <c r="G76" s="221">
        <v>0.25</v>
      </c>
      <c r="H76" s="221">
        <v>0.25</v>
      </c>
      <c r="I76" s="221">
        <v>0.25</v>
      </c>
      <c r="J76" s="207"/>
      <c r="K76" s="211" t="s">
        <v>1693</v>
      </c>
      <c r="L76" s="221">
        <v>0.25</v>
      </c>
      <c r="M76" s="221">
        <v>0.25</v>
      </c>
      <c r="N76" s="221">
        <v>0.25</v>
      </c>
      <c r="O76" s="201"/>
      <c r="P76" s="201"/>
      <c r="Q76" s="201"/>
      <c r="R76" s="201"/>
      <c r="S76" s="201"/>
      <c r="T76" s="201"/>
      <c r="U76" s="201"/>
      <c r="V76" s="201"/>
      <c r="W76" s="201"/>
      <c r="X76" s="201"/>
      <c r="Y76" s="201"/>
      <c r="Z76" s="201"/>
    </row>
    <row r="77">
      <c r="A77" s="208" t="s">
        <v>1608</v>
      </c>
      <c r="B77" s="76">
        <f t="shared" ref="B77:D77" si="108">(B74*B76)/B59</f>
        <v>3.303159051</v>
      </c>
      <c r="C77" s="76">
        <f t="shared" si="108"/>
        <v>4.258183413</v>
      </c>
      <c r="D77" s="76">
        <f t="shared" si="108"/>
        <v>5.448261634</v>
      </c>
      <c r="E77" s="222"/>
      <c r="F77" s="208" t="s">
        <v>1608</v>
      </c>
      <c r="G77" s="76">
        <f t="shared" ref="G77:I77" si="109">(G74*G76)/G59</f>
        <v>3.303159051</v>
      </c>
      <c r="H77" s="76">
        <f t="shared" si="109"/>
        <v>4.258183413</v>
      </c>
      <c r="I77" s="76">
        <f t="shared" si="109"/>
        <v>5.448261634</v>
      </c>
      <c r="J77" s="222"/>
      <c r="K77" s="208" t="s">
        <v>1608</v>
      </c>
      <c r="L77" s="76">
        <f t="shared" ref="L77:N77" si="110">(L74*L76)/L59</f>
        <v>3.303159051</v>
      </c>
      <c r="M77" s="76">
        <f t="shared" si="110"/>
        <v>4.258183413</v>
      </c>
      <c r="N77" s="76">
        <f t="shared" si="110"/>
        <v>5.448261634</v>
      </c>
      <c r="O77" s="201"/>
      <c r="P77" s="201"/>
      <c r="Q77" s="201"/>
      <c r="R77" s="201"/>
      <c r="S77" s="201"/>
      <c r="T77" s="201"/>
      <c r="U77" s="201"/>
      <c r="V77" s="201"/>
      <c r="W77" s="201"/>
      <c r="X77" s="201"/>
      <c r="Y77" s="201"/>
      <c r="Z77" s="201"/>
    </row>
    <row r="78">
      <c r="A78" s="229"/>
      <c r="B78" s="230"/>
      <c r="C78" s="230"/>
      <c r="D78" s="230"/>
      <c r="E78" s="231"/>
      <c r="F78" s="229"/>
      <c r="G78" s="230"/>
      <c r="H78" s="230"/>
      <c r="I78" s="230"/>
      <c r="J78" s="231"/>
      <c r="K78" s="229"/>
      <c r="L78" s="230"/>
      <c r="M78" s="230"/>
      <c r="N78" s="230"/>
      <c r="O78" s="201"/>
      <c r="P78" s="201"/>
      <c r="Q78" s="201"/>
      <c r="R78" s="201"/>
      <c r="S78" s="201"/>
      <c r="T78" s="201"/>
      <c r="U78" s="201"/>
      <c r="V78" s="201"/>
      <c r="W78" s="201"/>
      <c r="X78" s="201"/>
      <c r="Y78" s="201"/>
      <c r="Z78" s="201"/>
    </row>
    <row r="79">
      <c r="A79" s="200" t="s">
        <v>1696</v>
      </c>
      <c r="B79" s="198"/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9"/>
      <c r="O79" s="201"/>
      <c r="P79" s="201"/>
      <c r="Q79" s="201"/>
      <c r="R79" s="201"/>
      <c r="S79" s="201"/>
      <c r="T79" s="201"/>
      <c r="U79" s="201"/>
      <c r="V79" s="201"/>
      <c r="W79" s="201"/>
      <c r="X79" s="201"/>
      <c r="Y79" s="201"/>
      <c r="Z79" s="201"/>
    </row>
    <row r="80">
      <c r="A80" s="202"/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9"/>
      <c r="O80" s="201"/>
      <c r="P80" s="201"/>
      <c r="Q80" s="201"/>
      <c r="R80" s="201"/>
      <c r="S80" s="201"/>
      <c r="T80" s="201"/>
      <c r="U80" s="201"/>
      <c r="V80" s="201"/>
      <c r="W80" s="201"/>
      <c r="X80" s="201"/>
      <c r="Y80" s="201"/>
      <c r="Z80" s="201"/>
    </row>
    <row r="81">
      <c r="A81" s="203" t="s">
        <v>20</v>
      </c>
      <c r="B81" s="198"/>
      <c r="C81" s="198"/>
      <c r="D81" s="199"/>
      <c r="E81" s="204"/>
      <c r="F81" s="203" t="s">
        <v>21</v>
      </c>
      <c r="G81" s="198"/>
      <c r="H81" s="198"/>
      <c r="I81" s="199"/>
      <c r="J81" s="204"/>
      <c r="K81" s="203" t="s">
        <v>22</v>
      </c>
      <c r="L81" s="198"/>
      <c r="M81" s="198"/>
      <c r="N81" s="199"/>
      <c r="O81" s="201"/>
      <c r="P81" s="201"/>
      <c r="Q81" s="201"/>
      <c r="R81" s="201"/>
      <c r="S81" s="201"/>
      <c r="T81" s="201"/>
      <c r="U81" s="201"/>
      <c r="V81" s="201"/>
      <c r="W81" s="201"/>
      <c r="X81" s="201"/>
      <c r="Y81" s="201"/>
      <c r="Z81" s="201"/>
    </row>
    <row r="82">
      <c r="A82" s="223" t="s">
        <v>1673</v>
      </c>
      <c r="B82" s="206" t="s">
        <v>1674</v>
      </c>
      <c r="C82" s="206" t="s">
        <v>1675</v>
      </c>
      <c r="D82" s="206" t="s">
        <v>1676</v>
      </c>
      <c r="E82" s="207"/>
      <c r="F82" s="223" t="s">
        <v>1673</v>
      </c>
      <c r="G82" s="206" t="s">
        <v>1674</v>
      </c>
      <c r="H82" s="206" t="s">
        <v>1675</v>
      </c>
      <c r="I82" s="206" t="s">
        <v>1676</v>
      </c>
      <c r="J82" s="207"/>
      <c r="K82" s="223" t="s">
        <v>1673</v>
      </c>
      <c r="L82" s="206" t="s">
        <v>1674</v>
      </c>
      <c r="M82" s="206" t="s">
        <v>1675</v>
      </c>
      <c r="N82" s="206" t="s">
        <v>1676</v>
      </c>
      <c r="O82" s="201"/>
      <c r="P82" s="201"/>
      <c r="Q82" s="201"/>
      <c r="R82" s="201"/>
      <c r="S82" s="201"/>
      <c r="T82" s="201"/>
      <c r="U82" s="201"/>
      <c r="V82" s="201"/>
      <c r="W82" s="201"/>
      <c r="X82" s="201"/>
      <c r="Y82" s="201"/>
      <c r="Z82" s="201"/>
    </row>
    <row r="83">
      <c r="A83" s="208" t="s">
        <v>1677</v>
      </c>
      <c r="B83" s="209">
        <v>45383.0</v>
      </c>
      <c r="C83" s="209">
        <v>45383.0</v>
      </c>
      <c r="D83" s="209">
        <v>45383.0</v>
      </c>
      <c r="E83" s="207"/>
      <c r="F83" s="208" t="s">
        <v>1677</v>
      </c>
      <c r="G83" s="209">
        <v>45383.0</v>
      </c>
      <c r="H83" s="209">
        <v>45383.0</v>
      </c>
      <c r="I83" s="209">
        <v>45383.0</v>
      </c>
      <c r="J83" s="207"/>
      <c r="K83" s="208" t="s">
        <v>1677</v>
      </c>
      <c r="L83" s="209">
        <v>45383.0</v>
      </c>
      <c r="M83" s="209">
        <v>45383.0</v>
      </c>
      <c r="N83" s="209">
        <v>45383.0</v>
      </c>
      <c r="O83" s="201"/>
      <c r="P83" s="201"/>
      <c r="Q83" s="201"/>
      <c r="R83" s="201"/>
      <c r="S83" s="201"/>
      <c r="T83" s="201"/>
      <c r="U83" s="201"/>
      <c r="V83" s="201"/>
      <c r="W83" s="201"/>
      <c r="X83" s="201"/>
      <c r="Y83" s="201"/>
      <c r="Z83" s="201"/>
    </row>
    <row r="84">
      <c r="A84" s="208" t="s">
        <v>1678</v>
      </c>
      <c r="B84" s="209">
        <v>45412.0</v>
      </c>
      <c r="C84" s="209">
        <v>45412.0</v>
      </c>
      <c r="D84" s="209">
        <v>45412.0</v>
      </c>
      <c r="E84" s="207"/>
      <c r="F84" s="208" t="s">
        <v>1678</v>
      </c>
      <c r="G84" s="209">
        <v>45412.0</v>
      </c>
      <c r="H84" s="209">
        <v>45412.0</v>
      </c>
      <c r="I84" s="209">
        <v>45412.0</v>
      </c>
      <c r="J84" s="207"/>
      <c r="K84" s="208" t="s">
        <v>1678</v>
      </c>
      <c r="L84" s="209">
        <v>45412.0</v>
      </c>
      <c r="M84" s="209">
        <v>45412.0</v>
      </c>
      <c r="N84" s="209">
        <v>45412.0</v>
      </c>
      <c r="O84" s="201"/>
      <c r="P84" s="201"/>
      <c r="Q84" s="201"/>
      <c r="R84" s="201"/>
      <c r="S84" s="201"/>
      <c r="T84" s="201"/>
      <c r="U84" s="201"/>
      <c r="V84" s="201"/>
      <c r="W84" s="201"/>
      <c r="X84" s="201"/>
      <c r="Y84" s="201"/>
      <c r="Z84" s="201"/>
    </row>
    <row r="85">
      <c r="A85" s="211" t="s">
        <v>1679</v>
      </c>
      <c r="B85" s="212">
        <f>C85</f>
        <v>7500</v>
      </c>
      <c r="C85" s="213">
        <v>7500.0</v>
      </c>
      <c r="D85" s="212">
        <f>C85</f>
        <v>7500</v>
      </c>
      <c r="E85" s="207"/>
      <c r="F85" s="211" t="s">
        <v>1679</v>
      </c>
      <c r="G85" s="212">
        <f>H85</f>
        <v>7500</v>
      </c>
      <c r="H85" s="213">
        <v>7500.0</v>
      </c>
      <c r="I85" s="212">
        <f>H85</f>
        <v>7500</v>
      </c>
      <c r="J85" s="207"/>
      <c r="K85" s="211" t="s">
        <v>1679</v>
      </c>
      <c r="L85" s="212">
        <f>M85</f>
        <v>7500</v>
      </c>
      <c r="M85" s="213">
        <v>7500.0</v>
      </c>
      <c r="N85" s="212">
        <f>M85</f>
        <v>7500</v>
      </c>
      <c r="O85" s="201"/>
      <c r="P85" s="201"/>
      <c r="Q85" s="201"/>
      <c r="R85" s="201"/>
      <c r="S85" s="201"/>
      <c r="T85" s="201"/>
      <c r="U85" s="201"/>
      <c r="V85" s="201"/>
      <c r="W85" s="201"/>
      <c r="X85" s="201"/>
      <c r="Y85" s="201"/>
      <c r="Z85" s="201"/>
    </row>
    <row r="86">
      <c r="A86" s="208" t="s">
        <v>1680</v>
      </c>
      <c r="B86" s="214">
        <f t="shared" ref="B86:D86" si="111">B85/31</f>
        <v>241.9354839</v>
      </c>
      <c r="C86" s="214">
        <f t="shared" si="111"/>
        <v>241.9354839</v>
      </c>
      <c r="D86" s="214">
        <f t="shared" si="111"/>
        <v>241.9354839</v>
      </c>
      <c r="E86" s="207"/>
      <c r="F86" s="208" t="s">
        <v>1680</v>
      </c>
      <c r="G86" s="214">
        <f t="shared" ref="G86:I86" si="112">G85/31</f>
        <v>241.9354839</v>
      </c>
      <c r="H86" s="214">
        <f t="shared" si="112"/>
        <v>241.9354839</v>
      </c>
      <c r="I86" s="214">
        <f t="shared" si="112"/>
        <v>241.9354839</v>
      </c>
      <c r="J86" s="207"/>
      <c r="K86" s="208" t="s">
        <v>1680</v>
      </c>
      <c r="L86" s="214">
        <f t="shared" ref="L86:N86" si="113">L85/31</f>
        <v>241.9354839</v>
      </c>
      <c r="M86" s="214">
        <f t="shared" si="113"/>
        <v>241.9354839</v>
      </c>
      <c r="N86" s="214">
        <f t="shared" si="113"/>
        <v>241.9354839</v>
      </c>
      <c r="O86" s="201"/>
      <c r="P86" s="201"/>
      <c r="Q86" s="201"/>
      <c r="R86" s="201"/>
      <c r="S86" s="201"/>
      <c r="T86" s="201"/>
      <c r="U86" s="201"/>
      <c r="V86" s="201"/>
      <c r="W86" s="201"/>
      <c r="X86" s="201"/>
      <c r="Y86" s="201"/>
      <c r="Z86" s="201"/>
    </row>
    <row r="87">
      <c r="A87" s="211" t="s">
        <v>1596</v>
      </c>
      <c r="B87" s="213">
        <f>(C87*5%)+C87</f>
        <v>54.6</v>
      </c>
      <c r="C87" s="213">
        <v>52.0</v>
      </c>
      <c r="D87" s="213">
        <f>C87-(C87*5%)</f>
        <v>49.4</v>
      </c>
      <c r="E87" s="207"/>
      <c r="F87" s="211" t="s">
        <v>1596</v>
      </c>
      <c r="G87" s="213">
        <f>(H87*5%)+H87</f>
        <v>54.6</v>
      </c>
      <c r="H87" s="213">
        <v>52.0</v>
      </c>
      <c r="I87" s="213">
        <f>H87-(H87*5%)</f>
        <v>49.4</v>
      </c>
      <c r="J87" s="207"/>
      <c r="K87" s="211" t="s">
        <v>1596</v>
      </c>
      <c r="L87" s="213">
        <f>(M87*5%)+M87</f>
        <v>54.6</v>
      </c>
      <c r="M87" s="213">
        <v>52.0</v>
      </c>
      <c r="N87" s="213">
        <f>M87-(M87*5%)</f>
        <v>49.4</v>
      </c>
      <c r="O87" s="201"/>
      <c r="P87" s="201"/>
      <c r="Q87" s="201"/>
      <c r="R87" s="201"/>
      <c r="S87" s="201"/>
      <c r="T87" s="201"/>
      <c r="U87" s="201"/>
      <c r="V87" s="201"/>
      <c r="W87" s="201"/>
      <c r="X87" s="201"/>
      <c r="Y87" s="201"/>
      <c r="Z87" s="201"/>
    </row>
    <row r="88">
      <c r="A88" s="208" t="s">
        <v>1580</v>
      </c>
      <c r="B88" s="215">
        <f t="shared" ref="B88:D88" si="114">B85*1000/B87</f>
        <v>137362.6374</v>
      </c>
      <c r="C88" s="215">
        <f t="shared" si="114"/>
        <v>144230.7692</v>
      </c>
      <c r="D88" s="215">
        <f t="shared" si="114"/>
        <v>151821.8623</v>
      </c>
      <c r="E88" s="207"/>
      <c r="F88" s="208" t="s">
        <v>1580</v>
      </c>
      <c r="G88" s="215">
        <f t="shared" ref="G88:I88" si="115">G85*1000/G87</f>
        <v>137362.6374</v>
      </c>
      <c r="H88" s="215">
        <f t="shared" si="115"/>
        <v>144230.7692</v>
      </c>
      <c r="I88" s="215">
        <f t="shared" si="115"/>
        <v>151821.8623</v>
      </c>
      <c r="J88" s="207"/>
      <c r="K88" s="208" t="s">
        <v>1580</v>
      </c>
      <c r="L88" s="215">
        <f t="shared" ref="L88:N88" si="116">L85*1000/L87</f>
        <v>137362.6374</v>
      </c>
      <c r="M88" s="215">
        <f t="shared" si="116"/>
        <v>144230.7692</v>
      </c>
      <c r="N88" s="215">
        <f t="shared" si="116"/>
        <v>151821.8623</v>
      </c>
      <c r="O88" s="201"/>
      <c r="P88" s="201"/>
      <c r="Q88" s="201"/>
      <c r="R88" s="201"/>
      <c r="S88" s="201"/>
      <c r="T88" s="201"/>
      <c r="U88" s="201"/>
      <c r="V88" s="201"/>
      <c r="W88" s="201"/>
      <c r="X88" s="201"/>
      <c r="Y88" s="201"/>
      <c r="Z88" s="201"/>
    </row>
    <row r="89">
      <c r="A89" s="211" t="s">
        <v>1588</v>
      </c>
      <c r="B89" s="217">
        <f>C89-(C89*5%)</f>
        <v>0.01843</v>
      </c>
      <c r="C89" s="217">
        <v>0.0194</v>
      </c>
      <c r="D89" s="216">
        <f>(C89*5%)+C89</f>
        <v>0.02037</v>
      </c>
      <c r="E89" s="207"/>
      <c r="F89" s="211" t="s">
        <v>1588</v>
      </c>
      <c r="G89" s="217">
        <f>H89-(H89*5%)</f>
        <v>0.01843</v>
      </c>
      <c r="H89" s="217">
        <v>0.0194</v>
      </c>
      <c r="I89" s="216">
        <f>(H89*5%)+H89</f>
        <v>0.02037</v>
      </c>
      <c r="J89" s="207"/>
      <c r="K89" s="211" t="s">
        <v>1588</v>
      </c>
      <c r="L89" s="217">
        <f>M89-(M89*5%)</f>
        <v>0.01843</v>
      </c>
      <c r="M89" s="217">
        <v>0.0194</v>
      </c>
      <c r="N89" s="216">
        <f>(M89*5%)+M89</f>
        <v>0.02037</v>
      </c>
      <c r="O89" s="201"/>
      <c r="P89" s="201"/>
      <c r="Q89" s="201"/>
      <c r="R89" s="201"/>
      <c r="S89" s="201"/>
      <c r="T89" s="201"/>
      <c r="U89" s="201"/>
      <c r="V89" s="201"/>
      <c r="W89" s="201"/>
      <c r="X89" s="201"/>
      <c r="Y89" s="201"/>
      <c r="Z89" s="201"/>
    </row>
    <row r="90">
      <c r="A90" s="208" t="s">
        <v>1681</v>
      </c>
      <c r="B90" s="215">
        <f t="shared" ref="B90:D90" si="117">B88*B89</f>
        <v>2531.593407</v>
      </c>
      <c r="C90" s="215">
        <f t="shared" si="117"/>
        <v>2798.076923</v>
      </c>
      <c r="D90" s="215">
        <f t="shared" si="117"/>
        <v>3092.611336</v>
      </c>
      <c r="E90" s="207"/>
      <c r="F90" s="208" t="s">
        <v>1681</v>
      </c>
      <c r="G90" s="215">
        <f t="shared" ref="G90:I90" si="118">G88*G89</f>
        <v>2531.593407</v>
      </c>
      <c r="H90" s="215">
        <f t="shared" si="118"/>
        <v>2798.076923</v>
      </c>
      <c r="I90" s="215">
        <f t="shared" si="118"/>
        <v>3092.611336</v>
      </c>
      <c r="J90" s="207"/>
      <c r="K90" s="208" t="s">
        <v>1681</v>
      </c>
      <c r="L90" s="215">
        <f t="shared" ref="L90:N90" si="119">L88*L89</f>
        <v>2531.593407</v>
      </c>
      <c r="M90" s="215">
        <f t="shared" si="119"/>
        <v>2798.076923</v>
      </c>
      <c r="N90" s="215">
        <f t="shared" si="119"/>
        <v>3092.611336</v>
      </c>
      <c r="O90" s="201"/>
      <c r="P90" s="201"/>
      <c r="Q90" s="201"/>
      <c r="R90" s="201"/>
      <c r="S90" s="201"/>
      <c r="T90" s="201"/>
      <c r="U90" s="201"/>
      <c r="V90" s="201"/>
      <c r="W90" s="201"/>
      <c r="X90" s="201"/>
      <c r="Y90" s="201"/>
      <c r="Z90" s="201"/>
    </row>
    <row r="91" hidden="1">
      <c r="A91" s="211" t="s">
        <v>1682</v>
      </c>
      <c r="B91" s="224">
        <v>0.0</v>
      </c>
      <c r="C91" s="224">
        <v>0.0</v>
      </c>
      <c r="D91" s="224">
        <v>0.0</v>
      </c>
      <c r="E91" s="207"/>
      <c r="F91" s="211" t="s">
        <v>1682</v>
      </c>
      <c r="G91" s="224">
        <v>0.0</v>
      </c>
      <c r="H91" s="224">
        <v>0.0</v>
      </c>
      <c r="I91" s="224">
        <v>0.0</v>
      </c>
      <c r="J91" s="207"/>
      <c r="K91" s="211" t="s">
        <v>1682</v>
      </c>
      <c r="L91" s="224">
        <v>0.0</v>
      </c>
      <c r="M91" s="224">
        <v>0.0</v>
      </c>
      <c r="N91" s="224">
        <v>0.0</v>
      </c>
      <c r="O91" s="201"/>
      <c r="P91" s="201"/>
      <c r="Q91" s="201"/>
      <c r="R91" s="201"/>
      <c r="S91" s="201"/>
      <c r="T91" s="201"/>
      <c r="U91" s="201"/>
      <c r="V91" s="201"/>
      <c r="W91" s="201"/>
      <c r="X91" s="201"/>
      <c r="Y91" s="201"/>
      <c r="Z91" s="201"/>
    </row>
    <row r="92">
      <c r="A92" s="208" t="s">
        <v>1683</v>
      </c>
      <c r="B92" s="214">
        <v>0.5</v>
      </c>
      <c r="C92" s="214">
        <v>0.5</v>
      </c>
      <c r="D92" s="214">
        <v>0.5</v>
      </c>
      <c r="E92" s="207"/>
      <c r="F92" s="208" t="s">
        <v>1683</v>
      </c>
      <c r="G92" s="214">
        <v>0.5</v>
      </c>
      <c r="H92" s="214">
        <v>0.5</v>
      </c>
      <c r="I92" s="214">
        <v>0.5</v>
      </c>
      <c r="J92" s="207"/>
      <c r="K92" s="208" t="s">
        <v>1683</v>
      </c>
      <c r="L92" s="214">
        <v>0.5</v>
      </c>
      <c r="M92" s="214">
        <v>0.5</v>
      </c>
      <c r="N92" s="214">
        <v>0.5</v>
      </c>
      <c r="O92" s="201"/>
      <c r="P92" s="201"/>
      <c r="Q92" s="201"/>
      <c r="R92" s="201"/>
      <c r="S92" s="201"/>
      <c r="T92" s="201"/>
      <c r="U92" s="201"/>
      <c r="V92" s="201"/>
      <c r="W92" s="201"/>
      <c r="X92" s="201"/>
      <c r="Y92" s="201"/>
      <c r="Z92" s="201"/>
    </row>
    <row r="93">
      <c r="A93" s="211" t="s">
        <v>1684</v>
      </c>
      <c r="B93" s="225">
        <f t="shared" ref="B93:B95" si="120">C93-(C93*5%)</f>
        <v>9357.5</v>
      </c>
      <c r="C93" s="213">
        <v>9850.0</v>
      </c>
      <c r="D93" s="213">
        <f t="shared" ref="D93:D95" si="121">(C93*5%)+C93</f>
        <v>10342.5</v>
      </c>
      <c r="E93" s="207"/>
      <c r="F93" s="211" t="s">
        <v>1684</v>
      </c>
      <c r="G93" s="225">
        <f t="shared" ref="G93:G95" si="122">H93-(H93*5%)</f>
        <v>9357.5</v>
      </c>
      <c r="H93" s="213">
        <v>9850.0</v>
      </c>
      <c r="I93" s="213">
        <f t="shared" ref="I93:I95" si="123">(H93*5%)+H93</f>
        <v>10342.5</v>
      </c>
      <c r="J93" s="207"/>
      <c r="K93" s="211" t="s">
        <v>1684</v>
      </c>
      <c r="L93" s="225">
        <f t="shared" ref="L93:L95" si="124">M93-(M93*5%)</f>
        <v>9357.5</v>
      </c>
      <c r="M93" s="213">
        <v>9850.0</v>
      </c>
      <c r="N93" s="213">
        <f t="shared" ref="N93:N95" si="125">(M93*5%)+M93</f>
        <v>10342.5</v>
      </c>
      <c r="O93" s="201"/>
      <c r="P93" s="201"/>
      <c r="Q93" s="201"/>
      <c r="R93" s="201"/>
      <c r="S93" s="201"/>
      <c r="T93" s="201"/>
      <c r="U93" s="201"/>
      <c r="V93" s="201"/>
      <c r="W93" s="201"/>
      <c r="X93" s="201"/>
      <c r="Y93" s="201"/>
      <c r="Z93" s="201"/>
    </row>
    <row r="94">
      <c r="A94" s="226" t="s">
        <v>1685</v>
      </c>
      <c r="B94" s="217">
        <f t="shared" si="120"/>
        <v>0.04275</v>
      </c>
      <c r="C94" s="217">
        <v>0.045</v>
      </c>
      <c r="D94" s="216">
        <f t="shared" si="121"/>
        <v>0.04725</v>
      </c>
      <c r="E94" s="207"/>
      <c r="F94" s="226" t="s">
        <v>1685</v>
      </c>
      <c r="G94" s="217">
        <f t="shared" si="122"/>
        <v>0.04275</v>
      </c>
      <c r="H94" s="217">
        <v>0.045</v>
      </c>
      <c r="I94" s="216">
        <f t="shared" si="123"/>
        <v>0.04725</v>
      </c>
      <c r="J94" s="207"/>
      <c r="K94" s="226" t="s">
        <v>1685</v>
      </c>
      <c r="L94" s="217">
        <f t="shared" si="124"/>
        <v>0.04275</v>
      </c>
      <c r="M94" s="217">
        <v>0.045</v>
      </c>
      <c r="N94" s="216">
        <f t="shared" si="125"/>
        <v>0.04725</v>
      </c>
      <c r="O94" s="201"/>
      <c r="P94" s="201"/>
      <c r="Q94" s="201"/>
      <c r="R94" s="201"/>
      <c r="S94" s="201"/>
      <c r="T94" s="201"/>
      <c r="U94" s="201"/>
      <c r="V94" s="201"/>
      <c r="W94" s="201"/>
      <c r="X94" s="201"/>
      <c r="Y94" s="201"/>
      <c r="Z94" s="201"/>
    </row>
    <row r="95">
      <c r="A95" s="226" t="s">
        <v>1686</v>
      </c>
      <c r="B95" s="217">
        <f t="shared" si="120"/>
        <v>0.09785</v>
      </c>
      <c r="C95" s="227">
        <v>0.103</v>
      </c>
      <c r="D95" s="216">
        <f t="shared" si="121"/>
        <v>0.10815</v>
      </c>
      <c r="E95" s="207"/>
      <c r="F95" s="226" t="s">
        <v>1686</v>
      </c>
      <c r="G95" s="217">
        <f t="shared" si="122"/>
        <v>0.09785</v>
      </c>
      <c r="H95" s="227">
        <v>0.103</v>
      </c>
      <c r="I95" s="216">
        <f t="shared" si="123"/>
        <v>0.10815</v>
      </c>
      <c r="J95" s="207"/>
      <c r="K95" s="226" t="s">
        <v>1686</v>
      </c>
      <c r="L95" s="217">
        <f t="shared" si="124"/>
        <v>0.09785</v>
      </c>
      <c r="M95" s="227">
        <v>0.103</v>
      </c>
      <c r="N95" s="216">
        <f t="shared" si="125"/>
        <v>0.10815</v>
      </c>
      <c r="O95" s="201"/>
      <c r="P95" s="201"/>
      <c r="Q95" s="201"/>
      <c r="R95" s="201"/>
      <c r="S95" s="201"/>
      <c r="T95" s="201"/>
      <c r="U95" s="201"/>
      <c r="V95" s="201"/>
      <c r="W95" s="201"/>
      <c r="X95" s="201"/>
      <c r="Y95" s="201"/>
      <c r="Z95" s="201"/>
    </row>
    <row r="96">
      <c r="A96" s="228" t="s">
        <v>1687</v>
      </c>
      <c r="B96" s="214">
        <f t="shared" ref="B96:D96" si="126">B85/B97</f>
        <v>69.29967349</v>
      </c>
      <c r="C96" s="214">
        <f t="shared" si="126"/>
        <v>59.56471936</v>
      </c>
      <c r="D96" s="214">
        <f t="shared" si="126"/>
        <v>51.32560852</v>
      </c>
      <c r="E96" s="207"/>
      <c r="F96" s="228" t="s">
        <v>1687</v>
      </c>
      <c r="G96" s="214">
        <f t="shared" ref="G96:I96" si="127">G85/G97</f>
        <v>69.29967349</v>
      </c>
      <c r="H96" s="214">
        <f t="shared" si="127"/>
        <v>59.56471936</v>
      </c>
      <c r="I96" s="214">
        <f t="shared" si="127"/>
        <v>51.32560852</v>
      </c>
      <c r="J96" s="207"/>
      <c r="K96" s="228" t="s">
        <v>1687</v>
      </c>
      <c r="L96" s="214">
        <f t="shared" ref="L96:N96" si="128">L85/L97</f>
        <v>69.29967349</v>
      </c>
      <c r="M96" s="214">
        <f t="shared" si="128"/>
        <v>59.56471936</v>
      </c>
      <c r="N96" s="214">
        <f t="shared" si="128"/>
        <v>51.32560852</v>
      </c>
      <c r="O96" s="201"/>
      <c r="P96" s="201"/>
      <c r="Q96" s="201"/>
      <c r="R96" s="201"/>
      <c r="S96" s="201"/>
      <c r="T96" s="201"/>
      <c r="U96" s="201"/>
      <c r="V96" s="201"/>
      <c r="W96" s="201"/>
      <c r="X96" s="201"/>
      <c r="Y96" s="201"/>
      <c r="Z96" s="201"/>
    </row>
    <row r="97">
      <c r="A97" s="228" t="s">
        <v>1688</v>
      </c>
      <c r="B97" s="215">
        <f t="shared" ref="B97:D97" si="129">(B94*(B90+B91))</f>
        <v>108.2256181</v>
      </c>
      <c r="C97" s="215">
        <f t="shared" si="129"/>
        <v>125.9134615</v>
      </c>
      <c r="D97" s="215">
        <f t="shared" si="129"/>
        <v>146.1258856</v>
      </c>
      <c r="E97" s="207"/>
      <c r="F97" s="228" t="s">
        <v>1688</v>
      </c>
      <c r="G97" s="215">
        <f t="shared" ref="G97:I97" si="130">(G94*(G90+G91))</f>
        <v>108.2256181</v>
      </c>
      <c r="H97" s="215">
        <f t="shared" si="130"/>
        <v>125.9134615</v>
      </c>
      <c r="I97" s="215">
        <f t="shared" si="130"/>
        <v>146.1258856</v>
      </c>
      <c r="J97" s="207"/>
      <c r="K97" s="228" t="s">
        <v>1688</v>
      </c>
      <c r="L97" s="215">
        <f t="shared" ref="L97:N97" si="131">(L94*(L90+L91))</f>
        <v>108.2256181</v>
      </c>
      <c r="M97" s="215">
        <f t="shared" si="131"/>
        <v>125.9134615</v>
      </c>
      <c r="N97" s="215">
        <f t="shared" si="131"/>
        <v>146.1258856</v>
      </c>
      <c r="O97" s="201"/>
      <c r="P97" s="201"/>
      <c r="Q97" s="201"/>
      <c r="R97" s="201"/>
      <c r="S97" s="201"/>
      <c r="T97" s="201"/>
      <c r="U97" s="201"/>
      <c r="V97" s="201"/>
      <c r="W97" s="201"/>
      <c r="X97" s="201"/>
      <c r="Y97" s="201"/>
      <c r="Z97" s="201"/>
    </row>
    <row r="98">
      <c r="A98" s="208" t="s">
        <v>1689</v>
      </c>
      <c r="B98" s="214">
        <f t="shared" ref="B98:D98" si="132">B85/B99</f>
        <v>708.2235411</v>
      </c>
      <c r="C98" s="214">
        <f t="shared" si="132"/>
        <v>578.2982462</v>
      </c>
      <c r="D98" s="214">
        <f t="shared" si="132"/>
        <v>474.5779798</v>
      </c>
      <c r="E98" s="207"/>
      <c r="F98" s="208" t="s">
        <v>1689</v>
      </c>
      <c r="G98" s="214">
        <f t="shared" ref="G98:I98" si="133">G85/G99</f>
        <v>708.2235411</v>
      </c>
      <c r="H98" s="214">
        <f t="shared" si="133"/>
        <v>578.2982462</v>
      </c>
      <c r="I98" s="214">
        <f t="shared" si="133"/>
        <v>474.5779798</v>
      </c>
      <c r="J98" s="207"/>
      <c r="K98" s="208" t="s">
        <v>1689</v>
      </c>
      <c r="L98" s="214">
        <f t="shared" ref="L98:N98" si="134">L85/L99</f>
        <v>708.2235411</v>
      </c>
      <c r="M98" s="214">
        <f t="shared" si="134"/>
        <v>578.2982462</v>
      </c>
      <c r="N98" s="214">
        <f t="shared" si="134"/>
        <v>474.5779798</v>
      </c>
      <c r="O98" s="201"/>
      <c r="P98" s="201"/>
      <c r="Q98" s="201"/>
      <c r="R98" s="201"/>
      <c r="S98" s="201"/>
      <c r="T98" s="201"/>
      <c r="U98" s="201"/>
      <c r="V98" s="201"/>
      <c r="W98" s="201"/>
      <c r="X98" s="201"/>
      <c r="Y98" s="201"/>
      <c r="Z98" s="201"/>
    </row>
    <row r="99">
      <c r="A99" s="208" t="s">
        <v>1690</v>
      </c>
      <c r="B99" s="215">
        <f t="shared" ref="B99:D99" si="135">B97*B95</f>
        <v>10.58987673</v>
      </c>
      <c r="C99" s="215">
        <f t="shared" si="135"/>
        <v>12.96908654</v>
      </c>
      <c r="D99" s="215">
        <f t="shared" si="135"/>
        <v>15.80351453</v>
      </c>
      <c r="E99" s="207"/>
      <c r="F99" s="208" t="s">
        <v>1690</v>
      </c>
      <c r="G99" s="215">
        <f t="shared" ref="G99:I99" si="136">G97*G95</f>
        <v>10.58987673</v>
      </c>
      <c r="H99" s="215">
        <f t="shared" si="136"/>
        <v>12.96908654</v>
      </c>
      <c r="I99" s="215">
        <f t="shared" si="136"/>
        <v>15.80351453</v>
      </c>
      <c r="J99" s="207"/>
      <c r="K99" s="208" t="s">
        <v>1690</v>
      </c>
      <c r="L99" s="215">
        <f t="shared" ref="L99:N99" si="137">L97*L95</f>
        <v>10.58987673</v>
      </c>
      <c r="M99" s="215">
        <f t="shared" si="137"/>
        <v>12.96908654</v>
      </c>
      <c r="N99" s="215">
        <f t="shared" si="137"/>
        <v>15.80351453</v>
      </c>
      <c r="O99" s="201"/>
      <c r="P99" s="201"/>
      <c r="Q99" s="201"/>
      <c r="R99" s="201"/>
      <c r="S99" s="201"/>
      <c r="T99" s="201"/>
      <c r="U99" s="201"/>
      <c r="V99" s="201"/>
      <c r="W99" s="201"/>
      <c r="X99" s="201"/>
      <c r="Y99" s="201"/>
      <c r="Z99" s="201"/>
    </row>
    <row r="100">
      <c r="A100" s="228" t="s">
        <v>1691</v>
      </c>
      <c r="B100" s="214">
        <f t="shared" ref="B100:D100" si="138">B93*B99</f>
        <v>99094.77154</v>
      </c>
      <c r="C100" s="214">
        <f t="shared" si="138"/>
        <v>127745.5024</v>
      </c>
      <c r="D100" s="214">
        <f t="shared" si="138"/>
        <v>163447.849</v>
      </c>
      <c r="E100" s="207"/>
      <c r="F100" s="228" t="s">
        <v>1691</v>
      </c>
      <c r="G100" s="214">
        <f t="shared" ref="G100:I100" si="139">G93*G99</f>
        <v>99094.77154</v>
      </c>
      <c r="H100" s="214">
        <f t="shared" si="139"/>
        <v>127745.5024</v>
      </c>
      <c r="I100" s="214">
        <f t="shared" si="139"/>
        <v>163447.849</v>
      </c>
      <c r="J100" s="207"/>
      <c r="K100" s="228" t="s">
        <v>1691</v>
      </c>
      <c r="L100" s="214">
        <f t="shared" ref="L100:N100" si="140">L93*L99</f>
        <v>99094.77154</v>
      </c>
      <c r="M100" s="214">
        <f t="shared" si="140"/>
        <v>127745.5024</v>
      </c>
      <c r="N100" s="214">
        <f t="shared" si="140"/>
        <v>163447.849</v>
      </c>
      <c r="O100" s="201"/>
      <c r="P100" s="201"/>
      <c r="Q100" s="201"/>
      <c r="R100" s="201"/>
      <c r="S100" s="201"/>
      <c r="T100" s="201"/>
      <c r="U100" s="201"/>
      <c r="V100" s="201"/>
      <c r="W100" s="201"/>
      <c r="X100" s="201"/>
      <c r="Y100" s="201"/>
      <c r="Z100" s="201"/>
    </row>
    <row r="101">
      <c r="A101" s="208" t="s">
        <v>1692</v>
      </c>
      <c r="B101" s="76">
        <f t="shared" ref="B101:D101" si="141">B100/B85</f>
        <v>13.21263621</v>
      </c>
      <c r="C101" s="76">
        <f t="shared" si="141"/>
        <v>17.03273365</v>
      </c>
      <c r="D101" s="76">
        <f t="shared" si="141"/>
        <v>21.79304654</v>
      </c>
      <c r="E101" s="207"/>
      <c r="F101" s="208" t="s">
        <v>1692</v>
      </c>
      <c r="G101" s="76">
        <f t="shared" ref="G101:I101" si="142">G100/G85</f>
        <v>13.21263621</v>
      </c>
      <c r="H101" s="76">
        <f t="shared" si="142"/>
        <v>17.03273365</v>
      </c>
      <c r="I101" s="76">
        <f t="shared" si="142"/>
        <v>21.79304654</v>
      </c>
      <c r="J101" s="207"/>
      <c r="K101" s="208" t="s">
        <v>1692</v>
      </c>
      <c r="L101" s="76">
        <f t="shared" ref="L101:N101" si="143">L100/L85</f>
        <v>13.21263621</v>
      </c>
      <c r="M101" s="76">
        <f t="shared" si="143"/>
        <v>17.03273365</v>
      </c>
      <c r="N101" s="76">
        <f t="shared" si="143"/>
        <v>21.79304654</v>
      </c>
      <c r="O101" s="201"/>
      <c r="P101" s="201"/>
      <c r="Q101" s="201"/>
      <c r="R101" s="201"/>
      <c r="S101" s="201"/>
      <c r="T101" s="201"/>
      <c r="U101" s="201"/>
      <c r="V101" s="201"/>
      <c r="W101" s="201"/>
      <c r="X101" s="201"/>
      <c r="Y101" s="201"/>
      <c r="Z101" s="201"/>
    </row>
    <row r="102">
      <c r="A102" s="211" t="s">
        <v>1693</v>
      </c>
      <c r="B102" s="221">
        <v>0.25</v>
      </c>
      <c r="C102" s="221">
        <v>0.25</v>
      </c>
      <c r="D102" s="221">
        <v>0.25</v>
      </c>
      <c r="E102" s="207"/>
      <c r="F102" s="211" t="s">
        <v>1693</v>
      </c>
      <c r="G102" s="221">
        <v>0.25</v>
      </c>
      <c r="H102" s="221">
        <v>0.25</v>
      </c>
      <c r="I102" s="221">
        <v>0.25</v>
      </c>
      <c r="J102" s="207"/>
      <c r="K102" s="211" t="s">
        <v>1693</v>
      </c>
      <c r="L102" s="221">
        <v>0.25</v>
      </c>
      <c r="M102" s="221">
        <v>0.25</v>
      </c>
      <c r="N102" s="221">
        <v>0.25</v>
      </c>
      <c r="O102" s="201"/>
      <c r="P102" s="201"/>
      <c r="Q102" s="201"/>
      <c r="R102" s="201"/>
      <c r="S102" s="201"/>
      <c r="T102" s="201"/>
      <c r="U102" s="201"/>
      <c r="V102" s="201"/>
      <c r="W102" s="201"/>
      <c r="X102" s="201"/>
      <c r="Y102" s="201"/>
      <c r="Z102" s="201"/>
    </row>
    <row r="103">
      <c r="A103" s="208" t="s">
        <v>1608</v>
      </c>
      <c r="B103" s="76">
        <f t="shared" ref="B103:D103" si="144">(B100*B102)/B85</f>
        <v>3.303159051</v>
      </c>
      <c r="C103" s="76">
        <f t="shared" si="144"/>
        <v>4.258183413</v>
      </c>
      <c r="D103" s="76">
        <f t="shared" si="144"/>
        <v>5.448261634</v>
      </c>
      <c r="E103" s="222"/>
      <c r="F103" s="208" t="s">
        <v>1608</v>
      </c>
      <c r="G103" s="76">
        <f t="shared" ref="G103:I103" si="145">(G100*G102)/G85</f>
        <v>3.303159051</v>
      </c>
      <c r="H103" s="76">
        <f t="shared" si="145"/>
        <v>4.258183413</v>
      </c>
      <c r="I103" s="76">
        <f t="shared" si="145"/>
        <v>5.448261634</v>
      </c>
      <c r="J103" s="222"/>
      <c r="K103" s="208" t="s">
        <v>1608</v>
      </c>
      <c r="L103" s="76">
        <f t="shared" ref="L103:N103" si="146">(L100*L102)/L85</f>
        <v>3.303159051</v>
      </c>
      <c r="M103" s="76">
        <f t="shared" si="146"/>
        <v>4.258183413</v>
      </c>
      <c r="N103" s="76">
        <f t="shared" si="146"/>
        <v>5.448261634</v>
      </c>
      <c r="O103" s="201"/>
      <c r="P103" s="201"/>
      <c r="Q103" s="201"/>
      <c r="R103" s="201"/>
      <c r="S103" s="201"/>
      <c r="T103" s="201"/>
      <c r="U103" s="201"/>
      <c r="V103" s="201"/>
      <c r="W103" s="201"/>
      <c r="X103" s="201"/>
      <c r="Y103" s="201"/>
      <c r="Z103" s="201"/>
    </row>
  </sheetData>
  <mergeCells count="31">
    <mergeCell ref="K26:N26"/>
    <mergeCell ref="A27:N27"/>
    <mergeCell ref="A28:N28"/>
    <mergeCell ref="A29:D29"/>
    <mergeCell ref="K29:N29"/>
    <mergeCell ref="A1:N1"/>
    <mergeCell ref="A2:N2"/>
    <mergeCell ref="A3:D3"/>
    <mergeCell ref="E3:E26"/>
    <mergeCell ref="F3:I3"/>
    <mergeCell ref="J3:J26"/>
    <mergeCell ref="K3:N3"/>
    <mergeCell ref="E29:E51"/>
    <mergeCell ref="E55:E77"/>
    <mergeCell ref="J55:J77"/>
    <mergeCell ref="E81:E103"/>
    <mergeCell ref="F81:I81"/>
    <mergeCell ref="J81:J103"/>
    <mergeCell ref="F55:I55"/>
    <mergeCell ref="K55:N55"/>
    <mergeCell ref="A79:N79"/>
    <mergeCell ref="A80:N80"/>
    <mergeCell ref="A81:D81"/>
    <mergeCell ref="K81:N81"/>
    <mergeCell ref="A26:D26"/>
    <mergeCell ref="F26:I26"/>
    <mergeCell ref="F29:I29"/>
    <mergeCell ref="J29:J51"/>
    <mergeCell ref="A53:N53"/>
    <mergeCell ref="A54:N54"/>
    <mergeCell ref="A55:D5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1.88"/>
    <col customWidth="1" min="2" max="14" width="16.75"/>
  </cols>
  <sheetData>
    <row r="1">
      <c r="A1" s="232" t="s">
        <v>1697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9"/>
    </row>
    <row r="2">
      <c r="A2" s="233" t="s">
        <v>1698</v>
      </c>
      <c r="B2" s="233" t="s">
        <v>1699</v>
      </c>
      <c r="C2" s="233" t="s">
        <v>1700</v>
      </c>
      <c r="D2" s="233" t="s">
        <v>1701</v>
      </c>
      <c r="E2" s="233" t="s">
        <v>1702</v>
      </c>
      <c r="F2" s="233" t="s">
        <v>1703</v>
      </c>
      <c r="G2" s="233" t="s">
        <v>1704</v>
      </c>
      <c r="H2" s="233" t="s">
        <v>1705</v>
      </c>
      <c r="I2" s="233" t="s">
        <v>1706</v>
      </c>
      <c r="J2" s="233" t="s">
        <v>1707</v>
      </c>
      <c r="K2" s="233" t="s">
        <v>1708</v>
      </c>
      <c r="L2" s="233" t="s">
        <v>1709</v>
      </c>
      <c r="M2" s="233" t="s">
        <v>1710</v>
      </c>
      <c r="N2" s="233" t="s">
        <v>1711</v>
      </c>
    </row>
    <row r="3" ht="28.5" customHeight="1">
      <c r="A3" s="234" t="s">
        <v>1653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9"/>
    </row>
    <row r="4">
      <c r="A4" s="235" t="s">
        <v>1712</v>
      </c>
      <c r="B4" s="236">
        <f>'4. Projeção  Cenários'!C22</f>
        <v>152886.3812</v>
      </c>
      <c r="C4" s="237">
        <f>'4. Projeção  Cenários'!H22</f>
        <v>170327.3365</v>
      </c>
      <c r="D4" s="238" t="str">
        <f>'4.0 Projeção / Cenários'!M23</f>
        <v>#REF!</v>
      </c>
      <c r="E4" s="238" t="str">
        <f>'4.0 Projeção / Cenários'!C50</f>
        <v>#REF!</v>
      </c>
      <c r="F4" s="238" t="str">
        <f>'4.0 Projeção / Cenários'!H50</f>
        <v>#REF!</v>
      </c>
      <c r="G4" s="238" t="str">
        <f>'4.0 Projeção / Cenários'!M50</f>
        <v>#REF!</v>
      </c>
      <c r="H4" s="238" t="str">
        <f>'4.0 Projeção / Cenários'!C77</f>
        <v>#REF!</v>
      </c>
      <c r="I4" s="238" t="str">
        <f>'4.0 Projeção / Cenários'!H77</f>
        <v>#REF!</v>
      </c>
      <c r="J4" s="238" t="str">
        <f>'4.0 Projeção / Cenários'!M77</f>
        <v>#REF!</v>
      </c>
      <c r="K4" s="238" t="str">
        <f>'4.0 Projeção / Cenários'!C104</f>
        <v>#REF!</v>
      </c>
      <c r="L4" s="238" t="str">
        <f>'4.0 Projeção / Cenários'!H104</f>
        <v>#REF!</v>
      </c>
      <c r="M4" s="238" t="str">
        <f>'4.0 Projeção / Cenários'!M104</f>
        <v>#REF!</v>
      </c>
      <c r="N4" s="235" t="str">
        <f t="shared" ref="N4:N5" si="2">SUM(B4:M4)</f>
        <v>#REF!</v>
      </c>
    </row>
    <row r="5">
      <c r="A5" s="235" t="s">
        <v>1713</v>
      </c>
      <c r="B5" s="239">
        <f>'2. Relatório Consolidado Semana'!G8</f>
        <v>0</v>
      </c>
      <c r="C5" s="239">
        <f>'2. Relatório Consolidado Semana'!L8</f>
        <v>0</v>
      </c>
      <c r="D5" s="240" t="str">
        <f t="shared" ref="D5:M5" si="1">'6.0 Acompanhamento Mensal'!D12</f>
        <v>#REF!</v>
      </c>
      <c r="E5" s="240" t="str">
        <f t="shared" si="1"/>
        <v>#REF!</v>
      </c>
      <c r="F5" s="240" t="str">
        <f t="shared" si="1"/>
        <v>#REF!</v>
      </c>
      <c r="G5" s="240" t="str">
        <f t="shared" si="1"/>
        <v>#REF!</v>
      </c>
      <c r="H5" s="240" t="str">
        <f t="shared" si="1"/>
        <v>#REF!</v>
      </c>
      <c r="I5" s="240" t="str">
        <f t="shared" si="1"/>
        <v>#REF!</v>
      </c>
      <c r="J5" s="240" t="str">
        <f t="shared" si="1"/>
        <v>#REF!</v>
      </c>
      <c r="K5" s="240" t="str">
        <f t="shared" si="1"/>
        <v>#REF!</v>
      </c>
      <c r="L5" s="240" t="str">
        <f t="shared" si="1"/>
        <v>#REF!</v>
      </c>
      <c r="M5" s="240" t="str">
        <f t="shared" si="1"/>
        <v>#REF!</v>
      </c>
      <c r="N5" s="235" t="str">
        <f t="shared" si="2"/>
        <v>#REF!</v>
      </c>
    </row>
    <row r="6">
      <c r="A6" s="235" t="s">
        <v>1714</v>
      </c>
      <c r="B6" s="241">
        <f t="shared" ref="B6:N6" si="3">B5/B4</f>
        <v>0</v>
      </c>
      <c r="C6" s="241">
        <f t="shared" si="3"/>
        <v>0</v>
      </c>
      <c r="D6" s="241" t="str">
        <f t="shared" si="3"/>
        <v>#REF!</v>
      </c>
      <c r="E6" s="241" t="str">
        <f t="shared" si="3"/>
        <v>#REF!</v>
      </c>
      <c r="F6" s="241" t="str">
        <f t="shared" si="3"/>
        <v>#REF!</v>
      </c>
      <c r="G6" s="241" t="str">
        <f t="shared" si="3"/>
        <v>#REF!</v>
      </c>
      <c r="H6" s="241" t="str">
        <f t="shared" si="3"/>
        <v>#REF!</v>
      </c>
      <c r="I6" s="241" t="str">
        <f t="shared" si="3"/>
        <v>#REF!</v>
      </c>
      <c r="J6" s="241" t="str">
        <f t="shared" si="3"/>
        <v>#REF!</v>
      </c>
      <c r="K6" s="241" t="str">
        <f t="shared" si="3"/>
        <v>#REF!</v>
      </c>
      <c r="L6" s="241" t="str">
        <f t="shared" si="3"/>
        <v>#REF!</v>
      </c>
      <c r="M6" s="241" t="str">
        <f t="shared" si="3"/>
        <v>#REF!</v>
      </c>
      <c r="N6" s="242" t="str">
        <f t="shared" si="3"/>
        <v>#REF!</v>
      </c>
    </row>
    <row r="7">
      <c r="A7" s="235" t="s">
        <v>1715</v>
      </c>
      <c r="B7" s="243">
        <v>0.0</v>
      </c>
      <c r="C7" s="241">
        <f t="shared" ref="C7:M7" si="4">(C4-B4)/B4*100%</f>
        <v>0.114077887</v>
      </c>
      <c r="D7" s="241" t="str">
        <f t="shared" si="4"/>
        <v>#REF!</v>
      </c>
      <c r="E7" s="241" t="str">
        <f t="shared" si="4"/>
        <v>#REF!</v>
      </c>
      <c r="F7" s="241" t="str">
        <f t="shared" si="4"/>
        <v>#REF!</v>
      </c>
      <c r="G7" s="241" t="str">
        <f t="shared" si="4"/>
        <v>#REF!</v>
      </c>
      <c r="H7" s="241" t="str">
        <f t="shared" si="4"/>
        <v>#REF!</v>
      </c>
      <c r="I7" s="241" t="str">
        <f t="shared" si="4"/>
        <v>#REF!</v>
      </c>
      <c r="J7" s="241" t="str">
        <f t="shared" si="4"/>
        <v>#REF!</v>
      </c>
      <c r="K7" s="241" t="str">
        <f t="shared" si="4"/>
        <v>#REF!</v>
      </c>
      <c r="L7" s="241" t="str">
        <f t="shared" si="4"/>
        <v>#REF!</v>
      </c>
      <c r="M7" s="241" t="str">
        <f t="shared" si="4"/>
        <v>#REF!</v>
      </c>
      <c r="N7" s="244" t="str">
        <f>(N4-M4)/M4*100</f>
        <v>#REF!</v>
      </c>
    </row>
    <row r="8">
      <c r="A8" s="235" t="s">
        <v>1716</v>
      </c>
      <c r="B8" s="243">
        <v>0.0</v>
      </c>
      <c r="C8" s="245">
        <f t="shared" ref="C8:M8" si="5">(C5-B4)/B4*100%</f>
        <v>-1</v>
      </c>
      <c r="D8" s="245" t="str">
        <f t="shared" si="5"/>
        <v>#REF!</v>
      </c>
      <c r="E8" s="245" t="str">
        <f t="shared" si="5"/>
        <v>#REF!</v>
      </c>
      <c r="F8" s="245" t="str">
        <f t="shared" si="5"/>
        <v>#REF!</v>
      </c>
      <c r="G8" s="245" t="str">
        <f t="shared" si="5"/>
        <v>#REF!</v>
      </c>
      <c r="H8" s="245" t="str">
        <f t="shared" si="5"/>
        <v>#REF!</v>
      </c>
      <c r="I8" s="245" t="str">
        <f t="shared" si="5"/>
        <v>#REF!</v>
      </c>
      <c r="J8" s="245" t="str">
        <f t="shared" si="5"/>
        <v>#REF!</v>
      </c>
      <c r="K8" s="245" t="str">
        <f t="shared" si="5"/>
        <v>#REF!</v>
      </c>
      <c r="L8" s="245" t="str">
        <f t="shared" si="5"/>
        <v>#REF!</v>
      </c>
      <c r="M8" s="245" t="str">
        <f t="shared" si="5"/>
        <v>#REF!</v>
      </c>
      <c r="N8" s="246" t="str">
        <f>(N5-N4)/N4*100</f>
        <v>#REF!</v>
      </c>
    </row>
    <row r="9" ht="28.5" customHeight="1">
      <c r="A9" s="234" t="s">
        <v>1717</v>
      </c>
      <c r="B9" s="198"/>
      <c r="C9" s="198"/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9"/>
    </row>
    <row r="10">
      <c r="A10" s="235" t="s">
        <v>1712</v>
      </c>
      <c r="B10" s="238" t="str">
        <f>'4.0 Projeção / Cenários'!C7</f>
        <v>#REF!</v>
      </c>
      <c r="C10" s="238" t="str">
        <f>'4.0 Projeção / Cenários'!H7</f>
        <v>#REF!</v>
      </c>
      <c r="D10" s="238" t="str">
        <f>'4.0 Projeção / Cenários'!M7</f>
        <v>#REF!</v>
      </c>
      <c r="E10" s="238" t="str">
        <f>'4.0 Projeção / Cenários'!C34</f>
        <v>#REF!</v>
      </c>
      <c r="F10" s="238" t="str">
        <f>'4.0 Projeção / Cenários'!H34</f>
        <v>#REF!</v>
      </c>
      <c r="G10" s="238" t="str">
        <f>'4.0 Projeção / Cenários'!M34</f>
        <v>#REF!</v>
      </c>
      <c r="H10" s="238" t="str">
        <f>'4.0 Projeção / Cenários'!C61</f>
        <v>#REF!</v>
      </c>
      <c r="I10" s="238" t="str">
        <f>'4.0 Projeção / Cenários'!H61</f>
        <v>#REF!</v>
      </c>
      <c r="J10" s="238" t="str">
        <f>'4.0 Projeção / Cenários'!M61</f>
        <v>#REF!</v>
      </c>
      <c r="K10" s="238" t="str">
        <f>'4.0 Projeção / Cenários'!C88</f>
        <v>#REF!</v>
      </c>
      <c r="L10" s="238" t="str">
        <f>'4.0 Projeção / Cenários'!H88</f>
        <v>#REF!</v>
      </c>
      <c r="M10" s="238" t="str">
        <f>'4.0 Projeção / Cenários'!M88</f>
        <v>#REF!</v>
      </c>
      <c r="N10" s="235" t="str">
        <f t="shared" ref="N10:N11" si="7">SUM(B10:M10)</f>
        <v>#REF!</v>
      </c>
    </row>
    <row r="11">
      <c r="A11" s="235" t="s">
        <v>1713</v>
      </c>
      <c r="B11" s="240" t="str">
        <f t="shared" ref="B11:M11" si="6">'6.0 Acompanhamento Mensal'!B5</f>
        <v>#REF!</v>
      </c>
      <c r="C11" s="240" t="str">
        <f t="shared" si="6"/>
        <v>#REF!</v>
      </c>
      <c r="D11" s="240" t="str">
        <f t="shared" si="6"/>
        <v>#REF!</v>
      </c>
      <c r="E11" s="240" t="str">
        <f t="shared" si="6"/>
        <v>#REF!</v>
      </c>
      <c r="F11" s="240" t="str">
        <f t="shared" si="6"/>
        <v>#REF!</v>
      </c>
      <c r="G11" s="240" t="str">
        <f t="shared" si="6"/>
        <v>#REF!</v>
      </c>
      <c r="H11" s="240" t="str">
        <f t="shared" si="6"/>
        <v>#REF!</v>
      </c>
      <c r="I11" s="240" t="str">
        <f t="shared" si="6"/>
        <v>#REF!</v>
      </c>
      <c r="J11" s="240" t="str">
        <f t="shared" si="6"/>
        <v>#REF!</v>
      </c>
      <c r="K11" s="240" t="str">
        <f t="shared" si="6"/>
        <v>#REF!</v>
      </c>
      <c r="L11" s="240" t="str">
        <f t="shared" si="6"/>
        <v>#REF!</v>
      </c>
      <c r="M11" s="240" t="str">
        <f t="shared" si="6"/>
        <v>#REF!</v>
      </c>
      <c r="N11" s="235" t="str">
        <f t="shared" si="7"/>
        <v>#REF!</v>
      </c>
    </row>
    <row r="12">
      <c r="A12" s="235" t="s">
        <v>1714</v>
      </c>
      <c r="B12" s="241" t="str">
        <f t="shared" ref="B12:N12" si="8">B11/B10</f>
        <v>#REF!</v>
      </c>
      <c r="C12" s="241" t="str">
        <f t="shared" si="8"/>
        <v>#REF!</v>
      </c>
      <c r="D12" s="241" t="str">
        <f t="shared" si="8"/>
        <v>#REF!</v>
      </c>
      <c r="E12" s="241" t="str">
        <f t="shared" si="8"/>
        <v>#REF!</v>
      </c>
      <c r="F12" s="241" t="str">
        <f t="shared" si="8"/>
        <v>#REF!</v>
      </c>
      <c r="G12" s="241" t="str">
        <f t="shared" si="8"/>
        <v>#REF!</v>
      </c>
      <c r="H12" s="241" t="str">
        <f t="shared" si="8"/>
        <v>#REF!</v>
      </c>
      <c r="I12" s="241" t="str">
        <f t="shared" si="8"/>
        <v>#REF!</v>
      </c>
      <c r="J12" s="241" t="str">
        <f t="shared" si="8"/>
        <v>#REF!</v>
      </c>
      <c r="K12" s="241" t="str">
        <f t="shared" si="8"/>
        <v>#REF!</v>
      </c>
      <c r="L12" s="241" t="str">
        <f t="shared" si="8"/>
        <v>#REF!</v>
      </c>
      <c r="M12" s="241" t="str">
        <f t="shared" si="8"/>
        <v>#REF!</v>
      </c>
      <c r="N12" s="242" t="str">
        <f t="shared" si="8"/>
        <v>#REF!</v>
      </c>
    </row>
    <row r="13" ht="28.5" customHeight="1">
      <c r="A13" s="234" t="s">
        <v>1582</v>
      </c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9"/>
    </row>
    <row r="14">
      <c r="A14" s="235" t="s">
        <v>1712</v>
      </c>
      <c r="B14" s="238" t="str">
        <f>SUM('4.0 Projeção / Cenários'!C12:C13)</f>
        <v>#REF!</v>
      </c>
      <c r="C14" s="247" t="str">
        <f>SUM('4.0 Projeção / Cenários'!H12:H13)</f>
        <v>#REF!</v>
      </c>
      <c r="D14" s="247" t="str">
        <f>SUM('4.0 Projeção / Cenários'!M12:M13)</f>
        <v>#REF!</v>
      </c>
      <c r="E14" s="247" t="str">
        <f>SUM('4.0 Projeção / Cenários'!C39:C40)</f>
        <v>#REF!</v>
      </c>
      <c r="F14" s="238" t="str">
        <f>SUM('4.0 Projeção / Cenários'!H39:H40)</f>
        <v>#REF!</v>
      </c>
      <c r="G14" s="238" t="str">
        <f>SUM('4.0 Projeção / Cenários'!M39:M40)</f>
        <v>#REF!</v>
      </c>
      <c r="H14" s="238" t="str">
        <f>SUM('4.0 Projeção / Cenários'!C66:C67)</f>
        <v>#REF!</v>
      </c>
      <c r="I14" s="238" t="str">
        <f>SUM('4.0 Projeção / Cenários'!H66:H67)</f>
        <v>#REF!</v>
      </c>
      <c r="J14" s="238" t="str">
        <f>SUM('4.0 Projeção / Cenários'!M66:M67)</f>
        <v>#REF!</v>
      </c>
      <c r="K14" s="238" t="str">
        <f>SUM('4.0 Projeção / Cenários'!C93:C94)</f>
        <v>#REF!</v>
      </c>
      <c r="L14" s="238" t="str">
        <f>SUM('4.0 Projeção / Cenários'!H93:H94)</f>
        <v>#REF!</v>
      </c>
      <c r="M14" s="238" t="str">
        <f>SUM('4.0 Projeção / Cenários'!M93:M94)</f>
        <v>#REF!</v>
      </c>
      <c r="N14" s="235" t="str">
        <f t="shared" ref="N14:N15" si="10">SUM(B14:M14)</f>
        <v>#REF!</v>
      </c>
    </row>
    <row r="15">
      <c r="A15" s="235" t="s">
        <v>1713</v>
      </c>
      <c r="B15" s="240" t="str">
        <f t="shared" ref="B15:M15" si="9">'6.0 Acompanhamento Mensal'!B7</f>
        <v>#REF!</v>
      </c>
      <c r="C15" s="240" t="str">
        <f t="shared" si="9"/>
        <v>#REF!</v>
      </c>
      <c r="D15" s="240" t="str">
        <f t="shared" si="9"/>
        <v>#REF!</v>
      </c>
      <c r="E15" s="240" t="str">
        <f t="shared" si="9"/>
        <v>#REF!</v>
      </c>
      <c r="F15" s="240" t="str">
        <f t="shared" si="9"/>
        <v>#REF!</v>
      </c>
      <c r="G15" s="240" t="str">
        <f t="shared" si="9"/>
        <v>#REF!</v>
      </c>
      <c r="H15" s="240" t="str">
        <f t="shared" si="9"/>
        <v>#REF!</v>
      </c>
      <c r="I15" s="240" t="str">
        <f t="shared" si="9"/>
        <v>#REF!</v>
      </c>
      <c r="J15" s="240" t="str">
        <f t="shared" si="9"/>
        <v>#REF!</v>
      </c>
      <c r="K15" s="240" t="str">
        <f t="shared" si="9"/>
        <v>#REF!</v>
      </c>
      <c r="L15" s="240" t="str">
        <f t="shared" si="9"/>
        <v>#REF!</v>
      </c>
      <c r="M15" s="240" t="str">
        <f t="shared" si="9"/>
        <v>#REF!</v>
      </c>
      <c r="N15" s="235" t="str">
        <f t="shared" si="10"/>
        <v>#REF!</v>
      </c>
    </row>
    <row r="16">
      <c r="A16" s="235" t="s">
        <v>1714</v>
      </c>
      <c r="B16" s="241" t="str">
        <f t="shared" ref="B16:N16" si="11">B15/B14</f>
        <v>#REF!</v>
      </c>
      <c r="C16" s="241" t="str">
        <f t="shared" si="11"/>
        <v>#REF!</v>
      </c>
      <c r="D16" s="241" t="str">
        <f t="shared" si="11"/>
        <v>#REF!</v>
      </c>
      <c r="E16" s="241" t="str">
        <f t="shared" si="11"/>
        <v>#REF!</v>
      </c>
      <c r="F16" s="241" t="str">
        <f t="shared" si="11"/>
        <v>#REF!</v>
      </c>
      <c r="G16" s="241" t="str">
        <f t="shared" si="11"/>
        <v>#REF!</v>
      </c>
      <c r="H16" s="241" t="str">
        <f t="shared" si="11"/>
        <v>#REF!</v>
      </c>
      <c r="I16" s="241" t="str">
        <f t="shared" si="11"/>
        <v>#REF!</v>
      </c>
      <c r="J16" s="241" t="str">
        <f t="shared" si="11"/>
        <v>#REF!</v>
      </c>
      <c r="K16" s="241" t="str">
        <f t="shared" si="11"/>
        <v>#REF!</v>
      </c>
      <c r="L16" s="241" t="str">
        <f t="shared" si="11"/>
        <v>#REF!</v>
      </c>
      <c r="M16" s="241" t="str">
        <f t="shared" si="11"/>
        <v>#REF!</v>
      </c>
      <c r="N16" s="242" t="str">
        <f t="shared" si="11"/>
        <v>#REF!</v>
      </c>
    </row>
    <row r="17">
      <c r="A17" s="235" t="s">
        <v>1715</v>
      </c>
      <c r="B17" s="243">
        <v>0.0</v>
      </c>
      <c r="C17" s="248" t="str">
        <f t="shared" ref="C17:N17" si="12">(C14-B14)/B14*100</f>
        <v>#REF!</v>
      </c>
      <c r="D17" s="248" t="str">
        <f t="shared" si="12"/>
        <v>#REF!</v>
      </c>
      <c r="E17" s="248" t="str">
        <f t="shared" si="12"/>
        <v>#REF!</v>
      </c>
      <c r="F17" s="248" t="str">
        <f t="shared" si="12"/>
        <v>#REF!</v>
      </c>
      <c r="G17" s="248" t="str">
        <f t="shared" si="12"/>
        <v>#REF!</v>
      </c>
      <c r="H17" s="248" t="str">
        <f t="shared" si="12"/>
        <v>#REF!</v>
      </c>
      <c r="I17" s="248" t="str">
        <f t="shared" si="12"/>
        <v>#REF!</v>
      </c>
      <c r="J17" s="248" t="str">
        <f t="shared" si="12"/>
        <v>#REF!</v>
      </c>
      <c r="K17" s="248" t="str">
        <f t="shared" si="12"/>
        <v>#REF!</v>
      </c>
      <c r="L17" s="248" t="str">
        <f t="shared" si="12"/>
        <v>#REF!</v>
      </c>
      <c r="M17" s="248" t="str">
        <f t="shared" si="12"/>
        <v>#REF!</v>
      </c>
      <c r="N17" s="244" t="str">
        <f t="shared" si="12"/>
        <v>#REF!</v>
      </c>
    </row>
    <row r="18">
      <c r="A18" s="235" t="s">
        <v>1716</v>
      </c>
      <c r="B18" s="243">
        <v>0.0</v>
      </c>
      <c r="C18" s="249" t="str">
        <f t="shared" ref="C18:N18" si="13">(C15-C14)/C14*100</f>
        <v>#REF!</v>
      </c>
      <c r="D18" s="249" t="str">
        <f t="shared" si="13"/>
        <v>#REF!</v>
      </c>
      <c r="E18" s="249" t="str">
        <f t="shared" si="13"/>
        <v>#REF!</v>
      </c>
      <c r="F18" s="249" t="str">
        <f t="shared" si="13"/>
        <v>#REF!</v>
      </c>
      <c r="G18" s="249" t="str">
        <f t="shared" si="13"/>
        <v>#REF!</v>
      </c>
      <c r="H18" s="249" t="str">
        <f t="shared" si="13"/>
        <v>#REF!</v>
      </c>
      <c r="I18" s="249" t="str">
        <f t="shared" si="13"/>
        <v>#REF!</v>
      </c>
      <c r="J18" s="249" t="str">
        <f t="shared" si="13"/>
        <v>#REF!</v>
      </c>
      <c r="K18" s="249" t="str">
        <f t="shared" si="13"/>
        <v>#REF!</v>
      </c>
      <c r="L18" s="249" t="str">
        <f t="shared" si="13"/>
        <v>#REF!</v>
      </c>
      <c r="M18" s="249" t="str">
        <f t="shared" si="13"/>
        <v>#REF!</v>
      </c>
      <c r="N18" s="246" t="str">
        <f t="shared" si="13"/>
        <v>#REF!</v>
      </c>
    </row>
    <row r="19" ht="28.5" customHeight="1">
      <c r="A19" s="234" t="s">
        <v>1605</v>
      </c>
      <c r="B19" s="198"/>
      <c r="C19" s="198"/>
      <c r="D19" s="198"/>
      <c r="E19" s="198"/>
      <c r="F19" s="198"/>
      <c r="G19" s="198"/>
      <c r="H19" s="198"/>
      <c r="I19" s="198"/>
      <c r="J19" s="198"/>
      <c r="K19" s="198"/>
      <c r="L19" s="198"/>
      <c r="M19" s="198"/>
      <c r="N19" s="199"/>
    </row>
    <row r="20">
      <c r="A20" s="235" t="s">
        <v>1712</v>
      </c>
      <c r="B20" s="238" t="str">
        <f>'4.0 Projeção / Cenários'!C15</f>
        <v>#REF!</v>
      </c>
      <c r="C20" s="238" t="str">
        <f>'4.0 Projeção / Cenários'!H15</f>
        <v>#REF!</v>
      </c>
      <c r="D20" s="238" t="str">
        <f>'4.0 Projeção / Cenários'!M15</f>
        <v>#REF!</v>
      </c>
      <c r="E20" s="238" t="str">
        <f>'4.0 Projeção / Cenários'!C42</f>
        <v>#REF!</v>
      </c>
      <c r="F20" s="238" t="str">
        <f>'4.0 Projeção / Cenários'!H42</f>
        <v>#REF!</v>
      </c>
      <c r="G20" s="238" t="str">
        <f>'4.0 Projeção / Cenários'!M42</f>
        <v>#REF!</v>
      </c>
      <c r="H20" s="238" t="str">
        <f>'4.0 Projeção / Cenários'!C69</f>
        <v>#REF!</v>
      </c>
      <c r="I20" s="238" t="str">
        <f>'4.0 Projeção / Cenários'!H69</f>
        <v>#REF!</v>
      </c>
      <c r="J20" s="238" t="str">
        <f>'4.0 Projeção / Cenários'!M69</f>
        <v>#REF!</v>
      </c>
      <c r="K20" s="238" t="str">
        <f>'4.0 Projeção / Cenários'!C96</f>
        <v>#REF!</v>
      </c>
      <c r="L20" s="238" t="str">
        <f>'4.0 Projeção / Cenários'!H96</f>
        <v>#REF!</v>
      </c>
      <c r="M20" s="238" t="str">
        <f>'4.0 Projeção / Cenários'!M96</f>
        <v>#REF!</v>
      </c>
      <c r="N20" s="235" t="str">
        <f t="shared" ref="N20:N21" si="15">AVERAGE(B20:M20)</f>
        <v>#REF!</v>
      </c>
    </row>
    <row r="21">
      <c r="A21" s="235" t="s">
        <v>1713</v>
      </c>
      <c r="B21" s="240" t="str">
        <f t="shared" ref="B21:M21" si="14">'6.0 Acompanhamento Mensal'!B6</f>
        <v>#REF!</v>
      </c>
      <c r="C21" s="240" t="str">
        <f t="shared" si="14"/>
        <v>#REF!</v>
      </c>
      <c r="D21" s="240" t="str">
        <f t="shared" si="14"/>
        <v>#REF!</v>
      </c>
      <c r="E21" s="240" t="str">
        <f t="shared" si="14"/>
        <v>#REF!</v>
      </c>
      <c r="F21" s="240" t="str">
        <f t="shared" si="14"/>
        <v>#REF!</v>
      </c>
      <c r="G21" s="240" t="str">
        <f t="shared" si="14"/>
        <v>#REF!</v>
      </c>
      <c r="H21" s="240" t="str">
        <f t="shared" si="14"/>
        <v>#REF!</v>
      </c>
      <c r="I21" s="240" t="str">
        <f t="shared" si="14"/>
        <v>#REF!</v>
      </c>
      <c r="J21" s="240" t="str">
        <f t="shared" si="14"/>
        <v>#REF!</v>
      </c>
      <c r="K21" s="240" t="str">
        <f t="shared" si="14"/>
        <v>#REF!</v>
      </c>
      <c r="L21" s="240" t="str">
        <f t="shared" si="14"/>
        <v>#REF!</v>
      </c>
      <c r="M21" s="240" t="str">
        <f t="shared" si="14"/>
        <v>#REF!</v>
      </c>
      <c r="N21" s="235" t="str">
        <f t="shared" si="15"/>
        <v>#REF!</v>
      </c>
    </row>
    <row r="22">
      <c r="A22" s="235" t="s">
        <v>1714</v>
      </c>
      <c r="B22" s="241" t="str">
        <f t="shared" ref="B22:N22" si="16">B21/B20</f>
        <v>#REF!</v>
      </c>
      <c r="C22" s="245" t="str">
        <f t="shared" si="16"/>
        <v>#REF!</v>
      </c>
      <c r="D22" s="245" t="str">
        <f t="shared" si="16"/>
        <v>#REF!</v>
      </c>
      <c r="E22" s="245" t="str">
        <f t="shared" si="16"/>
        <v>#REF!</v>
      </c>
      <c r="F22" s="245" t="str">
        <f t="shared" si="16"/>
        <v>#REF!</v>
      </c>
      <c r="G22" s="245" t="str">
        <f t="shared" si="16"/>
        <v>#REF!</v>
      </c>
      <c r="H22" s="245" t="str">
        <f t="shared" si="16"/>
        <v>#REF!</v>
      </c>
      <c r="I22" s="245" t="str">
        <f t="shared" si="16"/>
        <v>#REF!</v>
      </c>
      <c r="J22" s="245" t="str">
        <f t="shared" si="16"/>
        <v>#REF!</v>
      </c>
      <c r="K22" s="245" t="str">
        <f t="shared" si="16"/>
        <v>#REF!</v>
      </c>
      <c r="L22" s="245" t="str">
        <f t="shared" si="16"/>
        <v>#REF!</v>
      </c>
      <c r="M22" s="245" t="str">
        <f t="shared" si="16"/>
        <v>#REF!</v>
      </c>
      <c r="N22" s="242" t="str">
        <f t="shared" si="16"/>
        <v>#REF!</v>
      </c>
    </row>
    <row r="23" ht="28.5" customHeight="1">
      <c r="A23" s="234" t="s">
        <v>1604</v>
      </c>
      <c r="B23" s="198"/>
      <c r="C23" s="198"/>
      <c r="D23" s="198"/>
      <c r="E23" s="198"/>
      <c r="F23" s="198"/>
      <c r="G23" s="198"/>
      <c r="H23" s="198"/>
      <c r="I23" s="198"/>
      <c r="J23" s="198"/>
      <c r="K23" s="198"/>
      <c r="L23" s="198"/>
      <c r="M23" s="198"/>
      <c r="N23" s="199"/>
    </row>
    <row r="24">
      <c r="A24" s="235" t="s">
        <v>1712</v>
      </c>
      <c r="B24" s="238" t="str">
        <f>'4.0 Projeção / Cenários'!C24</f>
        <v>#REF!</v>
      </c>
      <c r="C24" s="238" t="str">
        <f>'4.0 Projeção / Cenários'!H24</f>
        <v>#REF!</v>
      </c>
      <c r="D24" s="238" t="str">
        <f>'4.0 Projeção / Cenários'!M24</f>
        <v>#REF!</v>
      </c>
      <c r="E24" s="238" t="str">
        <f>'4.0 Projeção / Cenários'!C51</f>
        <v>#REF!</v>
      </c>
      <c r="F24" s="238" t="str">
        <f>'4.0 Projeção / Cenários'!H51</f>
        <v>#REF!</v>
      </c>
      <c r="G24" s="238" t="str">
        <f>'4.0 Projeção / Cenários'!M51</f>
        <v>#REF!</v>
      </c>
      <c r="H24" s="238" t="str">
        <f>'4.0 Projeção / Cenários'!C78</f>
        <v>#REF!</v>
      </c>
      <c r="I24" s="238" t="str">
        <f>'4.0 Projeção / Cenários'!H78</f>
        <v>#REF!</v>
      </c>
      <c r="J24" s="238" t="str">
        <f>'4.0 Projeção / Cenários'!M78</f>
        <v>#REF!</v>
      </c>
      <c r="K24" s="238" t="str">
        <f>'4.0 Projeção / Cenários'!C105</f>
        <v>#REF!</v>
      </c>
      <c r="L24" s="238" t="str">
        <f>'4.0 Projeção / Cenários'!H105</f>
        <v>#REF!</v>
      </c>
      <c r="M24" s="238" t="str">
        <f>'4.0 Projeção / Cenários'!M105</f>
        <v>#REF!</v>
      </c>
      <c r="N24" s="235" t="str">
        <f t="shared" ref="N24:N25" si="18">AVERAGE(B24:M24)</f>
        <v>#REF!</v>
      </c>
    </row>
    <row r="25">
      <c r="A25" s="235" t="s">
        <v>1713</v>
      </c>
      <c r="B25" s="240" t="str">
        <f t="shared" ref="B25:M25" si="17">'6.0 Acompanhamento Mensal'!B13</f>
        <v>#REF!</v>
      </c>
      <c r="C25" s="240" t="str">
        <f t="shared" si="17"/>
        <v>#REF!</v>
      </c>
      <c r="D25" s="240" t="str">
        <f t="shared" si="17"/>
        <v>#REF!</v>
      </c>
      <c r="E25" s="240" t="str">
        <f t="shared" si="17"/>
        <v>#REF!</v>
      </c>
      <c r="F25" s="240" t="str">
        <f t="shared" si="17"/>
        <v>#REF!</v>
      </c>
      <c r="G25" s="240" t="str">
        <f t="shared" si="17"/>
        <v>#REF!</v>
      </c>
      <c r="H25" s="240" t="str">
        <f t="shared" si="17"/>
        <v>#REF!</v>
      </c>
      <c r="I25" s="240" t="str">
        <f t="shared" si="17"/>
        <v>#REF!</v>
      </c>
      <c r="J25" s="240" t="str">
        <f t="shared" si="17"/>
        <v>#REF!</v>
      </c>
      <c r="K25" s="240" t="str">
        <f t="shared" si="17"/>
        <v>#REF!</v>
      </c>
      <c r="L25" s="240" t="str">
        <f t="shared" si="17"/>
        <v>#REF!</v>
      </c>
      <c r="M25" s="240" t="str">
        <f t="shared" si="17"/>
        <v>#REF!</v>
      </c>
      <c r="N25" s="235" t="str">
        <f t="shared" si="18"/>
        <v>#REF!</v>
      </c>
    </row>
    <row r="26">
      <c r="A26" s="235" t="s">
        <v>1714</v>
      </c>
      <c r="B26" s="241" t="str">
        <f t="shared" ref="B26:N26" si="19">B25/B24</f>
        <v>#REF!</v>
      </c>
      <c r="C26" s="241" t="str">
        <f t="shared" si="19"/>
        <v>#REF!</v>
      </c>
      <c r="D26" s="241" t="str">
        <f t="shared" si="19"/>
        <v>#REF!</v>
      </c>
      <c r="E26" s="241" t="str">
        <f t="shared" si="19"/>
        <v>#REF!</v>
      </c>
      <c r="F26" s="241" t="str">
        <f t="shared" si="19"/>
        <v>#REF!</v>
      </c>
      <c r="G26" s="241" t="str">
        <f t="shared" si="19"/>
        <v>#REF!</v>
      </c>
      <c r="H26" s="241" t="str">
        <f t="shared" si="19"/>
        <v>#REF!</v>
      </c>
      <c r="I26" s="241" t="str">
        <f t="shared" si="19"/>
        <v>#REF!</v>
      </c>
      <c r="J26" s="241" t="str">
        <f t="shared" si="19"/>
        <v>#REF!</v>
      </c>
      <c r="K26" s="241" t="str">
        <f t="shared" si="19"/>
        <v>#REF!</v>
      </c>
      <c r="L26" s="241" t="str">
        <f t="shared" si="19"/>
        <v>#REF!</v>
      </c>
      <c r="M26" s="241" t="str">
        <f t="shared" si="19"/>
        <v>#REF!</v>
      </c>
      <c r="N26" s="242" t="str">
        <f t="shared" si="19"/>
        <v>#REF!</v>
      </c>
    </row>
    <row r="27">
      <c r="A27" s="250" t="s">
        <v>1715</v>
      </c>
      <c r="B27" s="243">
        <v>0.0</v>
      </c>
      <c r="C27" s="248" t="str">
        <f t="shared" ref="C27:N27" si="20">(C24-B24)/B24*100</f>
        <v>#REF!</v>
      </c>
      <c r="D27" s="248" t="str">
        <f t="shared" si="20"/>
        <v>#REF!</v>
      </c>
      <c r="E27" s="248" t="str">
        <f t="shared" si="20"/>
        <v>#REF!</v>
      </c>
      <c r="F27" s="248" t="str">
        <f t="shared" si="20"/>
        <v>#REF!</v>
      </c>
      <c r="G27" s="248" t="str">
        <f t="shared" si="20"/>
        <v>#REF!</v>
      </c>
      <c r="H27" s="248" t="str">
        <f t="shared" si="20"/>
        <v>#REF!</v>
      </c>
      <c r="I27" s="248" t="str">
        <f t="shared" si="20"/>
        <v>#REF!</v>
      </c>
      <c r="J27" s="248" t="str">
        <f t="shared" si="20"/>
        <v>#REF!</v>
      </c>
      <c r="K27" s="248" t="str">
        <f t="shared" si="20"/>
        <v>#REF!</v>
      </c>
      <c r="L27" s="248" t="str">
        <f t="shared" si="20"/>
        <v>#REF!</v>
      </c>
      <c r="M27" s="248" t="str">
        <f t="shared" si="20"/>
        <v>#REF!</v>
      </c>
      <c r="N27" s="244" t="str">
        <f t="shared" si="20"/>
        <v>#REF!</v>
      </c>
    </row>
    <row r="28">
      <c r="A28" s="250" t="s">
        <v>1716</v>
      </c>
      <c r="B28" s="243">
        <v>0.0</v>
      </c>
      <c r="C28" s="249" t="str">
        <f t="shared" ref="C28:N28" si="21">(C25-C24)/C24*100</f>
        <v>#REF!</v>
      </c>
      <c r="D28" s="249" t="str">
        <f t="shared" si="21"/>
        <v>#REF!</v>
      </c>
      <c r="E28" s="249" t="str">
        <f t="shared" si="21"/>
        <v>#REF!</v>
      </c>
      <c r="F28" s="249" t="str">
        <f t="shared" si="21"/>
        <v>#REF!</v>
      </c>
      <c r="G28" s="249" t="str">
        <f t="shared" si="21"/>
        <v>#REF!</v>
      </c>
      <c r="H28" s="249" t="str">
        <f t="shared" si="21"/>
        <v>#REF!</v>
      </c>
      <c r="I28" s="249" t="str">
        <f t="shared" si="21"/>
        <v>#REF!</v>
      </c>
      <c r="J28" s="249" t="str">
        <f t="shared" si="21"/>
        <v>#REF!</v>
      </c>
      <c r="K28" s="249" t="str">
        <f t="shared" si="21"/>
        <v>#REF!</v>
      </c>
      <c r="L28" s="249" t="str">
        <f t="shared" si="21"/>
        <v>#REF!</v>
      </c>
      <c r="M28" s="249" t="str">
        <f t="shared" si="21"/>
        <v>#REF!</v>
      </c>
      <c r="N28" s="246" t="str">
        <f t="shared" si="21"/>
        <v>#REF!</v>
      </c>
    </row>
  </sheetData>
  <mergeCells count="6">
    <mergeCell ref="A1:N1"/>
    <mergeCell ref="A3:N3"/>
    <mergeCell ref="A9:N9"/>
    <mergeCell ref="A13:N13"/>
    <mergeCell ref="A19:N19"/>
    <mergeCell ref="A23:N2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 t="s">
        <v>1718</v>
      </c>
      <c r="B1" s="5" t="s">
        <v>1719</v>
      </c>
      <c r="C1" s="5" t="s">
        <v>1720</v>
      </c>
      <c r="D1" s="5" t="s">
        <v>1721</v>
      </c>
      <c r="E1" s="251" t="s">
        <v>1722</v>
      </c>
      <c r="F1" s="252" t="s">
        <v>34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53">
        <v>46082.0</v>
      </c>
      <c r="B2" s="254">
        <v>0.0</v>
      </c>
      <c r="C2" s="5">
        <v>1.0</v>
      </c>
      <c r="D2" s="5">
        <v>0.0</v>
      </c>
      <c r="E2" s="255">
        <v>0.0</v>
      </c>
      <c r="F2" s="256">
        <f t="shared" ref="F2:F500" si="1">DATE(YEAR(SUBSTITUTE(SUBSTITUTE(A2,"-","/",1),"-","/",1)),MONTH(SUBSTITUTE(SUBSTITUTE(A2,"-","/",1),"-","/",1)),DAY(SUBSTITUTE(SUBSTITUTE(A2,"-","/",1),"-","/",1)))</f>
        <v>46082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53">
        <v>46083.0</v>
      </c>
      <c r="B3" s="254">
        <v>9.44</v>
      </c>
      <c r="C3" s="5">
        <v>17.0</v>
      </c>
      <c r="D3" s="5">
        <v>6.0</v>
      </c>
      <c r="E3" s="255">
        <v>0.0</v>
      </c>
      <c r="F3" s="256">
        <f t="shared" si="1"/>
        <v>46083</v>
      </c>
      <c r="G3" s="1"/>
      <c r="H3" s="257" t="s">
        <v>1723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53">
        <v>46084.0</v>
      </c>
      <c r="B4" s="254">
        <v>8.86</v>
      </c>
      <c r="C4" s="5">
        <v>13.0</v>
      </c>
      <c r="D4" s="5">
        <v>4.0</v>
      </c>
      <c r="E4" s="255">
        <v>0.0</v>
      </c>
      <c r="F4" s="256">
        <f t="shared" si="1"/>
        <v>46084</v>
      </c>
      <c r="G4" s="1"/>
      <c r="H4" s="258" t="s">
        <v>1724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53">
        <v>46085.0</v>
      </c>
      <c r="B5" s="254">
        <v>0.32</v>
      </c>
      <c r="C5" s="5">
        <v>5.0</v>
      </c>
      <c r="D5" s="5">
        <v>1.0</v>
      </c>
      <c r="E5" s="255">
        <v>0.0</v>
      </c>
      <c r="F5" s="256">
        <f t="shared" si="1"/>
        <v>46085</v>
      </c>
      <c r="G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53">
        <v>46086.0</v>
      </c>
      <c r="B6" s="254">
        <v>0.0</v>
      </c>
      <c r="C6" s="5">
        <v>3.0</v>
      </c>
      <c r="D6" s="5">
        <v>0.0</v>
      </c>
      <c r="E6" s="255">
        <v>0.0</v>
      </c>
      <c r="F6" s="256">
        <f t="shared" si="1"/>
        <v>46086</v>
      </c>
      <c r="G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53">
        <v>46087.0</v>
      </c>
      <c r="B7" s="254">
        <v>2.11</v>
      </c>
      <c r="C7" s="5">
        <v>6.0</v>
      </c>
      <c r="D7" s="5">
        <v>2.0</v>
      </c>
      <c r="E7" s="255">
        <v>0.0</v>
      </c>
      <c r="F7" s="256">
        <f t="shared" si="1"/>
        <v>46087</v>
      </c>
      <c r="G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53">
        <v>46088.0</v>
      </c>
      <c r="B8" s="254">
        <v>0.0</v>
      </c>
      <c r="C8" s="5">
        <v>6.0</v>
      </c>
      <c r="D8" s="5">
        <v>0.0</v>
      </c>
      <c r="E8" s="255">
        <v>0.0</v>
      </c>
      <c r="F8" s="256">
        <f t="shared" si="1"/>
        <v>46088</v>
      </c>
      <c r="G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53">
        <v>46090.0</v>
      </c>
      <c r="B9" s="254">
        <v>2.47</v>
      </c>
      <c r="C9" s="5">
        <v>6.0</v>
      </c>
      <c r="D9" s="5">
        <v>2.0</v>
      </c>
      <c r="E9" s="255">
        <v>0.0</v>
      </c>
      <c r="F9" s="256">
        <f t="shared" si="1"/>
        <v>46090</v>
      </c>
      <c r="G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53">
        <v>46092.0</v>
      </c>
      <c r="B10" s="254">
        <v>21.76</v>
      </c>
      <c r="C10" s="5">
        <v>30.0</v>
      </c>
      <c r="D10" s="5">
        <v>7.0</v>
      </c>
      <c r="E10" s="255">
        <v>0.0</v>
      </c>
      <c r="F10" s="256">
        <f t="shared" si="1"/>
        <v>46092</v>
      </c>
      <c r="G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53">
        <v>46093.0</v>
      </c>
      <c r="B11" s="254">
        <v>3.46</v>
      </c>
      <c r="C11" s="5">
        <v>10.0</v>
      </c>
      <c r="D11" s="5">
        <v>2.0</v>
      </c>
      <c r="E11" s="255">
        <v>0.0</v>
      </c>
      <c r="F11" s="256">
        <f t="shared" si="1"/>
        <v>46093</v>
      </c>
      <c r="G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53">
        <v>46094.0</v>
      </c>
      <c r="B12" s="254">
        <v>8.24</v>
      </c>
      <c r="C12" s="5">
        <v>13.0</v>
      </c>
      <c r="D12" s="5">
        <v>2.0</v>
      </c>
      <c r="E12" s="255">
        <v>0.0</v>
      </c>
      <c r="F12" s="256">
        <f t="shared" si="1"/>
        <v>46094</v>
      </c>
      <c r="G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53">
        <v>46095.0</v>
      </c>
      <c r="B13" s="254">
        <v>0.0</v>
      </c>
      <c r="C13" s="5">
        <v>2.0</v>
      </c>
      <c r="D13" s="5">
        <v>0.0</v>
      </c>
      <c r="E13" s="255">
        <v>0.0</v>
      </c>
      <c r="F13" s="256">
        <f t="shared" si="1"/>
        <v>46095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53">
        <v>46096.0</v>
      </c>
      <c r="B14" s="254">
        <v>2.65</v>
      </c>
      <c r="C14" s="5">
        <v>9.0</v>
      </c>
      <c r="D14" s="5">
        <v>4.0</v>
      </c>
      <c r="E14" s="255">
        <v>0.0</v>
      </c>
      <c r="F14" s="256">
        <f t="shared" si="1"/>
        <v>46096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53">
        <v>46097.0</v>
      </c>
      <c r="B15" s="254">
        <v>1.6</v>
      </c>
      <c r="C15" s="5">
        <v>3.0</v>
      </c>
      <c r="D15" s="5">
        <v>1.0</v>
      </c>
      <c r="E15" s="255">
        <v>0.0</v>
      </c>
      <c r="F15" s="256">
        <f t="shared" si="1"/>
        <v>46097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53">
        <v>46100.0</v>
      </c>
      <c r="B16" s="254">
        <v>1.49</v>
      </c>
      <c r="C16" s="5">
        <v>20.0</v>
      </c>
      <c r="D16" s="5">
        <v>1.0</v>
      </c>
      <c r="E16" s="255">
        <v>0.0</v>
      </c>
      <c r="F16" s="256">
        <f t="shared" si="1"/>
        <v>46100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53">
        <v>46101.0</v>
      </c>
      <c r="B17" s="254">
        <v>91.34</v>
      </c>
      <c r="C17" s="5">
        <v>19.0</v>
      </c>
      <c r="D17" s="5">
        <v>3.0</v>
      </c>
      <c r="E17" s="255">
        <v>0.0</v>
      </c>
      <c r="F17" s="256">
        <f t="shared" si="1"/>
        <v>46101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53">
        <v>46102.0</v>
      </c>
      <c r="B18" s="254">
        <v>0.0</v>
      </c>
      <c r="C18" s="5">
        <v>16.0</v>
      </c>
      <c r="D18" s="5">
        <v>0.0</v>
      </c>
      <c r="E18" s="255">
        <v>0.0</v>
      </c>
      <c r="F18" s="256">
        <f t="shared" si="1"/>
        <v>46102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53">
        <v>46103.0</v>
      </c>
      <c r="B19" s="254">
        <v>0.0</v>
      </c>
      <c r="C19" s="5">
        <v>7.0</v>
      </c>
      <c r="D19" s="5">
        <v>0.0</v>
      </c>
      <c r="E19" s="255">
        <v>0.0</v>
      </c>
      <c r="F19" s="256">
        <f t="shared" si="1"/>
        <v>46103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53">
        <v>46104.0</v>
      </c>
      <c r="B20" s="254">
        <v>0.9</v>
      </c>
      <c r="C20" s="5">
        <v>9.0</v>
      </c>
      <c r="D20" s="5">
        <v>1.0</v>
      </c>
      <c r="E20" s="255">
        <v>0.0</v>
      </c>
      <c r="F20" s="256">
        <f t="shared" si="1"/>
        <v>46104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53">
        <v>46105.0</v>
      </c>
      <c r="B21" s="254">
        <v>43.56</v>
      </c>
      <c r="C21" s="5">
        <v>21.0</v>
      </c>
      <c r="D21" s="5">
        <v>2.0</v>
      </c>
      <c r="E21" s="255">
        <v>0.0</v>
      </c>
      <c r="F21" s="256">
        <f t="shared" si="1"/>
        <v>46105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53">
        <v>46106.0</v>
      </c>
      <c r="B22" s="254">
        <v>1.37</v>
      </c>
      <c r="C22" s="5">
        <v>11.0</v>
      </c>
      <c r="D22" s="5">
        <v>1.0</v>
      </c>
      <c r="E22" s="255">
        <v>0.0</v>
      </c>
      <c r="F22" s="256">
        <f t="shared" si="1"/>
        <v>46106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53">
        <v>46107.0</v>
      </c>
      <c r="B23" s="254">
        <v>0.4</v>
      </c>
      <c r="C23" s="5">
        <v>22.0</v>
      </c>
      <c r="D23" s="5">
        <v>1.0</v>
      </c>
      <c r="E23" s="255">
        <v>0.0</v>
      </c>
      <c r="F23" s="256">
        <f t="shared" si="1"/>
        <v>46107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53">
        <v>46108.0</v>
      </c>
      <c r="B24" s="254">
        <v>2.46</v>
      </c>
      <c r="C24" s="5">
        <v>13.0</v>
      </c>
      <c r="D24" s="5">
        <v>1.0</v>
      </c>
      <c r="E24" s="255">
        <v>0.0</v>
      </c>
      <c r="F24" s="256">
        <f t="shared" si="1"/>
        <v>46108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53">
        <v>46109.0</v>
      </c>
      <c r="B25" s="254">
        <v>0.0</v>
      </c>
      <c r="C25" s="5">
        <v>3.0</v>
      </c>
      <c r="D25" s="5">
        <v>0.0</v>
      </c>
      <c r="E25" s="255">
        <v>0.0</v>
      </c>
      <c r="F25" s="256">
        <f t="shared" si="1"/>
        <v>46109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53">
        <v>46110.0</v>
      </c>
      <c r="B26" s="254">
        <v>0.77</v>
      </c>
      <c r="C26" s="5">
        <v>10.0</v>
      </c>
      <c r="D26" s="5">
        <v>1.0</v>
      </c>
      <c r="E26" s="255">
        <v>0.0</v>
      </c>
      <c r="F26" s="256">
        <f t="shared" si="1"/>
        <v>46110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53">
        <v>46111.0</v>
      </c>
      <c r="B27" s="254">
        <v>0.8</v>
      </c>
      <c r="C27" s="5">
        <v>4.0</v>
      </c>
      <c r="D27" s="5">
        <v>1.0</v>
      </c>
      <c r="E27" s="255">
        <v>0.0</v>
      </c>
      <c r="F27" s="256">
        <f t="shared" si="1"/>
        <v>46111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53">
        <v>46112.0</v>
      </c>
      <c r="B28" s="254">
        <v>2.73</v>
      </c>
      <c r="C28" s="5">
        <v>30.0</v>
      </c>
      <c r="D28" s="5">
        <v>2.0</v>
      </c>
      <c r="E28" s="255">
        <v>0.0</v>
      </c>
      <c r="F28" s="256">
        <f t="shared" si="1"/>
        <v>46112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53">
        <v>46113.0</v>
      </c>
      <c r="B29" s="254">
        <v>42.21</v>
      </c>
      <c r="C29" s="5">
        <v>20.0</v>
      </c>
      <c r="D29" s="5">
        <v>4.0</v>
      </c>
      <c r="E29" s="255">
        <v>0.0</v>
      </c>
      <c r="F29" s="256">
        <f t="shared" si="1"/>
        <v>46113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53">
        <v>46114.0</v>
      </c>
      <c r="B30" s="254">
        <v>29.16</v>
      </c>
      <c r="C30" s="5">
        <v>166.0</v>
      </c>
      <c r="D30" s="5">
        <v>4.0</v>
      </c>
      <c r="E30" s="255">
        <v>0.0</v>
      </c>
      <c r="F30" s="256">
        <f t="shared" si="1"/>
        <v>46114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53">
        <v>46115.0</v>
      </c>
      <c r="B31" s="254">
        <v>49.89</v>
      </c>
      <c r="C31" s="5">
        <v>1077.0</v>
      </c>
      <c r="D31" s="5">
        <v>10.0</v>
      </c>
      <c r="E31" s="255">
        <v>0.0</v>
      </c>
      <c r="F31" s="256">
        <f t="shared" si="1"/>
        <v>46115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53">
        <v>46116.0</v>
      </c>
      <c r="B32" s="254">
        <v>24.56</v>
      </c>
      <c r="C32" s="5">
        <v>885.0</v>
      </c>
      <c r="D32" s="5">
        <v>5.0</v>
      </c>
      <c r="E32" s="255">
        <v>0.0</v>
      </c>
      <c r="F32" s="256">
        <f t="shared" si="1"/>
        <v>46116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53">
        <v>46117.0</v>
      </c>
      <c r="B33" s="254">
        <v>33.26</v>
      </c>
      <c r="C33" s="5">
        <v>1484.0</v>
      </c>
      <c r="D33" s="5">
        <v>16.0</v>
      </c>
      <c r="E33" s="255">
        <v>0.0</v>
      </c>
      <c r="F33" s="256">
        <f t="shared" si="1"/>
        <v>46117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53">
        <v>46118.0</v>
      </c>
      <c r="B34" s="254">
        <v>30.36</v>
      </c>
      <c r="C34" s="5">
        <v>1221.0</v>
      </c>
      <c r="D34" s="5">
        <v>10.0</v>
      </c>
      <c r="E34" s="255">
        <v>0.0</v>
      </c>
      <c r="F34" s="256">
        <f t="shared" si="1"/>
        <v>46118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53">
        <v>46119.0</v>
      </c>
      <c r="B35" s="254">
        <v>22.72</v>
      </c>
      <c r="C35" s="5">
        <v>781.0</v>
      </c>
      <c r="D35" s="5">
        <v>9.0</v>
      </c>
      <c r="E35" s="255">
        <v>0.0</v>
      </c>
      <c r="F35" s="256">
        <f t="shared" si="1"/>
        <v>46119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53">
        <v>46120.0</v>
      </c>
      <c r="B36" s="254">
        <v>41.18</v>
      </c>
      <c r="C36" s="5">
        <v>1747.0</v>
      </c>
      <c r="D36" s="5">
        <v>16.0</v>
      </c>
      <c r="E36" s="255">
        <v>0.0</v>
      </c>
      <c r="F36" s="256">
        <f t="shared" si="1"/>
        <v>46120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53">
        <v>46121.0</v>
      </c>
      <c r="B37" s="254">
        <v>35.58</v>
      </c>
      <c r="C37" s="5">
        <v>1239.0</v>
      </c>
      <c r="D37" s="5">
        <v>14.0</v>
      </c>
      <c r="E37" s="255">
        <v>0.0</v>
      </c>
      <c r="F37" s="256">
        <f t="shared" si="1"/>
        <v>46121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53">
        <v>46122.0</v>
      </c>
      <c r="B38" s="254">
        <v>29.41</v>
      </c>
      <c r="C38" s="5">
        <v>1200.0</v>
      </c>
      <c r="D38" s="5">
        <v>11.0</v>
      </c>
      <c r="E38" s="255">
        <v>0.0</v>
      </c>
      <c r="F38" s="256">
        <f t="shared" si="1"/>
        <v>46122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53">
        <v>46123.0</v>
      </c>
      <c r="B39" s="254">
        <v>31.68</v>
      </c>
      <c r="C39" s="5">
        <v>1238.0</v>
      </c>
      <c r="D39" s="5">
        <v>19.0</v>
      </c>
      <c r="E39" s="255">
        <v>0.0</v>
      </c>
      <c r="F39" s="256">
        <f t="shared" si="1"/>
        <v>46123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53">
        <v>46124.0</v>
      </c>
      <c r="B40" s="254">
        <v>85.02</v>
      </c>
      <c r="C40" s="5">
        <v>1194.0</v>
      </c>
      <c r="D40" s="5">
        <v>14.0</v>
      </c>
      <c r="E40" s="255">
        <v>0.0</v>
      </c>
      <c r="F40" s="256">
        <f t="shared" si="1"/>
        <v>46124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53">
        <v>46125.0</v>
      </c>
      <c r="B41" s="254">
        <v>36.17</v>
      </c>
      <c r="C41" s="5">
        <v>1368.0</v>
      </c>
      <c r="D41" s="5">
        <v>16.0</v>
      </c>
      <c r="E41" s="255">
        <v>0.0</v>
      </c>
      <c r="F41" s="256">
        <f t="shared" si="1"/>
        <v>46125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53">
        <v>46126.0</v>
      </c>
      <c r="B42" s="254">
        <v>36.96</v>
      </c>
      <c r="C42" s="5">
        <v>1217.0</v>
      </c>
      <c r="D42" s="5">
        <v>12.0</v>
      </c>
      <c r="E42" s="255">
        <v>1.0</v>
      </c>
      <c r="F42" s="256">
        <f t="shared" si="1"/>
        <v>46126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53">
        <v>46127.0</v>
      </c>
      <c r="B43" s="254">
        <v>32.16</v>
      </c>
      <c r="C43" s="5">
        <v>1008.0</v>
      </c>
      <c r="D43" s="5">
        <v>14.0</v>
      </c>
      <c r="E43" s="255">
        <v>0.0</v>
      </c>
      <c r="F43" s="256">
        <f t="shared" si="1"/>
        <v>46127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53">
        <v>46128.0</v>
      </c>
      <c r="B44" s="254">
        <v>77.92</v>
      </c>
      <c r="C44" s="5">
        <v>1154.0</v>
      </c>
      <c r="D44" s="5">
        <v>9.0</v>
      </c>
      <c r="E44" s="255">
        <v>0.0</v>
      </c>
      <c r="F44" s="256">
        <f t="shared" si="1"/>
        <v>46128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53">
        <v>46129.0</v>
      </c>
      <c r="B45" s="254">
        <v>48.94</v>
      </c>
      <c r="C45" s="5">
        <v>1032.0</v>
      </c>
      <c r="D45" s="5">
        <v>15.0</v>
      </c>
      <c r="E45" s="255">
        <v>0.0</v>
      </c>
      <c r="F45" s="256">
        <f t="shared" si="1"/>
        <v>46129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53">
        <v>46130.0</v>
      </c>
      <c r="B46" s="254">
        <v>42.49</v>
      </c>
      <c r="C46" s="5">
        <v>936.0</v>
      </c>
      <c r="D46" s="5">
        <v>12.0</v>
      </c>
      <c r="E46" s="255">
        <v>1.0</v>
      </c>
      <c r="F46" s="256">
        <f t="shared" si="1"/>
        <v>46130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53">
        <v>46131.0</v>
      </c>
      <c r="B47" s="254">
        <v>41.82</v>
      </c>
      <c r="C47" s="5">
        <v>1199.0</v>
      </c>
      <c r="D47" s="5">
        <v>19.0</v>
      </c>
      <c r="E47" s="255">
        <v>0.0</v>
      </c>
      <c r="F47" s="256">
        <f t="shared" si="1"/>
        <v>46131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53">
        <v>46132.0</v>
      </c>
      <c r="B48" s="254">
        <v>36.42</v>
      </c>
      <c r="C48" s="5">
        <v>1366.0</v>
      </c>
      <c r="D48" s="5">
        <v>19.0</v>
      </c>
      <c r="E48" s="255">
        <v>1.0</v>
      </c>
      <c r="F48" s="256">
        <f t="shared" si="1"/>
        <v>46132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53">
        <v>46133.0</v>
      </c>
      <c r="B49" s="254">
        <v>25.86</v>
      </c>
      <c r="C49" s="5">
        <v>1581.0</v>
      </c>
      <c r="D49" s="5">
        <v>15.0</v>
      </c>
      <c r="E49" s="255">
        <v>0.0</v>
      </c>
      <c r="F49" s="256">
        <f t="shared" si="1"/>
        <v>46133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53">
        <v>46134.0</v>
      </c>
      <c r="B50" s="254">
        <v>157.82</v>
      </c>
      <c r="C50" s="5">
        <v>1128.0</v>
      </c>
      <c r="D50" s="5">
        <v>14.0</v>
      </c>
      <c r="E50" s="255">
        <v>0.0</v>
      </c>
      <c r="F50" s="256">
        <f t="shared" si="1"/>
        <v>46134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53">
        <v>46135.0</v>
      </c>
      <c r="B51" s="254">
        <v>33.26</v>
      </c>
      <c r="C51" s="5">
        <v>1065.0</v>
      </c>
      <c r="D51" s="5">
        <v>14.0</v>
      </c>
      <c r="E51" s="255">
        <v>0.0</v>
      </c>
      <c r="F51" s="256">
        <f t="shared" si="1"/>
        <v>46135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53">
        <v>46136.0</v>
      </c>
      <c r="B52" s="254">
        <v>30.01</v>
      </c>
      <c r="C52" s="5">
        <v>1071.0</v>
      </c>
      <c r="D52" s="5">
        <v>5.0</v>
      </c>
      <c r="E52" s="255">
        <v>0.0</v>
      </c>
      <c r="F52" s="256">
        <f t="shared" si="1"/>
        <v>46136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53">
        <v>46137.0</v>
      </c>
      <c r="B53" s="254">
        <v>24.57</v>
      </c>
      <c r="C53" s="5">
        <v>1330.0</v>
      </c>
      <c r="D53" s="5">
        <v>11.0</v>
      </c>
      <c r="E53" s="255">
        <v>2.0</v>
      </c>
      <c r="F53" s="256">
        <f t="shared" si="1"/>
        <v>46137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53">
        <v>46138.0</v>
      </c>
      <c r="B54" s="254">
        <v>26.84</v>
      </c>
      <c r="C54" s="5">
        <v>1255.0</v>
      </c>
      <c r="D54" s="5">
        <v>15.0</v>
      </c>
      <c r="E54" s="255">
        <v>0.0</v>
      </c>
      <c r="F54" s="256">
        <f t="shared" si="1"/>
        <v>46138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53">
        <v>46139.0</v>
      </c>
      <c r="B55" s="254">
        <v>23.69</v>
      </c>
      <c r="C55" s="5">
        <v>892.0</v>
      </c>
      <c r="D55" s="5">
        <v>9.0</v>
      </c>
      <c r="E55" s="255">
        <v>0.0</v>
      </c>
      <c r="F55" s="256">
        <f t="shared" si="1"/>
        <v>46139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53">
        <v>46140.0</v>
      </c>
      <c r="B56" s="254">
        <v>28.08</v>
      </c>
      <c r="C56" s="5">
        <v>855.0</v>
      </c>
      <c r="D56" s="5">
        <v>9.0</v>
      </c>
      <c r="E56" s="255">
        <v>0.0</v>
      </c>
      <c r="F56" s="256">
        <f t="shared" si="1"/>
        <v>46140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53">
        <v>46141.0</v>
      </c>
      <c r="B57" s="254">
        <v>24.57</v>
      </c>
      <c r="C57" s="5">
        <v>719.0</v>
      </c>
      <c r="D57" s="5">
        <v>7.0</v>
      </c>
      <c r="E57" s="255">
        <v>0.0</v>
      </c>
      <c r="F57" s="256">
        <f t="shared" si="1"/>
        <v>46141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53">
        <v>46142.0</v>
      </c>
      <c r="B58" s="254">
        <v>21.7</v>
      </c>
      <c r="C58" s="5">
        <v>688.0</v>
      </c>
      <c r="D58" s="5">
        <v>8.0</v>
      </c>
      <c r="E58" s="255">
        <v>0.0</v>
      </c>
      <c r="F58" s="256">
        <f t="shared" si="1"/>
        <v>46142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53">
        <v>46143.0</v>
      </c>
      <c r="B59" s="254">
        <v>26.19</v>
      </c>
      <c r="C59" s="5">
        <v>858.0</v>
      </c>
      <c r="D59" s="5">
        <v>9.0</v>
      </c>
      <c r="E59" s="255">
        <v>1.0</v>
      </c>
      <c r="F59" s="256">
        <f t="shared" si="1"/>
        <v>46143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53">
        <v>46144.0</v>
      </c>
      <c r="B60" s="254">
        <v>42.58</v>
      </c>
      <c r="C60" s="5">
        <v>665.0</v>
      </c>
      <c r="D60" s="5">
        <v>15.0</v>
      </c>
      <c r="E60" s="255">
        <v>0.0</v>
      </c>
      <c r="F60" s="256">
        <f t="shared" si="1"/>
        <v>46144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53">
        <v>46145.0</v>
      </c>
      <c r="B61" s="254">
        <v>25.83</v>
      </c>
      <c r="C61" s="5">
        <v>589.0</v>
      </c>
      <c r="D61" s="5">
        <v>10.0</v>
      </c>
      <c r="E61" s="255">
        <v>0.0</v>
      </c>
      <c r="F61" s="256">
        <f t="shared" si="1"/>
        <v>46145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53">
        <v>46146.0</v>
      </c>
      <c r="B62" s="254">
        <v>26.33</v>
      </c>
      <c r="C62" s="5">
        <v>730.0</v>
      </c>
      <c r="D62" s="5">
        <v>15.0</v>
      </c>
      <c r="E62" s="255">
        <v>1.0</v>
      </c>
      <c r="F62" s="256">
        <f t="shared" si="1"/>
        <v>46146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53">
        <v>46147.0</v>
      </c>
      <c r="B63" s="254">
        <v>49.77</v>
      </c>
      <c r="C63" s="5">
        <v>722.0</v>
      </c>
      <c r="D63" s="5">
        <v>11.0</v>
      </c>
      <c r="E63" s="255">
        <v>0.0</v>
      </c>
      <c r="F63" s="256">
        <f t="shared" si="1"/>
        <v>46147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53">
        <v>46148.0</v>
      </c>
      <c r="B64" s="254">
        <v>29.27</v>
      </c>
      <c r="C64" s="5">
        <v>525.0</v>
      </c>
      <c r="D64" s="5">
        <v>10.0</v>
      </c>
      <c r="E64" s="255">
        <v>1.0</v>
      </c>
      <c r="F64" s="256">
        <f t="shared" si="1"/>
        <v>46148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53">
        <v>46149.0</v>
      </c>
      <c r="B65" s="254">
        <v>16.68</v>
      </c>
      <c r="C65" s="5">
        <v>418.0</v>
      </c>
      <c r="D65" s="5">
        <v>6.0</v>
      </c>
      <c r="E65" s="255">
        <v>0.0</v>
      </c>
      <c r="F65" s="256">
        <f t="shared" si="1"/>
        <v>46149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53">
        <v>46150.0</v>
      </c>
      <c r="B66" s="254">
        <v>15.49</v>
      </c>
      <c r="C66" s="5">
        <v>416.0</v>
      </c>
      <c r="D66" s="5">
        <v>6.0</v>
      </c>
      <c r="E66" s="255">
        <v>0.0</v>
      </c>
      <c r="F66" s="256">
        <f t="shared" si="1"/>
        <v>46150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53">
        <v>46151.0</v>
      </c>
      <c r="B67" s="254">
        <v>17.9</v>
      </c>
      <c r="C67" s="5">
        <v>504.0</v>
      </c>
      <c r="D67" s="5">
        <v>6.0</v>
      </c>
      <c r="E67" s="255">
        <v>0.0</v>
      </c>
      <c r="F67" s="256">
        <f t="shared" si="1"/>
        <v>46151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53">
        <v>46152.0</v>
      </c>
      <c r="B68" s="254">
        <v>15.71</v>
      </c>
      <c r="C68" s="5">
        <v>487.0</v>
      </c>
      <c r="D68" s="5">
        <v>9.0</v>
      </c>
      <c r="E68" s="255">
        <v>0.0</v>
      </c>
      <c r="F68" s="256">
        <f t="shared" si="1"/>
        <v>46152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53">
        <v>46153.0</v>
      </c>
      <c r="B69" s="254">
        <v>6.15</v>
      </c>
      <c r="C69" s="5">
        <v>64.0</v>
      </c>
      <c r="D69" s="5">
        <v>2.0</v>
      </c>
      <c r="E69" s="255">
        <v>0.0</v>
      </c>
      <c r="F69" s="256">
        <f t="shared" si="1"/>
        <v>46153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53">
        <v>46154.0</v>
      </c>
      <c r="B70" s="254">
        <v>0.03</v>
      </c>
      <c r="C70" s="5">
        <v>1.0</v>
      </c>
      <c r="D70" s="5">
        <v>0.0</v>
      </c>
      <c r="E70" s="255">
        <v>0.0</v>
      </c>
      <c r="F70" s="256">
        <f t="shared" si="1"/>
        <v>46154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53">
        <v>46155.0</v>
      </c>
      <c r="B71" s="254">
        <v>0.45</v>
      </c>
      <c r="C71" s="5">
        <v>8.0</v>
      </c>
      <c r="D71" s="5">
        <v>0.0</v>
      </c>
      <c r="E71" s="255">
        <v>0.0</v>
      </c>
      <c r="F71" s="256">
        <f t="shared" si="1"/>
        <v>46155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53">
        <v>46156.0</v>
      </c>
      <c r="B72" s="254">
        <v>28.47</v>
      </c>
      <c r="C72" s="5">
        <v>651.0</v>
      </c>
      <c r="D72" s="5">
        <v>4.0</v>
      </c>
      <c r="E72" s="255">
        <v>0.0</v>
      </c>
      <c r="F72" s="256">
        <f t="shared" si="1"/>
        <v>46156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53">
        <v>46157.0</v>
      </c>
      <c r="B73" s="254">
        <v>59.71</v>
      </c>
      <c r="C73" s="5">
        <v>913.0</v>
      </c>
      <c r="D73" s="5">
        <v>18.0</v>
      </c>
      <c r="E73" s="255">
        <v>0.0</v>
      </c>
      <c r="F73" s="256">
        <f t="shared" si="1"/>
        <v>46157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53">
        <v>46158.0</v>
      </c>
      <c r="B74" s="254">
        <v>67.26</v>
      </c>
      <c r="C74" s="5">
        <v>1120.0</v>
      </c>
      <c r="D74" s="5">
        <v>14.0</v>
      </c>
      <c r="E74" s="255">
        <v>1.0</v>
      </c>
      <c r="F74" s="256">
        <f t="shared" si="1"/>
        <v>46158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53">
        <v>46159.0</v>
      </c>
      <c r="B75" s="254">
        <v>47.58</v>
      </c>
      <c r="C75" s="5">
        <v>882.0</v>
      </c>
      <c r="D75" s="5">
        <v>13.0</v>
      </c>
      <c r="E75" s="255">
        <v>0.0</v>
      </c>
      <c r="F75" s="256">
        <f t="shared" si="1"/>
        <v>46159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53">
        <v>46160.0</v>
      </c>
      <c r="B76" s="254">
        <v>23.66</v>
      </c>
      <c r="C76" s="5">
        <v>343.0</v>
      </c>
      <c r="D76" s="5">
        <v>9.0</v>
      </c>
      <c r="E76" s="255">
        <v>0.0</v>
      </c>
      <c r="F76" s="256">
        <f t="shared" si="1"/>
        <v>46160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53">
        <v>46161.0</v>
      </c>
      <c r="B77" s="254">
        <v>22.62</v>
      </c>
      <c r="C77" s="5">
        <v>11.0</v>
      </c>
      <c r="D77" s="5">
        <v>3.0</v>
      </c>
      <c r="E77" s="255">
        <v>0.0</v>
      </c>
      <c r="F77" s="256">
        <f t="shared" si="1"/>
        <v>46161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53">
        <v>46162.0</v>
      </c>
      <c r="B78" s="254">
        <v>32.58</v>
      </c>
      <c r="C78" s="5">
        <v>14.0</v>
      </c>
      <c r="D78" s="5">
        <v>3.0</v>
      </c>
      <c r="E78" s="255">
        <v>0.0</v>
      </c>
      <c r="F78" s="256">
        <f t="shared" si="1"/>
        <v>46162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53">
        <v>46163.0</v>
      </c>
      <c r="B79" s="254">
        <v>22.31</v>
      </c>
      <c r="C79" s="5">
        <v>19.0</v>
      </c>
      <c r="D79" s="5">
        <v>2.0</v>
      </c>
      <c r="E79" s="255">
        <v>0.0</v>
      </c>
      <c r="F79" s="256">
        <f t="shared" si="1"/>
        <v>46163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53">
        <v>46164.0</v>
      </c>
      <c r="B80" s="254">
        <v>17.0</v>
      </c>
      <c r="C80" s="5">
        <v>24.0</v>
      </c>
      <c r="D80" s="5">
        <v>3.0</v>
      </c>
      <c r="E80" s="255">
        <v>0.0</v>
      </c>
      <c r="F80" s="256">
        <f t="shared" si="1"/>
        <v>46164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53">
        <v>46165.0</v>
      </c>
      <c r="B81" s="254">
        <v>0.0</v>
      </c>
      <c r="C81" s="5">
        <v>8.0</v>
      </c>
      <c r="D81" s="5">
        <v>0.0</v>
      </c>
      <c r="E81" s="255">
        <v>0.0</v>
      </c>
      <c r="F81" s="256">
        <f t="shared" si="1"/>
        <v>46165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53">
        <v>46166.0</v>
      </c>
      <c r="B82" s="254">
        <v>29.47</v>
      </c>
      <c r="C82" s="5">
        <v>17.0</v>
      </c>
      <c r="D82" s="5">
        <v>4.0</v>
      </c>
      <c r="E82" s="255">
        <v>0.0</v>
      </c>
      <c r="F82" s="256">
        <f t="shared" si="1"/>
        <v>46166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53">
        <v>46167.0</v>
      </c>
      <c r="B83" s="254">
        <v>0.0</v>
      </c>
      <c r="C83" s="5">
        <v>5.0</v>
      </c>
      <c r="D83" s="5">
        <v>0.0</v>
      </c>
      <c r="E83" s="255">
        <v>0.0</v>
      </c>
      <c r="F83" s="256">
        <f t="shared" si="1"/>
        <v>46167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53">
        <v>46168.0</v>
      </c>
      <c r="B84" s="254">
        <v>3.75</v>
      </c>
      <c r="C84" s="5">
        <v>22.0</v>
      </c>
      <c r="D84" s="5">
        <v>1.0</v>
      </c>
      <c r="E84" s="255">
        <v>0.0</v>
      </c>
      <c r="F84" s="256">
        <f t="shared" si="1"/>
        <v>46168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53">
        <v>46169.0</v>
      </c>
      <c r="B85" s="254">
        <v>6.79</v>
      </c>
      <c r="C85" s="5">
        <v>20.0</v>
      </c>
      <c r="D85" s="5">
        <v>1.0</v>
      </c>
      <c r="E85" s="255">
        <v>0.0</v>
      </c>
      <c r="F85" s="256">
        <f t="shared" si="1"/>
        <v>46169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53">
        <v>46170.0</v>
      </c>
      <c r="B86" s="254">
        <v>29.0</v>
      </c>
      <c r="C86" s="5">
        <v>11.0</v>
      </c>
      <c r="D86" s="5">
        <v>4.0</v>
      </c>
      <c r="E86" s="255">
        <v>1.0</v>
      </c>
      <c r="F86" s="256">
        <f t="shared" si="1"/>
        <v>46170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53">
        <v>46171.0</v>
      </c>
      <c r="B87" s="254">
        <v>8.5</v>
      </c>
      <c r="C87" s="5">
        <v>22.0</v>
      </c>
      <c r="D87" s="5">
        <v>5.0</v>
      </c>
      <c r="E87" s="255">
        <v>1.0</v>
      </c>
      <c r="F87" s="256">
        <f t="shared" si="1"/>
        <v>46171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53">
        <v>46172.0</v>
      </c>
      <c r="B88" s="254">
        <v>0.0</v>
      </c>
      <c r="C88" s="5">
        <v>7.0</v>
      </c>
      <c r="D88" s="5">
        <v>0.0</v>
      </c>
      <c r="E88" s="255">
        <v>0.0</v>
      </c>
      <c r="F88" s="256">
        <f t="shared" si="1"/>
        <v>46172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53">
        <v>46173.0</v>
      </c>
      <c r="B89" s="254">
        <v>2.68</v>
      </c>
      <c r="C89" s="5">
        <v>2.0</v>
      </c>
      <c r="D89" s="5">
        <v>1.0</v>
      </c>
      <c r="E89" s="255">
        <v>0.0</v>
      </c>
      <c r="F89" s="256">
        <f t="shared" si="1"/>
        <v>46173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53">
        <v>46174.0</v>
      </c>
      <c r="B90" s="254">
        <v>13.01</v>
      </c>
      <c r="C90" s="5">
        <v>18.0</v>
      </c>
      <c r="D90" s="5">
        <v>5.0</v>
      </c>
      <c r="E90" s="255">
        <v>0.0</v>
      </c>
      <c r="F90" s="256">
        <f t="shared" si="1"/>
        <v>46174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53">
        <v>46175.0</v>
      </c>
      <c r="B91" s="254">
        <v>8.15</v>
      </c>
      <c r="C91" s="5">
        <v>15.0</v>
      </c>
      <c r="D91" s="5">
        <v>3.0</v>
      </c>
      <c r="E91" s="255">
        <v>0.0</v>
      </c>
      <c r="F91" s="256">
        <f t="shared" si="1"/>
        <v>46175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53">
        <v>46176.0</v>
      </c>
      <c r="B92" s="254">
        <v>2.82</v>
      </c>
      <c r="C92" s="5">
        <v>6.0</v>
      </c>
      <c r="D92" s="5">
        <v>1.0</v>
      </c>
      <c r="E92" s="255">
        <v>0.0</v>
      </c>
      <c r="F92" s="256">
        <f t="shared" si="1"/>
        <v>46176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53">
        <v>46177.0</v>
      </c>
      <c r="B93" s="254">
        <v>1.16</v>
      </c>
      <c r="C93" s="5">
        <v>2.0</v>
      </c>
      <c r="D93" s="5">
        <v>2.0</v>
      </c>
      <c r="E93" s="255">
        <v>0.0</v>
      </c>
      <c r="F93" s="256">
        <f t="shared" si="1"/>
        <v>46177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53"/>
      <c r="B94" s="254"/>
      <c r="C94" s="5"/>
      <c r="D94" s="5"/>
      <c r="E94" s="255"/>
      <c r="F94" s="256">
        <f t="shared" si="1"/>
        <v>693961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53"/>
      <c r="B95" s="254"/>
      <c r="C95" s="5"/>
      <c r="D95" s="5"/>
      <c r="E95" s="255"/>
      <c r="F95" s="256">
        <f t="shared" si="1"/>
        <v>693961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53"/>
      <c r="B96" s="254"/>
      <c r="C96" s="5"/>
      <c r="D96" s="5"/>
      <c r="E96" s="255"/>
      <c r="F96" s="256">
        <f t="shared" si="1"/>
        <v>693961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53"/>
      <c r="B97" s="254"/>
      <c r="C97" s="5"/>
      <c r="D97" s="5"/>
      <c r="E97" s="255"/>
      <c r="F97" s="256">
        <f t="shared" si="1"/>
        <v>693961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53"/>
      <c r="B98" s="254"/>
      <c r="C98" s="5"/>
      <c r="D98" s="5"/>
      <c r="E98" s="255"/>
      <c r="F98" s="256">
        <f t="shared" si="1"/>
        <v>693961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253"/>
      <c r="B99" s="254"/>
      <c r="C99" s="5"/>
      <c r="D99" s="5"/>
      <c r="E99" s="255"/>
      <c r="F99" s="256">
        <f t="shared" si="1"/>
        <v>693961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253"/>
      <c r="B100" s="254"/>
      <c r="C100" s="5"/>
      <c r="D100" s="5"/>
      <c r="E100" s="255"/>
      <c r="F100" s="256">
        <f t="shared" si="1"/>
        <v>693961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253"/>
      <c r="B101" s="254"/>
      <c r="C101" s="5"/>
      <c r="D101" s="5"/>
      <c r="E101" s="255"/>
      <c r="F101" s="256">
        <f t="shared" si="1"/>
        <v>693961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253"/>
      <c r="B102" s="254"/>
      <c r="C102" s="5"/>
      <c r="D102" s="5"/>
      <c r="E102" s="255"/>
      <c r="F102" s="256">
        <f t="shared" si="1"/>
        <v>693961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253"/>
      <c r="B103" s="254"/>
      <c r="C103" s="5"/>
      <c r="D103" s="5"/>
      <c r="E103" s="255"/>
      <c r="F103" s="256">
        <f t="shared" si="1"/>
        <v>693961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253"/>
      <c r="B104" s="254"/>
      <c r="C104" s="5"/>
      <c r="D104" s="5"/>
      <c r="E104" s="255"/>
      <c r="F104" s="256">
        <f t="shared" si="1"/>
        <v>693961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253"/>
      <c r="B105" s="254"/>
      <c r="C105" s="5"/>
      <c r="D105" s="5"/>
      <c r="E105" s="255"/>
      <c r="F105" s="256">
        <f t="shared" si="1"/>
        <v>693961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253"/>
      <c r="B106" s="254"/>
      <c r="C106" s="5"/>
      <c r="D106" s="5"/>
      <c r="E106" s="255"/>
      <c r="F106" s="256">
        <f t="shared" si="1"/>
        <v>693961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253"/>
      <c r="B107" s="254"/>
      <c r="C107" s="5"/>
      <c r="D107" s="5"/>
      <c r="E107" s="255"/>
      <c r="F107" s="256">
        <f t="shared" si="1"/>
        <v>693961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253"/>
      <c r="B108" s="254"/>
      <c r="C108" s="5"/>
      <c r="D108" s="5"/>
      <c r="E108" s="255"/>
      <c r="F108" s="256">
        <f t="shared" si="1"/>
        <v>693961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253"/>
      <c r="B109" s="254"/>
      <c r="C109" s="5"/>
      <c r="D109" s="5"/>
      <c r="E109" s="255"/>
      <c r="F109" s="256">
        <f t="shared" si="1"/>
        <v>693961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253"/>
      <c r="B110" s="254"/>
      <c r="C110" s="5"/>
      <c r="D110" s="5"/>
      <c r="E110" s="255"/>
      <c r="F110" s="256">
        <f t="shared" si="1"/>
        <v>693961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253"/>
      <c r="B111" s="254"/>
      <c r="C111" s="5"/>
      <c r="D111" s="5"/>
      <c r="E111" s="255"/>
      <c r="F111" s="256">
        <f t="shared" si="1"/>
        <v>693961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253"/>
      <c r="B112" s="254"/>
      <c r="C112" s="5"/>
      <c r="D112" s="5"/>
      <c r="E112" s="255"/>
      <c r="F112" s="256">
        <f t="shared" si="1"/>
        <v>693961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253"/>
      <c r="B113" s="254"/>
      <c r="C113" s="5"/>
      <c r="D113" s="5"/>
      <c r="E113" s="255"/>
      <c r="F113" s="256">
        <f t="shared" si="1"/>
        <v>693961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253"/>
      <c r="B114" s="254"/>
      <c r="C114" s="5"/>
      <c r="D114" s="5"/>
      <c r="E114" s="255"/>
      <c r="F114" s="256">
        <f t="shared" si="1"/>
        <v>693961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253"/>
      <c r="B115" s="254"/>
      <c r="C115" s="5"/>
      <c r="D115" s="5"/>
      <c r="E115" s="255"/>
      <c r="F115" s="256">
        <f t="shared" si="1"/>
        <v>693961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253"/>
      <c r="B116" s="254"/>
      <c r="C116" s="5"/>
      <c r="D116" s="5"/>
      <c r="E116" s="255"/>
      <c r="F116" s="256">
        <f t="shared" si="1"/>
        <v>693961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253"/>
      <c r="B117" s="254"/>
      <c r="C117" s="5"/>
      <c r="D117" s="5"/>
      <c r="E117" s="255"/>
      <c r="F117" s="256">
        <f t="shared" si="1"/>
        <v>693961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253"/>
      <c r="B118" s="254"/>
      <c r="C118" s="5"/>
      <c r="D118" s="5"/>
      <c r="E118" s="255"/>
      <c r="F118" s="256">
        <f t="shared" si="1"/>
        <v>693961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253"/>
      <c r="B119" s="254"/>
      <c r="C119" s="5"/>
      <c r="D119" s="5"/>
      <c r="E119" s="255"/>
      <c r="F119" s="256">
        <f t="shared" si="1"/>
        <v>693961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253"/>
      <c r="B120" s="254"/>
      <c r="C120" s="5"/>
      <c r="D120" s="5"/>
      <c r="E120" s="251"/>
      <c r="F120" s="256">
        <f t="shared" si="1"/>
        <v>693961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253"/>
      <c r="B121" s="254"/>
      <c r="C121" s="5"/>
      <c r="D121" s="5"/>
      <c r="E121" s="255"/>
      <c r="F121" s="256">
        <f t="shared" si="1"/>
        <v>693961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253"/>
      <c r="B122" s="254"/>
      <c r="C122" s="5"/>
      <c r="D122" s="5"/>
      <c r="E122" s="255"/>
      <c r="F122" s="256">
        <f t="shared" si="1"/>
        <v>693961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253"/>
      <c r="B123" s="254"/>
      <c r="C123" s="5"/>
      <c r="D123" s="5"/>
      <c r="E123" s="255"/>
      <c r="F123" s="256">
        <f t="shared" si="1"/>
        <v>693961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253"/>
      <c r="B124" s="254"/>
      <c r="C124" s="5"/>
      <c r="D124" s="5"/>
      <c r="E124" s="255"/>
      <c r="F124" s="256">
        <f t="shared" si="1"/>
        <v>693961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253"/>
      <c r="B125" s="254"/>
      <c r="C125" s="5"/>
      <c r="D125" s="5"/>
      <c r="E125" s="255"/>
      <c r="F125" s="256">
        <f t="shared" si="1"/>
        <v>693961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253"/>
      <c r="B126" s="254"/>
      <c r="C126" s="5"/>
      <c r="D126" s="5"/>
      <c r="E126" s="255"/>
      <c r="F126" s="256">
        <f t="shared" si="1"/>
        <v>693961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253"/>
      <c r="B127" s="254"/>
      <c r="C127" s="5"/>
      <c r="D127" s="5"/>
      <c r="E127" s="255"/>
      <c r="F127" s="256">
        <f t="shared" si="1"/>
        <v>693961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253"/>
      <c r="B128" s="254"/>
      <c r="C128" s="5"/>
      <c r="D128" s="5"/>
      <c r="E128" s="255"/>
      <c r="F128" s="256">
        <f t="shared" si="1"/>
        <v>693961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253"/>
      <c r="B129" s="254"/>
      <c r="C129" s="5"/>
      <c r="D129" s="5"/>
      <c r="E129" s="255"/>
      <c r="F129" s="256">
        <f t="shared" si="1"/>
        <v>693961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253"/>
      <c r="B130" s="254"/>
      <c r="C130" s="5"/>
      <c r="D130" s="5"/>
      <c r="E130" s="255"/>
      <c r="F130" s="256">
        <f t="shared" si="1"/>
        <v>693961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253"/>
      <c r="B131" s="254"/>
      <c r="C131" s="5"/>
      <c r="D131" s="5"/>
      <c r="E131" s="255"/>
      <c r="F131" s="256">
        <f t="shared" si="1"/>
        <v>693961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253"/>
      <c r="B132" s="254"/>
      <c r="C132" s="5"/>
      <c r="D132" s="5"/>
      <c r="E132" s="255"/>
      <c r="F132" s="256">
        <f t="shared" si="1"/>
        <v>693961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253"/>
      <c r="B133" s="254"/>
      <c r="C133" s="5"/>
      <c r="D133" s="5"/>
      <c r="E133" s="255"/>
      <c r="F133" s="256">
        <f t="shared" si="1"/>
        <v>693961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253"/>
      <c r="B134" s="254"/>
      <c r="C134" s="5"/>
      <c r="D134" s="5"/>
      <c r="E134" s="255"/>
      <c r="F134" s="256">
        <f t="shared" si="1"/>
        <v>693961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253"/>
      <c r="B135" s="254"/>
      <c r="C135" s="5"/>
      <c r="D135" s="5"/>
      <c r="E135" s="255"/>
      <c r="F135" s="256">
        <f t="shared" si="1"/>
        <v>693961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253"/>
      <c r="B136" s="254"/>
      <c r="C136" s="5"/>
      <c r="D136" s="5"/>
      <c r="E136" s="255"/>
      <c r="F136" s="256">
        <f t="shared" si="1"/>
        <v>693961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253"/>
      <c r="B137" s="254"/>
      <c r="C137" s="5"/>
      <c r="D137" s="5"/>
      <c r="E137" s="255"/>
      <c r="F137" s="256">
        <f t="shared" si="1"/>
        <v>693961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253"/>
      <c r="B138" s="254"/>
      <c r="C138" s="5"/>
      <c r="D138" s="5"/>
      <c r="E138" s="255"/>
      <c r="F138" s="256">
        <f t="shared" si="1"/>
        <v>693961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253"/>
      <c r="B139" s="254"/>
      <c r="C139" s="5"/>
      <c r="D139" s="5"/>
      <c r="E139" s="255"/>
      <c r="F139" s="256">
        <f t="shared" si="1"/>
        <v>693961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253"/>
      <c r="B140" s="254"/>
      <c r="C140" s="5"/>
      <c r="D140" s="5"/>
      <c r="E140" s="255"/>
      <c r="F140" s="256">
        <f t="shared" si="1"/>
        <v>693961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253"/>
      <c r="B141" s="254"/>
      <c r="C141" s="5"/>
      <c r="D141" s="5"/>
      <c r="E141" s="255"/>
      <c r="F141" s="256">
        <f t="shared" si="1"/>
        <v>693961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253"/>
      <c r="B142" s="254"/>
      <c r="C142" s="5"/>
      <c r="D142" s="5"/>
      <c r="E142" s="255"/>
      <c r="F142" s="256">
        <f t="shared" si="1"/>
        <v>693961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253"/>
      <c r="B143" s="254"/>
      <c r="C143" s="5"/>
      <c r="D143" s="5"/>
      <c r="E143" s="255"/>
      <c r="F143" s="256">
        <f t="shared" si="1"/>
        <v>693961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253"/>
      <c r="B144" s="254"/>
      <c r="C144" s="5"/>
      <c r="D144" s="5"/>
      <c r="E144" s="255"/>
      <c r="F144" s="256">
        <f t="shared" si="1"/>
        <v>693961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253"/>
      <c r="B145" s="254"/>
      <c r="C145" s="5"/>
      <c r="D145" s="5"/>
      <c r="E145" s="255"/>
      <c r="F145" s="256">
        <f t="shared" si="1"/>
        <v>693961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253"/>
      <c r="B146" s="254"/>
      <c r="C146" s="5"/>
      <c r="D146" s="5"/>
      <c r="E146" s="255"/>
      <c r="F146" s="256">
        <f t="shared" si="1"/>
        <v>693961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253"/>
      <c r="B147" s="254"/>
      <c r="C147" s="5"/>
      <c r="D147" s="5"/>
      <c r="E147" s="255"/>
      <c r="F147" s="256">
        <f t="shared" si="1"/>
        <v>693961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253"/>
      <c r="B148" s="254"/>
      <c r="C148" s="5"/>
      <c r="D148" s="5"/>
      <c r="E148" s="255"/>
      <c r="F148" s="256">
        <f t="shared" si="1"/>
        <v>693961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253"/>
      <c r="B149" s="254"/>
      <c r="C149" s="5"/>
      <c r="D149" s="5"/>
      <c r="E149" s="255"/>
      <c r="F149" s="256">
        <f t="shared" si="1"/>
        <v>693961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253"/>
      <c r="B150" s="254"/>
      <c r="C150" s="5"/>
      <c r="D150" s="5"/>
      <c r="E150" s="255"/>
      <c r="F150" s="256">
        <f t="shared" si="1"/>
        <v>693961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253"/>
      <c r="B151" s="254"/>
      <c r="C151" s="5"/>
      <c r="D151" s="5"/>
      <c r="E151" s="255"/>
      <c r="F151" s="256">
        <f t="shared" si="1"/>
        <v>693961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253"/>
      <c r="B152" s="254"/>
      <c r="C152" s="5"/>
      <c r="D152" s="5"/>
      <c r="E152" s="255"/>
      <c r="F152" s="256">
        <f t="shared" si="1"/>
        <v>693961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253"/>
      <c r="B153" s="254"/>
      <c r="C153" s="5"/>
      <c r="D153" s="5"/>
      <c r="E153" s="255"/>
      <c r="F153" s="256">
        <f t="shared" si="1"/>
        <v>693961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253"/>
      <c r="B154" s="254"/>
      <c r="C154" s="5"/>
      <c r="D154" s="5"/>
      <c r="E154" s="255"/>
      <c r="F154" s="256">
        <f t="shared" si="1"/>
        <v>693961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253"/>
      <c r="B155" s="254"/>
      <c r="C155" s="5"/>
      <c r="D155" s="5"/>
      <c r="E155" s="255"/>
      <c r="F155" s="256">
        <f t="shared" si="1"/>
        <v>693961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253"/>
      <c r="B156" s="254"/>
      <c r="C156" s="5"/>
      <c r="D156" s="5"/>
      <c r="E156" s="255"/>
      <c r="F156" s="256">
        <f t="shared" si="1"/>
        <v>693961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253"/>
      <c r="B157" s="254"/>
      <c r="C157" s="5"/>
      <c r="D157" s="5"/>
      <c r="E157" s="255"/>
      <c r="F157" s="256">
        <f t="shared" si="1"/>
        <v>693961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253"/>
      <c r="B158" s="254"/>
      <c r="C158" s="5"/>
      <c r="D158" s="5"/>
      <c r="E158" s="255"/>
      <c r="F158" s="256">
        <f t="shared" si="1"/>
        <v>693961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253"/>
      <c r="B159" s="254"/>
      <c r="C159" s="5"/>
      <c r="D159" s="5"/>
      <c r="E159" s="255"/>
      <c r="F159" s="256">
        <f t="shared" si="1"/>
        <v>693961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253"/>
      <c r="B160" s="254"/>
      <c r="C160" s="5"/>
      <c r="D160" s="5"/>
      <c r="E160" s="255"/>
      <c r="F160" s="256">
        <f t="shared" si="1"/>
        <v>693961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253"/>
      <c r="B161" s="254"/>
      <c r="C161" s="5"/>
      <c r="D161" s="5"/>
      <c r="E161" s="255"/>
      <c r="F161" s="256">
        <f t="shared" si="1"/>
        <v>693961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253"/>
      <c r="B162" s="254"/>
      <c r="C162" s="5"/>
      <c r="D162" s="5"/>
      <c r="E162" s="255"/>
      <c r="F162" s="256">
        <f t="shared" si="1"/>
        <v>693961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253"/>
      <c r="B163" s="254"/>
      <c r="C163" s="5"/>
      <c r="D163" s="5"/>
      <c r="E163" s="255"/>
      <c r="F163" s="256">
        <f t="shared" si="1"/>
        <v>693961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253"/>
      <c r="B164" s="254"/>
      <c r="C164" s="5"/>
      <c r="D164" s="5"/>
      <c r="E164" s="255"/>
      <c r="F164" s="256">
        <f t="shared" si="1"/>
        <v>693961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253"/>
      <c r="B165" s="254"/>
      <c r="C165" s="5"/>
      <c r="D165" s="5"/>
      <c r="E165" s="255"/>
      <c r="F165" s="256">
        <f t="shared" si="1"/>
        <v>693961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253"/>
      <c r="B166" s="254"/>
      <c r="C166" s="5"/>
      <c r="D166" s="5"/>
      <c r="E166" s="255"/>
      <c r="F166" s="256">
        <f t="shared" si="1"/>
        <v>693961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253"/>
      <c r="B167" s="254"/>
      <c r="C167" s="5"/>
      <c r="D167" s="5"/>
      <c r="E167" s="255"/>
      <c r="F167" s="256">
        <f t="shared" si="1"/>
        <v>693961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253"/>
      <c r="B168" s="254"/>
      <c r="C168" s="5"/>
      <c r="D168" s="5"/>
      <c r="E168" s="255"/>
      <c r="F168" s="256">
        <f t="shared" si="1"/>
        <v>693961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253"/>
      <c r="B169" s="254"/>
      <c r="C169" s="5"/>
      <c r="D169" s="5"/>
      <c r="E169" s="255"/>
      <c r="F169" s="256">
        <f t="shared" si="1"/>
        <v>693961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253"/>
      <c r="B170" s="254"/>
      <c r="C170" s="5"/>
      <c r="D170" s="5"/>
      <c r="E170" s="255"/>
      <c r="F170" s="256">
        <f t="shared" si="1"/>
        <v>693961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253"/>
      <c r="B171" s="254"/>
      <c r="C171" s="5"/>
      <c r="D171" s="5"/>
      <c r="E171" s="255"/>
      <c r="F171" s="256">
        <f t="shared" si="1"/>
        <v>693961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253"/>
      <c r="B172" s="254"/>
      <c r="C172" s="5"/>
      <c r="D172" s="5"/>
      <c r="E172" s="255"/>
      <c r="F172" s="256">
        <f t="shared" si="1"/>
        <v>693961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253"/>
      <c r="B173" s="254"/>
      <c r="C173" s="5"/>
      <c r="D173" s="5"/>
      <c r="E173" s="255"/>
      <c r="F173" s="256">
        <f t="shared" si="1"/>
        <v>693961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253"/>
      <c r="B174" s="254"/>
      <c r="C174" s="5"/>
      <c r="D174" s="5"/>
      <c r="E174" s="255"/>
      <c r="F174" s="256">
        <f t="shared" si="1"/>
        <v>693961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253"/>
      <c r="B175" s="254"/>
      <c r="C175" s="5"/>
      <c r="D175" s="5"/>
      <c r="E175" s="255"/>
      <c r="F175" s="256">
        <f t="shared" si="1"/>
        <v>693961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253"/>
      <c r="B176" s="254"/>
      <c r="C176" s="5"/>
      <c r="D176" s="5"/>
      <c r="E176" s="255"/>
      <c r="F176" s="256">
        <f t="shared" si="1"/>
        <v>693961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253"/>
      <c r="B177" s="254"/>
      <c r="C177" s="5"/>
      <c r="D177" s="5"/>
      <c r="E177" s="255"/>
      <c r="F177" s="256">
        <f t="shared" si="1"/>
        <v>693961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253"/>
      <c r="B178" s="254"/>
      <c r="C178" s="5"/>
      <c r="D178" s="5"/>
      <c r="E178" s="255"/>
      <c r="F178" s="256">
        <f t="shared" si="1"/>
        <v>693961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253"/>
      <c r="B179" s="254"/>
      <c r="C179" s="5"/>
      <c r="D179" s="5"/>
      <c r="E179" s="255"/>
      <c r="F179" s="256">
        <f t="shared" si="1"/>
        <v>693961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253"/>
      <c r="B180" s="254"/>
      <c r="C180" s="5"/>
      <c r="D180" s="5"/>
      <c r="E180" s="255"/>
      <c r="F180" s="256">
        <f t="shared" si="1"/>
        <v>693961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253"/>
      <c r="B181" s="254"/>
      <c r="C181" s="5"/>
      <c r="D181" s="5"/>
      <c r="E181" s="255"/>
      <c r="F181" s="256">
        <f t="shared" si="1"/>
        <v>693961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253"/>
      <c r="B182" s="254"/>
      <c r="C182" s="5"/>
      <c r="D182" s="5"/>
      <c r="E182" s="255"/>
      <c r="F182" s="256">
        <f t="shared" si="1"/>
        <v>693961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253"/>
      <c r="B183" s="254"/>
      <c r="C183" s="5"/>
      <c r="D183" s="5"/>
      <c r="E183" s="255"/>
      <c r="F183" s="256">
        <f t="shared" si="1"/>
        <v>693961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253"/>
      <c r="B184" s="254"/>
      <c r="C184" s="5"/>
      <c r="D184" s="5"/>
      <c r="E184" s="255"/>
      <c r="F184" s="256">
        <f t="shared" si="1"/>
        <v>693961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253"/>
      <c r="B185" s="254"/>
      <c r="C185" s="5"/>
      <c r="D185" s="5"/>
      <c r="E185" s="255"/>
      <c r="F185" s="256">
        <f t="shared" si="1"/>
        <v>693961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253"/>
      <c r="B186" s="254"/>
      <c r="C186" s="5"/>
      <c r="D186" s="5"/>
      <c r="E186" s="255"/>
      <c r="F186" s="256">
        <f t="shared" si="1"/>
        <v>693961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253"/>
      <c r="B187" s="254"/>
      <c r="C187" s="5"/>
      <c r="D187" s="5"/>
      <c r="E187" s="255"/>
      <c r="F187" s="256">
        <f t="shared" si="1"/>
        <v>693961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253"/>
      <c r="B188" s="254"/>
      <c r="C188" s="5"/>
      <c r="D188" s="5"/>
      <c r="E188" s="255"/>
      <c r="F188" s="256">
        <f t="shared" si="1"/>
        <v>693961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253"/>
      <c r="B189" s="254"/>
      <c r="C189" s="5"/>
      <c r="D189" s="5"/>
      <c r="E189" s="255"/>
      <c r="F189" s="256">
        <f t="shared" si="1"/>
        <v>693961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253"/>
      <c r="B190" s="254"/>
      <c r="C190" s="5"/>
      <c r="D190" s="5"/>
      <c r="E190" s="255"/>
      <c r="F190" s="256">
        <f t="shared" si="1"/>
        <v>693961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253"/>
      <c r="B191" s="254"/>
      <c r="C191" s="5"/>
      <c r="D191" s="5"/>
      <c r="E191" s="255"/>
      <c r="F191" s="256">
        <f t="shared" si="1"/>
        <v>693961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253"/>
      <c r="B192" s="254"/>
      <c r="C192" s="5"/>
      <c r="D192" s="5"/>
      <c r="E192" s="255"/>
      <c r="F192" s="256">
        <f t="shared" si="1"/>
        <v>693961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253"/>
      <c r="B193" s="254"/>
      <c r="C193" s="5"/>
      <c r="D193" s="5"/>
      <c r="E193" s="255"/>
      <c r="F193" s="256">
        <f t="shared" si="1"/>
        <v>693961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259"/>
      <c r="F194" s="256">
        <f t="shared" si="1"/>
        <v>693961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259"/>
      <c r="F195" s="256">
        <f t="shared" si="1"/>
        <v>693961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259"/>
      <c r="F196" s="256">
        <f t="shared" si="1"/>
        <v>693961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259"/>
      <c r="F197" s="256">
        <f t="shared" si="1"/>
        <v>693961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259"/>
      <c r="F198" s="256">
        <f t="shared" si="1"/>
        <v>693961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259"/>
      <c r="F199" s="256">
        <f t="shared" si="1"/>
        <v>693961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259"/>
      <c r="F200" s="256">
        <f t="shared" si="1"/>
        <v>693961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259"/>
      <c r="F201" s="256">
        <f t="shared" si="1"/>
        <v>693961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259"/>
      <c r="F202" s="256">
        <f t="shared" si="1"/>
        <v>693961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259"/>
      <c r="F203" s="256">
        <f t="shared" si="1"/>
        <v>693961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259"/>
      <c r="F204" s="256">
        <f t="shared" si="1"/>
        <v>693961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259"/>
      <c r="F205" s="256">
        <f t="shared" si="1"/>
        <v>693961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259"/>
      <c r="F206" s="256">
        <f t="shared" si="1"/>
        <v>693961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259"/>
      <c r="F207" s="256">
        <f t="shared" si="1"/>
        <v>693961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259"/>
      <c r="F208" s="256">
        <f t="shared" si="1"/>
        <v>693961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259"/>
      <c r="F209" s="256">
        <f t="shared" si="1"/>
        <v>693961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259"/>
      <c r="F210" s="256">
        <f t="shared" si="1"/>
        <v>693961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259"/>
      <c r="F211" s="256">
        <f t="shared" si="1"/>
        <v>693961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259"/>
      <c r="F212" s="256">
        <f t="shared" si="1"/>
        <v>693961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259"/>
      <c r="F213" s="256">
        <f t="shared" si="1"/>
        <v>693961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259"/>
      <c r="F214" s="256">
        <f t="shared" si="1"/>
        <v>693961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259"/>
      <c r="F215" s="256">
        <f t="shared" si="1"/>
        <v>693961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259"/>
      <c r="F216" s="256">
        <f t="shared" si="1"/>
        <v>693961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259"/>
      <c r="F217" s="256">
        <f t="shared" si="1"/>
        <v>693961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259"/>
      <c r="F218" s="256">
        <f t="shared" si="1"/>
        <v>693961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259"/>
      <c r="F219" s="256">
        <f t="shared" si="1"/>
        <v>693961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259"/>
      <c r="F220" s="256">
        <f t="shared" si="1"/>
        <v>693961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259"/>
      <c r="F221" s="256">
        <f t="shared" si="1"/>
        <v>693961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259"/>
      <c r="F222" s="256">
        <f t="shared" si="1"/>
        <v>693961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259"/>
      <c r="F223" s="256">
        <f t="shared" si="1"/>
        <v>693961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259"/>
      <c r="F224" s="256">
        <f t="shared" si="1"/>
        <v>693961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259"/>
      <c r="F225" s="256">
        <f t="shared" si="1"/>
        <v>693961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259"/>
      <c r="F226" s="256">
        <f t="shared" si="1"/>
        <v>693961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259"/>
      <c r="F227" s="256">
        <f t="shared" si="1"/>
        <v>693961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259"/>
      <c r="F228" s="256">
        <f t="shared" si="1"/>
        <v>693961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259"/>
      <c r="F229" s="256">
        <f t="shared" si="1"/>
        <v>693961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259"/>
      <c r="F230" s="256">
        <f t="shared" si="1"/>
        <v>693961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259"/>
      <c r="F231" s="256">
        <f t="shared" si="1"/>
        <v>693961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259"/>
      <c r="F232" s="256">
        <f t="shared" si="1"/>
        <v>693961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259"/>
      <c r="F233" s="256">
        <f t="shared" si="1"/>
        <v>693961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259"/>
      <c r="F234" s="256">
        <f t="shared" si="1"/>
        <v>693961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259"/>
      <c r="F235" s="256">
        <f t="shared" si="1"/>
        <v>693961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259"/>
      <c r="F236" s="256">
        <f t="shared" si="1"/>
        <v>693961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259"/>
      <c r="F237" s="256">
        <f t="shared" si="1"/>
        <v>693961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259"/>
      <c r="F238" s="256">
        <f t="shared" si="1"/>
        <v>693961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259"/>
      <c r="F239" s="256">
        <f t="shared" si="1"/>
        <v>693961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259"/>
      <c r="F240" s="256">
        <f t="shared" si="1"/>
        <v>693961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259"/>
      <c r="F241" s="256">
        <f t="shared" si="1"/>
        <v>693961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259"/>
      <c r="F242" s="256">
        <f t="shared" si="1"/>
        <v>693961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259"/>
      <c r="F243" s="256">
        <f t="shared" si="1"/>
        <v>693961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259"/>
      <c r="F244" s="256">
        <f t="shared" si="1"/>
        <v>693961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259"/>
      <c r="F245" s="256">
        <f t="shared" si="1"/>
        <v>693961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259"/>
      <c r="F246" s="256">
        <f t="shared" si="1"/>
        <v>693961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259"/>
      <c r="F247" s="256">
        <f t="shared" si="1"/>
        <v>693961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259"/>
      <c r="F248" s="256">
        <f t="shared" si="1"/>
        <v>693961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259"/>
      <c r="F249" s="256">
        <f t="shared" si="1"/>
        <v>693961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259"/>
      <c r="F250" s="256">
        <f t="shared" si="1"/>
        <v>693961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259"/>
      <c r="F251" s="256">
        <f t="shared" si="1"/>
        <v>693961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259"/>
      <c r="F252" s="256">
        <f t="shared" si="1"/>
        <v>693961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259"/>
      <c r="F253" s="256">
        <f t="shared" si="1"/>
        <v>693961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259"/>
      <c r="F254" s="256">
        <f t="shared" si="1"/>
        <v>693961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259"/>
      <c r="F255" s="256">
        <f t="shared" si="1"/>
        <v>693961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259"/>
      <c r="F256" s="256">
        <f t="shared" si="1"/>
        <v>693961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259"/>
      <c r="F257" s="256">
        <f t="shared" si="1"/>
        <v>693961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259"/>
      <c r="F258" s="256">
        <f t="shared" si="1"/>
        <v>693961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259"/>
      <c r="F259" s="256">
        <f t="shared" si="1"/>
        <v>693961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259"/>
      <c r="F260" s="256">
        <f t="shared" si="1"/>
        <v>693961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259"/>
      <c r="F261" s="256">
        <f t="shared" si="1"/>
        <v>693961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259"/>
      <c r="F262" s="256">
        <f t="shared" si="1"/>
        <v>693961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259"/>
      <c r="F263" s="256">
        <f t="shared" si="1"/>
        <v>693961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259"/>
      <c r="F264" s="256">
        <f t="shared" si="1"/>
        <v>693961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259"/>
      <c r="F265" s="256">
        <f t="shared" si="1"/>
        <v>693961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259"/>
      <c r="F266" s="256">
        <f t="shared" si="1"/>
        <v>693961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259"/>
      <c r="F267" s="256">
        <f t="shared" si="1"/>
        <v>693961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259"/>
      <c r="F268" s="256">
        <f t="shared" si="1"/>
        <v>693961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259"/>
      <c r="F269" s="256">
        <f t="shared" si="1"/>
        <v>693961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259"/>
      <c r="F270" s="256">
        <f t="shared" si="1"/>
        <v>693961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259"/>
      <c r="F271" s="256">
        <f t="shared" si="1"/>
        <v>693961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259"/>
      <c r="F272" s="256">
        <f t="shared" si="1"/>
        <v>693961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259"/>
      <c r="F273" s="256">
        <f t="shared" si="1"/>
        <v>693961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259"/>
      <c r="F274" s="256">
        <f t="shared" si="1"/>
        <v>693961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259"/>
      <c r="F275" s="256">
        <f t="shared" si="1"/>
        <v>693961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259"/>
      <c r="F276" s="256">
        <f t="shared" si="1"/>
        <v>693961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259"/>
      <c r="F277" s="256">
        <f t="shared" si="1"/>
        <v>693961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259"/>
      <c r="F278" s="256">
        <f t="shared" si="1"/>
        <v>693961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259"/>
      <c r="F279" s="256">
        <f t="shared" si="1"/>
        <v>693961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259"/>
      <c r="F280" s="256">
        <f t="shared" si="1"/>
        <v>693961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259"/>
      <c r="F281" s="256">
        <f t="shared" si="1"/>
        <v>693961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259"/>
      <c r="F282" s="256">
        <f t="shared" si="1"/>
        <v>693961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259"/>
      <c r="F283" s="256">
        <f t="shared" si="1"/>
        <v>693961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259"/>
      <c r="F284" s="256">
        <f t="shared" si="1"/>
        <v>693961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259"/>
      <c r="F285" s="256">
        <f t="shared" si="1"/>
        <v>693961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259"/>
      <c r="F286" s="256">
        <f t="shared" si="1"/>
        <v>693961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259"/>
      <c r="F287" s="256">
        <f t="shared" si="1"/>
        <v>693961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259"/>
      <c r="F288" s="256">
        <f t="shared" si="1"/>
        <v>693961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259"/>
      <c r="F289" s="256">
        <f t="shared" si="1"/>
        <v>693961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259"/>
      <c r="F290" s="256">
        <f t="shared" si="1"/>
        <v>693961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259"/>
      <c r="F291" s="256">
        <f t="shared" si="1"/>
        <v>693961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259"/>
      <c r="F292" s="256">
        <f t="shared" si="1"/>
        <v>693961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259"/>
      <c r="F293" s="256">
        <f t="shared" si="1"/>
        <v>693961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259"/>
      <c r="F294" s="256">
        <f t="shared" si="1"/>
        <v>693961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259"/>
      <c r="F295" s="256">
        <f t="shared" si="1"/>
        <v>693961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259"/>
      <c r="F296" s="256">
        <f t="shared" si="1"/>
        <v>693961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259"/>
      <c r="F297" s="256">
        <f t="shared" si="1"/>
        <v>693961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259"/>
      <c r="F298" s="256">
        <f t="shared" si="1"/>
        <v>693961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259"/>
      <c r="F299" s="256">
        <f t="shared" si="1"/>
        <v>693961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259"/>
      <c r="F300" s="256">
        <f t="shared" si="1"/>
        <v>693961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259"/>
      <c r="F301" s="256">
        <f t="shared" si="1"/>
        <v>693961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259"/>
      <c r="F302" s="256">
        <f t="shared" si="1"/>
        <v>693961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259"/>
      <c r="F303" s="256">
        <f t="shared" si="1"/>
        <v>693961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259"/>
      <c r="F304" s="256">
        <f t="shared" si="1"/>
        <v>693961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259"/>
      <c r="F305" s="256">
        <f t="shared" si="1"/>
        <v>693961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259"/>
      <c r="F306" s="256">
        <f t="shared" si="1"/>
        <v>693961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259"/>
      <c r="F307" s="256">
        <f t="shared" si="1"/>
        <v>693961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259"/>
      <c r="F308" s="256">
        <f t="shared" si="1"/>
        <v>693961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259"/>
      <c r="F309" s="256">
        <f t="shared" si="1"/>
        <v>693961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259"/>
      <c r="F310" s="256">
        <f t="shared" si="1"/>
        <v>693961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259"/>
      <c r="F311" s="256">
        <f t="shared" si="1"/>
        <v>693961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259"/>
      <c r="F312" s="256">
        <f t="shared" si="1"/>
        <v>693961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259"/>
      <c r="F313" s="256">
        <f t="shared" si="1"/>
        <v>693961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259"/>
      <c r="F314" s="256">
        <f t="shared" si="1"/>
        <v>693961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259"/>
      <c r="F315" s="256">
        <f t="shared" si="1"/>
        <v>693961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259"/>
      <c r="F316" s="256">
        <f t="shared" si="1"/>
        <v>693961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259"/>
      <c r="F317" s="256">
        <f t="shared" si="1"/>
        <v>693961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259"/>
      <c r="F318" s="256">
        <f t="shared" si="1"/>
        <v>693961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259"/>
      <c r="F319" s="256">
        <f t="shared" si="1"/>
        <v>693961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259"/>
      <c r="F320" s="256">
        <f t="shared" si="1"/>
        <v>693961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259"/>
      <c r="F321" s="256">
        <f t="shared" si="1"/>
        <v>693961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259"/>
      <c r="F322" s="256">
        <f t="shared" si="1"/>
        <v>693961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259"/>
      <c r="F323" s="256">
        <f t="shared" si="1"/>
        <v>693961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259"/>
      <c r="F324" s="256">
        <f t="shared" si="1"/>
        <v>693961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259"/>
      <c r="F325" s="256">
        <f t="shared" si="1"/>
        <v>693961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259"/>
      <c r="F326" s="256">
        <f t="shared" si="1"/>
        <v>693961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259"/>
      <c r="F327" s="256">
        <f t="shared" si="1"/>
        <v>693961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259"/>
      <c r="F328" s="256">
        <f t="shared" si="1"/>
        <v>693961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259"/>
      <c r="F329" s="256">
        <f t="shared" si="1"/>
        <v>693961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259"/>
      <c r="F330" s="256">
        <f t="shared" si="1"/>
        <v>693961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259"/>
      <c r="F331" s="256">
        <f t="shared" si="1"/>
        <v>693961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259"/>
      <c r="F332" s="256">
        <f t="shared" si="1"/>
        <v>693961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259"/>
      <c r="F333" s="256">
        <f t="shared" si="1"/>
        <v>693961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259"/>
      <c r="F334" s="256">
        <f t="shared" si="1"/>
        <v>693961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259"/>
      <c r="F335" s="256">
        <f t="shared" si="1"/>
        <v>693961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259"/>
      <c r="F336" s="256">
        <f t="shared" si="1"/>
        <v>693961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259"/>
      <c r="F337" s="256">
        <f t="shared" si="1"/>
        <v>693961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259"/>
      <c r="F338" s="256">
        <f t="shared" si="1"/>
        <v>693961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259"/>
      <c r="F339" s="256">
        <f t="shared" si="1"/>
        <v>693961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259"/>
      <c r="F340" s="256">
        <f t="shared" si="1"/>
        <v>693961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259"/>
      <c r="F341" s="256">
        <f t="shared" si="1"/>
        <v>693961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259"/>
      <c r="F342" s="256">
        <f t="shared" si="1"/>
        <v>693961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259"/>
      <c r="F343" s="256">
        <f t="shared" si="1"/>
        <v>693961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259"/>
      <c r="F344" s="256">
        <f t="shared" si="1"/>
        <v>693961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259"/>
      <c r="F345" s="256">
        <f t="shared" si="1"/>
        <v>693961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259"/>
      <c r="F346" s="256">
        <f t="shared" si="1"/>
        <v>693961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259"/>
      <c r="F347" s="256">
        <f t="shared" si="1"/>
        <v>693961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259"/>
      <c r="F348" s="256">
        <f t="shared" si="1"/>
        <v>693961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259"/>
      <c r="F349" s="256">
        <f t="shared" si="1"/>
        <v>693961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259"/>
      <c r="F350" s="256">
        <f t="shared" si="1"/>
        <v>693961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259"/>
      <c r="F351" s="256">
        <f t="shared" si="1"/>
        <v>693961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259"/>
      <c r="F352" s="256">
        <f t="shared" si="1"/>
        <v>693961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259"/>
      <c r="F353" s="256">
        <f t="shared" si="1"/>
        <v>693961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259"/>
      <c r="F354" s="256">
        <f t="shared" si="1"/>
        <v>693961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259"/>
      <c r="F355" s="256">
        <f t="shared" si="1"/>
        <v>693961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259"/>
      <c r="F356" s="256">
        <f t="shared" si="1"/>
        <v>693961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259"/>
      <c r="F357" s="256">
        <f t="shared" si="1"/>
        <v>693961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259"/>
      <c r="F358" s="256">
        <f t="shared" si="1"/>
        <v>693961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259"/>
      <c r="F359" s="256">
        <f t="shared" si="1"/>
        <v>693961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259"/>
      <c r="F360" s="256">
        <f t="shared" si="1"/>
        <v>693961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259"/>
      <c r="F361" s="256">
        <f t="shared" si="1"/>
        <v>693961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259"/>
      <c r="F362" s="256">
        <f t="shared" si="1"/>
        <v>693961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259"/>
      <c r="F363" s="256">
        <f t="shared" si="1"/>
        <v>693961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259"/>
      <c r="F364" s="256">
        <f t="shared" si="1"/>
        <v>693961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259"/>
      <c r="F365" s="256">
        <f t="shared" si="1"/>
        <v>693961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259"/>
      <c r="F366" s="256">
        <f t="shared" si="1"/>
        <v>693961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259"/>
      <c r="F367" s="256">
        <f t="shared" si="1"/>
        <v>693961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259"/>
      <c r="F368" s="256">
        <f t="shared" si="1"/>
        <v>693961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259"/>
      <c r="F369" s="256">
        <f t="shared" si="1"/>
        <v>693961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259"/>
      <c r="F370" s="256">
        <f t="shared" si="1"/>
        <v>693961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259"/>
      <c r="F371" s="256">
        <f t="shared" si="1"/>
        <v>693961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259"/>
      <c r="F372" s="256">
        <f t="shared" si="1"/>
        <v>693961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259"/>
      <c r="F373" s="256">
        <f t="shared" si="1"/>
        <v>693961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259"/>
      <c r="F374" s="256">
        <f t="shared" si="1"/>
        <v>693961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259"/>
      <c r="F375" s="256">
        <f t="shared" si="1"/>
        <v>693961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259"/>
      <c r="F376" s="256">
        <f t="shared" si="1"/>
        <v>693961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259"/>
      <c r="F377" s="256">
        <f t="shared" si="1"/>
        <v>693961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259"/>
      <c r="F378" s="256">
        <f t="shared" si="1"/>
        <v>693961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259"/>
      <c r="F379" s="256">
        <f t="shared" si="1"/>
        <v>693961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259"/>
      <c r="F380" s="256">
        <f t="shared" si="1"/>
        <v>693961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259"/>
      <c r="F381" s="256">
        <f t="shared" si="1"/>
        <v>693961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259"/>
      <c r="F382" s="256">
        <f t="shared" si="1"/>
        <v>693961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259"/>
      <c r="F383" s="256">
        <f t="shared" si="1"/>
        <v>693961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259"/>
      <c r="F384" s="256">
        <f t="shared" si="1"/>
        <v>693961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259"/>
      <c r="F385" s="256">
        <f t="shared" si="1"/>
        <v>693961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259"/>
      <c r="F386" s="256">
        <f t="shared" si="1"/>
        <v>693961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259"/>
      <c r="F387" s="256">
        <f t="shared" si="1"/>
        <v>693961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259"/>
      <c r="F388" s="256">
        <f t="shared" si="1"/>
        <v>693961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259"/>
      <c r="F389" s="256">
        <f t="shared" si="1"/>
        <v>693961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259"/>
      <c r="F390" s="256">
        <f t="shared" si="1"/>
        <v>693961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259"/>
      <c r="F391" s="256">
        <f t="shared" si="1"/>
        <v>693961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259"/>
      <c r="F392" s="256">
        <f t="shared" si="1"/>
        <v>693961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259"/>
      <c r="F393" s="256">
        <f t="shared" si="1"/>
        <v>693961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259"/>
      <c r="F394" s="256">
        <f t="shared" si="1"/>
        <v>693961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259"/>
      <c r="F395" s="256">
        <f t="shared" si="1"/>
        <v>693961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259"/>
      <c r="F396" s="256">
        <f t="shared" si="1"/>
        <v>693961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259"/>
      <c r="F397" s="256">
        <f t="shared" si="1"/>
        <v>693961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259"/>
      <c r="F398" s="256">
        <f t="shared" si="1"/>
        <v>693961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259"/>
      <c r="F399" s="256">
        <f t="shared" si="1"/>
        <v>693961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259"/>
      <c r="F400" s="256">
        <f t="shared" si="1"/>
        <v>693961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259"/>
      <c r="F401" s="256">
        <f t="shared" si="1"/>
        <v>693961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259"/>
      <c r="F402" s="256">
        <f t="shared" si="1"/>
        <v>693961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259"/>
      <c r="F403" s="256">
        <f t="shared" si="1"/>
        <v>693961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259"/>
      <c r="F404" s="256">
        <f t="shared" si="1"/>
        <v>693961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259"/>
      <c r="F405" s="256">
        <f t="shared" si="1"/>
        <v>693961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259"/>
      <c r="F406" s="256">
        <f t="shared" si="1"/>
        <v>693961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259"/>
      <c r="F407" s="256">
        <f t="shared" si="1"/>
        <v>693961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259"/>
      <c r="F408" s="256">
        <f t="shared" si="1"/>
        <v>693961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259"/>
      <c r="F409" s="256">
        <f t="shared" si="1"/>
        <v>693961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259"/>
      <c r="F410" s="256">
        <f t="shared" si="1"/>
        <v>693961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259"/>
      <c r="F411" s="256">
        <f t="shared" si="1"/>
        <v>693961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259"/>
      <c r="F412" s="256">
        <f t="shared" si="1"/>
        <v>693961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259"/>
      <c r="F413" s="256">
        <f t="shared" si="1"/>
        <v>693961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259"/>
      <c r="F414" s="256">
        <f t="shared" si="1"/>
        <v>693961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259"/>
      <c r="F415" s="256">
        <f t="shared" si="1"/>
        <v>693961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259"/>
      <c r="F416" s="256">
        <f t="shared" si="1"/>
        <v>693961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259"/>
      <c r="F417" s="256">
        <f t="shared" si="1"/>
        <v>693961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259"/>
      <c r="F418" s="256">
        <f t="shared" si="1"/>
        <v>693961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259"/>
      <c r="F419" s="256">
        <f t="shared" si="1"/>
        <v>693961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259"/>
      <c r="F420" s="256">
        <f t="shared" si="1"/>
        <v>693961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259"/>
      <c r="F421" s="256">
        <f t="shared" si="1"/>
        <v>693961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259"/>
      <c r="F422" s="256">
        <f t="shared" si="1"/>
        <v>693961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259"/>
      <c r="F423" s="256">
        <f t="shared" si="1"/>
        <v>693961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259"/>
      <c r="F424" s="256">
        <f t="shared" si="1"/>
        <v>693961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259"/>
      <c r="F425" s="256">
        <f t="shared" si="1"/>
        <v>693961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259"/>
      <c r="F426" s="256">
        <f t="shared" si="1"/>
        <v>693961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259"/>
      <c r="F427" s="256">
        <f t="shared" si="1"/>
        <v>693961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259"/>
      <c r="F428" s="256">
        <f t="shared" si="1"/>
        <v>693961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259"/>
      <c r="F429" s="256">
        <f t="shared" si="1"/>
        <v>693961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259"/>
      <c r="F430" s="256">
        <f t="shared" si="1"/>
        <v>693961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259"/>
      <c r="F431" s="256">
        <f t="shared" si="1"/>
        <v>693961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259"/>
      <c r="F432" s="256">
        <f t="shared" si="1"/>
        <v>693961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259"/>
      <c r="F433" s="256">
        <f t="shared" si="1"/>
        <v>693961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259"/>
      <c r="F434" s="256">
        <f t="shared" si="1"/>
        <v>693961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259"/>
      <c r="F435" s="256">
        <f t="shared" si="1"/>
        <v>693961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259"/>
      <c r="F436" s="256">
        <f t="shared" si="1"/>
        <v>693961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259"/>
      <c r="F437" s="256">
        <f t="shared" si="1"/>
        <v>693961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259"/>
      <c r="F438" s="256">
        <f t="shared" si="1"/>
        <v>693961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259"/>
      <c r="F439" s="256">
        <f t="shared" si="1"/>
        <v>693961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259"/>
      <c r="F440" s="256">
        <f t="shared" si="1"/>
        <v>693961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259"/>
      <c r="F441" s="256">
        <f t="shared" si="1"/>
        <v>693961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259"/>
      <c r="F442" s="256">
        <f t="shared" si="1"/>
        <v>693961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259"/>
      <c r="F443" s="256">
        <f t="shared" si="1"/>
        <v>693961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259"/>
      <c r="F444" s="256">
        <f t="shared" si="1"/>
        <v>693961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259"/>
      <c r="F445" s="256">
        <f t="shared" si="1"/>
        <v>693961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259"/>
      <c r="F446" s="256">
        <f t="shared" si="1"/>
        <v>693961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259"/>
      <c r="F447" s="256">
        <f t="shared" si="1"/>
        <v>693961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259"/>
      <c r="F448" s="256">
        <f t="shared" si="1"/>
        <v>693961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259"/>
      <c r="F449" s="256">
        <f t="shared" si="1"/>
        <v>693961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259"/>
      <c r="F450" s="256">
        <f t="shared" si="1"/>
        <v>693961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259"/>
      <c r="F451" s="256">
        <f t="shared" si="1"/>
        <v>693961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259"/>
      <c r="F452" s="256">
        <f t="shared" si="1"/>
        <v>693961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259"/>
      <c r="F453" s="256">
        <f t="shared" si="1"/>
        <v>693961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259"/>
      <c r="F454" s="256">
        <f t="shared" si="1"/>
        <v>693961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259"/>
      <c r="F455" s="256">
        <f t="shared" si="1"/>
        <v>693961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259"/>
      <c r="F456" s="256">
        <f t="shared" si="1"/>
        <v>693961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259"/>
      <c r="F457" s="256">
        <f t="shared" si="1"/>
        <v>693961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259"/>
      <c r="F458" s="256">
        <f t="shared" si="1"/>
        <v>693961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259"/>
      <c r="F459" s="256">
        <f t="shared" si="1"/>
        <v>693961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259"/>
      <c r="F460" s="256">
        <f t="shared" si="1"/>
        <v>693961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259"/>
      <c r="F461" s="256">
        <f t="shared" si="1"/>
        <v>693961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259"/>
      <c r="F462" s="256">
        <f t="shared" si="1"/>
        <v>693961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259"/>
      <c r="F463" s="256">
        <f t="shared" si="1"/>
        <v>693961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259"/>
      <c r="F464" s="256">
        <f t="shared" si="1"/>
        <v>693961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259"/>
      <c r="F465" s="256">
        <f t="shared" si="1"/>
        <v>693961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259"/>
      <c r="F466" s="256">
        <f t="shared" si="1"/>
        <v>693961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259"/>
      <c r="F467" s="256">
        <f t="shared" si="1"/>
        <v>693961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259"/>
      <c r="F468" s="256">
        <f t="shared" si="1"/>
        <v>693961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259"/>
      <c r="F469" s="256">
        <f t="shared" si="1"/>
        <v>693961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259"/>
      <c r="F470" s="256">
        <f t="shared" si="1"/>
        <v>693961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259"/>
      <c r="F471" s="256">
        <f t="shared" si="1"/>
        <v>693961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259"/>
      <c r="F472" s="256">
        <f t="shared" si="1"/>
        <v>693961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259"/>
      <c r="F473" s="256">
        <f t="shared" si="1"/>
        <v>693961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259"/>
      <c r="F474" s="256">
        <f t="shared" si="1"/>
        <v>693961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259"/>
      <c r="F475" s="256">
        <f t="shared" si="1"/>
        <v>693961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259"/>
      <c r="F476" s="256">
        <f t="shared" si="1"/>
        <v>693961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259"/>
      <c r="F477" s="256">
        <f t="shared" si="1"/>
        <v>693961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259"/>
      <c r="F478" s="256">
        <f t="shared" si="1"/>
        <v>693961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259"/>
      <c r="F479" s="256">
        <f t="shared" si="1"/>
        <v>693961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259"/>
      <c r="F480" s="256">
        <f t="shared" si="1"/>
        <v>693961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259"/>
      <c r="F481" s="256">
        <f t="shared" si="1"/>
        <v>693961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259"/>
      <c r="F482" s="256">
        <f t="shared" si="1"/>
        <v>693961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259"/>
      <c r="F483" s="256">
        <f t="shared" si="1"/>
        <v>693961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259"/>
      <c r="F484" s="256">
        <f t="shared" si="1"/>
        <v>693961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259"/>
      <c r="F485" s="256">
        <f t="shared" si="1"/>
        <v>693961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259"/>
      <c r="F486" s="256">
        <f t="shared" si="1"/>
        <v>693961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259"/>
      <c r="F487" s="256">
        <f t="shared" si="1"/>
        <v>693961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259"/>
      <c r="F488" s="256">
        <f t="shared" si="1"/>
        <v>693961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259"/>
      <c r="F489" s="256">
        <f t="shared" si="1"/>
        <v>693961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259"/>
      <c r="F490" s="256">
        <f t="shared" si="1"/>
        <v>693961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259"/>
      <c r="F491" s="256">
        <f t="shared" si="1"/>
        <v>693961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259"/>
      <c r="F492" s="256">
        <f t="shared" si="1"/>
        <v>693961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259"/>
      <c r="F493" s="256">
        <f t="shared" si="1"/>
        <v>693961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259"/>
      <c r="F494" s="256">
        <f t="shared" si="1"/>
        <v>693961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259"/>
      <c r="F495" s="256">
        <f t="shared" si="1"/>
        <v>693961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259"/>
      <c r="F496" s="256">
        <f t="shared" si="1"/>
        <v>693961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259"/>
      <c r="F497" s="256">
        <f t="shared" si="1"/>
        <v>693961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259"/>
      <c r="F498" s="256">
        <f t="shared" si="1"/>
        <v>693961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259"/>
      <c r="F499" s="256">
        <f t="shared" si="1"/>
        <v>693961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259"/>
      <c r="F500" s="256">
        <f t="shared" si="1"/>
        <v>693961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259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259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259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259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259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259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259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259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259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259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259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259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259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259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259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259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259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259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259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259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259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259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259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259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259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259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259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259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259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259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259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259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259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259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259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259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259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259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259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259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259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259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259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259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259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259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259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259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259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259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259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259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259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259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259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259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259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259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259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259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259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259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259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259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259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259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259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259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259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259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259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259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259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259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259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259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259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259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259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259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259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259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259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259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259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259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259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259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259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259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259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259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259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259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259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259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259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259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259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259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259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259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259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259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259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259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259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259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259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259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259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259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259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259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259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259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259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259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259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259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259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259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259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259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259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259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259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259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259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259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259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259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259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259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259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259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259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259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259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259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259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259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259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259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259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259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259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259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259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259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259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259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259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259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259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259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259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259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259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259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259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259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259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259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259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259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259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259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259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259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259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259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259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259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259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259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259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259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259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259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259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259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259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259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259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259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259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259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259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259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259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259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259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259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259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259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259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259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259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259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259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259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259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259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259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259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259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259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259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259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259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259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259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259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259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259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259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259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259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259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259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259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259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259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259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259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259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259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259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259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259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259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259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259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259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259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259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259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259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259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259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259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259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259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259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259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259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259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259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259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259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259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259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259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259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259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259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259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259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259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259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259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259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259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259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259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259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259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259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259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259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259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259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259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259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259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259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259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259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259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259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259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259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259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259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259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259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259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259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259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259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259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259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259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259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259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259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259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259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259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259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259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259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259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259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259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259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259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259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259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259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259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259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259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259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259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259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259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259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259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259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259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259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259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259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259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259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259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259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259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259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259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259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259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259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259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259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259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259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259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259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259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259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259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259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259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259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259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259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259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259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259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259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259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259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259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259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259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259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259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259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259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259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259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259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259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259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259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259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259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259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259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259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259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259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259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259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259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259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259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259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259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259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259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259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259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259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259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259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259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259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259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259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259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259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259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259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259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259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259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259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259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259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259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259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259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259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259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259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259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259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259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259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259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259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259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259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259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259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259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259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259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259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259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259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259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259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259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259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259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259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259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259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259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259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259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259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259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259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259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259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259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259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259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259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259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259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259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259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259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259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259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259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259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259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259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259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259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259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259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259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259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259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259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259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259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259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259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259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259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259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259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259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259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259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259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259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259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259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259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259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259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259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259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259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259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259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259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259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259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259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259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259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259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259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259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259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259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259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259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H3:L3"/>
    <mergeCell ref="H4:L1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14.0"/>
    <col customWidth="1" min="3" max="3" width="11.88"/>
    <col customWidth="1" min="4" max="4" width="10.5"/>
    <col customWidth="1" min="5" max="5" width="30.63"/>
  </cols>
  <sheetData>
    <row r="1">
      <c r="A1" s="5" t="s">
        <v>1718</v>
      </c>
      <c r="B1" s="5" t="s">
        <v>1725</v>
      </c>
      <c r="C1" s="5" t="s">
        <v>1720</v>
      </c>
      <c r="D1" s="5" t="s">
        <v>1726</v>
      </c>
      <c r="E1" s="5" t="s">
        <v>1727</v>
      </c>
      <c r="F1" s="252" t="s">
        <v>34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53">
        <v>46099.0</v>
      </c>
      <c r="B2" s="254">
        <v>1.5</v>
      </c>
      <c r="C2" s="5">
        <v>265.0</v>
      </c>
      <c r="D2" s="5">
        <v>0.0</v>
      </c>
      <c r="E2" s="1"/>
      <c r="F2" s="256">
        <f t="shared" ref="F2:F500" si="1">DATE(YEAR(SUBSTITUTE(SUBSTITUTE(A2,"-","/",1),"-","/",1)),MONTH(SUBSTITUTE(SUBSTITUTE(A2,"-","/",1),"-","/",1)),DAY(SUBSTITUTE(SUBSTITUTE(A2,"-","/",1),"-","/",1)))</f>
        <v>46099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53">
        <v>46100.0</v>
      </c>
      <c r="B3" s="254">
        <v>26.78</v>
      </c>
      <c r="C3" s="5">
        <v>4471.0</v>
      </c>
      <c r="D3" s="5">
        <v>5.0</v>
      </c>
      <c r="E3" s="1"/>
      <c r="F3" s="256">
        <f t="shared" si="1"/>
        <v>46100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53">
        <v>46101.0</v>
      </c>
      <c r="B4" s="254">
        <v>16.79</v>
      </c>
      <c r="C4" s="5">
        <v>2932.0</v>
      </c>
      <c r="D4" s="5">
        <v>9.0</v>
      </c>
      <c r="E4" s="1"/>
      <c r="F4" s="256">
        <f t="shared" si="1"/>
        <v>46101</v>
      </c>
      <c r="G4" s="1"/>
      <c r="H4" s="257" t="s">
        <v>1728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53">
        <v>46102.0</v>
      </c>
      <c r="B5" s="254">
        <v>23.39</v>
      </c>
      <c r="C5" s="5">
        <v>4167.0</v>
      </c>
      <c r="D5" s="5">
        <v>3.0</v>
      </c>
      <c r="E5" s="1"/>
      <c r="F5" s="256">
        <f t="shared" si="1"/>
        <v>46102</v>
      </c>
      <c r="G5" s="1"/>
      <c r="H5" s="258" t="s">
        <v>1729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53">
        <v>46103.0</v>
      </c>
      <c r="B6" s="254">
        <v>15.09</v>
      </c>
      <c r="C6" s="5">
        <v>2788.0</v>
      </c>
      <c r="D6" s="5">
        <v>3.0</v>
      </c>
      <c r="E6" s="1"/>
      <c r="F6" s="256">
        <f t="shared" si="1"/>
        <v>46103</v>
      </c>
      <c r="G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53">
        <v>46104.0</v>
      </c>
      <c r="B7" s="254">
        <v>18.73</v>
      </c>
      <c r="C7" s="5">
        <v>3094.0</v>
      </c>
      <c r="D7" s="5">
        <v>2.0</v>
      </c>
      <c r="E7" s="1"/>
      <c r="F7" s="256">
        <f t="shared" si="1"/>
        <v>46104</v>
      </c>
      <c r="G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53">
        <v>46105.0</v>
      </c>
      <c r="B8" s="254">
        <v>19.61</v>
      </c>
      <c r="C8" s="5">
        <v>2735.0</v>
      </c>
      <c r="D8" s="5">
        <v>2.0</v>
      </c>
      <c r="E8" s="1"/>
      <c r="F8" s="256">
        <f t="shared" si="1"/>
        <v>46105</v>
      </c>
      <c r="G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53">
        <v>46106.0</v>
      </c>
      <c r="B9" s="254">
        <v>27.32</v>
      </c>
      <c r="C9" s="5">
        <v>4078.0</v>
      </c>
      <c r="D9" s="5">
        <v>4.0</v>
      </c>
      <c r="E9" s="1"/>
      <c r="F9" s="256">
        <f t="shared" si="1"/>
        <v>46106</v>
      </c>
      <c r="G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53">
        <v>46107.0</v>
      </c>
      <c r="B10" s="254">
        <v>28.77</v>
      </c>
      <c r="C10" s="5">
        <v>5436.0</v>
      </c>
      <c r="D10" s="5">
        <v>7.0</v>
      </c>
      <c r="E10" s="1"/>
      <c r="F10" s="256">
        <f t="shared" si="1"/>
        <v>46107</v>
      </c>
      <c r="G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53">
        <v>46108.0</v>
      </c>
      <c r="B11" s="254">
        <v>22.95</v>
      </c>
      <c r="C11" s="5">
        <v>4645.0</v>
      </c>
      <c r="D11" s="5">
        <v>5.0</v>
      </c>
      <c r="E11" s="1"/>
      <c r="F11" s="256">
        <f t="shared" si="1"/>
        <v>46108</v>
      </c>
      <c r="G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53">
        <v>46109.0</v>
      </c>
      <c r="B12" s="254">
        <v>27.15</v>
      </c>
      <c r="C12" s="5">
        <v>4777.0</v>
      </c>
      <c r="D12" s="5">
        <v>6.0</v>
      </c>
      <c r="E12" s="1"/>
      <c r="F12" s="256">
        <f t="shared" si="1"/>
        <v>46109</v>
      </c>
      <c r="G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53">
        <v>46110.0</v>
      </c>
      <c r="B13" s="254">
        <v>29.74</v>
      </c>
      <c r="C13" s="5">
        <v>6052.0</v>
      </c>
      <c r="D13" s="5">
        <v>10.0</v>
      </c>
      <c r="E13" s="1"/>
      <c r="F13" s="256">
        <f t="shared" si="1"/>
        <v>46110</v>
      </c>
      <c r="G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53">
        <v>46111.0</v>
      </c>
      <c r="B14" s="254">
        <v>27.27</v>
      </c>
      <c r="C14" s="5">
        <v>5269.0</v>
      </c>
      <c r="D14" s="5">
        <v>4.0</v>
      </c>
      <c r="E14" s="1"/>
      <c r="F14" s="256">
        <f t="shared" si="1"/>
        <v>46111</v>
      </c>
      <c r="G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53">
        <v>46112.0</v>
      </c>
      <c r="B15" s="254">
        <v>33.47</v>
      </c>
      <c r="C15" s="5">
        <v>6364.0</v>
      </c>
      <c r="D15" s="5">
        <v>14.0</v>
      </c>
      <c r="E15" s="1"/>
      <c r="F15" s="256">
        <f t="shared" si="1"/>
        <v>46112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53">
        <v>46113.0</v>
      </c>
      <c r="B16" s="254">
        <v>30.43</v>
      </c>
      <c r="C16" s="5">
        <v>6729.0</v>
      </c>
      <c r="D16" s="5">
        <v>12.0</v>
      </c>
      <c r="E16" s="1"/>
      <c r="F16" s="256">
        <f t="shared" si="1"/>
        <v>46113</v>
      </c>
      <c r="G16" s="1"/>
      <c r="H16" s="1"/>
      <c r="I16" s="1"/>
      <c r="J16" s="1"/>
      <c r="K16" s="1"/>
      <c r="L16" s="1"/>
      <c r="M16" s="1"/>
      <c r="N16" s="1"/>
      <c r="O16" s="1"/>
      <c r="P16" s="5"/>
      <c r="Q16" s="5"/>
      <c r="R16" s="5"/>
      <c r="S16" s="5"/>
      <c r="T16" s="5"/>
      <c r="U16" s="1"/>
      <c r="V16" s="1"/>
      <c r="W16" s="1"/>
      <c r="X16" s="1"/>
      <c r="Y16" s="1"/>
      <c r="Z16" s="1"/>
    </row>
    <row r="17">
      <c r="A17" s="253">
        <v>46114.0</v>
      </c>
      <c r="B17" s="254">
        <v>46.63</v>
      </c>
      <c r="C17" s="5">
        <v>8768.0</v>
      </c>
      <c r="D17" s="5">
        <v>34.0</v>
      </c>
      <c r="E17" s="1"/>
      <c r="F17" s="256">
        <f t="shared" si="1"/>
        <v>46114</v>
      </c>
      <c r="G17" s="1"/>
      <c r="H17" s="1"/>
      <c r="I17" s="1"/>
      <c r="J17" s="1"/>
      <c r="K17" s="1"/>
      <c r="L17" s="1"/>
      <c r="M17" s="1"/>
      <c r="N17" s="1"/>
      <c r="O17" s="1"/>
      <c r="P17" s="253"/>
      <c r="Q17" s="254"/>
      <c r="R17" s="5"/>
      <c r="S17" s="5"/>
      <c r="T17" s="1"/>
      <c r="U17" s="1"/>
      <c r="V17" s="1"/>
      <c r="W17" s="1"/>
      <c r="X17" s="1"/>
      <c r="Y17" s="1"/>
      <c r="Z17" s="1"/>
    </row>
    <row r="18">
      <c r="A18" s="253">
        <v>46115.0</v>
      </c>
      <c r="B18" s="254">
        <v>13.07</v>
      </c>
      <c r="C18" s="5">
        <v>2354.0</v>
      </c>
      <c r="D18" s="5">
        <v>3.0</v>
      </c>
      <c r="E18" s="1"/>
      <c r="F18" s="256">
        <f t="shared" si="1"/>
        <v>46115</v>
      </c>
      <c r="G18" s="1"/>
      <c r="H18" s="1"/>
      <c r="I18" s="1"/>
      <c r="J18" s="1"/>
      <c r="K18" s="1"/>
      <c r="L18" s="1"/>
      <c r="M18" s="1"/>
      <c r="N18" s="1"/>
      <c r="O18" s="1"/>
      <c r="P18" s="253"/>
      <c r="Q18" s="254"/>
      <c r="R18" s="5"/>
      <c r="S18" s="5"/>
      <c r="T18" s="1"/>
      <c r="U18" s="1"/>
      <c r="V18" s="1"/>
      <c r="W18" s="1"/>
      <c r="X18" s="1"/>
      <c r="Y18" s="1"/>
      <c r="Z18" s="1"/>
    </row>
    <row r="19">
      <c r="A19" s="253">
        <v>46116.0</v>
      </c>
      <c r="B19" s="254">
        <v>23.94</v>
      </c>
      <c r="C19" s="5">
        <v>3918.0</v>
      </c>
      <c r="D19" s="5">
        <v>8.0</v>
      </c>
      <c r="E19" s="1"/>
      <c r="F19" s="256">
        <f t="shared" si="1"/>
        <v>46116</v>
      </c>
      <c r="G19" s="1"/>
      <c r="H19" s="1"/>
      <c r="I19" s="1"/>
      <c r="J19" s="1"/>
      <c r="K19" s="1"/>
      <c r="L19" s="1"/>
      <c r="M19" s="1"/>
      <c r="N19" s="1"/>
      <c r="O19" s="1"/>
      <c r="P19" s="253"/>
      <c r="Q19" s="254"/>
      <c r="R19" s="5"/>
      <c r="S19" s="5"/>
      <c r="T19" s="1"/>
      <c r="U19" s="1"/>
      <c r="V19" s="1"/>
      <c r="W19" s="1"/>
      <c r="X19" s="1"/>
      <c r="Y19" s="1"/>
      <c r="Z19" s="1"/>
    </row>
    <row r="20">
      <c r="A20" s="253">
        <v>46117.0</v>
      </c>
      <c r="B20" s="254">
        <v>31.3</v>
      </c>
      <c r="C20" s="5">
        <v>5248.0</v>
      </c>
      <c r="D20" s="5">
        <v>15.0</v>
      </c>
      <c r="E20" s="5">
        <v>1.0</v>
      </c>
      <c r="F20" s="256">
        <f t="shared" si="1"/>
        <v>46117</v>
      </c>
      <c r="G20" s="1"/>
      <c r="H20" s="1"/>
      <c r="I20" s="1"/>
      <c r="J20" s="1"/>
      <c r="K20" s="1"/>
      <c r="L20" s="1"/>
      <c r="M20" s="1"/>
      <c r="N20" s="1"/>
      <c r="O20" s="1"/>
      <c r="P20" s="253"/>
      <c r="Q20" s="254"/>
      <c r="R20" s="5"/>
      <c r="S20" s="5"/>
      <c r="T20" s="1"/>
      <c r="U20" s="1"/>
      <c r="V20" s="1"/>
      <c r="W20" s="1"/>
      <c r="X20" s="1"/>
      <c r="Y20" s="1"/>
      <c r="Z20" s="1"/>
    </row>
    <row r="21">
      <c r="A21" s="253">
        <v>46118.0</v>
      </c>
      <c r="B21" s="254">
        <v>30.07</v>
      </c>
      <c r="C21" s="5">
        <v>5525.0</v>
      </c>
      <c r="D21" s="5">
        <v>8.0</v>
      </c>
      <c r="E21" s="1"/>
      <c r="F21" s="256">
        <f t="shared" si="1"/>
        <v>46118</v>
      </c>
      <c r="G21" s="1"/>
      <c r="H21" s="1"/>
      <c r="I21" s="1"/>
      <c r="J21" s="1"/>
      <c r="K21" s="1"/>
      <c r="L21" s="1"/>
      <c r="M21" s="1"/>
      <c r="N21" s="1"/>
      <c r="O21" s="1"/>
      <c r="P21" s="253"/>
      <c r="Q21" s="254"/>
      <c r="R21" s="5"/>
      <c r="S21" s="5"/>
      <c r="T21" s="1"/>
      <c r="U21" s="1"/>
      <c r="V21" s="1"/>
      <c r="W21" s="1"/>
      <c r="X21" s="1"/>
      <c r="Y21" s="1"/>
      <c r="Z21" s="1"/>
    </row>
    <row r="22">
      <c r="A22" s="253">
        <v>46119.0</v>
      </c>
      <c r="B22" s="254">
        <v>21.04</v>
      </c>
      <c r="C22" s="5">
        <v>3526.0</v>
      </c>
      <c r="D22" s="5">
        <v>6.0</v>
      </c>
      <c r="E22" s="1"/>
      <c r="F22" s="256">
        <f t="shared" si="1"/>
        <v>46119</v>
      </c>
      <c r="G22" s="1"/>
      <c r="H22" s="1"/>
      <c r="I22" s="1"/>
      <c r="J22" s="1"/>
      <c r="K22" s="1"/>
      <c r="L22" s="1"/>
      <c r="M22" s="1"/>
      <c r="N22" s="1"/>
      <c r="O22" s="1"/>
      <c r="P22" s="253"/>
      <c r="Q22" s="254"/>
      <c r="R22" s="5"/>
      <c r="S22" s="5"/>
      <c r="T22" s="1"/>
      <c r="U22" s="1"/>
      <c r="V22" s="1"/>
      <c r="W22" s="1"/>
      <c r="X22" s="1"/>
      <c r="Y22" s="1"/>
      <c r="Z22" s="1"/>
    </row>
    <row r="23">
      <c r="A23" s="253">
        <v>46120.0</v>
      </c>
      <c r="B23" s="254">
        <v>8.2</v>
      </c>
      <c r="C23" s="5">
        <v>921.0</v>
      </c>
      <c r="D23" s="5">
        <v>8.0</v>
      </c>
      <c r="E23" s="1"/>
      <c r="F23" s="256">
        <f t="shared" si="1"/>
        <v>46120</v>
      </c>
      <c r="G23" s="1"/>
      <c r="H23" s="1"/>
      <c r="I23" s="1"/>
      <c r="J23" s="1"/>
      <c r="K23" s="1"/>
      <c r="L23" s="1"/>
      <c r="M23" s="1"/>
      <c r="N23" s="1"/>
      <c r="O23" s="1"/>
      <c r="P23" s="253"/>
      <c r="Q23" s="254"/>
      <c r="R23" s="5"/>
      <c r="S23" s="5"/>
      <c r="T23" s="1"/>
      <c r="U23" s="1"/>
      <c r="V23" s="1"/>
      <c r="W23" s="1"/>
      <c r="X23" s="1"/>
      <c r="Y23" s="1"/>
      <c r="Z23" s="1"/>
    </row>
    <row r="24">
      <c r="A24" s="253">
        <v>46121.0</v>
      </c>
      <c r="B24" s="254">
        <v>27.61</v>
      </c>
      <c r="C24" s="5">
        <v>2199.0</v>
      </c>
      <c r="D24" s="5">
        <v>57.0</v>
      </c>
      <c r="E24" s="5">
        <v>1.0</v>
      </c>
      <c r="F24" s="256">
        <f t="shared" si="1"/>
        <v>46121</v>
      </c>
      <c r="G24" s="1"/>
      <c r="H24" s="1"/>
      <c r="I24" s="1"/>
      <c r="J24" s="1"/>
      <c r="K24" s="1"/>
      <c r="L24" s="1"/>
      <c r="M24" s="1"/>
      <c r="N24" s="1"/>
      <c r="O24" s="1"/>
      <c r="P24" s="253"/>
      <c r="Q24" s="254"/>
      <c r="R24" s="5"/>
      <c r="S24" s="5"/>
      <c r="T24" s="1"/>
      <c r="U24" s="1"/>
      <c r="V24" s="1"/>
      <c r="W24" s="1"/>
      <c r="X24" s="1"/>
      <c r="Y24" s="1"/>
      <c r="Z24" s="1"/>
    </row>
    <row r="25">
      <c r="A25" s="253">
        <v>46122.0</v>
      </c>
      <c r="B25" s="254">
        <v>85.71</v>
      </c>
      <c r="C25" s="5">
        <v>7522.0</v>
      </c>
      <c r="D25" s="5">
        <v>180.0</v>
      </c>
      <c r="E25" s="1"/>
      <c r="F25" s="256">
        <f t="shared" si="1"/>
        <v>46122</v>
      </c>
      <c r="G25" s="1"/>
      <c r="H25" s="1"/>
      <c r="I25" s="1"/>
      <c r="J25" s="1"/>
      <c r="K25" s="1"/>
      <c r="L25" s="1"/>
      <c r="M25" s="1"/>
      <c r="N25" s="1"/>
      <c r="O25" s="1"/>
      <c r="P25" s="253"/>
      <c r="Q25" s="254"/>
      <c r="R25" s="5"/>
      <c r="S25" s="5"/>
      <c r="T25" s="1"/>
      <c r="U25" s="1"/>
      <c r="V25" s="1"/>
      <c r="W25" s="1"/>
      <c r="X25" s="1"/>
      <c r="Y25" s="1"/>
      <c r="Z25" s="1"/>
    </row>
    <row r="26">
      <c r="A26" s="253">
        <v>46123.0</v>
      </c>
      <c r="B26" s="254">
        <v>68.0</v>
      </c>
      <c r="C26" s="5">
        <v>7632.0</v>
      </c>
      <c r="D26" s="5">
        <v>155.0</v>
      </c>
      <c r="E26" s="5">
        <v>1.0</v>
      </c>
      <c r="F26" s="256">
        <f t="shared" si="1"/>
        <v>46123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53">
        <v>46124.0</v>
      </c>
      <c r="B27" s="254">
        <v>66.89</v>
      </c>
      <c r="C27" s="5">
        <v>8110.0</v>
      </c>
      <c r="D27" s="5">
        <v>270.0</v>
      </c>
      <c r="E27" s="1"/>
      <c r="F27" s="256">
        <f t="shared" si="1"/>
        <v>46124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53">
        <v>46125.0</v>
      </c>
      <c r="B28" s="254">
        <v>51.47</v>
      </c>
      <c r="C28" s="5">
        <v>6042.0</v>
      </c>
      <c r="D28" s="5">
        <v>243.0</v>
      </c>
      <c r="E28" s="5">
        <v>1.0</v>
      </c>
      <c r="F28" s="256">
        <f t="shared" si="1"/>
        <v>46125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53">
        <v>46126.0</v>
      </c>
      <c r="B29" s="254">
        <v>54.57</v>
      </c>
      <c r="C29" s="5">
        <v>5945.0</v>
      </c>
      <c r="D29" s="5">
        <v>189.0</v>
      </c>
      <c r="E29" s="5">
        <v>1.0</v>
      </c>
      <c r="F29" s="256">
        <f t="shared" si="1"/>
        <v>46126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53">
        <v>46127.0</v>
      </c>
      <c r="B30" s="254">
        <v>45.24</v>
      </c>
      <c r="C30" s="5">
        <v>4876.0</v>
      </c>
      <c r="D30" s="5">
        <v>144.0</v>
      </c>
      <c r="E30" s="1"/>
      <c r="F30" s="256">
        <f t="shared" si="1"/>
        <v>46127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53">
        <v>46128.0</v>
      </c>
      <c r="B31" s="254">
        <v>45.64</v>
      </c>
      <c r="C31" s="5">
        <v>5202.0</v>
      </c>
      <c r="D31" s="5">
        <v>142.0</v>
      </c>
      <c r="E31" s="5">
        <v>1.0</v>
      </c>
      <c r="F31" s="256">
        <f t="shared" si="1"/>
        <v>46128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53">
        <v>46129.0</v>
      </c>
      <c r="B32" s="254">
        <v>46.4</v>
      </c>
      <c r="C32" s="5">
        <v>5720.0</v>
      </c>
      <c r="D32" s="5">
        <v>130.0</v>
      </c>
      <c r="E32" s="5">
        <v>1.0</v>
      </c>
      <c r="F32" s="256">
        <f t="shared" si="1"/>
        <v>46129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53">
        <v>46130.0</v>
      </c>
      <c r="B33" s="254">
        <v>56.89</v>
      </c>
      <c r="C33" s="5">
        <v>7742.0</v>
      </c>
      <c r="D33" s="5">
        <v>149.0</v>
      </c>
      <c r="E33" s="5">
        <v>1.0</v>
      </c>
      <c r="F33" s="256">
        <f t="shared" si="1"/>
        <v>46130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53">
        <v>46131.0</v>
      </c>
      <c r="B34" s="254">
        <v>55.9</v>
      </c>
      <c r="C34" s="5">
        <v>7865.0</v>
      </c>
      <c r="D34" s="5">
        <v>152.0</v>
      </c>
      <c r="E34" s="5">
        <v>3.0</v>
      </c>
      <c r="F34" s="256">
        <f t="shared" si="1"/>
        <v>46131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53">
        <v>46132.0</v>
      </c>
      <c r="B35" s="254">
        <v>42.16</v>
      </c>
      <c r="C35" s="5">
        <v>4278.0</v>
      </c>
      <c r="D35" s="5">
        <v>127.0</v>
      </c>
      <c r="E35" s="5">
        <v>1.0</v>
      </c>
      <c r="F35" s="256">
        <f t="shared" si="1"/>
        <v>46132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53">
        <v>46133.0</v>
      </c>
      <c r="B36" s="254">
        <v>89.81</v>
      </c>
      <c r="C36" s="5">
        <v>9496.0</v>
      </c>
      <c r="D36" s="5">
        <v>187.0</v>
      </c>
      <c r="E36" s="1"/>
      <c r="F36" s="256">
        <f t="shared" si="1"/>
        <v>46133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53">
        <v>46134.0</v>
      </c>
      <c r="B37" s="254">
        <v>66.57</v>
      </c>
      <c r="C37" s="5">
        <v>8062.0</v>
      </c>
      <c r="D37" s="5">
        <v>140.0</v>
      </c>
      <c r="E37" s="1"/>
      <c r="F37" s="256">
        <f t="shared" si="1"/>
        <v>46134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53">
        <v>46135.0</v>
      </c>
      <c r="B38" s="254">
        <v>49.63</v>
      </c>
      <c r="C38" s="5">
        <v>5457.0</v>
      </c>
      <c r="D38" s="5">
        <v>85.0</v>
      </c>
      <c r="E38" s="1"/>
      <c r="F38" s="256">
        <f t="shared" si="1"/>
        <v>46135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53">
        <v>46136.0</v>
      </c>
      <c r="B39" s="254">
        <v>18.38</v>
      </c>
      <c r="C39" s="5">
        <v>1611.0</v>
      </c>
      <c r="D39" s="5">
        <v>35.0</v>
      </c>
      <c r="E39" s="1"/>
      <c r="F39" s="256">
        <f t="shared" si="1"/>
        <v>46136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53">
        <v>46139.0</v>
      </c>
      <c r="B40" s="254">
        <v>32.02</v>
      </c>
      <c r="C40" s="5">
        <v>2466.0</v>
      </c>
      <c r="D40" s="5">
        <v>45.0</v>
      </c>
      <c r="E40" s="1"/>
      <c r="F40" s="256">
        <f t="shared" si="1"/>
        <v>46139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53">
        <v>46140.0</v>
      </c>
      <c r="B41" s="254">
        <v>41.25</v>
      </c>
      <c r="C41" s="5">
        <v>4039.0</v>
      </c>
      <c r="D41" s="5">
        <v>31.0</v>
      </c>
      <c r="E41" s="1"/>
      <c r="F41" s="256">
        <f t="shared" si="1"/>
        <v>46140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53">
        <v>46141.0</v>
      </c>
      <c r="B42" s="254">
        <v>39.41</v>
      </c>
      <c r="C42" s="5">
        <v>2656.0</v>
      </c>
      <c r="D42" s="5">
        <v>39.0</v>
      </c>
      <c r="E42" s="1"/>
      <c r="F42" s="256">
        <f t="shared" si="1"/>
        <v>46141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53">
        <v>46142.0</v>
      </c>
      <c r="B43" s="254">
        <v>37.09</v>
      </c>
      <c r="C43" s="5">
        <v>2767.0</v>
      </c>
      <c r="D43" s="5">
        <v>35.0</v>
      </c>
      <c r="E43" s="1"/>
      <c r="F43" s="256">
        <f t="shared" si="1"/>
        <v>46142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53">
        <v>46143.0</v>
      </c>
      <c r="B44" s="254">
        <v>44.4</v>
      </c>
      <c r="C44" s="5">
        <v>2956.0</v>
      </c>
      <c r="D44" s="5">
        <v>49.0</v>
      </c>
      <c r="E44" s="1"/>
      <c r="F44" s="256">
        <f t="shared" si="1"/>
        <v>46143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53">
        <v>46144.0</v>
      </c>
      <c r="B45" s="254">
        <v>33.07</v>
      </c>
      <c r="C45" s="5">
        <v>2094.0</v>
      </c>
      <c r="D45" s="5">
        <v>24.0</v>
      </c>
      <c r="E45" s="1"/>
      <c r="F45" s="256">
        <f t="shared" si="1"/>
        <v>46144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53">
        <v>46145.0</v>
      </c>
      <c r="B46" s="254">
        <v>40.28</v>
      </c>
      <c r="C46" s="5">
        <v>2352.0</v>
      </c>
      <c r="D46" s="5">
        <v>48.0</v>
      </c>
      <c r="E46" s="1"/>
      <c r="F46" s="256">
        <f t="shared" si="1"/>
        <v>46145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53">
        <v>46146.0</v>
      </c>
      <c r="B47" s="254">
        <v>33.44</v>
      </c>
      <c r="C47" s="5">
        <v>2031.0</v>
      </c>
      <c r="D47" s="5">
        <v>34.0</v>
      </c>
      <c r="E47" s="1"/>
      <c r="F47" s="256">
        <f t="shared" si="1"/>
        <v>46146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53">
        <v>46147.0</v>
      </c>
      <c r="B48" s="254">
        <v>34.85</v>
      </c>
      <c r="C48" s="5">
        <v>2404.0</v>
      </c>
      <c r="D48" s="5">
        <v>22.0</v>
      </c>
      <c r="E48" s="1"/>
      <c r="F48" s="256">
        <f t="shared" si="1"/>
        <v>46147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53">
        <v>46148.0</v>
      </c>
      <c r="B49" s="254">
        <v>23.59</v>
      </c>
      <c r="C49" s="5">
        <v>1222.0</v>
      </c>
      <c r="D49" s="5">
        <v>28.0</v>
      </c>
      <c r="E49" s="1"/>
      <c r="F49" s="256">
        <f t="shared" si="1"/>
        <v>46148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53">
        <v>46149.0</v>
      </c>
      <c r="B50" s="254">
        <v>18.17</v>
      </c>
      <c r="C50" s="5">
        <v>1137.0</v>
      </c>
      <c r="D50" s="5">
        <v>24.0</v>
      </c>
      <c r="E50" s="1"/>
      <c r="F50" s="256">
        <f t="shared" si="1"/>
        <v>46149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53">
        <v>46150.0</v>
      </c>
      <c r="B51" s="254">
        <v>16.8</v>
      </c>
      <c r="C51" s="5">
        <v>1134.0</v>
      </c>
      <c r="D51" s="5">
        <v>21.0</v>
      </c>
      <c r="E51" s="1"/>
      <c r="F51" s="256">
        <f t="shared" si="1"/>
        <v>46150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53">
        <v>46151.0</v>
      </c>
      <c r="B52" s="254">
        <v>17.27</v>
      </c>
      <c r="C52" s="5">
        <v>1313.0</v>
      </c>
      <c r="D52" s="5">
        <v>20.0</v>
      </c>
      <c r="E52" s="1"/>
      <c r="F52" s="256">
        <f t="shared" si="1"/>
        <v>46151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53">
        <v>46152.0</v>
      </c>
      <c r="B53" s="254">
        <v>23.65</v>
      </c>
      <c r="C53" s="5">
        <v>1844.0</v>
      </c>
      <c r="D53" s="5">
        <v>32.0</v>
      </c>
      <c r="E53" s="1"/>
      <c r="F53" s="256">
        <f t="shared" si="1"/>
        <v>46152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53">
        <v>46153.0</v>
      </c>
      <c r="B54" s="254">
        <v>11.36</v>
      </c>
      <c r="C54" s="5">
        <v>833.0</v>
      </c>
      <c r="D54" s="5">
        <v>14.0</v>
      </c>
      <c r="E54" s="1"/>
      <c r="F54" s="256">
        <f t="shared" si="1"/>
        <v>46153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53">
        <v>46154.0</v>
      </c>
      <c r="B55" s="254">
        <v>0.0</v>
      </c>
      <c r="C55" s="5">
        <v>0.0</v>
      </c>
      <c r="D55" s="5">
        <v>0.0</v>
      </c>
      <c r="E55" s="1"/>
      <c r="F55" s="256">
        <f t="shared" si="1"/>
        <v>46154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53">
        <v>46155.0</v>
      </c>
      <c r="B56" s="254">
        <v>0.0</v>
      </c>
      <c r="C56" s="5">
        <v>0.0</v>
      </c>
      <c r="D56" s="5">
        <v>0.0</v>
      </c>
      <c r="E56" s="1"/>
      <c r="F56" s="256">
        <f t="shared" si="1"/>
        <v>46155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53">
        <v>46156.0</v>
      </c>
      <c r="B57" s="254">
        <v>15.37</v>
      </c>
      <c r="C57" s="5">
        <v>1209.0</v>
      </c>
      <c r="D57" s="5">
        <v>14.0</v>
      </c>
      <c r="E57" s="1"/>
      <c r="F57" s="256">
        <f t="shared" si="1"/>
        <v>46156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53">
        <v>46157.0</v>
      </c>
      <c r="B58" s="254">
        <v>34.55</v>
      </c>
      <c r="C58" s="5">
        <v>2572.0</v>
      </c>
      <c r="D58" s="5">
        <v>46.0</v>
      </c>
      <c r="E58" s="1"/>
      <c r="F58" s="256">
        <f t="shared" si="1"/>
        <v>46157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53">
        <v>46158.0</v>
      </c>
      <c r="B59" s="254">
        <v>34.48</v>
      </c>
      <c r="C59" s="5">
        <v>2321.0</v>
      </c>
      <c r="D59" s="5">
        <v>60.0</v>
      </c>
      <c r="E59" s="1"/>
      <c r="F59" s="256">
        <f t="shared" si="1"/>
        <v>46158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53">
        <v>46159.0</v>
      </c>
      <c r="B60" s="254">
        <v>27.74</v>
      </c>
      <c r="C60" s="5">
        <v>2221.0</v>
      </c>
      <c r="D60" s="5">
        <v>63.0</v>
      </c>
      <c r="E60" s="1"/>
      <c r="F60" s="256">
        <f t="shared" si="1"/>
        <v>46159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53">
        <v>46160.0</v>
      </c>
      <c r="B61" s="254">
        <v>19.32</v>
      </c>
      <c r="C61" s="5">
        <v>1443.0</v>
      </c>
      <c r="D61" s="5">
        <v>36.0</v>
      </c>
      <c r="E61" s="1"/>
      <c r="F61" s="256">
        <f t="shared" si="1"/>
        <v>46160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53">
        <v>46161.0</v>
      </c>
      <c r="B62" s="254">
        <v>23.35</v>
      </c>
      <c r="C62" s="5">
        <v>1392.0</v>
      </c>
      <c r="D62" s="5">
        <v>56.0</v>
      </c>
      <c r="E62" s="1"/>
      <c r="F62" s="256">
        <f t="shared" si="1"/>
        <v>46161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53">
        <v>46162.0</v>
      </c>
      <c r="B63" s="254">
        <v>14.48</v>
      </c>
      <c r="C63" s="5">
        <v>920.0</v>
      </c>
      <c r="D63" s="5">
        <v>63.0</v>
      </c>
      <c r="E63" s="5">
        <v>1.0</v>
      </c>
      <c r="F63" s="256">
        <f t="shared" si="1"/>
        <v>46162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53">
        <v>46163.0</v>
      </c>
      <c r="B64" s="254">
        <v>8.28</v>
      </c>
      <c r="C64" s="5">
        <v>583.0</v>
      </c>
      <c r="D64" s="5">
        <v>42.0</v>
      </c>
      <c r="E64" s="1"/>
      <c r="F64" s="256">
        <f t="shared" si="1"/>
        <v>46163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53">
        <v>46164.0</v>
      </c>
      <c r="B65" s="254">
        <v>8.41</v>
      </c>
      <c r="C65" s="5">
        <v>784.0</v>
      </c>
      <c r="D65" s="5">
        <v>87.0</v>
      </c>
      <c r="E65" s="1"/>
      <c r="F65" s="256">
        <f t="shared" si="1"/>
        <v>46164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53">
        <v>46165.0</v>
      </c>
      <c r="B66" s="254">
        <v>3.99</v>
      </c>
      <c r="C66" s="5">
        <v>413.0</v>
      </c>
      <c r="D66" s="5">
        <v>28.0</v>
      </c>
      <c r="E66" s="1"/>
      <c r="F66" s="256">
        <f t="shared" si="1"/>
        <v>46165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53">
        <v>46166.0</v>
      </c>
      <c r="B67" s="254">
        <v>12.34</v>
      </c>
      <c r="C67" s="5">
        <v>1164.0</v>
      </c>
      <c r="D67" s="5">
        <v>97.0</v>
      </c>
      <c r="E67" s="1"/>
      <c r="F67" s="256">
        <f t="shared" si="1"/>
        <v>46166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53">
        <v>46167.0</v>
      </c>
      <c r="B68" s="254">
        <v>9.83</v>
      </c>
      <c r="C68" s="5">
        <v>771.0</v>
      </c>
      <c r="D68" s="5">
        <v>53.0</v>
      </c>
      <c r="E68" s="5">
        <v>1.0</v>
      </c>
      <c r="F68" s="256">
        <f t="shared" si="1"/>
        <v>46167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53">
        <v>46168.0</v>
      </c>
      <c r="B69" s="254">
        <v>10.59</v>
      </c>
      <c r="C69" s="5">
        <v>933.0</v>
      </c>
      <c r="D69" s="5">
        <v>73.0</v>
      </c>
      <c r="E69" s="1"/>
      <c r="F69" s="256">
        <f t="shared" si="1"/>
        <v>46168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53">
        <v>46169.0</v>
      </c>
      <c r="B70" s="254">
        <v>12.59</v>
      </c>
      <c r="C70" s="5">
        <v>1124.0</v>
      </c>
      <c r="D70" s="5">
        <v>92.0</v>
      </c>
      <c r="E70" s="5">
        <v>1.0</v>
      </c>
      <c r="F70" s="256">
        <f t="shared" si="1"/>
        <v>46169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53">
        <v>46170.0</v>
      </c>
      <c r="B71" s="254">
        <v>8.77</v>
      </c>
      <c r="C71" s="5">
        <v>806.0</v>
      </c>
      <c r="D71" s="5">
        <v>65.0</v>
      </c>
      <c r="E71" s="1"/>
      <c r="F71" s="256">
        <f t="shared" si="1"/>
        <v>46170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53">
        <v>46171.0</v>
      </c>
      <c r="B72" s="254">
        <v>25.98</v>
      </c>
      <c r="C72" s="5">
        <v>1514.0</v>
      </c>
      <c r="D72" s="5">
        <v>57.0</v>
      </c>
      <c r="E72" s="5">
        <v>2.0</v>
      </c>
      <c r="F72" s="256">
        <f t="shared" si="1"/>
        <v>46171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53">
        <v>46172.0</v>
      </c>
      <c r="B73" s="254">
        <v>23.48</v>
      </c>
      <c r="C73" s="5">
        <v>1473.0</v>
      </c>
      <c r="D73" s="5">
        <v>71.0</v>
      </c>
      <c r="E73" s="5">
        <v>2.0</v>
      </c>
      <c r="F73" s="256">
        <f t="shared" si="1"/>
        <v>46172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53">
        <v>46173.0</v>
      </c>
      <c r="B74" s="254">
        <v>27.89</v>
      </c>
      <c r="C74" s="5">
        <v>2142.0</v>
      </c>
      <c r="D74" s="5">
        <v>111.0</v>
      </c>
      <c r="E74" s="5">
        <v>2.0</v>
      </c>
      <c r="F74" s="256">
        <f t="shared" si="1"/>
        <v>46173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53">
        <v>46174.0</v>
      </c>
      <c r="B75" s="254">
        <v>26.93</v>
      </c>
      <c r="C75" s="5">
        <v>1649.0</v>
      </c>
      <c r="D75" s="5">
        <v>65.0</v>
      </c>
      <c r="E75" s="5">
        <v>2.0</v>
      </c>
      <c r="F75" s="256">
        <f t="shared" si="1"/>
        <v>46174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53">
        <v>46175.0</v>
      </c>
      <c r="B76" s="254">
        <v>30.07</v>
      </c>
      <c r="C76" s="5">
        <v>1774.0</v>
      </c>
      <c r="D76" s="5">
        <v>105.0</v>
      </c>
      <c r="E76" s="5">
        <v>4.0</v>
      </c>
      <c r="F76" s="256">
        <f t="shared" si="1"/>
        <v>46175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53">
        <v>46176.0</v>
      </c>
      <c r="B77" s="254">
        <v>23.16</v>
      </c>
      <c r="C77" s="5">
        <v>1501.0</v>
      </c>
      <c r="D77" s="5">
        <v>65.0</v>
      </c>
      <c r="E77" s="5">
        <v>2.0</v>
      </c>
      <c r="F77" s="256">
        <f t="shared" si="1"/>
        <v>46176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53">
        <v>46177.0</v>
      </c>
      <c r="B78" s="254">
        <v>18.59</v>
      </c>
      <c r="C78" s="5">
        <v>1358.0</v>
      </c>
      <c r="D78" s="5">
        <v>58.0</v>
      </c>
      <c r="E78" s="5">
        <v>1.0</v>
      </c>
      <c r="F78" s="256">
        <f t="shared" si="1"/>
        <v>46177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53"/>
      <c r="B79" s="1"/>
      <c r="C79" s="1"/>
      <c r="D79" s="1"/>
      <c r="E79" s="1"/>
      <c r="F79" s="256">
        <f t="shared" si="1"/>
        <v>693961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53"/>
      <c r="B80" s="1"/>
      <c r="C80" s="1"/>
      <c r="D80" s="1"/>
      <c r="E80" s="1"/>
      <c r="F80" s="256">
        <f t="shared" si="1"/>
        <v>693961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53"/>
      <c r="B81" s="1"/>
      <c r="C81" s="1"/>
      <c r="D81" s="1"/>
      <c r="E81" s="1"/>
      <c r="F81" s="256">
        <f t="shared" si="1"/>
        <v>693961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53"/>
      <c r="B82" s="1"/>
      <c r="C82" s="1"/>
      <c r="D82" s="1"/>
      <c r="E82" s="1"/>
      <c r="F82" s="256">
        <f t="shared" si="1"/>
        <v>693961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53"/>
      <c r="B83" s="1"/>
      <c r="C83" s="1"/>
      <c r="D83" s="1"/>
      <c r="E83" s="1"/>
      <c r="F83" s="256">
        <f t="shared" si="1"/>
        <v>693961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53"/>
      <c r="B84" s="1"/>
      <c r="C84" s="1"/>
      <c r="D84" s="1"/>
      <c r="E84" s="1"/>
      <c r="F84" s="256">
        <f t="shared" si="1"/>
        <v>693961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53"/>
      <c r="B85" s="1"/>
      <c r="C85" s="1"/>
      <c r="D85" s="1"/>
      <c r="E85" s="1"/>
      <c r="F85" s="256">
        <f t="shared" si="1"/>
        <v>693961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53"/>
      <c r="B86" s="1"/>
      <c r="C86" s="1"/>
      <c r="D86" s="1"/>
      <c r="E86" s="1"/>
      <c r="F86" s="256">
        <f t="shared" si="1"/>
        <v>693961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53"/>
      <c r="B87" s="1"/>
      <c r="C87" s="1"/>
      <c r="D87" s="1"/>
      <c r="E87" s="1"/>
      <c r="F87" s="256">
        <f t="shared" si="1"/>
        <v>693961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53"/>
      <c r="B88" s="1"/>
      <c r="C88" s="1"/>
      <c r="D88" s="1"/>
      <c r="E88" s="1"/>
      <c r="F88" s="256">
        <f t="shared" si="1"/>
        <v>693961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53"/>
      <c r="B89" s="1"/>
      <c r="C89" s="1"/>
      <c r="D89" s="1"/>
      <c r="E89" s="1"/>
      <c r="F89" s="256">
        <f t="shared" si="1"/>
        <v>693961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53"/>
      <c r="B90" s="1"/>
      <c r="C90" s="1"/>
      <c r="D90" s="1"/>
      <c r="E90" s="1"/>
      <c r="F90" s="256">
        <f t="shared" si="1"/>
        <v>693961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53"/>
      <c r="B91" s="1"/>
      <c r="C91" s="1"/>
      <c r="D91" s="1"/>
      <c r="E91" s="1"/>
      <c r="F91" s="256">
        <f t="shared" si="1"/>
        <v>693961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53"/>
      <c r="B92" s="1"/>
      <c r="C92" s="1"/>
      <c r="D92" s="1"/>
      <c r="E92" s="1"/>
      <c r="F92" s="256">
        <f t="shared" si="1"/>
        <v>693961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53"/>
      <c r="B93" s="1"/>
      <c r="C93" s="1"/>
      <c r="D93" s="1"/>
      <c r="E93" s="1"/>
      <c r="F93" s="256">
        <f t="shared" si="1"/>
        <v>693961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53"/>
      <c r="B94" s="1"/>
      <c r="C94" s="1"/>
      <c r="D94" s="1"/>
      <c r="E94" s="1"/>
      <c r="F94" s="256">
        <f t="shared" si="1"/>
        <v>693961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53"/>
      <c r="B95" s="1"/>
      <c r="C95" s="1"/>
      <c r="D95" s="1"/>
      <c r="E95" s="1"/>
      <c r="F95" s="256">
        <f t="shared" si="1"/>
        <v>693961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53"/>
      <c r="B96" s="1"/>
      <c r="C96" s="1"/>
      <c r="D96" s="1"/>
      <c r="E96" s="1"/>
      <c r="F96" s="256">
        <f t="shared" si="1"/>
        <v>693961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53"/>
      <c r="B97" s="1"/>
      <c r="C97" s="1"/>
      <c r="D97" s="1"/>
      <c r="E97" s="1"/>
      <c r="F97" s="256">
        <f t="shared" si="1"/>
        <v>693961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53"/>
      <c r="B98" s="1"/>
      <c r="C98" s="1"/>
      <c r="D98" s="1"/>
      <c r="E98" s="1"/>
      <c r="F98" s="256">
        <f t="shared" si="1"/>
        <v>693961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253"/>
      <c r="B99" s="1"/>
      <c r="C99" s="1"/>
      <c r="D99" s="1"/>
      <c r="E99" s="1"/>
      <c r="F99" s="256">
        <f t="shared" si="1"/>
        <v>693961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253"/>
      <c r="B100" s="1"/>
      <c r="C100" s="1"/>
      <c r="D100" s="1"/>
      <c r="E100" s="1"/>
      <c r="F100" s="256">
        <f t="shared" si="1"/>
        <v>693961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253"/>
      <c r="B101" s="1"/>
      <c r="C101" s="1"/>
      <c r="D101" s="1"/>
      <c r="E101" s="1"/>
      <c r="F101" s="256">
        <f t="shared" si="1"/>
        <v>693961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253"/>
      <c r="B102" s="1"/>
      <c r="C102" s="1"/>
      <c r="D102" s="1"/>
      <c r="E102" s="1"/>
      <c r="F102" s="256">
        <f t="shared" si="1"/>
        <v>693961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253"/>
      <c r="B103" s="1"/>
      <c r="C103" s="1"/>
      <c r="D103" s="1"/>
      <c r="E103" s="1"/>
      <c r="F103" s="256">
        <f t="shared" si="1"/>
        <v>693961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253"/>
      <c r="B104" s="1"/>
      <c r="C104" s="1"/>
      <c r="D104" s="1"/>
      <c r="E104" s="1"/>
      <c r="F104" s="256">
        <f t="shared" si="1"/>
        <v>693961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253"/>
      <c r="B105" s="1"/>
      <c r="C105" s="1"/>
      <c r="D105" s="1"/>
      <c r="E105" s="1"/>
      <c r="F105" s="256">
        <f t="shared" si="1"/>
        <v>693961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253"/>
      <c r="B106" s="1"/>
      <c r="C106" s="1"/>
      <c r="D106" s="1"/>
      <c r="E106" s="1"/>
      <c r="F106" s="256">
        <f t="shared" si="1"/>
        <v>693961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253"/>
      <c r="B107" s="1"/>
      <c r="C107" s="1"/>
      <c r="D107" s="1"/>
      <c r="E107" s="1"/>
      <c r="F107" s="256">
        <f t="shared" si="1"/>
        <v>693961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253"/>
      <c r="B108" s="1"/>
      <c r="C108" s="1"/>
      <c r="D108" s="1"/>
      <c r="E108" s="1"/>
      <c r="F108" s="256">
        <f t="shared" si="1"/>
        <v>693961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253"/>
      <c r="B109" s="1"/>
      <c r="C109" s="1"/>
      <c r="D109" s="1"/>
      <c r="E109" s="1"/>
      <c r="F109" s="256">
        <f t="shared" si="1"/>
        <v>693961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253"/>
      <c r="B110" s="1"/>
      <c r="C110" s="1"/>
      <c r="D110" s="1"/>
      <c r="E110" s="1"/>
      <c r="F110" s="256">
        <f t="shared" si="1"/>
        <v>693961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253"/>
      <c r="B111" s="1"/>
      <c r="C111" s="1"/>
      <c r="D111" s="1"/>
      <c r="E111" s="1"/>
      <c r="F111" s="256">
        <f t="shared" si="1"/>
        <v>693961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253"/>
      <c r="B112" s="1"/>
      <c r="C112" s="1"/>
      <c r="D112" s="1"/>
      <c r="E112" s="1"/>
      <c r="F112" s="256">
        <f t="shared" si="1"/>
        <v>693961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253"/>
      <c r="B113" s="1"/>
      <c r="C113" s="1"/>
      <c r="D113" s="1"/>
      <c r="E113" s="1"/>
      <c r="F113" s="256">
        <f t="shared" si="1"/>
        <v>693961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253"/>
      <c r="B114" s="1"/>
      <c r="C114" s="1"/>
      <c r="D114" s="1"/>
      <c r="E114" s="1"/>
      <c r="F114" s="256">
        <f t="shared" si="1"/>
        <v>693961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253"/>
      <c r="B115" s="1"/>
      <c r="C115" s="1"/>
      <c r="D115" s="1"/>
      <c r="E115" s="1"/>
      <c r="F115" s="256">
        <f t="shared" si="1"/>
        <v>693961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253"/>
      <c r="B116" s="1"/>
      <c r="C116" s="1"/>
      <c r="D116" s="1"/>
      <c r="E116" s="1"/>
      <c r="F116" s="256">
        <f t="shared" si="1"/>
        <v>693961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253"/>
      <c r="B117" s="1"/>
      <c r="C117" s="1"/>
      <c r="D117" s="1"/>
      <c r="E117" s="1"/>
      <c r="F117" s="256">
        <f t="shared" si="1"/>
        <v>693961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253"/>
      <c r="B118" s="1"/>
      <c r="C118" s="1"/>
      <c r="D118" s="1"/>
      <c r="E118" s="1"/>
      <c r="F118" s="256">
        <f t="shared" si="1"/>
        <v>693961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253"/>
      <c r="B119" s="1"/>
      <c r="C119" s="1"/>
      <c r="D119" s="1"/>
      <c r="E119" s="1"/>
      <c r="F119" s="256">
        <f t="shared" si="1"/>
        <v>693961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253"/>
      <c r="B120" s="1"/>
      <c r="C120" s="1"/>
      <c r="D120" s="1"/>
      <c r="E120" s="1"/>
      <c r="F120" s="256">
        <f t="shared" si="1"/>
        <v>693961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253"/>
      <c r="B121" s="1"/>
      <c r="C121" s="1"/>
      <c r="D121" s="1"/>
      <c r="E121" s="1"/>
      <c r="F121" s="256">
        <f t="shared" si="1"/>
        <v>693961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253"/>
      <c r="B122" s="1"/>
      <c r="C122" s="1"/>
      <c r="D122" s="1"/>
      <c r="E122" s="1"/>
      <c r="F122" s="256">
        <f t="shared" si="1"/>
        <v>693961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253"/>
      <c r="B123" s="1"/>
      <c r="C123" s="1"/>
      <c r="D123" s="1"/>
      <c r="E123" s="1"/>
      <c r="F123" s="256">
        <f t="shared" si="1"/>
        <v>693961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253"/>
      <c r="B124" s="1"/>
      <c r="C124" s="1"/>
      <c r="D124" s="1"/>
      <c r="E124" s="1"/>
      <c r="F124" s="256">
        <f t="shared" si="1"/>
        <v>693961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253"/>
      <c r="B125" s="1"/>
      <c r="C125" s="1"/>
      <c r="D125" s="1"/>
      <c r="E125" s="1"/>
      <c r="F125" s="256">
        <f t="shared" si="1"/>
        <v>693961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253"/>
      <c r="B126" s="1"/>
      <c r="C126" s="1"/>
      <c r="D126" s="1"/>
      <c r="E126" s="1"/>
      <c r="F126" s="256">
        <f t="shared" si="1"/>
        <v>693961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253"/>
      <c r="B127" s="1"/>
      <c r="C127" s="1"/>
      <c r="D127" s="1"/>
      <c r="E127" s="1"/>
      <c r="F127" s="256">
        <f t="shared" si="1"/>
        <v>693961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253"/>
      <c r="B128" s="1"/>
      <c r="C128" s="1"/>
      <c r="D128" s="1"/>
      <c r="E128" s="1"/>
      <c r="F128" s="256">
        <f t="shared" si="1"/>
        <v>693961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253"/>
      <c r="B129" s="1"/>
      <c r="C129" s="1"/>
      <c r="D129" s="1"/>
      <c r="E129" s="1"/>
      <c r="F129" s="256">
        <f t="shared" si="1"/>
        <v>693961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253"/>
      <c r="B130" s="1"/>
      <c r="C130" s="1"/>
      <c r="D130" s="1"/>
      <c r="E130" s="1"/>
      <c r="F130" s="256">
        <f t="shared" si="1"/>
        <v>693961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253"/>
      <c r="B131" s="1"/>
      <c r="C131" s="1"/>
      <c r="D131" s="1"/>
      <c r="E131" s="1"/>
      <c r="F131" s="256">
        <f t="shared" si="1"/>
        <v>693961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253"/>
      <c r="B132" s="1"/>
      <c r="C132" s="1"/>
      <c r="D132" s="1"/>
      <c r="E132" s="1"/>
      <c r="F132" s="256">
        <f t="shared" si="1"/>
        <v>693961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253"/>
      <c r="B133" s="1"/>
      <c r="C133" s="1"/>
      <c r="D133" s="1"/>
      <c r="E133" s="1"/>
      <c r="F133" s="256">
        <f t="shared" si="1"/>
        <v>693961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253"/>
      <c r="B134" s="1"/>
      <c r="C134" s="1"/>
      <c r="D134" s="1"/>
      <c r="E134" s="1"/>
      <c r="F134" s="256">
        <f t="shared" si="1"/>
        <v>693961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253"/>
      <c r="B135" s="1"/>
      <c r="C135" s="1"/>
      <c r="D135" s="1"/>
      <c r="E135" s="1"/>
      <c r="F135" s="256">
        <f t="shared" si="1"/>
        <v>693961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253"/>
      <c r="B136" s="1"/>
      <c r="C136" s="1"/>
      <c r="D136" s="1"/>
      <c r="E136" s="1"/>
      <c r="F136" s="256">
        <f t="shared" si="1"/>
        <v>693961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253"/>
      <c r="B137" s="1"/>
      <c r="C137" s="1"/>
      <c r="D137" s="1"/>
      <c r="E137" s="1"/>
      <c r="F137" s="256">
        <f t="shared" si="1"/>
        <v>693961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253"/>
      <c r="B138" s="1"/>
      <c r="C138" s="1"/>
      <c r="D138" s="1"/>
      <c r="E138" s="1"/>
      <c r="F138" s="256">
        <f t="shared" si="1"/>
        <v>693961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253"/>
      <c r="B139" s="1"/>
      <c r="C139" s="1"/>
      <c r="D139" s="1"/>
      <c r="E139" s="1"/>
      <c r="F139" s="256">
        <f t="shared" si="1"/>
        <v>693961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253"/>
      <c r="B140" s="1"/>
      <c r="C140" s="1"/>
      <c r="D140" s="1"/>
      <c r="E140" s="1"/>
      <c r="F140" s="256">
        <f t="shared" si="1"/>
        <v>693961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253"/>
      <c r="B141" s="1"/>
      <c r="C141" s="1"/>
      <c r="D141" s="1"/>
      <c r="E141" s="1"/>
      <c r="F141" s="256">
        <f t="shared" si="1"/>
        <v>693961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253"/>
      <c r="B142" s="1"/>
      <c r="C142" s="1"/>
      <c r="D142" s="1"/>
      <c r="E142" s="1"/>
      <c r="F142" s="256">
        <f t="shared" si="1"/>
        <v>693961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253"/>
      <c r="B143" s="1"/>
      <c r="C143" s="1"/>
      <c r="D143" s="1"/>
      <c r="E143" s="1"/>
      <c r="F143" s="256">
        <f t="shared" si="1"/>
        <v>693961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253"/>
      <c r="B144" s="1"/>
      <c r="C144" s="1"/>
      <c r="D144" s="1"/>
      <c r="E144" s="1"/>
      <c r="F144" s="256">
        <f t="shared" si="1"/>
        <v>693961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253"/>
      <c r="B145" s="1"/>
      <c r="C145" s="1"/>
      <c r="D145" s="1"/>
      <c r="E145" s="1"/>
      <c r="F145" s="256">
        <f t="shared" si="1"/>
        <v>693961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253"/>
      <c r="B146" s="1"/>
      <c r="C146" s="1"/>
      <c r="D146" s="1"/>
      <c r="E146" s="1"/>
      <c r="F146" s="256">
        <f t="shared" si="1"/>
        <v>693961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253"/>
      <c r="B147" s="1"/>
      <c r="C147" s="1"/>
      <c r="D147" s="1"/>
      <c r="E147" s="1"/>
      <c r="F147" s="256">
        <f t="shared" si="1"/>
        <v>693961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253"/>
      <c r="B148" s="1"/>
      <c r="C148" s="1"/>
      <c r="D148" s="1"/>
      <c r="E148" s="1"/>
      <c r="F148" s="256">
        <f t="shared" si="1"/>
        <v>693961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253"/>
      <c r="B149" s="1"/>
      <c r="C149" s="1"/>
      <c r="D149" s="1"/>
      <c r="E149" s="1"/>
      <c r="F149" s="256">
        <f t="shared" si="1"/>
        <v>693961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253"/>
      <c r="B150" s="1"/>
      <c r="C150" s="1"/>
      <c r="D150" s="1"/>
      <c r="E150" s="1"/>
      <c r="F150" s="256">
        <f t="shared" si="1"/>
        <v>693961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253"/>
      <c r="B151" s="1"/>
      <c r="C151" s="1"/>
      <c r="D151" s="1"/>
      <c r="E151" s="1"/>
      <c r="F151" s="256">
        <f t="shared" si="1"/>
        <v>693961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253"/>
      <c r="B152" s="1"/>
      <c r="C152" s="1"/>
      <c r="D152" s="1"/>
      <c r="E152" s="1"/>
      <c r="F152" s="256">
        <f t="shared" si="1"/>
        <v>693961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253"/>
      <c r="B153" s="1"/>
      <c r="C153" s="1"/>
      <c r="D153" s="1"/>
      <c r="E153" s="1"/>
      <c r="F153" s="256">
        <f t="shared" si="1"/>
        <v>693961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253"/>
      <c r="B154" s="1"/>
      <c r="C154" s="1"/>
      <c r="D154" s="1"/>
      <c r="E154" s="1"/>
      <c r="F154" s="256">
        <f t="shared" si="1"/>
        <v>693961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253"/>
      <c r="B155" s="1"/>
      <c r="C155" s="1"/>
      <c r="D155" s="1"/>
      <c r="E155" s="1"/>
      <c r="F155" s="256">
        <f t="shared" si="1"/>
        <v>693961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253"/>
      <c r="B156" s="1"/>
      <c r="C156" s="1"/>
      <c r="D156" s="1"/>
      <c r="E156" s="1"/>
      <c r="F156" s="256">
        <f t="shared" si="1"/>
        <v>693961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253"/>
      <c r="B157" s="1"/>
      <c r="C157" s="1"/>
      <c r="D157" s="1"/>
      <c r="E157" s="1"/>
      <c r="F157" s="256">
        <f t="shared" si="1"/>
        <v>693961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253"/>
      <c r="B158" s="1"/>
      <c r="C158" s="1"/>
      <c r="D158" s="1"/>
      <c r="E158" s="1"/>
      <c r="F158" s="256">
        <f t="shared" si="1"/>
        <v>693961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253"/>
      <c r="B159" s="1"/>
      <c r="C159" s="1"/>
      <c r="D159" s="1"/>
      <c r="E159" s="1"/>
      <c r="F159" s="256">
        <f t="shared" si="1"/>
        <v>693961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253"/>
      <c r="B160" s="1"/>
      <c r="C160" s="1"/>
      <c r="D160" s="1"/>
      <c r="E160" s="1"/>
      <c r="F160" s="256">
        <f t="shared" si="1"/>
        <v>693961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253"/>
      <c r="B161" s="1"/>
      <c r="C161" s="1"/>
      <c r="D161" s="1"/>
      <c r="E161" s="1"/>
      <c r="F161" s="256">
        <f t="shared" si="1"/>
        <v>693961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253"/>
      <c r="B162" s="1"/>
      <c r="C162" s="1"/>
      <c r="D162" s="1"/>
      <c r="E162" s="1"/>
      <c r="F162" s="256">
        <f t="shared" si="1"/>
        <v>693961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253"/>
      <c r="B163" s="1"/>
      <c r="C163" s="1"/>
      <c r="D163" s="1"/>
      <c r="E163" s="1"/>
      <c r="F163" s="256">
        <f t="shared" si="1"/>
        <v>693961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253"/>
      <c r="B164" s="1"/>
      <c r="C164" s="1"/>
      <c r="D164" s="1"/>
      <c r="E164" s="1"/>
      <c r="F164" s="256">
        <f t="shared" si="1"/>
        <v>693961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253"/>
      <c r="B165" s="1"/>
      <c r="C165" s="1"/>
      <c r="D165" s="1"/>
      <c r="E165" s="1"/>
      <c r="F165" s="256">
        <f t="shared" si="1"/>
        <v>693961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253"/>
      <c r="B166" s="1"/>
      <c r="C166" s="1"/>
      <c r="D166" s="1"/>
      <c r="E166" s="1"/>
      <c r="F166" s="256">
        <f t="shared" si="1"/>
        <v>693961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253"/>
      <c r="B167" s="1"/>
      <c r="C167" s="1"/>
      <c r="D167" s="1"/>
      <c r="E167" s="1"/>
      <c r="F167" s="256">
        <f t="shared" si="1"/>
        <v>693961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253"/>
      <c r="B168" s="1"/>
      <c r="C168" s="1"/>
      <c r="D168" s="1"/>
      <c r="E168" s="1"/>
      <c r="F168" s="256">
        <f t="shared" si="1"/>
        <v>693961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253"/>
      <c r="B169" s="1"/>
      <c r="C169" s="1"/>
      <c r="D169" s="1"/>
      <c r="E169" s="1"/>
      <c r="F169" s="256">
        <f t="shared" si="1"/>
        <v>693961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253"/>
      <c r="B170" s="1"/>
      <c r="C170" s="1"/>
      <c r="D170" s="1"/>
      <c r="E170" s="1"/>
      <c r="F170" s="256">
        <f t="shared" si="1"/>
        <v>693961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253"/>
      <c r="B171" s="1"/>
      <c r="C171" s="1"/>
      <c r="D171" s="1"/>
      <c r="E171" s="1"/>
      <c r="F171" s="256">
        <f t="shared" si="1"/>
        <v>693961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253"/>
      <c r="B172" s="1"/>
      <c r="C172" s="1"/>
      <c r="D172" s="1"/>
      <c r="E172" s="1"/>
      <c r="F172" s="256">
        <f t="shared" si="1"/>
        <v>693961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256">
        <f t="shared" si="1"/>
        <v>693961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256">
        <f t="shared" si="1"/>
        <v>693961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256">
        <f t="shared" si="1"/>
        <v>693961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256">
        <f t="shared" si="1"/>
        <v>693961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256">
        <f t="shared" si="1"/>
        <v>693961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256">
        <f t="shared" si="1"/>
        <v>693961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256">
        <f t="shared" si="1"/>
        <v>693961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256">
        <f t="shared" si="1"/>
        <v>693961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256">
        <f t="shared" si="1"/>
        <v>693961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256">
        <f t="shared" si="1"/>
        <v>693961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256">
        <f t="shared" si="1"/>
        <v>693961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256">
        <f t="shared" si="1"/>
        <v>693961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256">
        <f t="shared" si="1"/>
        <v>693961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256">
        <f t="shared" si="1"/>
        <v>693961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256">
        <f t="shared" si="1"/>
        <v>693961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256">
        <f t="shared" si="1"/>
        <v>693961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256">
        <f t="shared" si="1"/>
        <v>693961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256">
        <f t="shared" si="1"/>
        <v>693961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256">
        <f t="shared" si="1"/>
        <v>693961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256">
        <f t="shared" si="1"/>
        <v>693961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256">
        <f t="shared" si="1"/>
        <v>693961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256">
        <f t="shared" si="1"/>
        <v>693961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256">
        <f t="shared" si="1"/>
        <v>693961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256">
        <f t="shared" si="1"/>
        <v>693961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256">
        <f t="shared" si="1"/>
        <v>693961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256">
        <f t="shared" si="1"/>
        <v>693961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256">
        <f t="shared" si="1"/>
        <v>693961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256">
        <f t="shared" si="1"/>
        <v>693961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256">
        <f t="shared" si="1"/>
        <v>693961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256">
        <f t="shared" si="1"/>
        <v>693961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256">
        <f t="shared" si="1"/>
        <v>693961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256">
        <f t="shared" si="1"/>
        <v>693961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256">
        <f t="shared" si="1"/>
        <v>693961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256">
        <f t="shared" si="1"/>
        <v>693961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256">
        <f t="shared" si="1"/>
        <v>693961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256">
        <f t="shared" si="1"/>
        <v>693961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256">
        <f t="shared" si="1"/>
        <v>693961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256">
        <f t="shared" si="1"/>
        <v>693961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256">
        <f t="shared" si="1"/>
        <v>693961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256">
        <f t="shared" si="1"/>
        <v>693961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256">
        <f t="shared" si="1"/>
        <v>693961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256">
        <f t="shared" si="1"/>
        <v>693961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256">
        <f t="shared" si="1"/>
        <v>693961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256">
        <f t="shared" si="1"/>
        <v>693961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256">
        <f t="shared" si="1"/>
        <v>693961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256">
        <f t="shared" si="1"/>
        <v>693961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256">
        <f t="shared" si="1"/>
        <v>693961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256">
        <f t="shared" si="1"/>
        <v>693961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256">
        <f t="shared" si="1"/>
        <v>693961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256">
        <f t="shared" si="1"/>
        <v>693961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256">
        <f t="shared" si="1"/>
        <v>693961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256">
        <f t="shared" si="1"/>
        <v>693961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256">
        <f t="shared" si="1"/>
        <v>693961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256">
        <f t="shared" si="1"/>
        <v>693961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256">
        <f t="shared" si="1"/>
        <v>693961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256">
        <f t="shared" si="1"/>
        <v>693961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256">
        <f t="shared" si="1"/>
        <v>693961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256">
        <f t="shared" si="1"/>
        <v>693961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256">
        <f t="shared" si="1"/>
        <v>693961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256">
        <f t="shared" si="1"/>
        <v>693961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256">
        <f t="shared" si="1"/>
        <v>693961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256">
        <f t="shared" si="1"/>
        <v>693961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256">
        <f t="shared" si="1"/>
        <v>693961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256">
        <f t="shared" si="1"/>
        <v>693961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256">
        <f t="shared" si="1"/>
        <v>693961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256">
        <f t="shared" si="1"/>
        <v>693961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256">
        <f t="shared" si="1"/>
        <v>693961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256">
        <f t="shared" si="1"/>
        <v>693961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256">
        <f t="shared" si="1"/>
        <v>693961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256">
        <f t="shared" si="1"/>
        <v>693961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256">
        <f t="shared" si="1"/>
        <v>693961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256">
        <f t="shared" si="1"/>
        <v>693961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256">
        <f t="shared" si="1"/>
        <v>693961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256">
        <f t="shared" si="1"/>
        <v>693961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256">
        <f t="shared" si="1"/>
        <v>693961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256">
        <f t="shared" si="1"/>
        <v>693961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256">
        <f t="shared" si="1"/>
        <v>693961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256">
        <f t="shared" si="1"/>
        <v>693961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256">
        <f t="shared" si="1"/>
        <v>693961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256">
        <f t="shared" si="1"/>
        <v>693961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256">
        <f t="shared" si="1"/>
        <v>693961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256">
        <f t="shared" si="1"/>
        <v>693961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256">
        <f t="shared" si="1"/>
        <v>693961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256">
        <f t="shared" si="1"/>
        <v>693961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256">
        <f t="shared" si="1"/>
        <v>693961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256">
        <f t="shared" si="1"/>
        <v>693961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256">
        <f t="shared" si="1"/>
        <v>693961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256">
        <f t="shared" si="1"/>
        <v>693961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256">
        <f t="shared" si="1"/>
        <v>693961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256">
        <f t="shared" si="1"/>
        <v>693961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256">
        <f t="shared" si="1"/>
        <v>693961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256">
        <f t="shared" si="1"/>
        <v>693961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256">
        <f t="shared" si="1"/>
        <v>693961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256">
        <f t="shared" si="1"/>
        <v>693961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256">
        <f t="shared" si="1"/>
        <v>693961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256">
        <f t="shared" si="1"/>
        <v>693961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256">
        <f t="shared" si="1"/>
        <v>693961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256">
        <f t="shared" si="1"/>
        <v>693961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256">
        <f t="shared" si="1"/>
        <v>693961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256">
        <f t="shared" si="1"/>
        <v>693961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256">
        <f t="shared" si="1"/>
        <v>693961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256">
        <f t="shared" si="1"/>
        <v>693961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256">
        <f t="shared" si="1"/>
        <v>693961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256">
        <f t="shared" si="1"/>
        <v>693961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256">
        <f t="shared" si="1"/>
        <v>693961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256">
        <f t="shared" si="1"/>
        <v>693961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256">
        <f t="shared" si="1"/>
        <v>693961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256">
        <f t="shared" si="1"/>
        <v>693961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256">
        <f t="shared" si="1"/>
        <v>693961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256">
        <f t="shared" si="1"/>
        <v>693961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256">
        <f t="shared" si="1"/>
        <v>693961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256">
        <f t="shared" si="1"/>
        <v>693961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256">
        <f t="shared" si="1"/>
        <v>693961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256">
        <f t="shared" si="1"/>
        <v>693961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256">
        <f t="shared" si="1"/>
        <v>693961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256">
        <f t="shared" si="1"/>
        <v>693961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256">
        <f t="shared" si="1"/>
        <v>693961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256">
        <f t="shared" si="1"/>
        <v>693961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256">
        <f t="shared" si="1"/>
        <v>693961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256">
        <f t="shared" si="1"/>
        <v>693961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256">
        <f t="shared" si="1"/>
        <v>693961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256">
        <f t="shared" si="1"/>
        <v>693961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256">
        <f t="shared" si="1"/>
        <v>693961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256">
        <f t="shared" si="1"/>
        <v>693961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256">
        <f t="shared" si="1"/>
        <v>693961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256">
        <f t="shared" si="1"/>
        <v>693961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256">
        <f t="shared" si="1"/>
        <v>693961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256">
        <f t="shared" si="1"/>
        <v>693961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256">
        <f t="shared" si="1"/>
        <v>693961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256">
        <f t="shared" si="1"/>
        <v>693961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256">
        <f t="shared" si="1"/>
        <v>693961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256">
        <f t="shared" si="1"/>
        <v>693961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256">
        <f t="shared" si="1"/>
        <v>693961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256">
        <f t="shared" si="1"/>
        <v>693961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256">
        <f t="shared" si="1"/>
        <v>693961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256">
        <f t="shared" si="1"/>
        <v>693961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256">
        <f t="shared" si="1"/>
        <v>693961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256">
        <f t="shared" si="1"/>
        <v>693961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256">
        <f t="shared" si="1"/>
        <v>693961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256">
        <f t="shared" si="1"/>
        <v>693961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256">
        <f t="shared" si="1"/>
        <v>693961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256">
        <f t="shared" si="1"/>
        <v>693961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256">
        <f t="shared" si="1"/>
        <v>693961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256">
        <f t="shared" si="1"/>
        <v>693961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256">
        <f t="shared" si="1"/>
        <v>693961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256">
        <f t="shared" si="1"/>
        <v>693961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256">
        <f t="shared" si="1"/>
        <v>693961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256">
        <f t="shared" si="1"/>
        <v>693961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256">
        <f t="shared" si="1"/>
        <v>693961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256">
        <f t="shared" si="1"/>
        <v>693961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256">
        <f t="shared" si="1"/>
        <v>693961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256">
        <f t="shared" si="1"/>
        <v>693961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256">
        <f t="shared" si="1"/>
        <v>693961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256">
        <f t="shared" si="1"/>
        <v>693961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256">
        <f t="shared" si="1"/>
        <v>693961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256">
        <f t="shared" si="1"/>
        <v>693961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256">
        <f t="shared" si="1"/>
        <v>693961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256">
        <f t="shared" si="1"/>
        <v>693961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256">
        <f t="shared" si="1"/>
        <v>693961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256">
        <f t="shared" si="1"/>
        <v>693961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256">
        <f t="shared" si="1"/>
        <v>693961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256">
        <f t="shared" si="1"/>
        <v>693961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256">
        <f t="shared" si="1"/>
        <v>693961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256">
        <f t="shared" si="1"/>
        <v>693961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256">
        <f t="shared" si="1"/>
        <v>693961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256">
        <f t="shared" si="1"/>
        <v>693961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256">
        <f t="shared" si="1"/>
        <v>693961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256">
        <f t="shared" si="1"/>
        <v>693961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256">
        <f t="shared" si="1"/>
        <v>693961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256">
        <f t="shared" si="1"/>
        <v>693961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256">
        <f t="shared" si="1"/>
        <v>693961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256">
        <f t="shared" si="1"/>
        <v>693961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256">
        <f t="shared" si="1"/>
        <v>693961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256">
        <f t="shared" si="1"/>
        <v>693961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256">
        <f t="shared" si="1"/>
        <v>693961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256">
        <f t="shared" si="1"/>
        <v>693961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256">
        <f t="shared" si="1"/>
        <v>693961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256">
        <f t="shared" si="1"/>
        <v>693961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256">
        <f t="shared" si="1"/>
        <v>693961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256">
        <f t="shared" si="1"/>
        <v>693961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256">
        <f t="shared" si="1"/>
        <v>693961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256">
        <f t="shared" si="1"/>
        <v>693961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256">
        <f t="shared" si="1"/>
        <v>693961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256">
        <f t="shared" si="1"/>
        <v>693961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256">
        <f t="shared" si="1"/>
        <v>693961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256">
        <f t="shared" si="1"/>
        <v>693961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256">
        <f t="shared" si="1"/>
        <v>693961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256">
        <f t="shared" si="1"/>
        <v>693961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256">
        <f t="shared" si="1"/>
        <v>693961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256">
        <f t="shared" si="1"/>
        <v>693961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256">
        <f t="shared" si="1"/>
        <v>693961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256">
        <f t="shared" si="1"/>
        <v>693961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256">
        <f t="shared" si="1"/>
        <v>693961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256">
        <f t="shared" si="1"/>
        <v>693961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256">
        <f t="shared" si="1"/>
        <v>693961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256">
        <f t="shared" si="1"/>
        <v>693961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256">
        <f t="shared" si="1"/>
        <v>693961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256">
        <f t="shared" si="1"/>
        <v>693961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256">
        <f t="shared" si="1"/>
        <v>693961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256">
        <f t="shared" si="1"/>
        <v>693961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256">
        <f t="shared" si="1"/>
        <v>693961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256">
        <f t="shared" si="1"/>
        <v>693961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256">
        <f t="shared" si="1"/>
        <v>693961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256">
        <f t="shared" si="1"/>
        <v>693961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256">
        <f t="shared" si="1"/>
        <v>693961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256">
        <f t="shared" si="1"/>
        <v>693961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256">
        <f t="shared" si="1"/>
        <v>693961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256">
        <f t="shared" si="1"/>
        <v>693961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256">
        <f t="shared" si="1"/>
        <v>693961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256">
        <f t="shared" si="1"/>
        <v>693961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256">
        <f t="shared" si="1"/>
        <v>693961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256">
        <f t="shared" si="1"/>
        <v>693961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256">
        <f t="shared" si="1"/>
        <v>693961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256">
        <f t="shared" si="1"/>
        <v>693961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256">
        <f t="shared" si="1"/>
        <v>693961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256">
        <f t="shared" si="1"/>
        <v>693961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256">
        <f t="shared" si="1"/>
        <v>693961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256">
        <f t="shared" si="1"/>
        <v>693961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256">
        <f t="shared" si="1"/>
        <v>693961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256">
        <f t="shared" si="1"/>
        <v>693961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256">
        <f t="shared" si="1"/>
        <v>693961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256">
        <f t="shared" si="1"/>
        <v>693961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256">
        <f t="shared" si="1"/>
        <v>693961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256">
        <f t="shared" si="1"/>
        <v>693961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256">
        <f t="shared" si="1"/>
        <v>693961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256">
        <f t="shared" si="1"/>
        <v>693961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256">
        <f t="shared" si="1"/>
        <v>693961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256">
        <f t="shared" si="1"/>
        <v>693961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256">
        <f t="shared" si="1"/>
        <v>693961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256">
        <f t="shared" si="1"/>
        <v>693961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256">
        <f t="shared" si="1"/>
        <v>693961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256">
        <f t="shared" si="1"/>
        <v>693961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256">
        <f t="shared" si="1"/>
        <v>693961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256">
        <f t="shared" si="1"/>
        <v>693961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256">
        <f t="shared" si="1"/>
        <v>693961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256">
        <f t="shared" si="1"/>
        <v>693961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256">
        <f t="shared" si="1"/>
        <v>693961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256">
        <f t="shared" si="1"/>
        <v>693961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256">
        <f t="shared" si="1"/>
        <v>693961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256">
        <f t="shared" si="1"/>
        <v>693961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256">
        <f t="shared" si="1"/>
        <v>693961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256">
        <f t="shared" si="1"/>
        <v>693961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256">
        <f t="shared" si="1"/>
        <v>693961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256">
        <f t="shared" si="1"/>
        <v>693961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256">
        <f t="shared" si="1"/>
        <v>693961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256">
        <f t="shared" si="1"/>
        <v>693961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256">
        <f t="shared" si="1"/>
        <v>693961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256">
        <f t="shared" si="1"/>
        <v>693961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256">
        <f t="shared" si="1"/>
        <v>693961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256">
        <f t="shared" si="1"/>
        <v>693961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256">
        <f t="shared" si="1"/>
        <v>693961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256">
        <f t="shared" si="1"/>
        <v>693961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256">
        <f t="shared" si="1"/>
        <v>693961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256">
        <f t="shared" si="1"/>
        <v>693961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256">
        <f t="shared" si="1"/>
        <v>693961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256">
        <f t="shared" si="1"/>
        <v>693961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256">
        <f t="shared" si="1"/>
        <v>693961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256">
        <f t="shared" si="1"/>
        <v>693961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256">
        <f t="shared" si="1"/>
        <v>693961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256">
        <f t="shared" si="1"/>
        <v>693961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256">
        <f t="shared" si="1"/>
        <v>693961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256">
        <f t="shared" si="1"/>
        <v>693961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256">
        <f t="shared" si="1"/>
        <v>693961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256">
        <f t="shared" si="1"/>
        <v>693961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256">
        <f t="shared" si="1"/>
        <v>693961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256">
        <f t="shared" si="1"/>
        <v>693961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256">
        <f t="shared" si="1"/>
        <v>693961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256">
        <f t="shared" si="1"/>
        <v>693961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256">
        <f t="shared" si="1"/>
        <v>693961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256">
        <f t="shared" si="1"/>
        <v>693961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256">
        <f t="shared" si="1"/>
        <v>693961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256">
        <f t="shared" si="1"/>
        <v>693961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256">
        <f t="shared" si="1"/>
        <v>693961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256">
        <f t="shared" si="1"/>
        <v>693961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256">
        <f t="shared" si="1"/>
        <v>693961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256">
        <f t="shared" si="1"/>
        <v>693961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256">
        <f t="shared" si="1"/>
        <v>693961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256">
        <f t="shared" si="1"/>
        <v>693961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256">
        <f t="shared" si="1"/>
        <v>693961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256">
        <f t="shared" si="1"/>
        <v>693961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256">
        <f t="shared" si="1"/>
        <v>693961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256">
        <f t="shared" si="1"/>
        <v>693961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256">
        <f t="shared" si="1"/>
        <v>693961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256">
        <f t="shared" si="1"/>
        <v>693961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256">
        <f t="shared" si="1"/>
        <v>693961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256">
        <f t="shared" si="1"/>
        <v>693961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256">
        <f t="shared" si="1"/>
        <v>693961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256">
        <f t="shared" si="1"/>
        <v>693961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256">
        <f t="shared" si="1"/>
        <v>693961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256">
        <f t="shared" si="1"/>
        <v>693961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256">
        <f t="shared" si="1"/>
        <v>693961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256">
        <f t="shared" si="1"/>
        <v>693961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256">
        <f t="shared" si="1"/>
        <v>693961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256">
        <f t="shared" si="1"/>
        <v>693961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256">
        <f t="shared" si="1"/>
        <v>693961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256">
        <f t="shared" si="1"/>
        <v>693961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256">
        <f t="shared" si="1"/>
        <v>693961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256">
        <f t="shared" si="1"/>
        <v>693961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256">
        <f t="shared" si="1"/>
        <v>693961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256">
        <f t="shared" si="1"/>
        <v>693961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256">
        <f t="shared" si="1"/>
        <v>693961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256">
        <f t="shared" si="1"/>
        <v>693961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256">
        <f t="shared" si="1"/>
        <v>693961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256">
        <f t="shared" si="1"/>
        <v>693961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256">
        <f t="shared" si="1"/>
        <v>693961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256">
        <f t="shared" si="1"/>
        <v>693961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256">
        <f t="shared" si="1"/>
        <v>693961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256">
        <f t="shared" si="1"/>
        <v>693961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256">
        <f t="shared" si="1"/>
        <v>693961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256">
        <f t="shared" si="1"/>
        <v>693961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256">
        <f t="shared" si="1"/>
        <v>693961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256">
        <f t="shared" si="1"/>
        <v>693961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256">
        <f t="shared" si="1"/>
        <v>693961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256">
        <f t="shared" si="1"/>
        <v>693961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256">
        <f t="shared" si="1"/>
        <v>693961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256">
        <f t="shared" si="1"/>
        <v>693961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256">
        <f t="shared" si="1"/>
        <v>693961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256">
        <f t="shared" si="1"/>
        <v>693961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256">
        <f t="shared" si="1"/>
        <v>693961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256">
        <f t="shared" si="1"/>
        <v>693961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256">
        <f t="shared" si="1"/>
        <v>693961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256">
        <f t="shared" si="1"/>
        <v>693961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256">
        <f t="shared" si="1"/>
        <v>693961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256">
        <f t="shared" si="1"/>
        <v>693961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256">
        <f t="shared" si="1"/>
        <v>693961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256">
        <f t="shared" si="1"/>
        <v>693961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256">
        <f t="shared" si="1"/>
        <v>693961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256">
        <f t="shared" si="1"/>
        <v>693961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260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260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260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260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260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260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260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260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260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260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260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260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260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260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260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260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260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260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260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260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260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260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260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260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260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260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260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260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260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260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260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260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260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260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260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260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260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260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260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260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260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260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260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260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260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260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260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260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260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260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260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260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260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260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260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260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260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260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260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260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260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260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260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260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260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260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260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260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260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260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260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260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260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260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260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260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260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260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260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260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260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260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260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260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260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260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260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260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260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260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260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260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260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260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260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260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260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260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260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260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260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260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260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260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260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260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260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260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260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260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260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260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260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260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260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260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260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260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260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260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260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260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260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260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260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260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260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260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260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260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260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260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260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260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260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260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260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260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260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260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260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260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260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260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260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260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260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260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260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260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260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260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260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260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260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260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260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260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260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260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260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260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260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260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260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260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260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260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260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260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260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260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260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260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260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260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260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260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260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260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260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260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260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260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260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260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260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260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260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260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260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260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260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260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260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260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260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260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260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260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260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260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260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260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260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260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260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260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260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260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260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260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260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260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260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260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260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260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260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260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260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260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260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260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260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260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260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260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260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260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260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260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260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260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260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260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260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260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260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260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260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260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260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260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260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260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260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260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260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260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260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260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260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260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260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260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260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260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260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260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260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260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260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260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260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260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260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260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260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260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260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260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260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260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260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260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260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260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260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260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260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260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260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260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260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260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260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260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260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260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260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260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260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260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260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260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260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260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260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260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260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260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260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260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260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260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260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260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260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260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260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260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260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260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260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260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260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260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260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260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260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260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260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260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260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260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260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260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260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260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260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260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260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260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260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260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260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260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260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260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260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260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260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260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260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260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260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260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260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260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260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260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260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260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260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260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260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260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260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260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260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260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260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260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260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260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260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260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260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260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260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260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260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260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260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260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260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260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260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260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260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260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260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260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260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260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260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260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260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260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260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260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260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260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260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260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260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260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260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260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260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260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260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260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260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260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260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260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260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260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260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260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260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260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260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260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260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260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260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260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260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260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260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260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260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260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260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260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260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260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260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260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260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260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260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260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260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260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260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260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260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260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260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260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260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260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260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260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260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260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260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260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260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260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260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260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260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260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260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260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260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260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260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260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260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260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260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260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260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260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260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260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260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260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260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260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260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260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260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260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260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260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260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260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260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260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260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260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260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260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260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260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260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260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260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260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260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260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260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260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H4:L4"/>
    <mergeCell ref="H5:L14"/>
  </mergeCells>
  <drawing r:id="rId1"/>
</worksheet>
</file>